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26" firstSheet="0" activeTab="1" autoFilterDateGrouping="1"/>
  </bookViews>
  <sheets>
    <sheet name="Source" sheetId="1" state="visible" r:id="rId1"/>
    <sheet name="24TABLE - cubic meters per day" sheetId="2" state="visible" r:id="rId2"/>
    <sheet name="24TABLE - barrels per day" sheetId="3" state="visible" r:id="rId3"/>
    <sheet name="23TABLE - cubic meters per day" sheetId="4" state="visible" r:id="rId4"/>
    <sheet name="23TABLE - barrels per day" sheetId="5" state="visible" r:id="rId5"/>
    <sheet name="22TABLE - cubic meters per day" sheetId="6" state="visible" r:id="rId6"/>
    <sheet name="22TABLE - barrels per day" sheetId="7" state="visible" r:id="rId7"/>
    <sheet name="21TABLE - cubic meters per day" sheetId="8" state="visible" r:id="rId8"/>
    <sheet name="21TABLE - barrels per day" sheetId="9" state="visible" r:id="rId9"/>
    <sheet name="HIST - cubic meters per day" sheetId="10" state="visible" r:id="rId10"/>
    <sheet name="HIST - barrels per day" sheetId="11" state="visible" r:id="rId1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long_month">31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hort_month">30</definedName>
    <definedName name="wvu.ejnorm.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_1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_2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_3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_4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_5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ACwvu.ejnorm." localSheetId="1" hidden="1">'24TABLE - cubic meters per day'!$A$31</definedName>
    <definedName name="_xlnm.Database" localSheetId="1">'24TABLE - cubic meters per day'!$F$8:$H$15</definedName>
    <definedName name="Swvu.ejnorm." localSheetId="1" hidden="1">'24TABLE - cubic meters per day'!$A$31</definedName>
    <definedName name="wvu.ejnorm." localSheetId="1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Z_83B2F80E_7A5B_11D2_9156_BF7B684A7C81_.wvu.PrintArea" localSheetId="1" hidden="1">'24TABLE - cubic meters per day'!$A$2:$N$49</definedName>
    <definedName name="_xlnm.Print_Area" localSheetId="1">'24TABLE - cubic meters per day'!$A$1:$AR$58</definedName>
    <definedName name="ACwvu.ejnorm." localSheetId="3" hidden="1">'23TABLE - cubic meters per day'!$A$31</definedName>
    <definedName name="_xlnm.Database" localSheetId="3">'23TABLE - cubic meters per day'!$F$8:$H$15</definedName>
    <definedName name="Swvu.ejnorm." localSheetId="3" hidden="1">'23TABLE - cubic meters per day'!$A$31</definedName>
    <definedName name="wvu.ejnorm." localSheetId="3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Z_83B2F80E_7A5B_11D2_9156_BF7B684A7C81_.wvu.PrintArea" localSheetId="3" hidden="1">'23TABLE - cubic meters per day'!$A$2:$N$49</definedName>
    <definedName name="_xlnm.Print_Area" localSheetId="3">'23TABLE - cubic meters per day'!$A$1:$AR$58</definedName>
    <definedName name="ACwvu.ejnorm." localSheetId="5" hidden="1">'22TABLE - cubic meters per day'!$A$31</definedName>
    <definedName name="_xlnm.Database" localSheetId="5">'22TABLE - cubic meters per day'!$F$8:$H$15</definedName>
    <definedName name="Swvu.ejnorm." localSheetId="5" hidden="1">'22TABLE - cubic meters per day'!$A$31</definedName>
    <definedName name="wvu.ejnorm." localSheetId="5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Z_83B2F80E_7A5B_11D2_9156_BF7B684A7C81_.wvu.PrintArea" localSheetId="5" hidden="1">'22TABLE - cubic meters per day'!$A$2:$N$49</definedName>
    <definedName name="_xlnm.Print_Area" localSheetId="5">'22TABLE - cubic meters per day'!$A$1:$AR$58</definedName>
    <definedName name="ACwvu.ejnorm." localSheetId="7" hidden="1">'21TABLE - cubic meters per day'!$A$31</definedName>
    <definedName name="_xlnm.Database" localSheetId="7">'21TABLE - cubic meters per day'!$F$8:$H$15</definedName>
    <definedName name="Swvu.ejnorm." localSheetId="7" hidden="1">'21TABLE - cubic meters per day'!$A$31</definedName>
    <definedName name="wvu.ejnorm." localSheetId="7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Z_83B2F80E_7A5B_11D2_9156_BF7B684A7C81_.wvu.PrintArea" localSheetId="7" hidden="1">'21TABLE - cubic meters per day'!$A$2:$N$49</definedName>
    <definedName name="_xlnm.Print_Area" localSheetId="7">'21TABLE - cubic meters per day'!$A$1:$AR$58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mm/dd/yy"/>
    <numFmt numFmtId="165" formatCode="#,##0.0000000"/>
    <numFmt numFmtId="166" formatCode="#,##0.000000000"/>
    <numFmt numFmtId="167" formatCode="0.00_)"/>
    <numFmt numFmtId="168" formatCode="[$-409]d\-mmm\-yy;@"/>
    <numFmt numFmtId="169" formatCode="0____"/>
  </numFmts>
  <fonts count="40">
    <font>
      <name val="Helv"/>
      <sz val="8"/>
    </font>
    <font>
      <name val="Helv"/>
      <b val="1"/>
      <sz val="8"/>
    </font>
    <font>
      <name val="Helv"/>
      <sz val="10"/>
    </font>
    <font>
      <name val="Helv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6"/>
    </font>
    <font>
      <name val="Arial"/>
      <family val="2"/>
      <b val="1"/>
      <color indexed="8"/>
      <sz val="8"/>
    </font>
    <font>
      <name val="Arial"/>
      <family val="2"/>
      <b val="1"/>
      <color indexed="12"/>
      <sz val="8"/>
    </font>
    <font>
      <name val="Arial"/>
      <family val="2"/>
      <b val="1"/>
      <sz val="8"/>
      <vertAlign val="superscript"/>
    </font>
    <font>
      <name val="Arial"/>
      <family val="2"/>
      <b val="1"/>
      <sz val="8"/>
      <vertAlign val="subscript"/>
    </font>
    <font>
      <name val="Arial"/>
      <family val="2"/>
      <b val="1"/>
      <sz val="6"/>
      <vertAlign val="superscript"/>
    </font>
    <font>
      <name val="Arial"/>
      <family val="2"/>
      <b val="1"/>
      <color indexed="30"/>
      <sz val="8"/>
    </font>
    <font>
      <name val="Calibri"/>
      <family val="2"/>
      <color indexed="8"/>
      <sz val="11"/>
    </font>
    <font>
      <name val="Arial"/>
      <family val="2"/>
      <sz val="10"/>
    </font>
    <font>
      <name val="Arial"/>
      <family val="2"/>
      <b val="1"/>
      <i val="1"/>
      <color indexed="16"/>
      <sz val="10"/>
    </font>
    <font>
      <name val="Arial"/>
      <family val="2"/>
      <b val="1"/>
      <color indexed="16"/>
      <sz val="10"/>
    </font>
    <font>
      <name val="Arial"/>
      <family val="2"/>
      <color indexed="20"/>
      <sz val="10"/>
    </font>
    <font>
      <name val="Arial"/>
      <family val="2"/>
      <sz val="9"/>
    </font>
    <font>
      <name val="MS Sans Serif"/>
      <family val="2"/>
      <sz val="10"/>
    </font>
    <font>
      <name val="Arial"/>
      <family val="2"/>
      <sz val="16"/>
    </font>
    <font>
      <name val="Arial"/>
      <family val="2"/>
      <b val="1"/>
      <color indexed="18"/>
      <sz val="9"/>
    </font>
    <font>
      <name val="Corporate Mono"/>
      <sz val="10"/>
    </font>
    <font>
      <name val="Arial"/>
      <family val="2"/>
      <b val="1"/>
      <sz val="16"/>
    </font>
    <font>
      <name val="Tahoma"/>
      <family val="2"/>
      <sz val="10"/>
    </font>
    <font>
      <name val="Arial"/>
      <family val="2"/>
      <sz val="11"/>
    </font>
    <font>
      <name val="Arial"/>
      <family val="2"/>
      <sz val="10"/>
    </font>
    <font>
      <name val="Arial"/>
      <family val="2"/>
      <i val="1"/>
      <sz val="8"/>
    </font>
    <font>
      <name val="Arial"/>
      <charset val="238"/>
      <family val="2"/>
      <b val="1"/>
      <sz val="10"/>
    </font>
    <font>
      <name val="Calibri"/>
      <family val="2"/>
      <color theme="1"/>
      <sz val="11"/>
      <scheme val="minor"/>
    </font>
    <font>
      <name val="Arial"/>
      <family val="2"/>
      <color rgb="FF00AB4E"/>
      <sz val="8"/>
    </font>
    <font>
      <name val="Tahoma"/>
      <family val="2"/>
      <color theme="1"/>
      <sz val="10"/>
    </font>
    <font>
      <name val="Arial"/>
      <family val="2"/>
      <b val="1"/>
      <color theme="0"/>
      <sz val="12"/>
    </font>
    <font>
      <name val="Arial"/>
      <charset val="238"/>
      <family val="2"/>
      <color theme="1"/>
      <sz val="7"/>
    </font>
    <font>
      <name val="Arial"/>
      <family val="2"/>
      <color theme="0"/>
      <sz val="10"/>
    </font>
    <font>
      <name val="Arial"/>
      <family val="2"/>
      <b val="1"/>
      <color rgb="FF0070C0"/>
      <sz val="8"/>
    </font>
    <font>
      <name val="Arial"/>
      <family val="2"/>
      <b val="1"/>
      <color theme="1"/>
      <sz val="8"/>
    </font>
    <font>
      <name val="Calibri"/>
      <family val="2"/>
      <sz val="9"/>
      <scheme val="minor"/>
    </font>
    <font>
      <name val="Calibri"/>
      <family val="2"/>
      <b val="1"/>
      <sz val="9"/>
      <scheme val="minor"/>
    </font>
    <font>
      <name val="Helv"/>
      <color theme="10"/>
      <sz val="8"/>
      <u val="single"/>
    </font>
  </fonts>
  <fills count="4">
    <fill>
      <patternFill/>
    </fill>
    <fill>
      <patternFill patternType="gray125"/>
    </fill>
    <fill>
      <patternFill patternType="solid">
        <fgColor rgb="FFD8DCDB"/>
        <bgColor indexed="64"/>
      </patternFill>
    </fill>
    <fill>
      <patternFill patternType="solid">
        <fgColor rgb="FF7F808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</borders>
  <cellStyleXfs count="1757">
    <xf numFmtId="0" fontId="3" fillId="0" borderId="0"/>
    <xf numFmtId="4" fontId="2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" fontId="2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0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26" fillId="0" borderId="0"/>
    <xf numFmtId="43" fontId="13" fillId="0" borderId="0"/>
    <xf numFmtId="43" fontId="26" fillId="0" borderId="0"/>
    <xf numFmtId="43" fontId="26" fillId="0" borderId="0"/>
    <xf numFmtId="43" fontId="13" fillId="0" borderId="0"/>
    <xf numFmtId="43" fontId="13" fillId="0" borderId="0"/>
    <xf numFmtId="4" fontId="15" fillId="0" borderId="0" applyProtection="1">
      <protection locked="0" hidden="0"/>
    </xf>
    <xf numFmtId="167" fontId="16" fillId="0" borderId="0" applyAlignment="1">
      <alignment horizontal="right"/>
    </xf>
    <xf numFmtId="0" fontId="30" fillId="2" borderId="0" applyAlignment="1">
      <alignment horizontal="center" vertical="center"/>
    </xf>
    <xf numFmtId="40" fontId="17" fillId="0" borderId="0" applyAlignment="1">
      <alignment horizontal="right"/>
    </xf>
    <xf numFmtId="0" fontId="29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" fillId="0" borderId="0"/>
    <xf numFmtId="0" fontId="3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4" fillId="0" borderId="0"/>
    <xf numFmtId="0" fontId="26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26" fillId="0" borderId="0"/>
    <xf numFmtId="9" fontId="13" fillId="0" borderId="0"/>
    <xf numFmtId="9" fontId="13" fillId="0" borderId="0"/>
    <xf numFmtId="9" fontId="26" fillId="0" borderId="0"/>
    <xf numFmtId="9" fontId="26" fillId="0" borderId="0"/>
    <xf numFmtId="9" fontId="2" fillId="0" borderId="0"/>
    <xf numFmtId="9" fontId="29" fillId="0" borderId="0"/>
    <xf numFmtId="0" fontId="28" fillId="0" borderId="6" applyAlignment="1">
      <alignment horizontal="left" wrapText="1"/>
    </xf>
    <xf numFmtId="0" fontId="32" fillId="3" borderId="0" applyAlignment="1">
      <alignment horizontal="left" vertical="center"/>
    </xf>
    <xf numFmtId="0" fontId="33" fillId="0" borderId="0" applyAlignment="1">
      <alignment horizontal="left" vertical="top"/>
    </xf>
    <xf numFmtId="0" fontId="34" fillId="3" borderId="0" applyAlignment="1">
      <alignment vertical="center"/>
    </xf>
    <xf numFmtId="39" fontId="18" fillId="0" borderId="0"/>
    <xf numFmtId="0" fontId="19" fillId="0" borderId="0" applyAlignment="1">
      <alignment textRotation="90"/>
    </xf>
    <xf numFmtId="169" fontId="20" fillId="0" borderId="0"/>
    <xf numFmtId="39" fontId="21" fillId="0" borderId="0" applyProtection="1">
      <protection locked="0" hidden="0"/>
    </xf>
    <xf numFmtId="1" fontId="22" fillId="0" borderId="0" applyAlignment="1">
      <alignment horizontal="center"/>
    </xf>
    <xf numFmtId="1" fontId="23" fillId="0" borderId="0" applyAlignment="1">
      <alignment horizontal="centerContinuous"/>
    </xf>
    <xf numFmtId="0" fontId="39" fillId="0" borderId="0"/>
  </cellStyleXfs>
  <cellXfs count="66">
    <xf numFmtId="0" fontId="0" fillId="0" borderId="0" pivotButton="0" quotePrefix="0" xfId="0"/>
    <xf numFmtId="1" fontId="4" fillId="0" borderId="0" pivotButton="0" quotePrefix="0" xfId="0"/>
    <xf numFmtId="1" fontId="4" fillId="0" borderId="0" applyAlignment="1" pivotButton="0" quotePrefix="0" xfId="0">
      <alignment horizontal="right"/>
    </xf>
    <xf numFmtId="1" fontId="5" fillId="0" borderId="0" pivotButton="0" quotePrefix="0" xfId="0"/>
    <xf numFmtId="1" fontId="5" fillId="0" borderId="0" applyAlignment="1" applyProtection="1" pivotButton="0" quotePrefix="0" xfId="0">
      <alignment horizontal="center"/>
      <protection locked="0" hidden="0"/>
    </xf>
    <xf numFmtId="164" fontId="5" fillId="0" borderId="0" applyAlignment="1" pivotButton="0" quotePrefix="0" xfId="0">
      <alignment horizontal="left"/>
    </xf>
    <xf numFmtId="14" fontId="5" fillId="0" borderId="0" applyAlignment="1" pivotButton="0" quotePrefix="1" xfId="0">
      <alignment wrapText="1"/>
    </xf>
    <xf numFmtId="1" fontId="5" fillId="0" borderId="0" applyAlignment="1" pivotButton="0" quotePrefix="0" xfId="0">
      <alignment horizontal="right"/>
    </xf>
    <xf numFmtId="1" fontId="5" fillId="0" borderId="0" applyAlignment="1" applyProtection="1" pivotButton="0" quotePrefix="0" xfId="0">
      <alignment horizontal="right"/>
      <protection locked="0" hidden="0"/>
    </xf>
    <xf numFmtId="1" fontId="5" fillId="0" borderId="0" applyAlignment="1" applyProtection="1" pivotButton="0" quotePrefix="0" xfId="0">
      <alignment horizontal="left" wrapText="1"/>
      <protection locked="0" hidden="0"/>
    </xf>
    <xf numFmtId="1" fontId="5" fillId="0" borderId="0" applyAlignment="1" applyProtection="1" pivotButton="0" quotePrefix="0" xfId="0">
      <alignment horizontal="left"/>
      <protection locked="0" hidden="0"/>
    </xf>
    <xf numFmtId="1" fontId="6" fillId="0" borderId="0" applyAlignment="1" applyProtection="1" pivotButton="0" quotePrefix="0" xfId="0">
      <alignment horizontal="right"/>
      <protection locked="0" hidden="0"/>
    </xf>
    <xf numFmtId="1" fontId="4" fillId="0" borderId="0" applyAlignment="1" pivotButton="0" quotePrefix="0" xfId="0">
      <alignment horizontal="center"/>
    </xf>
    <xf numFmtId="1" fontId="5" fillId="0" borderId="0" applyAlignment="1" pivotButton="0" quotePrefix="0" xfId="0">
      <alignment horizontal="center"/>
    </xf>
    <xf numFmtId="1" fontId="6" fillId="0" borderId="0" applyAlignment="1" pivotButton="0" quotePrefix="0" xfId="0">
      <alignment horizontal="right"/>
    </xf>
    <xf numFmtId="1" fontId="8" fillId="0" borderId="0" applyProtection="1" pivotButton="0" quotePrefix="0" xfId="0">
      <protection locked="0" hidden="0"/>
    </xf>
    <xf numFmtId="1" fontId="5" fillId="0" borderId="1" applyAlignment="1" pivotButton="0" quotePrefix="0" xfId="0">
      <alignment horizontal="left" wrapText="1"/>
    </xf>
    <xf numFmtId="1" fontId="6" fillId="0" borderId="0" applyAlignment="1" applyProtection="1" pivotButton="0" quotePrefix="0" xfId="0">
      <alignment horizontal="right" wrapText="1"/>
      <protection locked="0" hidden="0"/>
    </xf>
    <xf numFmtId="0" fontId="5" fillId="0" borderId="0" applyAlignment="1" pivotButton="0" quotePrefix="0" xfId="0">
      <alignment wrapText="1"/>
    </xf>
    <xf numFmtId="1" fontId="6" fillId="0" borderId="0" applyAlignment="1" pivotButton="0" quotePrefix="0" xfId="0">
      <alignment horizontal="right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" fontId="5" fillId="0" borderId="2" pivotButton="0" quotePrefix="0" xfId="0"/>
    <xf numFmtId="1" fontId="5" fillId="0" borderId="2" applyAlignment="1" pivotButton="0" quotePrefix="0" xfId="0">
      <alignment horizontal="left" wrapText="1"/>
    </xf>
    <xf numFmtId="1" fontId="5" fillId="0" borderId="2" applyAlignment="1" pivotButton="0" quotePrefix="0" xfId="0">
      <alignment horizontal="left"/>
    </xf>
    <xf numFmtId="1" fontId="5" fillId="0" borderId="1" applyAlignment="1" pivotButton="0" quotePrefix="0" xfId="0">
      <alignment horizontal="right"/>
    </xf>
    <xf numFmtId="1" fontId="12" fillId="0" borderId="0" applyProtection="1" pivotButton="0" quotePrefix="0" xfId="0">
      <protection locked="0" hidden="0"/>
    </xf>
    <xf numFmtId="1" fontId="6" fillId="0" borderId="1" applyAlignment="1" pivotButton="0" quotePrefix="0" xfId="0">
      <alignment horizontal="right"/>
    </xf>
    <xf numFmtId="1" fontId="0" fillId="0" borderId="0" pivotButton="0" quotePrefix="0" xfId="0"/>
    <xf numFmtId="1" fontId="5" fillId="0" borderId="0" applyProtection="1" pivotButton="0" quotePrefix="0" xfId="0">
      <protection locked="0" hidden="0"/>
    </xf>
    <xf numFmtId="1" fontId="35" fillId="0" borderId="0" applyProtection="1" pivotButton="0" quotePrefix="0" xfId="0">
      <protection locked="0" hidden="0"/>
    </xf>
    <xf numFmtId="1" fontId="36" fillId="0" borderId="0" applyProtection="1" pivotButton="0" quotePrefix="0" xfId="0">
      <protection locked="0" hidden="0"/>
    </xf>
    <xf numFmtId="0" fontId="27" fillId="0" borderId="0" applyAlignment="1" pivotButton="0" quotePrefix="0" xfId="0">
      <alignment horizontal="center"/>
    </xf>
    <xf numFmtId="0" fontId="27" fillId="0" borderId="0" pivotButton="0" quotePrefix="0" xfId="0"/>
    <xf numFmtId="3" fontId="37" fillId="0" borderId="0" applyAlignment="1" applyProtection="1" pivotButton="0" quotePrefix="0" xfId="1">
      <alignment horizontal="center"/>
      <protection locked="0" hidden="0"/>
    </xf>
    <xf numFmtId="3" fontId="5" fillId="0" borderId="3" applyProtection="1" pivotButton="0" quotePrefix="0" xfId="1">
      <protection locked="0" hidden="0"/>
    </xf>
    <xf numFmtId="3" fontId="5" fillId="0" borderId="2" applyProtection="1" pivotButton="0" quotePrefix="0" xfId="1">
      <protection locked="0" hidden="0"/>
    </xf>
    <xf numFmtId="3" fontId="5" fillId="0" borderId="0" applyProtection="1" pivotButton="0" quotePrefix="0" xfId="1">
      <protection locked="0" hidden="0"/>
    </xf>
    <xf numFmtId="3" fontId="5" fillId="0" borderId="1" applyProtection="1" pivotButton="0" quotePrefix="0" xfId="1">
      <protection locked="0" hidden="0"/>
    </xf>
    <xf numFmtId="0" fontId="1" fillId="0" borderId="0" pivotButton="0" quotePrefix="0" xfId="0"/>
    <xf numFmtId="0" fontId="38" fillId="0" borderId="0" pivotButton="0" quotePrefix="0" xfId="0"/>
    <xf numFmtId="17" fontId="37" fillId="0" borderId="0" pivotButton="0" quotePrefix="0" xfId="0"/>
    <xf numFmtId="3" fontId="37" fillId="0" borderId="0" pivotButton="0" quotePrefix="0" xfId="1"/>
    <xf numFmtId="37" fontId="37" fillId="0" borderId="0" pivotButton="0" quotePrefix="0" xfId="0"/>
    <xf numFmtId="3" fontId="5" fillId="0" borderId="0" pivotButton="0" quotePrefix="0" xfId="1"/>
    <xf numFmtId="3" fontId="5" fillId="0" borderId="4" applyProtection="1" pivotButton="0" quotePrefix="0" xfId="1">
      <protection locked="0" hidden="0"/>
    </xf>
    <xf numFmtId="3" fontId="5" fillId="0" borderId="5" applyProtection="1" pivotButton="0" quotePrefix="0" xfId="1">
      <protection locked="0" hidden="0"/>
    </xf>
    <xf numFmtId="0" fontId="37" fillId="0" borderId="0" pivotButton="0" quotePrefix="0" xfId="0"/>
    <xf numFmtId="1" fontId="37" fillId="0" borderId="0" applyAlignment="1" pivotButton="0" quotePrefix="0" xfId="0">
      <alignment horizontal="center"/>
    </xf>
    <xf numFmtId="3" fontId="0" fillId="0" borderId="0" pivotButton="0" quotePrefix="0" xfId="0"/>
    <xf numFmtId="3" fontId="4" fillId="0" borderId="0" applyAlignment="1" pivotButton="0" quotePrefix="0" xfId="1">
      <alignment horizontal="center"/>
    </xf>
    <xf numFmtId="3" fontId="4" fillId="0" borderId="0" applyAlignment="1" pivotButton="0" quotePrefix="0" xfId="1">
      <alignment horizontal="center"/>
    </xf>
    <xf numFmtId="165" fontId="0" fillId="0" borderId="0" pivotButton="0" quotePrefix="0" xfId="1"/>
    <xf numFmtId="166" fontId="0" fillId="0" borderId="0" pivotButton="0" quotePrefix="0" xfId="0"/>
    <xf numFmtId="3" fontId="0" fillId="0" borderId="0" pivotButton="0" quotePrefix="0" xfId="1"/>
    <xf numFmtId="165" fontId="0" fillId="0" borderId="0" pivotButton="0" quotePrefix="0" xfId="0"/>
    <xf numFmtId="0" fontId="3" fillId="0" borderId="0" pivotButton="0" quotePrefix="0" xfId="0"/>
    <xf numFmtId="3" fontId="38" fillId="0" borderId="0" pivotButton="0" quotePrefix="0" xfId="1"/>
    <xf numFmtId="0" fontId="39" fillId="0" borderId="0" pivotButton="0" quotePrefix="0" xfId="1756"/>
    <xf numFmtId="164" fontId="5" fillId="0" borderId="0" applyAlignment="1" pivotButton="0" quotePrefix="0" xfId="0">
      <alignment horizontal="left"/>
    </xf>
    <xf numFmtId="166" fontId="0" fillId="0" borderId="0" pivotButton="0" quotePrefix="0" xfId="0"/>
    <xf numFmtId="165" fontId="0" fillId="0" borderId="0" pivotButton="0" quotePrefix="0" xfId="1"/>
    <xf numFmtId="165" fontId="0" fillId="0" borderId="0" pivotButton="0" quotePrefix="0" xfId="0"/>
  </cellXfs>
  <cellStyles count="1757">
    <cellStyle name="Normal" xfId="0" builtinId="0"/>
    <cellStyle name="Comma" xfId="1" builtinId="3"/>
    <cellStyle name="Comma 10" xfId="2"/>
    <cellStyle name="Comma 10 2" xfId="3"/>
    <cellStyle name="Comma 10 3" xfId="4"/>
    <cellStyle name="Comma 11" xfId="5"/>
    <cellStyle name="Comma 12" xfId="6"/>
    <cellStyle name="Comma 13" xfId="7"/>
    <cellStyle name="Comma 2" xfId="8"/>
    <cellStyle name="Comma 2 2" xfId="9"/>
    <cellStyle name="Comma 2 3" xfId="10"/>
    <cellStyle name="Comma 2 3 2" xfId="11"/>
    <cellStyle name="Comma 2 4" xfId="12"/>
    <cellStyle name="Comma 2 4 2" xfId="13"/>
    <cellStyle name="Comma 2 4 3" xfId="14"/>
    <cellStyle name="Comma 2 5" xfId="15"/>
    <cellStyle name="Comma 2 5 2" xfId="16"/>
    <cellStyle name="Comma 2 6" xfId="17"/>
    <cellStyle name="Comma 2 6 2" xfId="18"/>
    <cellStyle name="Comma 2 6 3" xfId="19"/>
    <cellStyle name="Comma 2 7" xfId="20"/>
    <cellStyle name="Comma 3" xfId="21"/>
    <cellStyle name="Comma 3 2" xfId="22"/>
    <cellStyle name="Comma 3 2 2" xfId="23"/>
    <cellStyle name="Comma 3 2 2 2" xfId="24"/>
    <cellStyle name="Comma 3 3" xfId="25"/>
    <cellStyle name="Comma 3 4" xfId="26"/>
    <cellStyle name="Comma 3 4 2" xfId="27"/>
    <cellStyle name="Comma 3 4 3" xfId="28"/>
    <cellStyle name="Comma 3 5" xfId="29"/>
    <cellStyle name="Comma 3 6" xfId="30"/>
    <cellStyle name="Comma 4" xfId="31"/>
    <cellStyle name="Comma 4 2" xfId="32"/>
    <cellStyle name="Comma 4 3" xfId="33"/>
    <cellStyle name="Comma 4 4" xfId="34"/>
    <cellStyle name="Comma 4 4 2" xfId="35"/>
    <cellStyle name="Comma 5" xfId="36"/>
    <cellStyle name="Comma 5 2" xfId="37"/>
    <cellStyle name="Comma 5 3" xfId="38"/>
    <cellStyle name="Comma 5 3 2" xfId="39"/>
    <cellStyle name="Comma 6" xfId="40"/>
    <cellStyle name="Comma 6 2" xfId="41"/>
    <cellStyle name="Comma 6 2 2" xfId="42"/>
    <cellStyle name="Comma 6 3" xfId="43"/>
    <cellStyle name="Comma 6 3 2" xfId="44"/>
    <cellStyle name="Comma 6 3 3" xfId="45"/>
    <cellStyle name="Comma 6 3 3 2" xfId="46"/>
    <cellStyle name="Comma 7" xfId="47"/>
    <cellStyle name="Comma 7 2" xfId="48"/>
    <cellStyle name="Comma 7 2 2" xfId="49"/>
    <cellStyle name="Comma 7 2 3" xfId="50"/>
    <cellStyle name="Comma 7 2 3 2" xfId="51"/>
    <cellStyle name="Comma 7 2 4" xfId="52"/>
    <cellStyle name="Comma 7 2 4 2" xfId="53"/>
    <cellStyle name="Comma 7 3" xfId="54"/>
    <cellStyle name="Comma 8" xfId="55"/>
    <cellStyle name="Comma 8 2" xfId="56"/>
    <cellStyle name="Comma 8 3" xfId="57"/>
    <cellStyle name="Comma 9" xfId="58"/>
    <cellStyle name="Comma 9 2" xfId="59"/>
    <cellStyle name="Comma 9 3" xfId="60"/>
    <cellStyle name="Comma 9 4" xfId="61"/>
    <cellStyle name="Comma 9 5" xfId="62"/>
    <cellStyle name="FORECAST" xfId="63"/>
    <cellStyle name="HEADINGS" xfId="64"/>
    <cellStyle name="Index Hyperlink" xfId="65"/>
    <cellStyle name="MACRO" xfId="66"/>
    <cellStyle name="Normal 10" xfId="67"/>
    <cellStyle name="Normal 10 2" xfId="68"/>
    <cellStyle name="Normal 10 3" xfId="69"/>
    <cellStyle name="Normal 10 3 2" xfId="70"/>
    <cellStyle name="Normal 10 3 3" xfId="71"/>
    <cellStyle name="Normal 10 4" xfId="72"/>
    <cellStyle name="Normal 10 5" xfId="73"/>
    <cellStyle name="Normal 11" xfId="74"/>
    <cellStyle name="Normal 11 2" xfId="75"/>
    <cellStyle name="Normal 12" xfId="76"/>
    <cellStyle name="Normal 12 2" xfId="77"/>
    <cellStyle name="Normal 13" xfId="78"/>
    <cellStyle name="Normal 14" xfId="79"/>
    <cellStyle name="Normal 14 2" xfId="80"/>
    <cellStyle name="Normal 15" xfId="81"/>
    <cellStyle name="Normal 15 2" xfId="82"/>
    <cellStyle name="Normal 16" xfId="83"/>
    <cellStyle name="Normal 17" xfId="84"/>
    <cellStyle name="Normal 18" xfId="85"/>
    <cellStyle name="Normal 18 2" xfId="86"/>
    <cellStyle name="Normal 18 3" xfId="87"/>
    <cellStyle name="Normal 18_17TABLE - cubic meters per day" xfId="88"/>
    <cellStyle name="Normal 2" xfId="89"/>
    <cellStyle name="Normal 2 2" xfId="90"/>
    <cellStyle name="Normal 2 2 2" xfId="91"/>
    <cellStyle name="Normal 2 3" xfId="92"/>
    <cellStyle name="Normal 3" xfId="93"/>
    <cellStyle name="Normal 3 2" xfId="94"/>
    <cellStyle name="Normal 3 2 2" xfId="95"/>
    <cellStyle name="Normal 3 3" xfId="96"/>
    <cellStyle name="Normal 3 3 2" xfId="97"/>
    <cellStyle name="Normal 3 3 3" xfId="98"/>
    <cellStyle name="Normal 3 3 3 2" xfId="99"/>
    <cellStyle name="Normal 3 4" xfId="100"/>
    <cellStyle name="Normal 3 4 2" xfId="101"/>
    <cellStyle name="Normal 3 4 2 2" xfId="102"/>
    <cellStyle name="Normal 3 4 2 2 2" xfId="103"/>
    <cellStyle name="Normal 3 4 2 3" xfId="104"/>
    <cellStyle name="Normal 3 4 2 4" xfId="105"/>
    <cellStyle name="Normal 3 4 3" xfId="106"/>
    <cellStyle name="Normal 3 4 3 2" xfId="107"/>
    <cellStyle name="Normal 3 4 3 2 2" xfId="108"/>
    <cellStyle name="Normal 3 4 3 3" xfId="109"/>
    <cellStyle name="Normal 3 4 3 4" xfId="110"/>
    <cellStyle name="Normal 3 4 4" xfId="111"/>
    <cellStyle name="Normal 3 4 4 2" xfId="112"/>
    <cellStyle name="Normal 3 4 4 2 2" xfId="113"/>
    <cellStyle name="Normal 3 4 4 3" xfId="114"/>
    <cellStyle name="Normal 3 4 4 4" xfId="115"/>
    <cellStyle name="Normal 3 4 5" xfId="116"/>
    <cellStyle name="Normal 3 4 5 2" xfId="117"/>
    <cellStyle name="Normal 3 4 6" xfId="118"/>
    <cellStyle name="Normal 3 4 7" xfId="119"/>
    <cellStyle name="Normal 3 5" xfId="120"/>
    <cellStyle name="Normal 3 5 2" xfId="121"/>
    <cellStyle name="Normal 3 5 3" xfId="122"/>
    <cellStyle name="Normal 3 5 3 2" xfId="123"/>
    <cellStyle name="Normal 3 6" xfId="124"/>
    <cellStyle name="Normal 3 6 2" xfId="125"/>
    <cellStyle name="Normal 3 6 3" xfId="126"/>
    <cellStyle name="Normal 3 7" xfId="127"/>
    <cellStyle name="Normal 3 7 2" xfId="128"/>
    <cellStyle name="Normal 3 8" xfId="129"/>
    <cellStyle name="Normal 4" xfId="130"/>
    <cellStyle name="Normal 4 10" xfId="131"/>
    <cellStyle name="Normal 4 10 2" xfId="132"/>
    <cellStyle name="Normal 4 10 2 2" xfId="133"/>
    <cellStyle name="Normal 4 10 2 2 2" xfId="134"/>
    <cellStyle name="Normal 4 10 2 2 3" xfId="135"/>
    <cellStyle name="Normal 4 10 2 3" xfId="136"/>
    <cellStyle name="Normal 4 10 2 3 2" xfId="137"/>
    <cellStyle name="Normal 4 10 2 3 3" xfId="138"/>
    <cellStyle name="Normal 4 10 2 4" xfId="139"/>
    <cellStyle name="Normal 4 10 2 4 2" xfId="140"/>
    <cellStyle name="Normal 4 10 2 5" xfId="141"/>
    <cellStyle name="Normal 4 10 2 6" xfId="142"/>
    <cellStyle name="Normal 4 10 3" xfId="143"/>
    <cellStyle name="Normal 4 10 3 2" xfId="144"/>
    <cellStyle name="Normal 4 10 3 2 2" xfId="145"/>
    <cellStyle name="Normal 4 10 3 2 3" xfId="146"/>
    <cellStyle name="Normal 4 10 3 3" xfId="147"/>
    <cellStyle name="Normal 4 10 3 3 2" xfId="148"/>
    <cellStyle name="Normal 4 10 3 3 3" xfId="149"/>
    <cellStyle name="Normal 4 10 3 4" xfId="150"/>
    <cellStyle name="Normal 4 10 3 4 2" xfId="151"/>
    <cellStyle name="Normal 4 10 3 5" xfId="152"/>
    <cellStyle name="Normal 4 10 3 6" xfId="153"/>
    <cellStyle name="Normal 4 10 4" xfId="154"/>
    <cellStyle name="Normal 4 10 4 2" xfId="155"/>
    <cellStyle name="Normal 4 10 4 3" xfId="156"/>
    <cellStyle name="Normal 4 10 5" xfId="157"/>
    <cellStyle name="Normal 4 10 5 2" xfId="158"/>
    <cellStyle name="Normal 4 10 5 3" xfId="159"/>
    <cellStyle name="Normal 4 10 6" xfId="160"/>
    <cellStyle name="Normal 4 10 6 2" xfId="161"/>
    <cellStyle name="Normal 4 10 7" xfId="162"/>
    <cellStyle name="Normal 4 10 8" xfId="163"/>
    <cellStyle name="Normal 4 11" xfId="164"/>
    <cellStyle name="Normal 4 11 2" xfId="165"/>
    <cellStyle name="Normal 4 11 2 2" xfId="166"/>
    <cellStyle name="Normal 4 11 2 2 2" xfId="167"/>
    <cellStyle name="Normal 4 11 2 2 3" xfId="168"/>
    <cellStyle name="Normal 4 11 2 3" xfId="169"/>
    <cellStyle name="Normal 4 11 2 3 2" xfId="170"/>
    <cellStyle name="Normal 4 11 2 3 3" xfId="171"/>
    <cellStyle name="Normal 4 11 2 4" xfId="172"/>
    <cellStyle name="Normal 4 11 2 4 2" xfId="173"/>
    <cellStyle name="Normal 4 11 2 5" xfId="174"/>
    <cellStyle name="Normal 4 11 2 6" xfId="175"/>
    <cellStyle name="Normal 4 11 3" xfId="176"/>
    <cellStyle name="Normal 4 11 3 2" xfId="177"/>
    <cellStyle name="Normal 4 11 3 2 2" xfId="178"/>
    <cellStyle name="Normal 4 11 3 2 3" xfId="179"/>
    <cellStyle name="Normal 4 11 3 3" xfId="180"/>
    <cellStyle name="Normal 4 11 3 3 2" xfId="181"/>
    <cellStyle name="Normal 4 11 3 3 3" xfId="182"/>
    <cellStyle name="Normal 4 11 3 4" xfId="183"/>
    <cellStyle name="Normal 4 11 3 4 2" xfId="184"/>
    <cellStyle name="Normal 4 11 3 5" xfId="185"/>
    <cellStyle name="Normal 4 11 3 6" xfId="186"/>
    <cellStyle name="Normal 4 11 4" xfId="187"/>
    <cellStyle name="Normal 4 11 4 2" xfId="188"/>
    <cellStyle name="Normal 4 11 4 3" xfId="189"/>
    <cellStyle name="Normal 4 11 5" xfId="190"/>
    <cellStyle name="Normal 4 11 5 2" xfId="191"/>
    <cellStyle name="Normal 4 11 5 3" xfId="192"/>
    <cellStyle name="Normal 4 11 6" xfId="193"/>
    <cellStyle name="Normal 4 11 6 2" xfId="194"/>
    <cellStyle name="Normal 4 11 7" xfId="195"/>
    <cellStyle name="Normal 4 11 8" xfId="196"/>
    <cellStyle name="Normal 4 12" xfId="197"/>
    <cellStyle name="Normal 4 12 2" xfId="198"/>
    <cellStyle name="Normal 4 12 2 2" xfId="199"/>
    <cellStyle name="Normal 4 12 2 3" xfId="200"/>
    <cellStyle name="Normal 4 12 3" xfId="201"/>
    <cellStyle name="Normal 4 12 3 2" xfId="202"/>
    <cellStyle name="Normal 4 12 3 3" xfId="203"/>
    <cellStyle name="Normal 4 12 4" xfId="204"/>
    <cellStyle name="Normal 4 12 4 2" xfId="205"/>
    <cellStyle name="Normal 4 12 5" xfId="206"/>
    <cellStyle name="Normal 4 12 6" xfId="207"/>
    <cellStyle name="Normal 4 13" xfId="208"/>
    <cellStyle name="Normal 4 13 2" xfId="209"/>
    <cellStyle name="Normal 4 13 2 2" xfId="210"/>
    <cellStyle name="Normal 4 13 2 3" xfId="211"/>
    <cellStyle name="Normal 4 13 3" xfId="212"/>
    <cellStyle name="Normal 4 13 3 2" xfId="213"/>
    <cellStyle name="Normal 4 13 3 3" xfId="214"/>
    <cellStyle name="Normal 4 13 4" xfId="215"/>
    <cellStyle name="Normal 4 13 4 2" xfId="216"/>
    <cellStyle name="Normal 4 13 5" xfId="217"/>
    <cellStyle name="Normal 4 13 6" xfId="218"/>
    <cellStyle name="Normal 4 14" xfId="219"/>
    <cellStyle name="Normal 4 14 2" xfId="220"/>
    <cellStyle name="Normal 4 14 2 2" xfId="221"/>
    <cellStyle name="Normal 4 14 2 3" xfId="222"/>
    <cellStyle name="Normal 4 14 3" xfId="223"/>
    <cellStyle name="Normal 4 14 3 2" xfId="224"/>
    <cellStyle name="Normal 4 14 4" xfId="225"/>
    <cellStyle name="Normal 4 14 5" xfId="226"/>
    <cellStyle name="Normal 4 15" xfId="227"/>
    <cellStyle name="Normal 4 16" xfId="228"/>
    <cellStyle name="Normal 4 16 2" xfId="229"/>
    <cellStyle name="Normal 4 16 2 2" xfId="230"/>
    <cellStyle name="Normal 4 16 3" xfId="231"/>
    <cellStyle name="Normal 4 16 4" xfId="232"/>
    <cellStyle name="Normal 4 17" xfId="233"/>
    <cellStyle name="Normal 4 17 2" xfId="234"/>
    <cellStyle name="Normal 4 17 3" xfId="235"/>
    <cellStyle name="Normal 4 18" xfId="236"/>
    <cellStyle name="Normal 4 18 2" xfId="237"/>
    <cellStyle name="Normal 4 19" xfId="238"/>
    <cellStyle name="Normal 4 2" xfId="239"/>
    <cellStyle name="Normal 4 2 10" xfId="240"/>
    <cellStyle name="Normal 4 2 10 2" xfId="241"/>
    <cellStyle name="Normal 4 2 10 2 2" xfId="242"/>
    <cellStyle name="Normal 4 2 10 3" xfId="243"/>
    <cellStyle name="Normal 4 2 10 4" xfId="244"/>
    <cellStyle name="Normal 4 2 11" xfId="245"/>
    <cellStyle name="Normal 4 2 11 2" xfId="246"/>
    <cellStyle name="Normal 4 2 11 2 2" xfId="247"/>
    <cellStyle name="Normal 4 2 11 3" xfId="248"/>
    <cellStyle name="Normal 4 2 11 4" xfId="249"/>
    <cellStyle name="Normal 4 2 12" xfId="250"/>
    <cellStyle name="Normal 4 2 12 2" xfId="251"/>
    <cellStyle name="Normal 4 2 13" xfId="252"/>
    <cellStyle name="Normal 4 2 14" xfId="253"/>
    <cellStyle name="Normal 4 2 2" xfId="254"/>
    <cellStyle name="Normal 4 2 2 10" xfId="255"/>
    <cellStyle name="Normal 4 2 2 10 2" xfId="256"/>
    <cellStyle name="Normal 4 2 2 11" xfId="257"/>
    <cellStyle name="Normal 4 2 2 12" xfId="258"/>
    <cellStyle name="Normal 4 2 2 2" xfId="259"/>
    <cellStyle name="Normal 4 2 2 2 2" xfId="260"/>
    <cellStyle name="Normal 4 2 2 2 2 2" xfId="261"/>
    <cellStyle name="Normal 4 2 2 2 2 2 2" xfId="262"/>
    <cellStyle name="Normal 4 2 2 2 2 2 3" xfId="263"/>
    <cellStyle name="Normal 4 2 2 2 2 3" xfId="264"/>
    <cellStyle name="Normal 4 2 2 2 2 3 2" xfId="265"/>
    <cellStyle name="Normal 4 2 2 2 2 3 3" xfId="266"/>
    <cellStyle name="Normal 4 2 2 2 2 4" xfId="267"/>
    <cellStyle name="Normal 4 2 2 2 2 4 2" xfId="268"/>
    <cellStyle name="Normal 4 2 2 2 2 5" xfId="269"/>
    <cellStyle name="Normal 4 2 2 2 2 6" xfId="270"/>
    <cellStyle name="Normal 4 2 2 2 3" xfId="271"/>
    <cellStyle name="Normal 4 2 2 2 3 2" xfId="272"/>
    <cellStyle name="Normal 4 2 2 2 3 2 2" xfId="273"/>
    <cellStyle name="Normal 4 2 2 2 3 2 3" xfId="274"/>
    <cellStyle name="Normal 4 2 2 2 3 3" xfId="275"/>
    <cellStyle name="Normal 4 2 2 2 3 3 2" xfId="276"/>
    <cellStyle name="Normal 4 2 2 2 3 3 3" xfId="277"/>
    <cellStyle name="Normal 4 2 2 2 3 4" xfId="278"/>
    <cellStyle name="Normal 4 2 2 2 3 4 2" xfId="279"/>
    <cellStyle name="Normal 4 2 2 2 3 5" xfId="280"/>
    <cellStyle name="Normal 4 2 2 2 3 6" xfId="281"/>
    <cellStyle name="Normal 4 2 2 2 4" xfId="282"/>
    <cellStyle name="Normal 4 2 2 2 4 2" xfId="283"/>
    <cellStyle name="Normal 4 2 2 2 4 2 2" xfId="284"/>
    <cellStyle name="Normal 4 2 2 2 4 2 3" xfId="285"/>
    <cellStyle name="Normal 4 2 2 2 4 3" xfId="286"/>
    <cellStyle name="Normal 4 2 2 2 4 3 2" xfId="287"/>
    <cellStyle name="Normal 4 2 2 2 4 3 3" xfId="288"/>
    <cellStyle name="Normal 4 2 2 2 4 4" xfId="289"/>
    <cellStyle name="Normal 4 2 2 2 4 4 2" xfId="290"/>
    <cellStyle name="Normal 4 2 2 2 4 5" xfId="291"/>
    <cellStyle name="Normal 4 2 2 2 4 6" xfId="292"/>
    <cellStyle name="Normal 4 2 2 2 5" xfId="293"/>
    <cellStyle name="Normal 4 2 2 2 5 2" xfId="294"/>
    <cellStyle name="Normal 4 2 2 2 5 3" xfId="295"/>
    <cellStyle name="Normal 4 2 2 2 6" xfId="296"/>
    <cellStyle name="Normal 4 2 2 2 6 2" xfId="297"/>
    <cellStyle name="Normal 4 2 2 2 6 3" xfId="298"/>
    <cellStyle name="Normal 4 2 2 2 7" xfId="299"/>
    <cellStyle name="Normal 4 2 2 2 7 2" xfId="300"/>
    <cellStyle name="Normal 4 2 2 2 8" xfId="301"/>
    <cellStyle name="Normal 4 2 2 2 9" xfId="302"/>
    <cellStyle name="Normal 4 2 2 3" xfId="303"/>
    <cellStyle name="Normal 4 2 2 3 2" xfId="304"/>
    <cellStyle name="Normal 4 2 2 3 2 2" xfId="305"/>
    <cellStyle name="Normal 4 2 2 3 2 2 2" xfId="306"/>
    <cellStyle name="Normal 4 2 2 3 2 2 3" xfId="307"/>
    <cellStyle name="Normal 4 2 2 3 2 3" xfId="308"/>
    <cellStyle name="Normal 4 2 2 3 2 3 2" xfId="309"/>
    <cellStyle name="Normal 4 2 2 3 2 3 3" xfId="310"/>
    <cellStyle name="Normal 4 2 2 3 2 4" xfId="311"/>
    <cellStyle name="Normal 4 2 2 3 2 4 2" xfId="312"/>
    <cellStyle name="Normal 4 2 2 3 2 5" xfId="313"/>
    <cellStyle name="Normal 4 2 2 3 2 6" xfId="314"/>
    <cellStyle name="Normal 4 2 2 3 3" xfId="315"/>
    <cellStyle name="Normal 4 2 2 3 3 2" xfId="316"/>
    <cellStyle name="Normal 4 2 2 3 3 2 2" xfId="317"/>
    <cellStyle name="Normal 4 2 2 3 3 2 3" xfId="318"/>
    <cellStyle name="Normal 4 2 2 3 3 3" xfId="319"/>
    <cellStyle name="Normal 4 2 2 3 3 3 2" xfId="320"/>
    <cellStyle name="Normal 4 2 2 3 3 3 3" xfId="321"/>
    <cellStyle name="Normal 4 2 2 3 3 4" xfId="322"/>
    <cellStyle name="Normal 4 2 2 3 3 4 2" xfId="323"/>
    <cellStyle name="Normal 4 2 2 3 3 5" xfId="324"/>
    <cellStyle name="Normal 4 2 2 3 3 6" xfId="325"/>
    <cellStyle name="Normal 4 2 2 3 4" xfId="326"/>
    <cellStyle name="Normal 4 2 2 3 4 2" xfId="327"/>
    <cellStyle name="Normal 4 2 2 3 4 2 2" xfId="328"/>
    <cellStyle name="Normal 4 2 2 3 4 2 3" xfId="329"/>
    <cellStyle name="Normal 4 2 2 3 4 3" xfId="330"/>
    <cellStyle name="Normal 4 2 2 3 4 3 2" xfId="331"/>
    <cellStyle name="Normal 4 2 2 3 4 3 3" xfId="332"/>
    <cellStyle name="Normal 4 2 2 3 4 4" xfId="333"/>
    <cellStyle name="Normal 4 2 2 3 4 4 2" xfId="334"/>
    <cellStyle name="Normal 4 2 2 3 4 5" xfId="335"/>
    <cellStyle name="Normal 4 2 2 3 4 6" xfId="336"/>
    <cellStyle name="Normal 4 2 2 3 5" xfId="337"/>
    <cellStyle name="Normal 4 2 2 3 5 2" xfId="338"/>
    <cellStyle name="Normal 4 2 2 3 5 3" xfId="339"/>
    <cellStyle name="Normal 4 2 2 3 6" xfId="340"/>
    <cellStyle name="Normal 4 2 2 3 6 2" xfId="341"/>
    <cellStyle name="Normal 4 2 2 3 6 3" xfId="342"/>
    <cellStyle name="Normal 4 2 2 3 7" xfId="343"/>
    <cellStyle name="Normal 4 2 2 3 7 2" xfId="344"/>
    <cellStyle name="Normal 4 2 2 3 8" xfId="345"/>
    <cellStyle name="Normal 4 2 2 3 9" xfId="346"/>
    <cellStyle name="Normal 4 2 2 4" xfId="347"/>
    <cellStyle name="Normal 4 2 2 4 2" xfId="348"/>
    <cellStyle name="Normal 4 2 2 4 2 2" xfId="349"/>
    <cellStyle name="Normal 4 2 2 4 2 3" xfId="350"/>
    <cellStyle name="Normal 4 2 2 4 3" xfId="351"/>
    <cellStyle name="Normal 4 2 2 4 3 2" xfId="352"/>
    <cellStyle name="Normal 4 2 2 4 3 3" xfId="353"/>
    <cellStyle name="Normal 4 2 2 4 4" xfId="354"/>
    <cellStyle name="Normal 4 2 2 4 4 2" xfId="355"/>
    <cellStyle name="Normal 4 2 2 4 5" xfId="356"/>
    <cellStyle name="Normal 4 2 2 4 6" xfId="357"/>
    <cellStyle name="Normal 4 2 2 5" xfId="358"/>
    <cellStyle name="Normal 4 2 2 5 2" xfId="359"/>
    <cellStyle name="Normal 4 2 2 5 2 2" xfId="360"/>
    <cellStyle name="Normal 4 2 2 5 2 3" xfId="361"/>
    <cellStyle name="Normal 4 2 2 5 3" xfId="362"/>
    <cellStyle name="Normal 4 2 2 5 3 2" xfId="363"/>
    <cellStyle name="Normal 4 2 2 5 3 3" xfId="364"/>
    <cellStyle name="Normal 4 2 2 5 4" xfId="365"/>
    <cellStyle name="Normal 4 2 2 5 4 2" xfId="366"/>
    <cellStyle name="Normal 4 2 2 5 5" xfId="367"/>
    <cellStyle name="Normal 4 2 2 5 6" xfId="368"/>
    <cellStyle name="Normal 4 2 2 6" xfId="369"/>
    <cellStyle name="Normal 4 2 2 6 2" xfId="370"/>
    <cellStyle name="Normal 4 2 2 6 2 2" xfId="371"/>
    <cellStyle name="Normal 4 2 2 6 2 3" xfId="372"/>
    <cellStyle name="Normal 4 2 2 6 3" xfId="373"/>
    <cellStyle name="Normal 4 2 2 6 3 2" xfId="374"/>
    <cellStyle name="Normal 4 2 2 6 3 3" xfId="375"/>
    <cellStyle name="Normal 4 2 2 6 4" xfId="376"/>
    <cellStyle name="Normal 4 2 2 6 4 2" xfId="377"/>
    <cellStyle name="Normal 4 2 2 6 5" xfId="378"/>
    <cellStyle name="Normal 4 2 2 6 6" xfId="379"/>
    <cellStyle name="Normal 4 2 2 7" xfId="380"/>
    <cellStyle name="Normal 4 2 2 7 2" xfId="381"/>
    <cellStyle name="Normal 4 2 2 7 2 2" xfId="382"/>
    <cellStyle name="Normal 4 2 2 7 2 3" xfId="383"/>
    <cellStyle name="Normal 4 2 2 7 3" xfId="384"/>
    <cellStyle name="Normal 4 2 2 7 3 2" xfId="385"/>
    <cellStyle name="Normal 4 2 2 7 4" xfId="386"/>
    <cellStyle name="Normal 4 2 2 7 5" xfId="387"/>
    <cellStyle name="Normal 4 2 2 8" xfId="388"/>
    <cellStyle name="Normal 4 2 2 8 2" xfId="389"/>
    <cellStyle name="Normal 4 2 2 8 2 2" xfId="390"/>
    <cellStyle name="Normal 4 2 2 8 3" xfId="391"/>
    <cellStyle name="Normal 4 2 2 8 4" xfId="392"/>
    <cellStyle name="Normal 4 2 2 9" xfId="393"/>
    <cellStyle name="Normal 4 2 2 9 2" xfId="394"/>
    <cellStyle name="Normal 4 2 2 9 2 2" xfId="395"/>
    <cellStyle name="Normal 4 2 2 9 3" xfId="396"/>
    <cellStyle name="Normal 4 2 2 9 4" xfId="397"/>
    <cellStyle name="Normal 4 2 3" xfId="398"/>
    <cellStyle name="Normal 4 2 3 10" xfId="399"/>
    <cellStyle name="Normal 4 2 3 10 2" xfId="400"/>
    <cellStyle name="Normal 4 2 3 11" xfId="401"/>
    <cellStyle name="Normal 4 2 3 12" xfId="402"/>
    <cellStyle name="Normal 4 2 3 2" xfId="403"/>
    <cellStyle name="Normal 4 2 3 2 2" xfId="404"/>
    <cellStyle name="Normal 4 2 3 2 2 2" xfId="405"/>
    <cellStyle name="Normal 4 2 3 2 2 2 2" xfId="406"/>
    <cellStyle name="Normal 4 2 3 2 2 2 3" xfId="407"/>
    <cellStyle name="Normal 4 2 3 2 2 3" xfId="408"/>
    <cellStyle name="Normal 4 2 3 2 2 3 2" xfId="409"/>
    <cellStyle name="Normal 4 2 3 2 2 3 3" xfId="410"/>
    <cellStyle name="Normal 4 2 3 2 2 4" xfId="411"/>
    <cellStyle name="Normal 4 2 3 2 2 4 2" xfId="412"/>
    <cellStyle name="Normal 4 2 3 2 2 5" xfId="413"/>
    <cellStyle name="Normal 4 2 3 2 2 6" xfId="414"/>
    <cellStyle name="Normal 4 2 3 2 3" xfId="415"/>
    <cellStyle name="Normal 4 2 3 2 3 2" xfId="416"/>
    <cellStyle name="Normal 4 2 3 2 3 2 2" xfId="417"/>
    <cellStyle name="Normal 4 2 3 2 3 2 3" xfId="418"/>
    <cellStyle name="Normal 4 2 3 2 3 3" xfId="419"/>
    <cellStyle name="Normal 4 2 3 2 3 3 2" xfId="420"/>
    <cellStyle name="Normal 4 2 3 2 3 3 3" xfId="421"/>
    <cellStyle name="Normal 4 2 3 2 3 4" xfId="422"/>
    <cellStyle name="Normal 4 2 3 2 3 4 2" xfId="423"/>
    <cellStyle name="Normal 4 2 3 2 3 5" xfId="424"/>
    <cellStyle name="Normal 4 2 3 2 3 6" xfId="425"/>
    <cellStyle name="Normal 4 2 3 2 4" xfId="426"/>
    <cellStyle name="Normal 4 2 3 2 4 2" xfId="427"/>
    <cellStyle name="Normal 4 2 3 2 4 2 2" xfId="428"/>
    <cellStyle name="Normal 4 2 3 2 4 2 3" xfId="429"/>
    <cellStyle name="Normal 4 2 3 2 4 3" xfId="430"/>
    <cellStyle name="Normal 4 2 3 2 4 3 2" xfId="431"/>
    <cellStyle name="Normal 4 2 3 2 4 3 3" xfId="432"/>
    <cellStyle name="Normal 4 2 3 2 4 4" xfId="433"/>
    <cellStyle name="Normal 4 2 3 2 4 4 2" xfId="434"/>
    <cellStyle name="Normal 4 2 3 2 4 5" xfId="435"/>
    <cellStyle name="Normal 4 2 3 2 4 6" xfId="436"/>
    <cellStyle name="Normal 4 2 3 2 5" xfId="437"/>
    <cellStyle name="Normal 4 2 3 2 5 2" xfId="438"/>
    <cellStyle name="Normal 4 2 3 2 5 3" xfId="439"/>
    <cellStyle name="Normal 4 2 3 2 6" xfId="440"/>
    <cellStyle name="Normal 4 2 3 2 6 2" xfId="441"/>
    <cellStyle name="Normal 4 2 3 2 6 3" xfId="442"/>
    <cellStyle name="Normal 4 2 3 2 7" xfId="443"/>
    <cellStyle name="Normal 4 2 3 2 7 2" xfId="444"/>
    <cellStyle name="Normal 4 2 3 2 8" xfId="445"/>
    <cellStyle name="Normal 4 2 3 2 9" xfId="446"/>
    <cellStyle name="Normal 4 2 3 3" xfId="447"/>
    <cellStyle name="Normal 4 2 3 3 2" xfId="448"/>
    <cellStyle name="Normal 4 2 3 3 2 2" xfId="449"/>
    <cellStyle name="Normal 4 2 3 3 2 3" xfId="450"/>
    <cellStyle name="Normal 4 2 3 3 3" xfId="451"/>
    <cellStyle name="Normal 4 2 3 3 3 2" xfId="452"/>
    <cellStyle name="Normal 4 2 3 3 3 3" xfId="453"/>
    <cellStyle name="Normal 4 2 3 3 4" xfId="454"/>
    <cellStyle name="Normal 4 2 3 3 4 2" xfId="455"/>
    <cellStyle name="Normal 4 2 3 3 5" xfId="456"/>
    <cellStyle name="Normal 4 2 3 3 6" xfId="457"/>
    <cellStyle name="Normal 4 2 3 4" xfId="458"/>
    <cellStyle name="Normal 4 2 3 4 2" xfId="459"/>
    <cellStyle name="Normal 4 2 3 4 2 2" xfId="460"/>
    <cellStyle name="Normal 4 2 3 4 2 3" xfId="461"/>
    <cellStyle name="Normal 4 2 3 4 3" xfId="462"/>
    <cellStyle name="Normal 4 2 3 4 3 2" xfId="463"/>
    <cellStyle name="Normal 4 2 3 4 3 3" xfId="464"/>
    <cellStyle name="Normal 4 2 3 4 4" xfId="465"/>
    <cellStyle name="Normal 4 2 3 4 4 2" xfId="466"/>
    <cellStyle name="Normal 4 2 3 4 5" xfId="467"/>
    <cellStyle name="Normal 4 2 3 4 6" xfId="468"/>
    <cellStyle name="Normal 4 2 3 5" xfId="469"/>
    <cellStyle name="Normal 4 2 3 5 2" xfId="470"/>
    <cellStyle name="Normal 4 2 3 5 2 2" xfId="471"/>
    <cellStyle name="Normal 4 2 3 5 2 3" xfId="472"/>
    <cellStyle name="Normal 4 2 3 5 3" xfId="473"/>
    <cellStyle name="Normal 4 2 3 5 3 2" xfId="474"/>
    <cellStyle name="Normal 4 2 3 5 3 3" xfId="475"/>
    <cellStyle name="Normal 4 2 3 5 4" xfId="476"/>
    <cellStyle name="Normal 4 2 3 5 4 2" xfId="477"/>
    <cellStyle name="Normal 4 2 3 5 5" xfId="478"/>
    <cellStyle name="Normal 4 2 3 5 6" xfId="479"/>
    <cellStyle name="Normal 4 2 3 6" xfId="480"/>
    <cellStyle name="Normal 4 2 3 6 2" xfId="481"/>
    <cellStyle name="Normal 4 2 3 6 2 2" xfId="482"/>
    <cellStyle name="Normal 4 2 3 6 2 3" xfId="483"/>
    <cellStyle name="Normal 4 2 3 6 3" xfId="484"/>
    <cellStyle name="Normal 4 2 3 6 3 2" xfId="485"/>
    <cellStyle name="Normal 4 2 3 6 4" xfId="486"/>
    <cellStyle name="Normal 4 2 3 6 5" xfId="487"/>
    <cellStyle name="Normal 4 2 3 7" xfId="488"/>
    <cellStyle name="Normal 4 2 3 7 2" xfId="489"/>
    <cellStyle name="Normal 4 2 3 7 2 2" xfId="490"/>
    <cellStyle name="Normal 4 2 3 7 3" xfId="491"/>
    <cellStyle name="Normal 4 2 3 7 4" xfId="492"/>
    <cellStyle name="Normal 4 2 3 8" xfId="493"/>
    <cellStyle name="Normal 4 2 3 8 2" xfId="494"/>
    <cellStyle name="Normal 4 2 3 8 2 2" xfId="495"/>
    <cellStyle name="Normal 4 2 3 8 3" xfId="496"/>
    <cellStyle name="Normal 4 2 3 8 4" xfId="497"/>
    <cellStyle name="Normal 4 2 3 9" xfId="498"/>
    <cellStyle name="Normal 4 2 3 9 2" xfId="499"/>
    <cellStyle name="Normal 4 2 3 9 2 2" xfId="500"/>
    <cellStyle name="Normal 4 2 3 9 3" xfId="501"/>
    <cellStyle name="Normal 4 2 3 9 4" xfId="502"/>
    <cellStyle name="Normal 4 2 4" xfId="503"/>
    <cellStyle name="Normal 4 2 4 2" xfId="504"/>
    <cellStyle name="Normal 4 2 4 2 2" xfId="505"/>
    <cellStyle name="Normal 4 2 4 2 2 2" xfId="506"/>
    <cellStyle name="Normal 4 2 4 2 2 3" xfId="507"/>
    <cellStyle name="Normal 4 2 4 2 3" xfId="508"/>
    <cellStyle name="Normal 4 2 4 2 3 2" xfId="509"/>
    <cellStyle name="Normal 4 2 4 2 3 3" xfId="510"/>
    <cellStyle name="Normal 4 2 4 2 4" xfId="511"/>
    <cellStyle name="Normal 4 2 4 2 4 2" xfId="512"/>
    <cellStyle name="Normal 4 2 4 2 5" xfId="513"/>
    <cellStyle name="Normal 4 2 4 2 6" xfId="514"/>
    <cellStyle name="Normal 4 2 4 3" xfId="515"/>
    <cellStyle name="Normal 4 2 4 3 2" xfId="516"/>
    <cellStyle name="Normal 4 2 4 3 2 2" xfId="517"/>
    <cellStyle name="Normal 4 2 4 3 2 3" xfId="518"/>
    <cellStyle name="Normal 4 2 4 3 3" xfId="519"/>
    <cellStyle name="Normal 4 2 4 3 3 2" xfId="520"/>
    <cellStyle name="Normal 4 2 4 3 3 3" xfId="521"/>
    <cellStyle name="Normal 4 2 4 3 4" xfId="522"/>
    <cellStyle name="Normal 4 2 4 3 4 2" xfId="523"/>
    <cellStyle name="Normal 4 2 4 3 5" xfId="524"/>
    <cellStyle name="Normal 4 2 4 3 6" xfId="525"/>
    <cellStyle name="Normal 4 2 4 4" xfId="526"/>
    <cellStyle name="Normal 4 2 4 4 2" xfId="527"/>
    <cellStyle name="Normal 4 2 4 4 2 2" xfId="528"/>
    <cellStyle name="Normal 4 2 4 4 2 3" xfId="529"/>
    <cellStyle name="Normal 4 2 4 4 3" xfId="530"/>
    <cellStyle name="Normal 4 2 4 4 3 2" xfId="531"/>
    <cellStyle name="Normal 4 2 4 4 3 3" xfId="532"/>
    <cellStyle name="Normal 4 2 4 4 4" xfId="533"/>
    <cellStyle name="Normal 4 2 4 4 4 2" xfId="534"/>
    <cellStyle name="Normal 4 2 4 4 5" xfId="535"/>
    <cellStyle name="Normal 4 2 4 4 6" xfId="536"/>
    <cellStyle name="Normal 4 2 4 5" xfId="537"/>
    <cellStyle name="Normal 4 2 4 5 2" xfId="538"/>
    <cellStyle name="Normal 4 2 4 5 3" xfId="539"/>
    <cellStyle name="Normal 4 2 4 6" xfId="540"/>
    <cellStyle name="Normal 4 2 4 6 2" xfId="541"/>
    <cellStyle name="Normal 4 2 4 6 3" xfId="542"/>
    <cellStyle name="Normal 4 2 4 7" xfId="543"/>
    <cellStyle name="Normal 4 2 4 7 2" xfId="544"/>
    <cellStyle name="Normal 4 2 4 8" xfId="545"/>
    <cellStyle name="Normal 4 2 4 9" xfId="546"/>
    <cellStyle name="Normal 4 2 5" xfId="547"/>
    <cellStyle name="Normal 4 2 5 2" xfId="548"/>
    <cellStyle name="Normal 4 2 5 2 2" xfId="549"/>
    <cellStyle name="Normal 4 2 5 2 2 2" xfId="550"/>
    <cellStyle name="Normal 4 2 5 2 2 3" xfId="551"/>
    <cellStyle name="Normal 4 2 5 2 3" xfId="552"/>
    <cellStyle name="Normal 4 2 5 2 3 2" xfId="553"/>
    <cellStyle name="Normal 4 2 5 2 3 3" xfId="554"/>
    <cellStyle name="Normal 4 2 5 2 4" xfId="555"/>
    <cellStyle name="Normal 4 2 5 2 4 2" xfId="556"/>
    <cellStyle name="Normal 4 2 5 2 5" xfId="557"/>
    <cellStyle name="Normal 4 2 5 2 6" xfId="558"/>
    <cellStyle name="Normal 4 2 5 3" xfId="559"/>
    <cellStyle name="Normal 4 2 5 3 2" xfId="560"/>
    <cellStyle name="Normal 4 2 5 3 2 2" xfId="561"/>
    <cellStyle name="Normal 4 2 5 3 2 3" xfId="562"/>
    <cellStyle name="Normal 4 2 5 3 3" xfId="563"/>
    <cellStyle name="Normal 4 2 5 3 3 2" xfId="564"/>
    <cellStyle name="Normal 4 2 5 3 3 3" xfId="565"/>
    <cellStyle name="Normal 4 2 5 3 4" xfId="566"/>
    <cellStyle name="Normal 4 2 5 3 4 2" xfId="567"/>
    <cellStyle name="Normal 4 2 5 3 5" xfId="568"/>
    <cellStyle name="Normal 4 2 5 3 6" xfId="569"/>
    <cellStyle name="Normal 4 2 5 4" xfId="570"/>
    <cellStyle name="Normal 4 2 5 4 2" xfId="571"/>
    <cellStyle name="Normal 4 2 5 4 2 2" xfId="572"/>
    <cellStyle name="Normal 4 2 5 4 2 3" xfId="573"/>
    <cellStyle name="Normal 4 2 5 4 3" xfId="574"/>
    <cellStyle name="Normal 4 2 5 4 3 2" xfId="575"/>
    <cellStyle name="Normal 4 2 5 4 3 3" xfId="576"/>
    <cellStyle name="Normal 4 2 5 4 4" xfId="577"/>
    <cellStyle name="Normal 4 2 5 4 4 2" xfId="578"/>
    <cellStyle name="Normal 4 2 5 4 5" xfId="579"/>
    <cellStyle name="Normal 4 2 5 4 6" xfId="580"/>
    <cellStyle name="Normal 4 2 5 5" xfId="581"/>
    <cellStyle name="Normal 4 2 5 5 2" xfId="582"/>
    <cellStyle name="Normal 4 2 5 5 3" xfId="583"/>
    <cellStyle name="Normal 4 2 5 6" xfId="584"/>
    <cellStyle name="Normal 4 2 5 6 2" xfId="585"/>
    <cellStyle name="Normal 4 2 5 6 3" xfId="586"/>
    <cellStyle name="Normal 4 2 5 7" xfId="587"/>
    <cellStyle name="Normal 4 2 5 7 2" xfId="588"/>
    <cellStyle name="Normal 4 2 5 8" xfId="589"/>
    <cellStyle name="Normal 4 2 5 9" xfId="590"/>
    <cellStyle name="Normal 4 2 6" xfId="591"/>
    <cellStyle name="Normal 4 2 6 2" xfId="592"/>
    <cellStyle name="Normal 4 2 6 2 2" xfId="593"/>
    <cellStyle name="Normal 4 2 6 2 3" xfId="594"/>
    <cellStyle name="Normal 4 2 6 3" xfId="595"/>
    <cellStyle name="Normal 4 2 6 3 2" xfId="596"/>
    <cellStyle name="Normal 4 2 6 3 3" xfId="597"/>
    <cellStyle name="Normal 4 2 6 4" xfId="598"/>
    <cellStyle name="Normal 4 2 6 4 2" xfId="599"/>
    <cellStyle name="Normal 4 2 6 5" xfId="600"/>
    <cellStyle name="Normal 4 2 6 6" xfId="601"/>
    <cellStyle name="Normal 4 2 7" xfId="602"/>
    <cellStyle name="Normal 4 2 7 2" xfId="603"/>
    <cellStyle name="Normal 4 2 7 2 2" xfId="604"/>
    <cellStyle name="Normal 4 2 7 2 3" xfId="605"/>
    <cellStyle name="Normal 4 2 7 3" xfId="606"/>
    <cellStyle name="Normal 4 2 7 3 2" xfId="607"/>
    <cellStyle name="Normal 4 2 7 3 3" xfId="608"/>
    <cellStyle name="Normal 4 2 7 4" xfId="609"/>
    <cellStyle name="Normal 4 2 7 4 2" xfId="610"/>
    <cellStyle name="Normal 4 2 7 5" xfId="611"/>
    <cellStyle name="Normal 4 2 7 6" xfId="612"/>
    <cellStyle name="Normal 4 2 8" xfId="613"/>
    <cellStyle name="Normal 4 2 8 2" xfId="614"/>
    <cellStyle name="Normal 4 2 8 2 2" xfId="615"/>
    <cellStyle name="Normal 4 2 8 2 3" xfId="616"/>
    <cellStyle name="Normal 4 2 8 3" xfId="617"/>
    <cellStyle name="Normal 4 2 8 3 2" xfId="618"/>
    <cellStyle name="Normal 4 2 8 3 3" xfId="619"/>
    <cellStyle name="Normal 4 2 8 4" xfId="620"/>
    <cellStyle name="Normal 4 2 8 4 2" xfId="621"/>
    <cellStyle name="Normal 4 2 8 5" xfId="622"/>
    <cellStyle name="Normal 4 2 8 6" xfId="623"/>
    <cellStyle name="Normal 4 2 9" xfId="624"/>
    <cellStyle name="Normal 4 2 9 2" xfId="625"/>
    <cellStyle name="Normal 4 2 9 2 2" xfId="626"/>
    <cellStyle name="Normal 4 2 9 2 3" xfId="627"/>
    <cellStyle name="Normal 4 2 9 3" xfId="628"/>
    <cellStyle name="Normal 4 2 9 3 2" xfId="629"/>
    <cellStyle name="Normal 4 2 9 4" xfId="630"/>
    <cellStyle name="Normal 4 2 9 5" xfId="631"/>
    <cellStyle name="Normal 4 20" xfId="632"/>
    <cellStyle name="Normal 4 3" xfId="633"/>
    <cellStyle name="Normal 4 3 10" xfId="634"/>
    <cellStyle name="Normal 4 3 10 2" xfId="635"/>
    <cellStyle name="Normal 4 3 10 2 2" xfId="636"/>
    <cellStyle name="Normal 4 3 10 3" xfId="637"/>
    <cellStyle name="Normal 4 3 10 4" xfId="638"/>
    <cellStyle name="Normal 4 3 11" xfId="639"/>
    <cellStyle name="Normal 4 3 11 2" xfId="640"/>
    <cellStyle name="Normal 4 3 12" xfId="641"/>
    <cellStyle name="Normal 4 3 13" xfId="642"/>
    <cellStyle name="Normal 4 3 2" xfId="643"/>
    <cellStyle name="Normal 4 3 2 10" xfId="644"/>
    <cellStyle name="Normal 4 3 2 10 2" xfId="645"/>
    <cellStyle name="Normal 4 3 2 11" xfId="646"/>
    <cellStyle name="Normal 4 3 2 12" xfId="647"/>
    <cellStyle name="Normal 4 3 2 2" xfId="648"/>
    <cellStyle name="Normal 4 3 2 2 2" xfId="649"/>
    <cellStyle name="Normal 4 3 2 2 2 2" xfId="650"/>
    <cellStyle name="Normal 4 3 2 2 2 2 2" xfId="651"/>
    <cellStyle name="Normal 4 3 2 2 2 2 3" xfId="652"/>
    <cellStyle name="Normal 4 3 2 2 2 3" xfId="653"/>
    <cellStyle name="Normal 4 3 2 2 2 3 2" xfId="654"/>
    <cellStyle name="Normal 4 3 2 2 2 3 3" xfId="655"/>
    <cellStyle name="Normal 4 3 2 2 2 4" xfId="656"/>
    <cellStyle name="Normal 4 3 2 2 2 4 2" xfId="657"/>
    <cellStyle name="Normal 4 3 2 2 2 5" xfId="658"/>
    <cellStyle name="Normal 4 3 2 2 2 6" xfId="659"/>
    <cellStyle name="Normal 4 3 2 2 3" xfId="660"/>
    <cellStyle name="Normal 4 3 2 2 3 2" xfId="661"/>
    <cellStyle name="Normal 4 3 2 2 3 2 2" xfId="662"/>
    <cellStyle name="Normal 4 3 2 2 3 2 3" xfId="663"/>
    <cellStyle name="Normal 4 3 2 2 3 3" xfId="664"/>
    <cellStyle name="Normal 4 3 2 2 3 3 2" xfId="665"/>
    <cellStyle name="Normal 4 3 2 2 3 3 3" xfId="666"/>
    <cellStyle name="Normal 4 3 2 2 3 4" xfId="667"/>
    <cellStyle name="Normal 4 3 2 2 3 4 2" xfId="668"/>
    <cellStyle name="Normal 4 3 2 2 3 5" xfId="669"/>
    <cellStyle name="Normal 4 3 2 2 3 6" xfId="670"/>
    <cellStyle name="Normal 4 3 2 2 4" xfId="671"/>
    <cellStyle name="Normal 4 3 2 2 4 2" xfId="672"/>
    <cellStyle name="Normal 4 3 2 2 4 2 2" xfId="673"/>
    <cellStyle name="Normal 4 3 2 2 4 2 3" xfId="674"/>
    <cellStyle name="Normal 4 3 2 2 4 3" xfId="675"/>
    <cellStyle name="Normal 4 3 2 2 4 3 2" xfId="676"/>
    <cellStyle name="Normal 4 3 2 2 4 3 3" xfId="677"/>
    <cellStyle name="Normal 4 3 2 2 4 4" xfId="678"/>
    <cellStyle name="Normal 4 3 2 2 4 4 2" xfId="679"/>
    <cellStyle name="Normal 4 3 2 2 4 5" xfId="680"/>
    <cellStyle name="Normal 4 3 2 2 4 6" xfId="681"/>
    <cellStyle name="Normal 4 3 2 2 5" xfId="682"/>
    <cellStyle name="Normal 4 3 2 2 5 2" xfId="683"/>
    <cellStyle name="Normal 4 3 2 2 5 3" xfId="684"/>
    <cellStyle name="Normal 4 3 2 2 6" xfId="685"/>
    <cellStyle name="Normal 4 3 2 2 6 2" xfId="686"/>
    <cellStyle name="Normal 4 3 2 2 6 3" xfId="687"/>
    <cellStyle name="Normal 4 3 2 2 7" xfId="688"/>
    <cellStyle name="Normal 4 3 2 2 7 2" xfId="689"/>
    <cellStyle name="Normal 4 3 2 2 8" xfId="690"/>
    <cellStyle name="Normal 4 3 2 2 9" xfId="691"/>
    <cellStyle name="Normal 4 3 2 3" xfId="692"/>
    <cellStyle name="Normal 4 3 2 3 2" xfId="693"/>
    <cellStyle name="Normal 4 3 2 3 2 2" xfId="694"/>
    <cellStyle name="Normal 4 3 2 3 2 2 2" xfId="695"/>
    <cellStyle name="Normal 4 3 2 3 2 2 3" xfId="696"/>
    <cellStyle name="Normal 4 3 2 3 2 3" xfId="697"/>
    <cellStyle name="Normal 4 3 2 3 2 3 2" xfId="698"/>
    <cellStyle name="Normal 4 3 2 3 2 3 3" xfId="699"/>
    <cellStyle name="Normal 4 3 2 3 2 4" xfId="700"/>
    <cellStyle name="Normal 4 3 2 3 2 4 2" xfId="701"/>
    <cellStyle name="Normal 4 3 2 3 2 5" xfId="702"/>
    <cellStyle name="Normal 4 3 2 3 2 6" xfId="703"/>
    <cellStyle name="Normal 4 3 2 3 3" xfId="704"/>
    <cellStyle name="Normal 4 3 2 3 3 2" xfId="705"/>
    <cellStyle name="Normal 4 3 2 3 3 2 2" xfId="706"/>
    <cellStyle name="Normal 4 3 2 3 3 2 3" xfId="707"/>
    <cellStyle name="Normal 4 3 2 3 3 3" xfId="708"/>
    <cellStyle name="Normal 4 3 2 3 3 3 2" xfId="709"/>
    <cellStyle name="Normal 4 3 2 3 3 3 3" xfId="710"/>
    <cellStyle name="Normal 4 3 2 3 3 4" xfId="711"/>
    <cellStyle name="Normal 4 3 2 3 3 4 2" xfId="712"/>
    <cellStyle name="Normal 4 3 2 3 3 5" xfId="713"/>
    <cellStyle name="Normal 4 3 2 3 3 6" xfId="714"/>
    <cellStyle name="Normal 4 3 2 3 4" xfId="715"/>
    <cellStyle name="Normal 4 3 2 3 4 2" xfId="716"/>
    <cellStyle name="Normal 4 3 2 3 4 2 2" xfId="717"/>
    <cellStyle name="Normal 4 3 2 3 4 2 3" xfId="718"/>
    <cellStyle name="Normal 4 3 2 3 4 3" xfId="719"/>
    <cellStyle name="Normal 4 3 2 3 4 3 2" xfId="720"/>
    <cellStyle name="Normal 4 3 2 3 4 3 3" xfId="721"/>
    <cellStyle name="Normal 4 3 2 3 4 4" xfId="722"/>
    <cellStyle name="Normal 4 3 2 3 4 4 2" xfId="723"/>
    <cellStyle name="Normal 4 3 2 3 4 5" xfId="724"/>
    <cellStyle name="Normal 4 3 2 3 4 6" xfId="725"/>
    <cellStyle name="Normal 4 3 2 3 5" xfId="726"/>
    <cellStyle name="Normal 4 3 2 3 5 2" xfId="727"/>
    <cellStyle name="Normal 4 3 2 3 5 3" xfId="728"/>
    <cellStyle name="Normal 4 3 2 3 6" xfId="729"/>
    <cellStyle name="Normal 4 3 2 3 6 2" xfId="730"/>
    <cellStyle name="Normal 4 3 2 3 6 3" xfId="731"/>
    <cellStyle name="Normal 4 3 2 3 7" xfId="732"/>
    <cellStyle name="Normal 4 3 2 3 7 2" xfId="733"/>
    <cellStyle name="Normal 4 3 2 3 8" xfId="734"/>
    <cellStyle name="Normal 4 3 2 3 9" xfId="735"/>
    <cellStyle name="Normal 4 3 2 4" xfId="736"/>
    <cellStyle name="Normal 4 3 2 4 2" xfId="737"/>
    <cellStyle name="Normal 4 3 2 4 2 2" xfId="738"/>
    <cellStyle name="Normal 4 3 2 4 2 3" xfId="739"/>
    <cellStyle name="Normal 4 3 2 4 3" xfId="740"/>
    <cellStyle name="Normal 4 3 2 4 3 2" xfId="741"/>
    <cellStyle name="Normal 4 3 2 4 3 3" xfId="742"/>
    <cellStyle name="Normal 4 3 2 4 4" xfId="743"/>
    <cellStyle name="Normal 4 3 2 4 4 2" xfId="744"/>
    <cellStyle name="Normal 4 3 2 4 5" xfId="745"/>
    <cellStyle name="Normal 4 3 2 4 6" xfId="746"/>
    <cellStyle name="Normal 4 3 2 5" xfId="747"/>
    <cellStyle name="Normal 4 3 2 5 2" xfId="748"/>
    <cellStyle name="Normal 4 3 2 5 2 2" xfId="749"/>
    <cellStyle name="Normal 4 3 2 5 2 3" xfId="750"/>
    <cellStyle name="Normal 4 3 2 5 3" xfId="751"/>
    <cellStyle name="Normal 4 3 2 5 3 2" xfId="752"/>
    <cellStyle name="Normal 4 3 2 5 3 3" xfId="753"/>
    <cellStyle name="Normal 4 3 2 5 4" xfId="754"/>
    <cellStyle name="Normal 4 3 2 5 4 2" xfId="755"/>
    <cellStyle name="Normal 4 3 2 5 5" xfId="756"/>
    <cellStyle name="Normal 4 3 2 5 6" xfId="757"/>
    <cellStyle name="Normal 4 3 2 6" xfId="758"/>
    <cellStyle name="Normal 4 3 2 6 2" xfId="759"/>
    <cellStyle name="Normal 4 3 2 6 2 2" xfId="760"/>
    <cellStyle name="Normal 4 3 2 6 2 3" xfId="761"/>
    <cellStyle name="Normal 4 3 2 6 3" xfId="762"/>
    <cellStyle name="Normal 4 3 2 6 3 2" xfId="763"/>
    <cellStyle name="Normal 4 3 2 6 3 3" xfId="764"/>
    <cellStyle name="Normal 4 3 2 6 4" xfId="765"/>
    <cellStyle name="Normal 4 3 2 6 4 2" xfId="766"/>
    <cellStyle name="Normal 4 3 2 6 5" xfId="767"/>
    <cellStyle name="Normal 4 3 2 6 6" xfId="768"/>
    <cellStyle name="Normal 4 3 2 7" xfId="769"/>
    <cellStyle name="Normal 4 3 2 7 2" xfId="770"/>
    <cellStyle name="Normal 4 3 2 7 2 2" xfId="771"/>
    <cellStyle name="Normal 4 3 2 7 2 3" xfId="772"/>
    <cellStyle name="Normal 4 3 2 7 3" xfId="773"/>
    <cellStyle name="Normal 4 3 2 7 3 2" xfId="774"/>
    <cellStyle name="Normal 4 3 2 7 4" xfId="775"/>
    <cellStyle name="Normal 4 3 2 7 5" xfId="776"/>
    <cellStyle name="Normal 4 3 2 8" xfId="777"/>
    <cellStyle name="Normal 4 3 2 8 2" xfId="778"/>
    <cellStyle name="Normal 4 3 2 8 2 2" xfId="779"/>
    <cellStyle name="Normal 4 3 2 8 3" xfId="780"/>
    <cellStyle name="Normal 4 3 2 8 4" xfId="781"/>
    <cellStyle name="Normal 4 3 2 9" xfId="782"/>
    <cellStyle name="Normal 4 3 2 9 2" xfId="783"/>
    <cellStyle name="Normal 4 3 2 9 2 2" xfId="784"/>
    <cellStyle name="Normal 4 3 2 9 3" xfId="785"/>
    <cellStyle name="Normal 4 3 2 9 4" xfId="786"/>
    <cellStyle name="Normal 4 3 3" xfId="787"/>
    <cellStyle name="Normal 4 3 3 2" xfId="788"/>
    <cellStyle name="Normal 4 3 3 2 2" xfId="789"/>
    <cellStyle name="Normal 4 3 3 2 2 2" xfId="790"/>
    <cellStyle name="Normal 4 3 3 2 2 3" xfId="791"/>
    <cellStyle name="Normal 4 3 3 2 3" xfId="792"/>
    <cellStyle name="Normal 4 3 3 2 3 2" xfId="793"/>
    <cellStyle name="Normal 4 3 3 2 3 3" xfId="794"/>
    <cellStyle name="Normal 4 3 3 2 4" xfId="795"/>
    <cellStyle name="Normal 4 3 3 2 4 2" xfId="796"/>
    <cellStyle name="Normal 4 3 3 2 5" xfId="797"/>
    <cellStyle name="Normal 4 3 3 2 6" xfId="798"/>
    <cellStyle name="Normal 4 3 3 3" xfId="799"/>
    <cellStyle name="Normal 4 3 3 3 2" xfId="800"/>
    <cellStyle name="Normal 4 3 3 3 2 2" xfId="801"/>
    <cellStyle name="Normal 4 3 3 3 2 3" xfId="802"/>
    <cellStyle name="Normal 4 3 3 3 3" xfId="803"/>
    <cellStyle name="Normal 4 3 3 3 3 2" xfId="804"/>
    <cellStyle name="Normal 4 3 3 3 3 3" xfId="805"/>
    <cellStyle name="Normal 4 3 3 3 4" xfId="806"/>
    <cellStyle name="Normal 4 3 3 3 4 2" xfId="807"/>
    <cellStyle name="Normal 4 3 3 3 5" xfId="808"/>
    <cellStyle name="Normal 4 3 3 3 6" xfId="809"/>
    <cellStyle name="Normal 4 3 3 4" xfId="810"/>
    <cellStyle name="Normal 4 3 3 4 2" xfId="811"/>
    <cellStyle name="Normal 4 3 3 4 2 2" xfId="812"/>
    <cellStyle name="Normal 4 3 3 4 2 3" xfId="813"/>
    <cellStyle name="Normal 4 3 3 4 3" xfId="814"/>
    <cellStyle name="Normal 4 3 3 4 3 2" xfId="815"/>
    <cellStyle name="Normal 4 3 3 4 3 3" xfId="816"/>
    <cellStyle name="Normal 4 3 3 4 4" xfId="817"/>
    <cellStyle name="Normal 4 3 3 4 4 2" xfId="818"/>
    <cellStyle name="Normal 4 3 3 4 5" xfId="819"/>
    <cellStyle name="Normal 4 3 3 4 6" xfId="820"/>
    <cellStyle name="Normal 4 3 3 5" xfId="821"/>
    <cellStyle name="Normal 4 3 3 5 2" xfId="822"/>
    <cellStyle name="Normal 4 3 3 5 3" xfId="823"/>
    <cellStyle name="Normal 4 3 3 6" xfId="824"/>
    <cellStyle name="Normal 4 3 3 6 2" xfId="825"/>
    <cellStyle name="Normal 4 3 3 6 3" xfId="826"/>
    <cellStyle name="Normal 4 3 3 7" xfId="827"/>
    <cellStyle name="Normal 4 3 3 7 2" xfId="828"/>
    <cellStyle name="Normal 4 3 3 8" xfId="829"/>
    <cellStyle name="Normal 4 3 3 9" xfId="830"/>
    <cellStyle name="Normal 4 3 4" xfId="831"/>
    <cellStyle name="Normal 4 3 4 2" xfId="832"/>
    <cellStyle name="Normal 4 3 4 2 2" xfId="833"/>
    <cellStyle name="Normal 4 3 4 2 2 2" xfId="834"/>
    <cellStyle name="Normal 4 3 4 2 2 3" xfId="835"/>
    <cellStyle name="Normal 4 3 4 2 3" xfId="836"/>
    <cellStyle name="Normal 4 3 4 2 3 2" xfId="837"/>
    <cellStyle name="Normal 4 3 4 2 3 3" xfId="838"/>
    <cellStyle name="Normal 4 3 4 2 4" xfId="839"/>
    <cellStyle name="Normal 4 3 4 2 4 2" xfId="840"/>
    <cellStyle name="Normal 4 3 4 2 5" xfId="841"/>
    <cellStyle name="Normal 4 3 4 2 6" xfId="842"/>
    <cellStyle name="Normal 4 3 4 3" xfId="843"/>
    <cellStyle name="Normal 4 3 4 3 2" xfId="844"/>
    <cellStyle name="Normal 4 3 4 3 2 2" xfId="845"/>
    <cellStyle name="Normal 4 3 4 3 2 3" xfId="846"/>
    <cellStyle name="Normal 4 3 4 3 3" xfId="847"/>
    <cellStyle name="Normal 4 3 4 3 3 2" xfId="848"/>
    <cellStyle name="Normal 4 3 4 3 3 3" xfId="849"/>
    <cellStyle name="Normal 4 3 4 3 4" xfId="850"/>
    <cellStyle name="Normal 4 3 4 3 4 2" xfId="851"/>
    <cellStyle name="Normal 4 3 4 3 5" xfId="852"/>
    <cellStyle name="Normal 4 3 4 3 6" xfId="853"/>
    <cellStyle name="Normal 4 3 4 4" xfId="854"/>
    <cellStyle name="Normal 4 3 4 4 2" xfId="855"/>
    <cellStyle name="Normal 4 3 4 4 2 2" xfId="856"/>
    <cellStyle name="Normal 4 3 4 4 2 3" xfId="857"/>
    <cellStyle name="Normal 4 3 4 4 3" xfId="858"/>
    <cellStyle name="Normal 4 3 4 4 3 2" xfId="859"/>
    <cellStyle name="Normal 4 3 4 4 3 3" xfId="860"/>
    <cellStyle name="Normal 4 3 4 4 4" xfId="861"/>
    <cellStyle name="Normal 4 3 4 4 4 2" xfId="862"/>
    <cellStyle name="Normal 4 3 4 4 5" xfId="863"/>
    <cellStyle name="Normal 4 3 4 4 6" xfId="864"/>
    <cellStyle name="Normal 4 3 4 5" xfId="865"/>
    <cellStyle name="Normal 4 3 4 5 2" xfId="866"/>
    <cellStyle name="Normal 4 3 4 5 3" xfId="867"/>
    <cellStyle name="Normal 4 3 4 6" xfId="868"/>
    <cellStyle name="Normal 4 3 4 6 2" xfId="869"/>
    <cellStyle name="Normal 4 3 4 6 3" xfId="870"/>
    <cellStyle name="Normal 4 3 4 7" xfId="871"/>
    <cellStyle name="Normal 4 3 4 7 2" xfId="872"/>
    <cellStyle name="Normal 4 3 4 8" xfId="873"/>
    <cellStyle name="Normal 4 3 4 9" xfId="874"/>
    <cellStyle name="Normal 4 3 5" xfId="875"/>
    <cellStyle name="Normal 4 3 5 2" xfId="876"/>
    <cellStyle name="Normal 4 3 5 2 2" xfId="877"/>
    <cellStyle name="Normal 4 3 5 2 3" xfId="878"/>
    <cellStyle name="Normal 4 3 5 3" xfId="879"/>
    <cellStyle name="Normal 4 3 5 3 2" xfId="880"/>
    <cellStyle name="Normal 4 3 5 3 3" xfId="881"/>
    <cellStyle name="Normal 4 3 5 4" xfId="882"/>
    <cellStyle name="Normal 4 3 5 4 2" xfId="883"/>
    <cellStyle name="Normal 4 3 5 5" xfId="884"/>
    <cellStyle name="Normal 4 3 5 6" xfId="885"/>
    <cellStyle name="Normal 4 3 6" xfId="886"/>
    <cellStyle name="Normal 4 3 6 2" xfId="887"/>
    <cellStyle name="Normal 4 3 6 2 2" xfId="888"/>
    <cellStyle name="Normal 4 3 6 2 3" xfId="889"/>
    <cellStyle name="Normal 4 3 6 3" xfId="890"/>
    <cellStyle name="Normal 4 3 6 3 2" xfId="891"/>
    <cellStyle name="Normal 4 3 6 3 3" xfId="892"/>
    <cellStyle name="Normal 4 3 6 4" xfId="893"/>
    <cellStyle name="Normal 4 3 6 4 2" xfId="894"/>
    <cellStyle name="Normal 4 3 6 5" xfId="895"/>
    <cellStyle name="Normal 4 3 6 6" xfId="896"/>
    <cellStyle name="Normal 4 3 7" xfId="897"/>
    <cellStyle name="Normal 4 3 7 2" xfId="898"/>
    <cellStyle name="Normal 4 3 7 2 2" xfId="899"/>
    <cellStyle name="Normal 4 3 7 2 3" xfId="900"/>
    <cellStyle name="Normal 4 3 7 3" xfId="901"/>
    <cellStyle name="Normal 4 3 7 3 2" xfId="902"/>
    <cellStyle name="Normal 4 3 7 3 3" xfId="903"/>
    <cellStyle name="Normal 4 3 7 4" xfId="904"/>
    <cellStyle name="Normal 4 3 7 4 2" xfId="905"/>
    <cellStyle name="Normal 4 3 7 5" xfId="906"/>
    <cellStyle name="Normal 4 3 7 6" xfId="907"/>
    <cellStyle name="Normal 4 3 8" xfId="908"/>
    <cellStyle name="Normal 4 3 8 2" xfId="909"/>
    <cellStyle name="Normal 4 3 8 2 2" xfId="910"/>
    <cellStyle name="Normal 4 3 8 2 3" xfId="911"/>
    <cellStyle name="Normal 4 3 8 3" xfId="912"/>
    <cellStyle name="Normal 4 3 8 3 2" xfId="913"/>
    <cellStyle name="Normal 4 3 8 4" xfId="914"/>
    <cellStyle name="Normal 4 3 8 5" xfId="915"/>
    <cellStyle name="Normal 4 3 9" xfId="916"/>
    <cellStyle name="Normal 4 3 9 2" xfId="917"/>
    <cellStyle name="Normal 4 3 9 2 2" xfId="918"/>
    <cellStyle name="Normal 4 3 9 3" xfId="919"/>
    <cellStyle name="Normal 4 3 9 4" xfId="920"/>
    <cellStyle name="Normal 4 4" xfId="921"/>
    <cellStyle name="Normal 4 4 10" xfId="922"/>
    <cellStyle name="Normal 4 4 10 2" xfId="923"/>
    <cellStyle name="Normal 4 4 11" xfId="924"/>
    <cellStyle name="Normal 4 4 12" xfId="925"/>
    <cellStyle name="Normal 4 4 2" xfId="926"/>
    <cellStyle name="Normal 4 4 2 2" xfId="927"/>
    <cellStyle name="Normal 4 4 2 2 2" xfId="928"/>
    <cellStyle name="Normal 4 4 2 2 2 2" xfId="929"/>
    <cellStyle name="Normal 4 4 2 2 2 3" xfId="930"/>
    <cellStyle name="Normal 4 4 2 2 3" xfId="931"/>
    <cellStyle name="Normal 4 4 2 2 3 2" xfId="932"/>
    <cellStyle name="Normal 4 4 2 2 3 3" xfId="933"/>
    <cellStyle name="Normal 4 4 2 2 4" xfId="934"/>
    <cellStyle name="Normal 4 4 2 2 4 2" xfId="935"/>
    <cellStyle name="Normal 4 4 2 2 5" xfId="936"/>
    <cellStyle name="Normal 4 4 2 2 6" xfId="937"/>
    <cellStyle name="Normal 4 4 2 3" xfId="938"/>
    <cellStyle name="Normal 4 4 2 3 2" xfId="939"/>
    <cellStyle name="Normal 4 4 2 3 2 2" xfId="940"/>
    <cellStyle name="Normal 4 4 2 3 2 3" xfId="941"/>
    <cellStyle name="Normal 4 4 2 3 3" xfId="942"/>
    <cellStyle name="Normal 4 4 2 3 3 2" xfId="943"/>
    <cellStyle name="Normal 4 4 2 3 3 3" xfId="944"/>
    <cellStyle name="Normal 4 4 2 3 4" xfId="945"/>
    <cellStyle name="Normal 4 4 2 3 4 2" xfId="946"/>
    <cellStyle name="Normal 4 4 2 3 5" xfId="947"/>
    <cellStyle name="Normal 4 4 2 3 6" xfId="948"/>
    <cellStyle name="Normal 4 4 2 4" xfId="949"/>
    <cellStyle name="Normal 4 4 2 4 2" xfId="950"/>
    <cellStyle name="Normal 4 4 2 4 2 2" xfId="951"/>
    <cellStyle name="Normal 4 4 2 4 2 3" xfId="952"/>
    <cellStyle name="Normal 4 4 2 4 3" xfId="953"/>
    <cellStyle name="Normal 4 4 2 4 3 2" xfId="954"/>
    <cellStyle name="Normal 4 4 2 4 3 3" xfId="955"/>
    <cellStyle name="Normal 4 4 2 4 4" xfId="956"/>
    <cellStyle name="Normal 4 4 2 4 4 2" xfId="957"/>
    <cellStyle name="Normal 4 4 2 4 5" xfId="958"/>
    <cellStyle name="Normal 4 4 2 4 6" xfId="959"/>
    <cellStyle name="Normal 4 4 2 5" xfId="960"/>
    <cellStyle name="Normal 4 4 2 5 2" xfId="961"/>
    <cellStyle name="Normal 4 4 2 5 3" xfId="962"/>
    <cellStyle name="Normal 4 4 2 6" xfId="963"/>
    <cellStyle name="Normal 4 4 2 6 2" xfId="964"/>
    <cellStyle name="Normal 4 4 2 6 3" xfId="965"/>
    <cellStyle name="Normal 4 4 2 7" xfId="966"/>
    <cellStyle name="Normal 4 4 2 7 2" xfId="967"/>
    <cellStyle name="Normal 4 4 2 8" xfId="968"/>
    <cellStyle name="Normal 4 4 2 9" xfId="969"/>
    <cellStyle name="Normal 4 4 3" xfId="970"/>
    <cellStyle name="Normal 4 4 3 2" xfId="971"/>
    <cellStyle name="Normal 4 4 3 2 2" xfId="972"/>
    <cellStyle name="Normal 4 4 3 2 2 2" xfId="973"/>
    <cellStyle name="Normal 4 4 3 2 2 3" xfId="974"/>
    <cellStyle name="Normal 4 4 3 2 3" xfId="975"/>
    <cellStyle name="Normal 4 4 3 2 3 2" xfId="976"/>
    <cellStyle name="Normal 4 4 3 2 3 3" xfId="977"/>
    <cellStyle name="Normal 4 4 3 2 4" xfId="978"/>
    <cellStyle name="Normal 4 4 3 2 4 2" xfId="979"/>
    <cellStyle name="Normal 4 4 3 2 5" xfId="980"/>
    <cellStyle name="Normal 4 4 3 2 6" xfId="981"/>
    <cellStyle name="Normal 4 4 3 3" xfId="982"/>
    <cellStyle name="Normal 4 4 3 3 2" xfId="983"/>
    <cellStyle name="Normal 4 4 3 3 2 2" xfId="984"/>
    <cellStyle name="Normal 4 4 3 3 2 3" xfId="985"/>
    <cellStyle name="Normal 4 4 3 3 3" xfId="986"/>
    <cellStyle name="Normal 4 4 3 3 3 2" xfId="987"/>
    <cellStyle name="Normal 4 4 3 3 3 3" xfId="988"/>
    <cellStyle name="Normal 4 4 3 3 4" xfId="989"/>
    <cellStyle name="Normal 4 4 3 3 4 2" xfId="990"/>
    <cellStyle name="Normal 4 4 3 3 5" xfId="991"/>
    <cellStyle name="Normal 4 4 3 3 6" xfId="992"/>
    <cellStyle name="Normal 4 4 3 4" xfId="993"/>
    <cellStyle name="Normal 4 4 3 4 2" xfId="994"/>
    <cellStyle name="Normal 4 4 3 4 2 2" xfId="995"/>
    <cellStyle name="Normal 4 4 3 4 2 3" xfId="996"/>
    <cellStyle name="Normal 4 4 3 4 3" xfId="997"/>
    <cellStyle name="Normal 4 4 3 4 3 2" xfId="998"/>
    <cellStyle name="Normal 4 4 3 4 3 3" xfId="999"/>
    <cellStyle name="Normal 4 4 3 4 4" xfId="1000"/>
    <cellStyle name="Normal 4 4 3 4 4 2" xfId="1001"/>
    <cellStyle name="Normal 4 4 3 4 5" xfId="1002"/>
    <cellStyle name="Normal 4 4 3 4 6" xfId="1003"/>
    <cellStyle name="Normal 4 4 3 5" xfId="1004"/>
    <cellStyle name="Normal 4 4 3 5 2" xfId="1005"/>
    <cellStyle name="Normal 4 4 3 5 3" xfId="1006"/>
    <cellStyle name="Normal 4 4 3 6" xfId="1007"/>
    <cellStyle name="Normal 4 4 3 6 2" xfId="1008"/>
    <cellStyle name="Normal 4 4 3 6 3" xfId="1009"/>
    <cellStyle name="Normal 4 4 3 7" xfId="1010"/>
    <cellStyle name="Normal 4 4 3 7 2" xfId="1011"/>
    <cellStyle name="Normal 4 4 3 8" xfId="1012"/>
    <cellStyle name="Normal 4 4 3 9" xfId="1013"/>
    <cellStyle name="Normal 4 4 4" xfId="1014"/>
    <cellStyle name="Normal 4 4 4 2" xfId="1015"/>
    <cellStyle name="Normal 4 4 4 2 2" xfId="1016"/>
    <cellStyle name="Normal 4 4 4 2 3" xfId="1017"/>
    <cellStyle name="Normal 4 4 4 3" xfId="1018"/>
    <cellStyle name="Normal 4 4 4 3 2" xfId="1019"/>
    <cellStyle name="Normal 4 4 4 3 3" xfId="1020"/>
    <cellStyle name="Normal 4 4 4 4" xfId="1021"/>
    <cellStyle name="Normal 4 4 4 4 2" xfId="1022"/>
    <cellStyle name="Normal 4 4 4 5" xfId="1023"/>
    <cellStyle name="Normal 4 4 4 6" xfId="1024"/>
    <cellStyle name="Normal 4 4 5" xfId="1025"/>
    <cellStyle name="Normal 4 4 5 2" xfId="1026"/>
    <cellStyle name="Normal 4 4 5 2 2" xfId="1027"/>
    <cellStyle name="Normal 4 4 5 2 3" xfId="1028"/>
    <cellStyle name="Normal 4 4 5 3" xfId="1029"/>
    <cellStyle name="Normal 4 4 5 3 2" xfId="1030"/>
    <cellStyle name="Normal 4 4 5 3 3" xfId="1031"/>
    <cellStyle name="Normal 4 4 5 4" xfId="1032"/>
    <cellStyle name="Normal 4 4 5 4 2" xfId="1033"/>
    <cellStyle name="Normal 4 4 5 5" xfId="1034"/>
    <cellStyle name="Normal 4 4 5 6" xfId="1035"/>
    <cellStyle name="Normal 4 4 6" xfId="1036"/>
    <cellStyle name="Normal 4 4 6 2" xfId="1037"/>
    <cellStyle name="Normal 4 4 6 2 2" xfId="1038"/>
    <cellStyle name="Normal 4 4 6 2 3" xfId="1039"/>
    <cellStyle name="Normal 4 4 6 3" xfId="1040"/>
    <cellStyle name="Normal 4 4 6 3 2" xfId="1041"/>
    <cellStyle name="Normal 4 4 6 3 3" xfId="1042"/>
    <cellStyle name="Normal 4 4 6 4" xfId="1043"/>
    <cellStyle name="Normal 4 4 6 4 2" xfId="1044"/>
    <cellStyle name="Normal 4 4 6 5" xfId="1045"/>
    <cellStyle name="Normal 4 4 6 6" xfId="1046"/>
    <cellStyle name="Normal 4 4 7" xfId="1047"/>
    <cellStyle name="Normal 4 4 7 2" xfId="1048"/>
    <cellStyle name="Normal 4 4 7 2 2" xfId="1049"/>
    <cellStyle name="Normal 4 4 7 2 3" xfId="1050"/>
    <cellStyle name="Normal 4 4 7 3" xfId="1051"/>
    <cellStyle name="Normal 4 4 7 3 2" xfId="1052"/>
    <cellStyle name="Normal 4 4 7 4" xfId="1053"/>
    <cellStyle name="Normal 4 4 7 5" xfId="1054"/>
    <cellStyle name="Normal 4 4 8" xfId="1055"/>
    <cellStyle name="Normal 4 4 8 2" xfId="1056"/>
    <cellStyle name="Normal 4 4 8 2 2" xfId="1057"/>
    <cellStyle name="Normal 4 4 8 3" xfId="1058"/>
    <cellStyle name="Normal 4 4 8 4" xfId="1059"/>
    <cellStyle name="Normal 4 4 9" xfId="1060"/>
    <cellStyle name="Normal 4 4 9 2" xfId="1061"/>
    <cellStyle name="Normal 4 4 9 2 2" xfId="1062"/>
    <cellStyle name="Normal 4 4 9 3" xfId="1063"/>
    <cellStyle name="Normal 4 4 9 4" xfId="1064"/>
    <cellStyle name="Normal 4 5" xfId="1065"/>
    <cellStyle name="Normal 4 5 10" xfId="1066"/>
    <cellStyle name="Normal 4 5 10 2" xfId="1067"/>
    <cellStyle name="Normal 4 5 11" xfId="1068"/>
    <cellStyle name="Normal 4 5 12" xfId="1069"/>
    <cellStyle name="Normal 4 5 2" xfId="1070"/>
    <cellStyle name="Normal 4 5 2 2" xfId="1071"/>
    <cellStyle name="Normal 4 5 2 2 2" xfId="1072"/>
    <cellStyle name="Normal 4 5 2 2 2 2" xfId="1073"/>
    <cellStyle name="Normal 4 5 2 2 2 3" xfId="1074"/>
    <cellStyle name="Normal 4 5 2 2 3" xfId="1075"/>
    <cellStyle name="Normal 4 5 2 2 3 2" xfId="1076"/>
    <cellStyle name="Normal 4 5 2 2 3 3" xfId="1077"/>
    <cellStyle name="Normal 4 5 2 2 4" xfId="1078"/>
    <cellStyle name="Normal 4 5 2 2 4 2" xfId="1079"/>
    <cellStyle name="Normal 4 5 2 2 5" xfId="1080"/>
    <cellStyle name="Normal 4 5 2 2 6" xfId="1081"/>
    <cellStyle name="Normal 4 5 2 3" xfId="1082"/>
    <cellStyle name="Normal 4 5 2 3 2" xfId="1083"/>
    <cellStyle name="Normal 4 5 2 3 2 2" xfId="1084"/>
    <cellStyle name="Normal 4 5 2 3 2 3" xfId="1085"/>
    <cellStyle name="Normal 4 5 2 3 3" xfId="1086"/>
    <cellStyle name="Normal 4 5 2 3 3 2" xfId="1087"/>
    <cellStyle name="Normal 4 5 2 3 3 3" xfId="1088"/>
    <cellStyle name="Normal 4 5 2 3 4" xfId="1089"/>
    <cellStyle name="Normal 4 5 2 3 4 2" xfId="1090"/>
    <cellStyle name="Normal 4 5 2 3 5" xfId="1091"/>
    <cellStyle name="Normal 4 5 2 3 6" xfId="1092"/>
    <cellStyle name="Normal 4 5 2 4" xfId="1093"/>
    <cellStyle name="Normal 4 5 2 4 2" xfId="1094"/>
    <cellStyle name="Normal 4 5 2 4 2 2" xfId="1095"/>
    <cellStyle name="Normal 4 5 2 4 2 3" xfId="1096"/>
    <cellStyle name="Normal 4 5 2 4 3" xfId="1097"/>
    <cellStyle name="Normal 4 5 2 4 3 2" xfId="1098"/>
    <cellStyle name="Normal 4 5 2 4 3 3" xfId="1099"/>
    <cellStyle name="Normal 4 5 2 4 4" xfId="1100"/>
    <cellStyle name="Normal 4 5 2 4 4 2" xfId="1101"/>
    <cellStyle name="Normal 4 5 2 4 5" xfId="1102"/>
    <cellStyle name="Normal 4 5 2 4 6" xfId="1103"/>
    <cellStyle name="Normal 4 5 2 5" xfId="1104"/>
    <cellStyle name="Normal 4 5 2 5 2" xfId="1105"/>
    <cellStyle name="Normal 4 5 2 5 3" xfId="1106"/>
    <cellStyle name="Normal 4 5 2 6" xfId="1107"/>
    <cellStyle name="Normal 4 5 2 6 2" xfId="1108"/>
    <cellStyle name="Normal 4 5 2 6 3" xfId="1109"/>
    <cellStyle name="Normal 4 5 2 7" xfId="1110"/>
    <cellStyle name="Normal 4 5 2 7 2" xfId="1111"/>
    <cellStyle name="Normal 4 5 2 8" xfId="1112"/>
    <cellStyle name="Normal 4 5 2 9" xfId="1113"/>
    <cellStyle name="Normal 4 5 3" xfId="1114"/>
    <cellStyle name="Normal 4 5 3 2" xfId="1115"/>
    <cellStyle name="Normal 4 5 3 2 2" xfId="1116"/>
    <cellStyle name="Normal 4 5 3 2 2 2" xfId="1117"/>
    <cellStyle name="Normal 4 5 3 2 2 3" xfId="1118"/>
    <cellStyle name="Normal 4 5 3 2 3" xfId="1119"/>
    <cellStyle name="Normal 4 5 3 2 3 2" xfId="1120"/>
    <cellStyle name="Normal 4 5 3 2 3 3" xfId="1121"/>
    <cellStyle name="Normal 4 5 3 2 4" xfId="1122"/>
    <cellStyle name="Normal 4 5 3 2 4 2" xfId="1123"/>
    <cellStyle name="Normal 4 5 3 2 5" xfId="1124"/>
    <cellStyle name="Normal 4 5 3 2 6" xfId="1125"/>
    <cellStyle name="Normal 4 5 3 3" xfId="1126"/>
    <cellStyle name="Normal 4 5 3 3 2" xfId="1127"/>
    <cellStyle name="Normal 4 5 3 3 2 2" xfId="1128"/>
    <cellStyle name="Normal 4 5 3 3 2 3" xfId="1129"/>
    <cellStyle name="Normal 4 5 3 3 3" xfId="1130"/>
    <cellStyle name="Normal 4 5 3 3 3 2" xfId="1131"/>
    <cellStyle name="Normal 4 5 3 3 3 3" xfId="1132"/>
    <cellStyle name="Normal 4 5 3 3 4" xfId="1133"/>
    <cellStyle name="Normal 4 5 3 3 4 2" xfId="1134"/>
    <cellStyle name="Normal 4 5 3 3 5" xfId="1135"/>
    <cellStyle name="Normal 4 5 3 3 6" xfId="1136"/>
    <cellStyle name="Normal 4 5 3 4" xfId="1137"/>
    <cellStyle name="Normal 4 5 3 4 2" xfId="1138"/>
    <cellStyle name="Normal 4 5 3 4 2 2" xfId="1139"/>
    <cellStyle name="Normal 4 5 3 4 2 3" xfId="1140"/>
    <cellStyle name="Normal 4 5 3 4 3" xfId="1141"/>
    <cellStyle name="Normal 4 5 3 4 3 2" xfId="1142"/>
    <cellStyle name="Normal 4 5 3 4 3 3" xfId="1143"/>
    <cellStyle name="Normal 4 5 3 4 4" xfId="1144"/>
    <cellStyle name="Normal 4 5 3 4 4 2" xfId="1145"/>
    <cellStyle name="Normal 4 5 3 4 5" xfId="1146"/>
    <cellStyle name="Normal 4 5 3 4 6" xfId="1147"/>
    <cellStyle name="Normal 4 5 3 5" xfId="1148"/>
    <cellStyle name="Normal 4 5 3 5 2" xfId="1149"/>
    <cellStyle name="Normal 4 5 3 5 3" xfId="1150"/>
    <cellStyle name="Normal 4 5 3 6" xfId="1151"/>
    <cellStyle name="Normal 4 5 3 6 2" xfId="1152"/>
    <cellStyle name="Normal 4 5 3 6 3" xfId="1153"/>
    <cellStyle name="Normal 4 5 3 7" xfId="1154"/>
    <cellStyle name="Normal 4 5 3 7 2" xfId="1155"/>
    <cellStyle name="Normal 4 5 3 8" xfId="1156"/>
    <cellStyle name="Normal 4 5 3 9" xfId="1157"/>
    <cellStyle name="Normal 4 5 4" xfId="1158"/>
    <cellStyle name="Normal 4 5 4 2" xfId="1159"/>
    <cellStyle name="Normal 4 5 4 2 2" xfId="1160"/>
    <cellStyle name="Normal 4 5 4 2 3" xfId="1161"/>
    <cellStyle name="Normal 4 5 4 3" xfId="1162"/>
    <cellStyle name="Normal 4 5 4 3 2" xfId="1163"/>
    <cellStyle name="Normal 4 5 4 3 3" xfId="1164"/>
    <cellStyle name="Normal 4 5 4 4" xfId="1165"/>
    <cellStyle name="Normal 4 5 4 4 2" xfId="1166"/>
    <cellStyle name="Normal 4 5 4 5" xfId="1167"/>
    <cellStyle name="Normal 4 5 4 6" xfId="1168"/>
    <cellStyle name="Normal 4 5 5" xfId="1169"/>
    <cellStyle name="Normal 4 5 5 2" xfId="1170"/>
    <cellStyle name="Normal 4 5 5 2 2" xfId="1171"/>
    <cellStyle name="Normal 4 5 5 2 3" xfId="1172"/>
    <cellStyle name="Normal 4 5 5 3" xfId="1173"/>
    <cellStyle name="Normal 4 5 5 3 2" xfId="1174"/>
    <cellStyle name="Normal 4 5 5 3 3" xfId="1175"/>
    <cellStyle name="Normal 4 5 5 4" xfId="1176"/>
    <cellStyle name="Normal 4 5 5 4 2" xfId="1177"/>
    <cellStyle name="Normal 4 5 5 5" xfId="1178"/>
    <cellStyle name="Normal 4 5 5 6" xfId="1179"/>
    <cellStyle name="Normal 4 5 6" xfId="1180"/>
    <cellStyle name="Normal 4 5 6 2" xfId="1181"/>
    <cellStyle name="Normal 4 5 6 2 2" xfId="1182"/>
    <cellStyle name="Normal 4 5 6 2 3" xfId="1183"/>
    <cellStyle name="Normal 4 5 6 3" xfId="1184"/>
    <cellStyle name="Normal 4 5 6 3 2" xfId="1185"/>
    <cellStyle name="Normal 4 5 6 3 3" xfId="1186"/>
    <cellStyle name="Normal 4 5 6 4" xfId="1187"/>
    <cellStyle name="Normal 4 5 6 4 2" xfId="1188"/>
    <cellStyle name="Normal 4 5 6 5" xfId="1189"/>
    <cellStyle name="Normal 4 5 6 6" xfId="1190"/>
    <cellStyle name="Normal 4 5 7" xfId="1191"/>
    <cellStyle name="Normal 4 5 7 2" xfId="1192"/>
    <cellStyle name="Normal 4 5 7 2 2" xfId="1193"/>
    <cellStyle name="Normal 4 5 7 2 3" xfId="1194"/>
    <cellStyle name="Normal 4 5 7 3" xfId="1195"/>
    <cellStyle name="Normal 4 5 7 3 2" xfId="1196"/>
    <cellStyle name="Normal 4 5 7 4" xfId="1197"/>
    <cellStyle name="Normal 4 5 7 5" xfId="1198"/>
    <cellStyle name="Normal 4 5 8" xfId="1199"/>
    <cellStyle name="Normal 4 5 8 2" xfId="1200"/>
    <cellStyle name="Normal 4 5 8 2 2" xfId="1201"/>
    <cellStyle name="Normal 4 5 8 3" xfId="1202"/>
    <cellStyle name="Normal 4 5 8 4" xfId="1203"/>
    <cellStyle name="Normal 4 5 9" xfId="1204"/>
    <cellStyle name="Normal 4 5 9 2" xfId="1205"/>
    <cellStyle name="Normal 4 5 9 2 2" xfId="1206"/>
    <cellStyle name="Normal 4 5 9 3" xfId="1207"/>
    <cellStyle name="Normal 4 5 9 4" xfId="1208"/>
    <cellStyle name="Normal 4 6" xfId="1209"/>
    <cellStyle name="Normal 4 6 10" xfId="1210"/>
    <cellStyle name="Normal 4 6 10 2" xfId="1211"/>
    <cellStyle name="Normal 4 6 11" xfId="1212"/>
    <cellStyle name="Normal 4 6 12" xfId="1213"/>
    <cellStyle name="Normal 4 6 2" xfId="1214"/>
    <cellStyle name="Normal 4 6 2 2" xfId="1215"/>
    <cellStyle name="Normal 4 6 2 2 2" xfId="1216"/>
    <cellStyle name="Normal 4 6 2 2 2 2" xfId="1217"/>
    <cellStyle name="Normal 4 6 2 2 2 3" xfId="1218"/>
    <cellStyle name="Normal 4 6 2 2 3" xfId="1219"/>
    <cellStyle name="Normal 4 6 2 2 3 2" xfId="1220"/>
    <cellStyle name="Normal 4 6 2 2 3 3" xfId="1221"/>
    <cellStyle name="Normal 4 6 2 2 4" xfId="1222"/>
    <cellStyle name="Normal 4 6 2 2 4 2" xfId="1223"/>
    <cellStyle name="Normal 4 6 2 2 5" xfId="1224"/>
    <cellStyle name="Normal 4 6 2 2 6" xfId="1225"/>
    <cellStyle name="Normal 4 6 2 3" xfId="1226"/>
    <cellStyle name="Normal 4 6 2 3 2" xfId="1227"/>
    <cellStyle name="Normal 4 6 2 3 2 2" xfId="1228"/>
    <cellStyle name="Normal 4 6 2 3 2 3" xfId="1229"/>
    <cellStyle name="Normal 4 6 2 3 3" xfId="1230"/>
    <cellStyle name="Normal 4 6 2 3 3 2" xfId="1231"/>
    <cellStyle name="Normal 4 6 2 3 3 3" xfId="1232"/>
    <cellStyle name="Normal 4 6 2 3 4" xfId="1233"/>
    <cellStyle name="Normal 4 6 2 3 4 2" xfId="1234"/>
    <cellStyle name="Normal 4 6 2 3 5" xfId="1235"/>
    <cellStyle name="Normal 4 6 2 3 6" xfId="1236"/>
    <cellStyle name="Normal 4 6 2 4" xfId="1237"/>
    <cellStyle name="Normal 4 6 2 4 2" xfId="1238"/>
    <cellStyle name="Normal 4 6 2 4 2 2" xfId="1239"/>
    <cellStyle name="Normal 4 6 2 4 2 3" xfId="1240"/>
    <cellStyle name="Normal 4 6 2 4 3" xfId="1241"/>
    <cellStyle name="Normal 4 6 2 4 3 2" xfId="1242"/>
    <cellStyle name="Normal 4 6 2 4 3 3" xfId="1243"/>
    <cellStyle name="Normal 4 6 2 4 4" xfId="1244"/>
    <cellStyle name="Normal 4 6 2 4 4 2" xfId="1245"/>
    <cellStyle name="Normal 4 6 2 4 5" xfId="1246"/>
    <cellStyle name="Normal 4 6 2 4 6" xfId="1247"/>
    <cellStyle name="Normal 4 6 2 5" xfId="1248"/>
    <cellStyle name="Normal 4 6 2 5 2" xfId="1249"/>
    <cellStyle name="Normal 4 6 2 5 3" xfId="1250"/>
    <cellStyle name="Normal 4 6 2 6" xfId="1251"/>
    <cellStyle name="Normal 4 6 2 6 2" xfId="1252"/>
    <cellStyle name="Normal 4 6 2 6 3" xfId="1253"/>
    <cellStyle name="Normal 4 6 2 7" xfId="1254"/>
    <cellStyle name="Normal 4 6 2 7 2" xfId="1255"/>
    <cellStyle name="Normal 4 6 2 8" xfId="1256"/>
    <cellStyle name="Normal 4 6 2 9" xfId="1257"/>
    <cellStyle name="Normal 4 6 3" xfId="1258"/>
    <cellStyle name="Normal 4 6 3 2" xfId="1259"/>
    <cellStyle name="Normal 4 6 3 2 2" xfId="1260"/>
    <cellStyle name="Normal 4 6 3 2 2 2" xfId="1261"/>
    <cellStyle name="Normal 4 6 3 2 2 3" xfId="1262"/>
    <cellStyle name="Normal 4 6 3 2 3" xfId="1263"/>
    <cellStyle name="Normal 4 6 3 2 3 2" xfId="1264"/>
    <cellStyle name="Normal 4 6 3 2 3 3" xfId="1265"/>
    <cellStyle name="Normal 4 6 3 2 4" xfId="1266"/>
    <cellStyle name="Normal 4 6 3 2 4 2" xfId="1267"/>
    <cellStyle name="Normal 4 6 3 2 5" xfId="1268"/>
    <cellStyle name="Normal 4 6 3 2 6" xfId="1269"/>
    <cellStyle name="Normal 4 6 3 3" xfId="1270"/>
    <cellStyle name="Normal 4 6 3 3 2" xfId="1271"/>
    <cellStyle name="Normal 4 6 3 3 2 2" xfId="1272"/>
    <cellStyle name="Normal 4 6 3 3 2 3" xfId="1273"/>
    <cellStyle name="Normal 4 6 3 3 3" xfId="1274"/>
    <cellStyle name="Normal 4 6 3 3 3 2" xfId="1275"/>
    <cellStyle name="Normal 4 6 3 3 3 3" xfId="1276"/>
    <cellStyle name="Normal 4 6 3 3 4" xfId="1277"/>
    <cellStyle name="Normal 4 6 3 3 4 2" xfId="1278"/>
    <cellStyle name="Normal 4 6 3 3 5" xfId="1279"/>
    <cellStyle name="Normal 4 6 3 3 6" xfId="1280"/>
    <cellStyle name="Normal 4 6 3 4" xfId="1281"/>
    <cellStyle name="Normal 4 6 3 4 2" xfId="1282"/>
    <cellStyle name="Normal 4 6 3 4 2 2" xfId="1283"/>
    <cellStyle name="Normal 4 6 3 4 2 3" xfId="1284"/>
    <cellStyle name="Normal 4 6 3 4 3" xfId="1285"/>
    <cellStyle name="Normal 4 6 3 4 3 2" xfId="1286"/>
    <cellStyle name="Normal 4 6 3 4 3 3" xfId="1287"/>
    <cellStyle name="Normal 4 6 3 4 4" xfId="1288"/>
    <cellStyle name="Normal 4 6 3 4 4 2" xfId="1289"/>
    <cellStyle name="Normal 4 6 3 4 5" xfId="1290"/>
    <cellStyle name="Normal 4 6 3 4 6" xfId="1291"/>
    <cellStyle name="Normal 4 6 3 5" xfId="1292"/>
    <cellStyle name="Normal 4 6 3 5 2" xfId="1293"/>
    <cellStyle name="Normal 4 6 3 5 3" xfId="1294"/>
    <cellStyle name="Normal 4 6 3 6" xfId="1295"/>
    <cellStyle name="Normal 4 6 3 6 2" xfId="1296"/>
    <cellStyle name="Normal 4 6 3 6 3" xfId="1297"/>
    <cellStyle name="Normal 4 6 3 7" xfId="1298"/>
    <cellStyle name="Normal 4 6 3 7 2" xfId="1299"/>
    <cellStyle name="Normal 4 6 3 8" xfId="1300"/>
    <cellStyle name="Normal 4 6 3 9" xfId="1301"/>
    <cellStyle name="Normal 4 6 4" xfId="1302"/>
    <cellStyle name="Normal 4 6 4 2" xfId="1303"/>
    <cellStyle name="Normal 4 6 4 2 2" xfId="1304"/>
    <cellStyle name="Normal 4 6 4 2 3" xfId="1305"/>
    <cellStyle name="Normal 4 6 4 3" xfId="1306"/>
    <cellStyle name="Normal 4 6 4 3 2" xfId="1307"/>
    <cellStyle name="Normal 4 6 4 3 3" xfId="1308"/>
    <cellStyle name="Normal 4 6 4 4" xfId="1309"/>
    <cellStyle name="Normal 4 6 4 4 2" xfId="1310"/>
    <cellStyle name="Normal 4 6 4 5" xfId="1311"/>
    <cellStyle name="Normal 4 6 4 6" xfId="1312"/>
    <cellStyle name="Normal 4 6 5" xfId="1313"/>
    <cellStyle name="Normal 4 6 5 2" xfId="1314"/>
    <cellStyle name="Normal 4 6 5 2 2" xfId="1315"/>
    <cellStyle name="Normal 4 6 5 2 3" xfId="1316"/>
    <cellStyle name="Normal 4 6 5 3" xfId="1317"/>
    <cellStyle name="Normal 4 6 5 3 2" xfId="1318"/>
    <cellStyle name="Normal 4 6 5 3 3" xfId="1319"/>
    <cellStyle name="Normal 4 6 5 4" xfId="1320"/>
    <cellStyle name="Normal 4 6 5 4 2" xfId="1321"/>
    <cellStyle name="Normal 4 6 5 5" xfId="1322"/>
    <cellStyle name="Normal 4 6 5 6" xfId="1323"/>
    <cellStyle name="Normal 4 6 6" xfId="1324"/>
    <cellStyle name="Normal 4 6 6 2" xfId="1325"/>
    <cellStyle name="Normal 4 6 6 2 2" xfId="1326"/>
    <cellStyle name="Normal 4 6 6 2 3" xfId="1327"/>
    <cellStyle name="Normal 4 6 6 3" xfId="1328"/>
    <cellStyle name="Normal 4 6 6 3 2" xfId="1329"/>
    <cellStyle name="Normal 4 6 6 3 3" xfId="1330"/>
    <cellStyle name="Normal 4 6 6 4" xfId="1331"/>
    <cellStyle name="Normal 4 6 6 4 2" xfId="1332"/>
    <cellStyle name="Normal 4 6 6 5" xfId="1333"/>
    <cellStyle name="Normal 4 6 6 6" xfId="1334"/>
    <cellStyle name="Normal 4 6 7" xfId="1335"/>
    <cellStyle name="Normal 4 6 7 2" xfId="1336"/>
    <cellStyle name="Normal 4 6 7 2 2" xfId="1337"/>
    <cellStyle name="Normal 4 6 7 2 3" xfId="1338"/>
    <cellStyle name="Normal 4 6 7 3" xfId="1339"/>
    <cellStyle name="Normal 4 6 7 3 2" xfId="1340"/>
    <cellStyle name="Normal 4 6 7 4" xfId="1341"/>
    <cellStyle name="Normal 4 6 7 5" xfId="1342"/>
    <cellStyle name="Normal 4 6 8" xfId="1343"/>
    <cellStyle name="Normal 4 6 8 2" xfId="1344"/>
    <cellStyle name="Normal 4 6 8 2 2" xfId="1345"/>
    <cellStyle name="Normal 4 6 8 3" xfId="1346"/>
    <cellStyle name="Normal 4 6 8 4" xfId="1347"/>
    <cellStyle name="Normal 4 6 9" xfId="1348"/>
    <cellStyle name="Normal 4 6 9 2" xfId="1349"/>
    <cellStyle name="Normal 4 6 9 2 2" xfId="1350"/>
    <cellStyle name="Normal 4 6 9 3" xfId="1351"/>
    <cellStyle name="Normal 4 6 9 4" xfId="1352"/>
    <cellStyle name="Normal 4 7" xfId="1353"/>
    <cellStyle name="Normal 4 7 2" xfId="1354"/>
    <cellStyle name="Normal 4 7 2 2" xfId="1355"/>
    <cellStyle name="Normal 4 7 2 2 2" xfId="1356"/>
    <cellStyle name="Normal 4 7 2 2 3" xfId="1357"/>
    <cellStyle name="Normal 4 7 2 3" xfId="1358"/>
    <cellStyle name="Normal 4 7 2 3 2" xfId="1359"/>
    <cellStyle name="Normal 4 7 2 3 3" xfId="1360"/>
    <cellStyle name="Normal 4 7 2 4" xfId="1361"/>
    <cellStyle name="Normal 4 7 2 4 2" xfId="1362"/>
    <cellStyle name="Normal 4 7 2 5" xfId="1363"/>
    <cellStyle name="Normal 4 7 2 6" xfId="1364"/>
    <cellStyle name="Normal 4 7 3" xfId="1365"/>
    <cellStyle name="Normal 4 7 3 2" xfId="1366"/>
    <cellStyle name="Normal 4 7 3 2 2" xfId="1367"/>
    <cellStyle name="Normal 4 7 3 2 3" xfId="1368"/>
    <cellStyle name="Normal 4 7 3 3" xfId="1369"/>
    <cellStyle name="Normal 4 7 3 3 2" xfId="1370"/>
    <cellStyle name="Normal 4 7 3 3 3" xfId="1371"/>
    <cellStyle name="Normal 4 7 3 4" xfId="1372"/>
    <cellStyle name="Normal 4 7 3 4 2" xfId="1373"/>
    <cellStyle name="Normal 4 7 3 5" xfId="1374"/>
    <cellStyle name="Normal 4 7 3 6" xfId="1375"/>
    <cellStyle name="Normal 4 7 4" xfId="1376"/>
    <cellStyle name="Normal 4 7 4 2" xfId="1377"/>
    <cellStyle name="Normal 4 7 4 2 2" xfId="1378"/>
    <cellStyle name="Normal 4 7 4 2 3" xfId="1379"/>
    <cellStyle name="Normal 4 7 4 3" xfId="1380"/>
    <cellStyle name="Normal 4 7 4 3 2" xfId="1381"/>
    <cellStyle name="Normal 4 7 4 3 3" xfId="1382"/>
    <cellStyle name="Normal 4 7 4 4" xfId="1383"/>
    <cellStyle name="Normal 4 7 4 4 2" xfId="1384"/>
    <cellStyle name="Normal 4 7 4 5" xfId="1385"/>
    <cellStyle name="Normal 4 7 4 6" xfId="1386"/>
    <cellStyle name="Normal 4 7 5" xfId="1387"/>
    <cellStyle name="Normal 4 7 5 2" xfId="1388"/>
    <cellStyle name="Normal 4 7 5 2 2" xfId="1389"/>
    <cellStyle name="Normal 4 7 5 3" xfId="1390"/>
    <cellStyle name="Normal 4 7 5 4" xfId="1391"/>
    <cellStyle name="Normal 4 7 6" xfId="1392"/>
    <cellStyle name="Normal 4 7 6 2" xfId="1393"/>
    <cellStyle name="Normal 4 7 6 3" xfId="1394"/>
    <cellStyle name="Normal 4 7 7" xfId="1395"/>
    <cellStyle name="Normal 4 7 7 2" xfId="1396"/>
    <cellStyle name="Normal 4 7 8" xfId="1397"/>
    <cellStyle name="Normal 4 7 9" xfId="1398"/>
    <cellStyle name="Normal 4 8" xfId="1399"/>
    <cellStyle name="Normal 4 8 2" xfId="1400"/>
    <cellStyle name="Normal 4 8 2 2" xfId="1401"/>
    <cellStyle name="Normal 4 8 2 2 2" xfId="1402"/>
    <cellStyle name="Normal 4 8 2 2 3" xfId="1403"/>
    <cellStyle name="Normal 4 8 2 3" xfId="1404"/>
    <cellStyle name="Normal 4 8 2 3 2" xfId="1405"/>
    <cellStyle name="Normal 4 8 2 3 3" xfId="1406"/>
    <cellStyle name="Normal 4 8 2 4" xfId="1407"/>
    <cellStyle name="Normal 4 8 2 4 2" xfId="1408"/>
    <cellStyle name="Normal 4 8 2 5" xfId="1409"/>
    <cellStyle name="Normal 4 8 2 6" xfId="1410"/>
    <cellStyle name="Normal 4 8 3" xfId="1411"/>
    <cellStyle name="Normal 4 8 3 2" xfId="1412"/>
    <cellStyle name="Normal 4 8 3 2 2" xfId="1413"/>
    <cellStyle name="Normal 4 8 3 2 3" xfId="1414"/>
    <cellStyle name="Normal 4 8 3 3" xfId="1415"/>
    <cellStyle name="Normal 4 8 3 3 2" xfId="1416"/>
    <cellStyle name="Normal 4 8 3 3 3" xfId="1417"/>
    <cellStyle name="Normal 4 8 3 4" xfId="1418"/>
    <cellStyle name="Normal 4 8 3 4 2" xfId="1419"/>
    <cellStyle name="Normal 4 8 3 5" xfId="1420"/>
    <cellStyle name="Normal 4 8 3 6" xfId="1421"/>
    <cellStyle name="Normal 4 8 4" xfId="1422"/>
    <cellStyle name="Normal 4 8 4 2" xfId="1423"/>
    <cellStyle name="Normal 4 8 4 2 2" xfId="1424"/>
    <cellStyle name="Normal 4 8 4 2 3" xfId="1425"/>
    <cellStyle name="Normal 4 8 4 3" xfId="1426"/>
    <cellStyle name="Normal 4 8 4 3 2" xfId="1427"/>
    <cellStyle name="Normal 4 8 4 3 3" xfId="1428"/>
    <cellStyle name="Normal 4 8 4 4" xfId="1429"/>
    <cellStyle name="Normal 4 8 4 4 2" xfId="1430"/>
    <cellStyle name="Normal 4 8 4 5" xfId="1431"/>
    <cellStyle name="Normal 4 8 4 6" xfId="1432"/>
    <cellStyle name="Normal 4 8 5" xfId="1433"/>
    <cellStyle name="Normal 4 8 5 2" xfId="1434"/>
    <cellStyle name="Normal 4 8 5 3" xfId="1435"/>
    <cellStyle name="Normal 4 8 6" xfId="1436"/>
    <cellStyle name="Normal 4 8 6 2" xfId="1437"/>
    <cellStyle name="Normal 4 8 6 3" xfId="1438"/>
    <cellStyle name="Normal 4 8 7" xfId="1439"/>
    <cellStyle name="Normal 4 8 7 2" xfId="1440"/>
    <cellStyle name="Normal 4 8 8" xfId="1441"/>
    <cellStyle name="Normal 4 8 8 2" xfId="1442"/>
    <cellStyle name="Normal 4 8 9" xfId="1443"/>
    <cellStyle name="Normal 4 9" xfId="1444"/>
    <cellStyle name="Normal 4 9 2" xfId="1445"/>
    <cellStyle name="Normal 4 9 2 2" xfId="1446"/>
    <cellStyle name="Normal 4 9 2 2 2" xfId="1447"/>
    <cellStyle name="Normal 4 9 2 2 3" xfId="1448"/>
    <cellStyle name="Normal 4 9 2 3" xfId="1449"/>
    <cellStyle name="Normal 4 9 2 3 2" xfId="1450"/>
    <cellStyle name="Normal 4 9 2 3 3" xfId="1451"/>
    <cellStyle name="Normal 4 9 2 4" xfId="1452"/>
    <cellStyle name="Normal 4 9 2 4 2" xfId="1453"/>
    <cellStyle name="Normal 4 9 2 5" xfId="1454"/>
    <cellStyle name="Normal 4 9 2 6" xfId="1455"/>
    <cellStyle name="Normal 4 9 3" xfId="1456"/>
    <cellStyle name="Normal 4 9 3 2" xfId="1457"/>
    <cellStyle name="Normal 4 9 3 2 2" xfId="1458"/>
    <cellStyle name="Normal 4 9 3 2 3" xfId="1459"/>
    <cellStyle name="Normal 4 9 3 3" xfId="1460"/>
    <cellStyle name="Normal 4 9 3 3 2" xfId="1461"/>
    <cellStyle name="Normal 4 9 3 3 3" xfId="1462"/>
    <cellStyle name="Normal 4 9 3 4" xfId="1463"/>
    <cellStyle name="Normal 4 9 3 4 2" xfId="1464"/>
    <cellStyle name="Normal 4 9 3 5" xfId="1465"/>
    <cellStyle name="Normal 4 9 3 6" xfId="1466"/>
    <cellStyle name="Normal 4 9 4" xfId="1467"/>
    <cellStyle name="Normal 4 9 4 2" xfId="1468"/>
    <cellStyle name="Normal 4 9 4 3" xfId="1469"/>
    <cellStyle name="Normal 4 9 5" xfId="1470"/>
    <cellStyle name="Normal 4 9 5 2" xfId="1471"/>
    <cellStyle name="Normal 4 9 5 3" xfId="1472"/>
    <cellStyle name="Normal 4 9 6" xfId="1473"/>
    <cellStyle name="Normal 4 9 6 2" xfId="1474"/>
    <cellStyle name="Normal 4 9 7" xfId="1475"/>
    <cellStyle name="Normal 4 9 8" xfId="1476"/>
    <cellStyle name="Normal 5" xfId="1477"/>
    <cellStyle name="Normal 5 2" xfId="1478"/>
    <cellStyle name="Normal 5 2 2" xfId="1479"/>
    <cellStyle name="Normal 5 3" xfId="1480"/>
    <cellStyle name="Normal 5 4" xfId="1481"/>
    <cellStyle name="Normal 5 4 2" xfId="1482"/>
    <cellStyle name="Normal 5 5" xfId="1483"/>
    <cellStyle name="Normal 5 5 2" xfId="1484"/>
    <cellStyle name="Normal 5 5 3" xfId="1485"/>
    <cellStyle name="Normal 6" xfId="1486"/>
    <cellStyle name="Normal 6 10" xfId="1487"/>
    <cellStyle name="Normal 6 10 2" xfId="1488"/>
    <cellStyle name="Normal 6 11" xfId="1489"/>
    <cellStyle name="Normal 6 12" xfId="1490"/>
    <cellStyle name="Normal 6 13" xfId="1491"/>
    <cellStyle name="Normal 6 2" xfId="1492"/>
    <cellStyle name="Normal 6 2 2" xfId="1493"/>
    <cellStyle name="Normal 6 2 2 2" xfId="1494"/>
    <cellStyle name="Normal 6 2 2 2 2" xfId="1495"/>
    <cellStyle name="Normal 6 2 2 2 3" xfId="1496"/>
    <cellStyle name="Normal 6 2 2 3" xfId="1497"/>
    <cellStyle name="Normal 6 2 2 3 2" xfId="1498"/>
    <cellStyle name="Normal 6 2 2 3 3" xfId="1499"/>
    <cellStyle name="Normal 6 2 2 4" xfId="1500"/>
    <cellStyle name="Normal 6 2 2 4 2" xfId="1501"/>
    <cellStyle name="Normal 6 2 2 5" xfId="1502"/>
    <cellStyle name="Normal 6 2 2 6" xfId="1503"/>
    <cellStyle name="Normal 6 2 3" xfId="1504"/>
    <cellStyle name="Normal 6 2 3 2" xfId="1505"/>
    <cellStyle name="Normal 6 2 3 2 2" xfId="1506"/>
    <cellStyle name="Normal 6 2 3 2 3" xfId="1507"/>
    <cellStyle name="Normal 6 2 3 3" xfId="1508"/>
    <cellStyle name="Normal 6 2 3 3 2" xfId="1509"/>
    <cellStyle name="Normal 6 2 3 3 3" xfId="1510"/>
    <cellStyle name="Normal 6 2 3 4" xfId="1511"/>
    <cellStyle name="Normal 6 2 3 4 2" xfId="1512"/>
    <cellStyle name="Normal 6 2 3 5" xfId="1513"/>
    <cellStyle name="Normal 6 2 3 6" xfId="1514"/>
    <cellStyle name="Normal 6 2 4" xfId="1515"/>
    <cellStyle name="Normal 6 2 4 2" xfId="1516"/>
    <cellStyle name="Normal 6 2 4 2 2" xfId="1517"/>
    <cellStyle name="Normal 6 2 4 2 3" xfId="1518"/>
    <cellStyle name="Normal 6 2 4 3" xfId="1519"/>
    <cellStyle name="Normal 6 2 4 3 2" xfId="1520"/>
    <cellStyle name="Normal 6 2 4 3 3" xfId="1521"/>
    <cellStyle name="Normal 6 2 4 4" xfId="1522"/>
    <cellStyle name="Normal 6 2 4 4 2" xfId="1523"/>
    <cellStyle name="Normal 6 2 4 5" xfId="1524"/>
    <cellStyle name="Normal 6 2 4 6" xfId="1525"/>
    <cellStyle name="Normal 6 2 5" xfId="1526"/>
    <cellStyle name="Normal 6 2 5 2" xfId="1527"/>
    <cellStyle name="Normal 6 2 5 3" xfId="1528"/>
    <cellStyle name="Normal 6 2 6" xfId="1529"/>
    <cellStyle name="Normal 6 2 6 2" xfId="1530"/>
    <cellStyle name="Normal 6 2 6 3" xfId="1531"/>
    <cellStyle name="Normal 6 2 7" xfId="1532"/>
    <cellStyle name="Normal 6 2 7 2" xfId="1533"/>
    <cellStyle name="Normal 6 2 8" xfId="1534"/>
    <cellStyle name="Normal 6 2 9" xfId="1535"/>
    <cellStyle name="Normal 6 3" xfId="1536"/>
    <cellStyle name="Normal 6 3 2" xfId="1537"/>
    <cellStyle name="Normal 6 3 2 2" xfId="1538"/>
    <cellStyle name="Normal 6 3 2 3" xfId="1539"/>
    <cellStyle name="Normal 6 3 3" xfId="1540"/>
    <cellStyle name="Normal 6 3 3 2" xfId="1541"/>
    <cellStyle name="Normal 6 3 3 3" xfId="1542"/>
    <cellStyle name="Normal 6 3 4" xfId="1543"/>
    <cellStyle name="Normal 6 3 4 2" xfId="1544"/>
    <cellStyle name="Normal 6 3 5" xfId="1545"/>
    <cellStyle name="Normal 6 3 6" xfId="1546"/>
    <cellStyle name="Normal 6 4" xfId="1547"/>
    <cellStyle name="Normal 6 4 2" xfId="1548"/>
    <cellStyle name="Normal 6 4 2 2" xfId="1549"/>
    <cellStyle name="Normal 6 4 2 3" xfId="1550"/>
    <cellStyle name="Normal 6 4 3" xfId="1551"/>
    <cellStyle name="Normal 6 4 3 2" xfId="1552"/>
    <cellStyle name="Normal 6 4 3 3" xfId="1553"/>
    <cellStyle name="Normal 6 4 4" xfId="1554"/>
    <cellStyle name="Normal 6 4 4 2" xfId="1555"/>
    <cellStyle name="Normal 6 4 5" xfId="1556"/>
    <cellStyle name="Normal 6 4 6" xfId="1557"/>
    <cellStyle name="Normal 6 5" xfId="1558"/>
    <cellStyle name="Normal 6 5 2" xfId="1559"/>
    <cellStyle name="Normal 6 5 2 2" xfId="1560"/>
    <cellStyle name="Normal 6 5 2 3" xfId="1561"/>
    <cellStyle name="Normal 6 5 3" xfId="1562"/>
    <cellStyle name="Normal 6 5 3 2" xfId="1563"/>
    <cellStyle name="Normal 6 5 3 3" xfId="1564"/>
    <cellStyle name="Normal 6 5 4" xfId="1565"/>
    <cellStyle name="Normal 6 5 4 2" xfId="1566"/>
    <cellStyle name="Normal 6 5 5" xfId="1567"/>
    <cellStyle name="Normal 6 5 6" xfId="1568"/>
    <cellStyle name="Normal 6 6" xfId="1569"/>
    <cellStyle name="Normal 6 6 2" xfId="1570"/>
    <cellStyle name="Normal 6 6 2 2" xfId="1571"/>
    <cellStyle name="Normal 6 6 2 3" xfId="1572"/>
    <cellStyle name="Normal 6 6 3" xfId="1573"/>
    <cellStyle name="Normal 6 6 3 2" xfId="1574"/>
    <cellStyle name="Normal 6 6 4" xfId="1575"/>
    <cellStyle name="Normal 6 6 5" xfId="1576"/>
    <cellStyle name="Normal 6 7" xfId="1577"/>
    <cellStyle name="Normal 6 7 2" xfId="1578"/>
    <cellStyle name="Normal 6 7 2 2" xfId="1579"/>
    <cellStyle name="Normal 6 7 3" xfId="1580"/>
    <cellStyle name="Normal 6 7 4" xfId="1581"/>
    <cellStyle name="Normal 6 8" xfId="1582"/>
    <cellStyle name="Normal 6 8 2" xfId="1583"/>
    <cellStyle name="Normal 6 8 2 2" xfId="1584"/>
    <cellStyle name="Normal 6 8 3" xfId="1585"/>
    <cellStyle name="Normal 6 8 4" xfId="1586"/>
    <cellStyle name="Normal 6 9" xfId="1587"/>
    <cellStyle name="Normal 6 9 2" xfId="1588"/>
    <cellStyle name="Normal 6 9 2 2" xfId="1589"/>
    <cellStyle name="Normal 6 9 3" xfId="1590"/>
    <cellStyle name="Normal 6 9 4" xfId="1591"/>
    <cellStyle name="Normal 7" xfId="1592"/>
    <cellStyle name="Normal 7 10" xfId="1593"/>
    <cellStyle name="Normal 7 2" xfId="1594"/>
    <cellStyle name="Normal 7 2 2" xfId="1595"/>
    <cellStyle name="Normal 7 2 2 2" xfId="1596"/>
    <cellStyle name="Normal 7 2 2 3" xfId="1597"/>
    <cellStyle name="Normal 7 2 3" xfId="1598"/>
    <cellStyle name="Normal 7 2 3 2" xfId="1599"/>
    <cellStyle name="Normal 7 2 3 3" xfId="1600"/>
    <cellStyle name="Normal 7 2 4" xfId="1601"/>
    <cellStyle name="Normal 7 2 4 2" xfId="1602"/>
    <cellStyle name="Normal 7 2 5" xfId="1603"/>
    <cellStyle name="Normal 7 2 6" xfId="1604"/>
    <cellStyle name="Normal 7 2 7" xfId="1605"/>
    <cellStyle name="Normal 7 3" xfId="1606"/>
    <cellStyle name="Normal 7 3 2" xfId="1607"/>
    <cellStyle name="Normal 7 3 2 2" xfId="1608"/>
    <cellStyle name="Normal 7 3 2 3" xfId="1609"/>
    <cellStyle name="Normal 7 3 3" xfId="1610"/>
    <cellStyle name="Normal 7 3 3 2" xfId="1611"/>
    <cellStyle name="Normal 7 3 3 3" xfId="1612"/>
    <cellStyle name="Normal 7 3 4" xfId="1613"/>
    <cellStyle name="Normal 7 3 4 2" xfId="1614"/>
    <cellStyle name="Normal 7 3 5" xfId="1615"/>
    <cellStyle name="Normal 7 3 6" xfId="1616"/>
    <cellStyle name="Normal 7 4" xfId="1617"/>
    <cellStyle name="Normal 7 4 2" xfId="1618"/>
    <cellStyle name="Normal 7 4 2 2" xfId="1619"/>
    <cellStyle name="Normal 7 4 2 3" xfId="1620"/>
    <cellStyle name="Normal 7 4 3" xfId="1621"/>
    <cellStyle name="Normal 7 4 3 2" xfId="1622"/>
    <cellStyle name="Normal 7 4 3 3" xfId="1623"/>
    <cellStyle name="Normal 7 4 4" xfId="1624"/>
    <cellStyle name="Normal 7 4 4 2" xfId="1625"/>
    <cellStyle name="Normal 7 4 5" xfId="1626"/>
    <cellStyle name="Normal 7 4 6" xfId="1627"/>
    <cellStyle name="Normal 7 5" xfId="1628"/>
    <cellStyle name="Normal 7 5 2" xfId="1629"/>
    <cellStyle name="Normal 7 5 3" xfId="1630"/>
    <cellStyle name="Normal 7 6" xfId="1631"/>
    <cellStyle name="Normal 7 6 2" xfId="1632"/>
    <cellStyle name="Normal 7 6 3" xfId="1633"/>
    <cellStyle name="Normal 7 7" xfId="1634"/>
    <cellStyle name="Normal 7 7 2" xfId="1635"/>
    <cellStyle name="Normal 7 8" xfId="1636"/>
    <cellStyle name="Normal 7 9" xfId="1637"/>
    <cellStyle name="Normal 8" xfId="1638"/>
    <cellStyle name="Normal 8 2" xfId="1639"/>
    <cellStyle name="Normal 8 2 2" xfId="1640"/>
    <cellStyle name="Normal 8 2 2 2" xfId="1641"/>
    <cellStyle name="Normal 8 2 2 3" xfId="1642"/>
    <cellStyle name="Normal 8 2 3" xfId="1643"/>
    <cellStyle name="Normal 8 2 3 2" xfId="1644"/>
    <cellStyle name="Normal 8 2 3 3" xfId="1645"/>
    <cellStyle name="Normal 8 2 4" xfId="1646"/>
    <cellStyle name="Normal 8 2 4 2" xfId="1647"/>
    <cellStyle name="Normal 8 2 5" xfId="1648"/>
    <cellStyle name="Normal 8 2 6" xfId="1649"/>
    <cellStyle name="Normal 8 3" xfId="1650"/>
    <cellStyle name="Normal 8 3 2" xfId="1651"/>
    <cellStyle name="Normal 8 3 2 2" xfId="1652"/>
    <cellStyle name="Normal 8 3 2 3" xfId="1653"/>
    <cellStyle name="Normal 8 3 3" xfId="1654"/>
    <cellStyle name="Normal 8 3 3 2" xfId="1655"/>
    <cellStyle name="Normal 8 3 3 3" xfId="1656"/>
    <cellStyle name="Normal 8 3 4" xfId="1657"/>
    <cellStyle name="Normal 8 3 4 2" xfId="1658"/>
    <cellStyle name="Normal 8 3 5" xfId="1659"/>
    <cellStyle name="Normal 8 3 6" xfId="1660"/>
    <cellStyle name="Normal 8 4" xfId="1661"/>
    <cellStyle name="Normal 8 4 2" xfId="1662"/>
    <cellStyle name="Normal 8 4 2 2" xfId="1663"/>
    <cellStyle name="Normal 8 4 2 3" xfId="1664"/>
    <cellStyle name="Normal 8 4 3" xfId="1665"/>
    <cellStyle name="Normal 8 4 3 2" xfId="1666"/>
    <cellStyle name="Normal 8 4 3 3" xfId="1667"/>
    <cellStyle name="Normal 8 4 4" xfId="1668"/>
    <cellStyle name="Normal 8 4 4 2" xfId="1669"/>
    <cellStyle name="Normal 8 4 5" xfId="1670"/>
    <cellStyle name="Normal 8 4 6" xfId="1671"/>
    <cellStyle name="Normal 8 5" xfId="1672"/>
    <cellStyle name="Normal 8 5 2" xfId="1673"/>
    <cellStyle name="Normal 8 5 3" xfId="1674"/>
    <cellStyle name="Normal 8 6" xfId="1675"/>
    <cellStyle name="Normal 8 6 2" xfId="1676"/>
    <cellStyle name="Normal 8 6 3" xfId="1677"/>
    <cellStyle name="Normal 8 7" xfId="1678"/>
    <cellStyle name="Normal 8 7 2" xfId="1679"/>
    <cellStyle name="Normal 8 8" xfId="1680"/>
    <cellStyle name="Normal 8 9" xfId="1681"/>
    <cellStyle name="Normal 9" xfId="1682"/>
    <cellStyle name="Normal 9 10" xfId="1683"/>
    <cellStyle name="Normal 9 2" xfId="1684"/>
    <cellStyle name="Normal 9 2 2" xfId="1685"/>
    <cellStyle name="Normal 9 2 2 2" xfId="1686"/>
    <cellStyle name="Normal 9 2 2 3" xfId="1687"/>
    <cellStyle name="Normal 9 2 3" xfId="1688"/>
    <cellStyle name="Normal 9 2 3 2" xfId="1689"/>
    <cellStyle name="Normal 9 2 3 3" xfId="1690"/>
    <cellStyle name="Normal 9 2 4" xfId="1691"/>
    <cellStyle name="Normal 9 2 4 2" xfId="1692"/>
    <cellStyle name="Normal 9 2 5" xfId="1693"/>
    <cellStyle name="Normal 9 2 6" xfId="1694"/>
    <cellStyle name="Normal 9 3" xfId="1695"/>
    <cellStyle name="Normal 9 3 2" xfId="1696"/>
    <cellStyle name="Normal 9 3 2 2" xfId="1697"/>
    <cellStyle name="Normal 9 3 2 3" xfId="1698"/>
    <cellStyle name="Normal 9 3 3" xfId="1699"/>
    <cellStyle name="Normal 9 3 3 2" xfId="1700"/>
    <cellStyle name="Normal 9 3 3 3" xfId="1701"/>
    <cellStyle name="Normal 9 3 4" xfId="1702"/>
    <cellStyle name="Normal 9 3 4 2" xfId="1703"/>
    <cellStyle name="Normal 9 3 5" xfId="1704"/>
    <cellStyle name="Normal 9 3 6" xfId="1705"/>
    <cellStyle name="Normal 9 4" xfId="1706"/>
    <cellStyle name="Normal 9 4 2" xfId="1707"/>
    <cellStyle name="Normal 9 4 2 2" xfId="1708"/>
    <cellStyle name="Normal 9 4 2 3" xfId="1709"/>
    <cellStyle name="Normal 9 4 3" xfId="1710"/>
    <cellStyle name="Normal 9 4 4" xfId="1711"/>
    <cellStyle name="Normal 9 5" xfId="1712"/>
    <cellStyle name="Normal 9 5 2" xfId="1713"/>
    <cellStyle name="Normal 9 5 3" xfId="1714"/>
    <cellStyle name="Normal 9 6" xfId="1715"/>
    <cellStyle name="Normal 9 6 2" xfId="1716"/>
    <cellStyle name="Normal 9 6 3" xfId="1717"/>
    <cellStyle name="Normal 9 7" xfId="1718"/>
    <cellStyle name="Normal 9 7 2" xfId="1719"/>
    <cellStyle name="Normal 9 8" xfId="1720"/>
    <cellStyle name="Normal 9 9" xfId="1721"/>
    <cellStyle name="Percent 2" xfId="1722"/>
    <cellStyle name="Percent 2 2" xfId="1723"/>
    <cellStyle name="Percent 2 3" xfId="1724"/>
    <cellStyle name="Percent 2 3 2" xfId="1725"/>
    <cellStyle name="Percent 2 4" xfId="1726"/>
    <cellStyle name="Percent 2 4 2" xfId="1727"/>
    <cellStyle name="Percent 2 4 3" xfId="1728"/>
    <cellStyle name="Percent 2 5" xfId="1729"/>
    <cellStyle name="Percent 2 5 2" xfId="1730"/>
    <cellStyle name="Percent 2 6" xfId="1731"/>
    <cellStyle name="Percent 2 6 2" xfId="1732"/>
    <cellStyle name="Percent 2 6 3" xfId="1733"/>
    <cellStyle name="Percent 3" xfId="1734"/>
    <cellStyle name="Percent 3 2" xfId="1735"/>
    <cellStyle name="Percent 3 3" xfId="1736"/>
    <cellStyle name="Percent 3 4" xfId="1737"/>
    <cellStyle name="Percent 3 4 2" xfId="1738"/>
    <cellStyle name="Percent 3 4 3" xfId="1739"/>
    <cellStyle name="Percent 4" xfId="1740"/>
    <cellStyle name="Percent 4 2" xfId="1741"/>
    <cellStyle name="Percent 5" xfId="1742"/>
    <cellStyle name="Percent 5 2" xfId="1743"/>
    <cellStyle name="Percent 6" xfId="1744"/>
    <cellStyle name="Percent 7" xfId="1745"/>
    <cellStyle name="phx-col-head-last" xfId="1746"/>
    <cellStyle name="phx-header" xfId="1747"/>
    <cellStyle name="phx-source" xfId="1748"/>
    <cellStyle name="phx-subhead" xfId="1749"/>
    <cellStyle name="PROTECTED" xfId="1750"/>
    <cellStyle name="sideways" xfId="1751"/>
    <cellStyle name="tons" xfId="1752"/>
    <cellStyle name="UNPROTECTED" xfId="1753"/>
    <cellStyle name="year" xfId="1754"/>
    <cellStyle name="YEARS" xfId="1755"/>
    <cellStyle name="Hyperlink" xfId="1756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jpeg" Id="rId1" /><Relationship Type="http://schemas.openxmlformats.org/officeDocument/2006/relationships/image" Target="/xl/media/image6.jpe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jpeg" Id="rId1" /><Relationship Type="http://schemas.openxmlformats.org/officeDocument/2006/relationships/image" Target="/xl/media/image8.jpeg" Id="rId2" /><Relationship Type="http://schemas.openxmlformats.org/officeDocument/2006/relationships/image" Target="/xl/media/image9.jpeg" Id="rId3" /><Relationship Type="http://schemas.openxmlformats.org/officeDocument/2006/relationships/image" Target="/xl/media/image10.jpeg" Id="rId4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1.jpeg" Id="rId1" /><Relationship Type="http://schemas.openxmlformats.org/officeDocument/2006/relationships/image" Target="/xl/media/image12.jpe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jpeg" Id="rId1" /><Relationship Type="http://schemas.openxmlformats.org/officeDocument/2006/relationships/image" Target="/xl/media/image14.jpeg" Id="rId2" /><Relationship Type="http://schemas.openxmlformats.org/officeDocument/2006/relationships/image" Target="/xl/media/image15.jpeg" Id="rId3" /><Relationship Type="http://schemas.openxmlformats.org/officeDocument/2006/relationships/image" Target="/xl/media/image16.jpeg" Id="rId4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7.jpeg" Id="rId1" /><Relationship Type="http://schemas.openxmlformats.org/officeDocument/2006/relationships/image" Target="/xl/media/image18.jpe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9.jpeg" Id="rId1" /><Relationship Type="http://schemas.openxmlformats.org/officeDocument/2006/relationships/image" Target="/xl/media/image20.jpeg" Id="rId2" /><Relationship Type="http://schemas.openxmlformats.org/officeDocument/2006/relationships/image" Target="/xl/media/image21.jpeg" Id="rId3" /><Relationship Type="http://schemas.openxmlformats.org/officeDocument/2006/relationships/image" Target="/xl/media/image22.jpeg" Id="rId4" /></Relationships>
</file>

<file path=xl/drawings/_rels/drawing8.xml.rels><Relationships xmlns="http://schemas.openxmlformats.org/package/2006/relationships"><Relationship Type="http://schemas.openxmlformats.org/officeDocument/2006/relationships/image" Target="/xl/media/image23.jpeg" Id="rId1" /><Relationship Type="http://schemas.openxmlformats.org/officeDocument/2006/relationships/image" Target="/xl/media/image24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438150</colOff>
      <row>33</row>
      <rowOff>25400</rowOff>
    </from>
    <to>
      <col>13</col>
      <colOff>734484</colOff>
      <row>34</row>
      <rowOff>101601</rowOff>
    </to>
    <pic>
      <nvPicPr>
        <cNvPr id="2" name="Picture 2" descr="canada-bl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8562975" y="5216525"/>
          <a:ext cx="915459" cy="2190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12</col>
      <colOff>438150</colOff>
      <row>33</row>
      <rowOff>25400</rowOff>
    </from>
    <to>
      <col>13</col>
      <colOff>734484</colOff>
      <row>34</row>
      <rowOff>101601</rowOff>
    </to>
    <pic>
      <nvPicPr>
        <cNvPr id="3" name="Picture 2" descr="canada-bl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8562975" y="5216525"/>
          <a:ext cx="915459" cy="2190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12</col>
      <colOff>438150</colOff>
      <row>33</row>
      <rowOff>25400</rowOff>
    </from>
    <to>
      <col>13</col>
      <colOff>734484</colOff>
      <row>34</row>
      <rowOff>101601</rowOff>
    </to>
    <pic>
      <nvPicPr>
        <cNvPr id="4" name="Picture 6" descr="canada-bl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8562975" y="5216525"/>
          <a:ext cx="915459" cy="2190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0</colOff>
      <row>0</row>
      <rowOff>57150</rowOff>
    </from>
    <to>
      <col>3</col>
      <colOff>209550</colOff>
      <row>0</row>
      <rowOff>361950</rowOff>
    </to>
    <pic>
      <nvPicPr>
        <cNvPr id="5" name="Picture 4" descr="CER-REC-Logo-RGB-ENG (55)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0" y="57150"/>
          <a:ext cx="3248025" cy="304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438150</colOff>
      <row>33</row>
      <rowOff>25400</rowOff>
    </from>
    <to>
      <col>14</col>
      <colOff>19050</colOff>
      <row>34</row>
      <rowOff>101600</rowOff>
    </to>
    <pic>
      <nvPicPr>
        <cNvPr id="2" name="Picture 2" descr="canada-bl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8429625" y="5226050"/>
          <a:ext cx="933450" cy="2190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19050</colOff>
      <row>0</row>
      <rowOff>38100</rowOff>
    </from>
    <to>
      <col>3</col>
      <colOff>247650</colOff>
      <row>0</row>
      <rowOff>342900</rowOff>
    </to>
    <pic>
      <nvPicPr>
        <cNvPr id="3" name="Picture 4" descr="CER-REC-Logo-RGB-ENG (55)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050" y="38100"/>
          <a:ext cx="3248025" cy="304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438150</colOff>
      <row>33</row>
      <rowOff>25400</rowOff>
    </from>
    <to>
      <col>13</col>
      <colOff>734484</colOff>
      <row>34</row>
      <rowOff>101601</rowOff>
    </to>
    <pic>
      <nvPicPr>
        <cNvPr id="2" name="Picture 2" descr="canada-bl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8534400" y="5197475"/>
          <a:ext cx="909109" cy="2190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12</col>
      <colOff>438150</colOff>
      <row>33</row>
      <rowOff>25400</rowOff>
    </from>
    <to>
      <col>13</col>
      <colOff>734484</colOff>
      <row>34</row>
      <rowOff>101601</rowOff>
    </to>
    <pic>
      <nvPicPr>
        <cNvPr id="3" name="Picture 2" descr="canada-bl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8534400" y="5197475"/>
          <a:ext cx="909109" cy="2190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12</col>
      <colOff>438150</colOff>
      <row>33</row>
      <rowOff>25400</rowOff>
    </from>
    <to>
      <col>13</col>
      <colOff>734484</colOff>
      <row>34</row>
      <rowOff>101601</rowOff>
    </to>
    <pic>
      <nvPicPr>
        <cNvPr id="4" name="Picture 6" descr="canada-bl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8534400" y="5197475"/>
          <a:ext cx="909109" cy="2190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0</colOff>
      <row>0</row>
      <rowOff>57150</rowOff>
    </from>
    <to>
      <col>3</col>
      <colOff>209550</colOff>
      <row>0</row>
      <rowOff>361950</rowOff>
    </to>
    <pic>
      <nvPicPr>
        <cNvPr id="5" name="Picture 4" descr="CER-REC-Logo-RGB-ENG (55)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0" y="57150"/>
          <a:ext cx="3248025" cy="304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438150</colOff>
      <row>33</row>
      <rowOff>25400</rowOff>
    </from>
    <to>
      <col>14</col>
      <colOff>19050</colOff>
      <row>34</row>
      <rowOff>101600</rowOff>
    </to>
    <pic>
      <nvPicPr>
        <cNvPr id="2" name="Picture 2" descr="canada-bl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8429625" y="5226050"/>
          <a:ext cx="933450" cy="2254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19050</colOff>
      <row>0</row>
      <rowOff>38100</rowOff>
    </from>
    <to>
      <col>3</col>
      <colOff>247650</colOff>
      <row>0</row>
      <rowOff>342900</rowOff>
    </to>
    <pic>
      <nvPicPr>
        <cNvPr id="3" name="Picture 4" descr="CER-REC-Logo-RGB-ENG (55)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050" y="38100"/>
          <a:ext cx="3247685" cy="304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438150</colOff>
      <row>33</row>
      <rowOff>25400</rowOff>
    </from>
    <to>
      <col>13</col>
      <colOff>728134</colOff>
      <row>34</row>
      <rowOff>101600</rowOff>
    </to>
    <pic>
      <nvPicPr>
        <cNvPr id="2" name="Picture 2" descr="canada-bl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8534400" y="5197475"/>
          <a:ext cx="914400" cy="2190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12</col>
      <colOff>438150</colOff>
      <row>33</row>
      <rowOff>25400</rowOff>
    </from>
    <to>
      <col>13</col>
      <colOff>728134</colOff>
      <row>34</row>
      <rowOff>101600</rowOff>
    </to>
    <pic>
      <nvPicPr>
        <cNvPr id="3" name="Picture 2" descr="canada-bl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8534400" y="5197475"/>
          <a:ext cx="914400" cy="2190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12</col>
      <colOff>438150</colOff>
      <row>33</row>
      <rowOff>25400</rowOff>
    </from>
    <to>
      <col>13</col>
      <colOff>728134</colOff>
      <row>34</row>
      <rowOff>101600</rowOff>
    </to>
    <pic>
      <nvPicPr>
        <cNvPr id="4" name="Picture 6" descr="canada-bl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8534400" y="5197475"/>
          <a:ext cx="914400" cy="2190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0</colOff>
      <row>0</row>
      <rowOff>57150</rowOff>
    </from>
    <to>
      <col>3</col>
      <colOff>209550</colOff>
      <row>0</row>
      <rowOff>361950</rowOff>
    </to>
    <pic>
      <nvPicPr>
        <cNvPr id="5" name="Picture 4" descr="CER-REC-Logo-RGB-ENG (55)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0" y="57150"/>
          <a:ext cx="3248025" cy="304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438150</colOff>
      <row>33</row>
      <rowOff>25400</rowOff>
    </from>
    <to>
      <col>14</col>
      <colOff>19050</colOff>
      <row>34</row>
      <rowOff>107950</rowOff>
    </to>
    <pic>
      <nvPicPr>
        <cNvPr id="2" name="Picture 2" descr="canada-bl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8429625" y="5226050"/>
          <a:ext cx="933450" cy="2254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19050</colOff>
      <row>0</row>
      <rowOff>38100</rowOff>
    </from>
    <to>
      <col>3</col>
      <colOff>247650</colOff>
      <row>0</row>
      <rowOff>342900</rowOff>
    </to>
    <pic>
      <nvPicPr>
        <cNvPr id="3" name="Picture 4" descr="CER-REC-Logo-RGB-ENG (55)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050" y="38100"/>
          <a:ext cx="3248025" cy="304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438150</colOff>
      <row>33</row>
      <rowOff>25400</rowOff>
    </from>
    <to>
      <col>14</col>
      <colOff>19050</colOff>
      <row>34</row>
      <rowOff>101600</rowOff>
    </to>
    <pic>
      <nvPicPr>
        <cNvPr id="8329" name="Picture 2" descr="canada-bl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8496300" y="5060950"/>
          <a:ext cx="908050" cy="209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12</col>
      <colOff>438150</colOff>
      <row>33</row>
      <rowOff>25400</rowOff>
    </from>
    <to>
      <col>14</col>
      <colOff>19050</colOff>
      <row>34</row>
      <rowOff>101600</rowOff>
    </to>
    <pic>
      <nvPicPr>
        <cNvPr id="8330" name="Picture 2" descr="canada-bl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8496300" y="5060950"/>
          <a:ext cx="908050" cy="209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12</col>
      <colOff>438150</colOff>
      <row>33</row>
      <rowOff>25400</rowOff>
    </from>
    <to>
      <col>14</col>
      <colOff>19050</colOff>
      <row>34</row>
      <rowOff>101600</rowOff>
    </to>
    <pic>
      <nvPicPr>
        <cNvPr id="8331" name="Picture 6" descr="canada-bl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8496300" y="5060950"/>
          <a:ext cx="908050" cy="209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0</colOff>
      <row>0</row>
      <rowOff>57150</rowOff>
    </from>
    <to>
      <col>3</col>
      <colOff>209550</colOff>
      <row>0</row>
      <rowOff>361950</rowOff>
    </to>
    <pic>
      <nvPicPr>
        <cNvPr id="8332" name="Picture 4" descr="CER-REC-Logo-RGB-ENG (55)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0" y="57150"/>
          <a:ext cx="3238500" cy="304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438150</colOff>
      <row>33</row>
      <rowOff>25400</rowOff>
    </from>
    <to>
      <col>14</col>
      <colOff>19050</colOff>
      <row>34</row>
      <rowOff>107950</rowOff>
    </to>
    <pic>
      <nvPicPr>
        <cNvPr id="9285" name="Picture 2" descr="canada-bl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8426450" y="4984750"/>
          <a:ext cx="933450" cy="2159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19050</colOff>
      <row>0</row>
      <rowOff>38100</rowOff>
    </from>
    <to>
      <col>3</col>
      <colOff>247650</colOff>
      <row>0</row>
      <rowOff>342900</rowOff>
    </to>
    <pic>
      <nvPicPr>
        <cNvPr id="9286" name="Picture 4" descr="CER-REC-Logo-RGB-ENG (55)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050" y="38100"/>
          <a:ext cx="3244850" cy="304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shboard.saskatchewan.ca/business-economy/business-industry-trade/oil-production" TargetMode="External" Id="rId1" /><Relationship Type="http://schemas.openxmlformats.org/officeDocument/2006/relationships/hyperlink" Target="https://www2.gnb.ca/content/dam/gnb/Departments/en/pdf/Minerals-Minerales/Monthly_Statistics.pdf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H19" sqref="H19"/>
    </sheetView>
  </sheetViews>
  <sheetFormatPr baseColWidth="8" defaultRowHeight="10.5"/>
  <sheetData>
    <row r="1">
      <c r="A1" t="inlineStr">
        <is>
          <t>Forecasted values are no longer available in this publication.</t>
        </is>
      </c>
    </row>
    <row r="2">
      <c r="A2" t="inlineStr">
        <is>
          <t>For the latest projections of crude oil and natural gas production in Canada please visit the Canada’s Energy Future main page.</t>
        </is>
      </c>
    </row>
    <row r="4">
      <c r="A4" t="inlineStr">
        <is>
          <t>Data Sources / Sources de données</t>
        </is>
      </c>
    </row>
    <row r="6">
      <c r="A6" t="inlineStr">
        <is>
          <t>BC</t>
        </is>
      </c>
      <c r="B6" t="inlineStr">
        <is>
          <t>https://www2.gov.bc.ca/gov/content/industry/natural-gas-oil/statistics</t>
        </is>
      </c>
    </row>
    <row r="7">
      <c r="A7" t="inlineStr">
        <is>
          <t>AB</t>
        </is>
      </c>
      <c r="B7" t="inlineStr">
        <is>
          <t>https://www.aer.ca/providing-information/data-and-reports/statistical-reports/st3</t>
        </is>
      </c>
    </row>
    <row r="8">
      <c r="A8" t="inlineStr">
        <is>
          <t>SK</t>
        </is>
      </c>
      <c r="B8" s="61" t="inlineStr">
        <is>
          <t>https://dashboard.saskatchewan.ca/business-economy/business-industry-trade/oil-production#by-type-tab</t>
        </is>
      </c>
    </row>
    <row r="9">
      <c r="A9" t="inlineStr">
        <is>
          <t>MB</t>
        </is>
      </c>
      <c r="B9" t="inlineStr">
        <is>
          <t>https://www.manitoba.ca/iem/petroleum/reports/index.html</t>
        </is>
      </c>
    </row>
    <row r="10">
      <c r="A10" t="inlineStr">
        <is>
          <t>NWT</t>
        </is>
      </c>
      <c r="B10" t="inlineStr">
        <is>
          <t>https://www.statsnwt.ca/economy/oil-gas/</t>
        </is>
      </c>
    </row>
    <row r="11">
      <c r="A11" t="inlineStr">
        <is>
          <t>ON</t>
        </is>
      </c>
      <c r="B11" t="inlineStr">
        <is>
          <t>https://www150.statcan.gc.ca/t1/tbl1/en/tv.action?pid=2510006301</t>
        </is>
      </c>
    </row>
    <row r="12">
      <c r="A12" t="inlineStr">
        <is>
          <t>NS</t>
        </is>
      </c>
      <c r="B12" t="inlineStr">
        <is>
          <t>https://www.cnsopb.ns.ca/offshore-activity//legacy-production-projects/cohasset-panuke</t>
        </is>
      </c>
    </row>
    <row r="13">
      <c r="A13" t="inlineStr">
        <is>
          <t>NB</t>
        </is>
      </c>
      <c r="B13" s="61" t="inlineStr">
        <is>
          <t>https://www2.gnb.ca/content/dam/gnb/Departments/en/pdf/Minerals-Minerales/Monthly_Statistics.pdf</t>
        </is>
      </c>
    </row>
    <row r="14">
      <c r="A14" t="inlineStr">
        <is>
          <t>NL</t>
        </is>
      </c>
      <c r="B14" t="inlineStr">
        <is>
          <t>https://www.cnlopb.ca/information/statistics/</t>
        </is>
      </c>
    </row>
    <row r="16">
      <c r="A16" t="inlineStr">
        <is>
          <t>Calculations</t>
        </is>
      </c>
    </row>
    <row r="18">
      <c r="A18" t="inlineStr">
        <is>
          <t>BC</t>
        </is>
      </c>
      <c r="B18" t="inlineStr">
        <is>
          <t>Light Crude Oil: B.C. Oil Production Report file</t>
        </is>
      </c>
    </row>
    <row r="19">
      <c r="B19" t="inlineStr">
        <is>
          <t>Condensate: Pentanes Plus from B.C. By-Products Production file + Wellhead Condensate from B.C. Oil Production Report file</t>
        </is>
      </c>
    </row>
    <row r="20">
      <c r="A20" t="inlineStr">
        <is>
          <t>AB</t>
        </is>
      </c>
      <c r="B20" t="inlineStr">
        <is>
          <t>Light Crude Oil: Crude Oil Light + Crude Oil Medium from Oil Supply and Disposition file</t>
        </is>
      </c>
    </row>
    <row r="21">
      <c r="B21" t="inlineStr">
        <is>
          <t>Heavy Crude Oil: Crude Oil Heavy + Crude Oil Ultra-Heavy from Oil Supply and Disposition file</t>
        </is>
      </c>
    </row>
    <row r="22">
      <c r="B22" t="inlineStr">
        <is>
          <t>AB Upgraded Bitumen: Upgraded Production from Oil Supply and Disposition file</t>
        </is>
      </c>
    </row>
    <row r="23">
      <c r="B23" t="inlineStr">
        <is>
          <t>AB Non-Upgraded Bitumen: Nonupgraded Total from Oil Supply and Disposition file</t>
        </is>
      </c>
    </row>
    <row r="24">
      <c r="B24" t="inlineStr">
        <is>
          <t>Condensate: Condensate Production + Pentanes Plus - Plant/Gathering Process + Pentanes Plus - Fractionation Yield from Oil Supply and Disposition file</t>
        </is>
      </c>
    </row>
    <row r="25">
      <c r="A25" t="inlineStr">
        <is>
          <t>SK</t>
        </is>
      </c>
      <c r="B25" t="inlineStr">
        <is>
          <t>Light Crude Oil: Light from Saskatchewan Oil Production by Type table</t>
        </is>
      </c>
    </row>
    <row r="26">
      <c r="B26" t="inlineStr">
        <is>
          <t>Heavy Crude Oil: Medium + Heavy from Saskatchewan Oil Production by Type table</t>
        </is>
      </c>
    </row>
    <row r="27">
      <c r="A27" t="inlineStr">
        <is>
          <t>MB</t>
        </is>
      </c>
      <c r="B27" t="inlineStr">
        <is>
          <t>Light Crude Oil: Oil Fluid Type from MS Excel file</t>
        </is>
      </c>
    </row>
    <row r="28">
      <c r="A28" t="inlineStr">
        <is>
          <t>NWT</t>
        </is>
      </c>
      <c r="B28" t="inlineStr">
        <is>
          <t>Light Crude Oil: Total Oil Production from Crude Oil table</t>
        </is>
      </c>
    </row>
    <row r="29">
      <c r="A29" t="inlineStr">
        <is>
          <t>ON</t>
        </is>
      </c>
      <c r="B29" t="inlineStr">
        <is>
          <t>Light Crude Oil: Ontario Crude Oil Production from Statistics Canada. Table 25-10-0063-01  Supply and disposition of crude oil and equivalent</t>
        </is>
      </c>
    </row>
    <row r="30">
      <c r="A30" t="inlineStr">
        <is>
          <t>NS</t>
        </is>
      </c>
      <c r="B30" t="inlineStr">
        <is>
          <t>Currently no production from province</t>
        </is>
      </c>
    </row>
    <row r="31">
      <c r="A31" t="inlineStr">
        <is>
          <t>NB</t>
        </is>
      </c>
      <c r="B31" t="inlineStr">
        <is>
          <t>Light Crude Oil: Crude Oil from table</t>
        </is>
      </c>
    </row>
    <row r="32">
      <c r="A32" t="inlineStr">
        <is>
          <t>NL</t>
        </is>
      </c>
      <c r="B32" t="inlineStr">
        <is>
          <t xml:space="preserve">Light Crude Oil: Monthly Production Summary from the Hibernia, North Amethyst, Terra Nova and, White Rose fields in Resource Management tab </t>
        </is>
      </c>
    </row>
    <row r="33">
      <c r="B33" t="inlineStr">
        <is>
          <t xml:space="preserve">Heavy Crude Oil: Monthly Production Summary from the Hebron field in Resource Management tab </t>
        </is>
      </c>
    </row>
    <row r="35">
      <c r="A35" t="inlineStr">
        <is>
          <t xml:space="preserve">Les valeurs prévues ne sont plus disponibles dans cette publication. </t>
        </is>
      </c>
    </row>
    <row r="36">
      <c r="A36" t="inlineStr">
        <is>
          <t>Pour connaître les dernières projections relatives à la production de pétrole brut et de gaz naturel au Canada, consultez la page principale d’Avenir énergétique du Canada.</t>
        </is>
      </c>
    </row>
    <row r="38">
      <c r="A38" t="inlineStr">
        <is>
          <t>Calculs</t>
        </is>
      </c>
    </row>
    <row r="40">
      <c r="A40" t="inlineStr">
        <is>
          <t>BC</t>
        </is>
      </c>
      <c r="B40" t="inlineStr">
        <is>
          <t xml:space="preserve">Pétrole brut léger : Fichier du rapport sur la production en Colombie-Britannique </t>
        </is>
      </c>
    </row>
    <row r="41">
      <c r="B41" t="inlineStr">
        <is>
          <t>Condensats : Pentanes plus tirés du dossier sur la production de sous-produits en Colombie‑Britannique + condensats à la tête de puits tirés du dossier du rapport sur la production de pétrole en Colombie-Britannique</t>
        </is>
      </c>
    </row>
    <row r="42">
      <c r="A42" t="inlineStr">
        <is>
          <t>AB</t>
        </is>
      </c>
      <c r="B42" t="inlineStr">
        <is>
          <t>Pétrole brut léger : pétrole brut léger + pétrole brut moyen tirés du fichier sur l’approvisionnement et l’utilisation du pétrole</t>
        </is>
      </c>
    </row>
    <row r="43">
      <c r="B43" t="inlineStr">
        <is>
          <t>Pétrole brut lourd : Pétrole brut lourd + pétrole brut ultra lourd tirés du fichier sur l’approvisionnement et l’utilisation du pétrole</t>
        </is>
      </c>
    </row>
    <row r="44">
      <c r="B44" t="inlineStr">
        <is>
          <t>Bitume valorisé en Alberta : Production valorisée tirée du fichier sur l’approvisionnement et l’utilisation du pétrole</t>
        </is>
      </c>
    </row>
    <row r="45">
      <c r="B45" t="inlineStr">
        <is>
          <t>Bitume non valorisé en Alberta : Total non valorisé tiré du fichier sur l’approvisionnement et l’utilisation du pétrole</t>
        </is>
      </c>
    </row>
    <row r="46">
      <c r="B46" t="inlineStr">
        <is>
          <t>Condensats : Production de condensats + Pentanes plus - Procédé d’usine/de collecte + Pentanes plus - Rendement du fractionnement tirés du fichier sur l’approvisionnement et l’utilisation du pétrole</t>
        </is>
      </c>
    </row>
    <row r="47">
      <c r="A47" t="inlineStr">
        <is>
          <t>SK</t>
        </is>
      </c>
      <c r="B47" t="inlineStr">
        <is>
          <t>Pétrole brut léger : Tableau de la production de pétrole léger en Saskatchewan selon le type</t>
        </is>
      </c>
    </row>
    <row r="48">
      <c r="B48" t="inlineStr">
        <is>
          <t>Pétrole brut lourd : Tableau de la production de pétrole moyen + lourd en Saskatchewan selon le type</t>
        </is>
      </c>
    </row>
    <row r="49">
      <c r="A49" t="inlineStr">
        <is>
          <t>MB</t>
        </is>
      </c>
      <c r="B49" t="inlineStr">
        <is>
          <t>Pétrole brut léger : Type de fluide de pétrole tiré du fichier MS Excel</t>
        </is>
      </c>
    </row>
    <row r="50">
      <c r="A50" t="inlineStr">
        <is>
          <t>NWT</t>
        </is>
      </c>
      <c r="B50" t="inlineStr">
        <is>
          <t>Pétrole brut léger : Production totale de pétrole tirée du tableau du pétrole brut</t>
        </is>
      </c>
    </row>
    <row r="51">
      <c r="A51" t="inlineStr">
        <is>
          <t>ON</t>
        </is>
      </c>
      <c r="B51" t="inlineStr">
        <is>
          <t>Pétrole brut léger : Production de pétrole brut en Ontario selon Statistique Canada Tableau 25-10-0063-01 – Approvisionnement et utilisation du pétrole brut et équivalent</t>
        </is>
      </c>
    </row>
    <row r="52">
      <c r="A52" t="inlineStr">
        <is>
          <t>NS</t>
        </is>
      </c>
      <c r="B52" t="inlineStr">
        <is>
          <t>À l’heure actuelle, aucune production dans la province</t>
        </is>
      </c>
    </row>
    <row r="53">
      <c r="A53" t="inlineStr">
        <is>
          <t>NB</t>
        </is>
      </c>
      <c r="B53" t="inlineStr">
        <is>
          <t>Pétrole brut léger : Pétrole brut tiré du tableau</t>
        </is>
      </c>
    </row>
    <row r="54">
      <c r="A54" t="inlineStr">
        <is>
          <t>NL</t>
        </is>
      </c>
      <c r="B54" t="inlineStr">
        <is>
          <t xml:space="preserve">Pétrole brut léger : Sommaire mensuel de la production des champs Hibernia, North Amethyst, Terra Nova et White Rose sous l’onglet Gestion des ressources </t>
        </is>
      </c>
    </row>
    <row r="55">
      <c r="B55" t="inlineStr">
        <is>
          <t>Pétrole brut lourd : Sommaire mensuel de la production du champ Hebron sous l’onglet Gestion des ressources</t>
        </is>
      </c>
    </row>
  </sheetData>
  <hyperlinks>
    <hyperlink xmlns:r="http://schemas.openxmlformats.org/officeDocument/2006/relationships" ref="B8" location="by-type-tab" r:id="rId1"/>
    <hyperlink xmlns:r="http://schemas.openxmlformats.org/officeDocument/2006/relationships" ref="B13" r:id="rId2"/>
  </hyperlink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U58"/>
  <sheetViews>
    <sheetView tabSelected="1" showOutlineSymbols="0" zoomScaleNormal="100" zoomScaleSheetLayoutView="100" workbookViewId="0">
      <selection activeCell="G8" sqref="G8"/>
    </sheetView>
  </sheetViews>
  <sheetFormatPr baseColWidth="8" defaultColWidth="9.33203125" defaultRowHeight="9.949999999999999" customHeight="1" outlineLevelRow="3"/>
  <cols>
    <col width="33.5" customWidth="1" style="1" min="1" max="1"/>
    <col outlineLevel="1" width="9.83203125" customWidth="1" style="2" min="2" max="8"/>
    <col outlineLevel="1" width="10.33203125" customWidth="1" style="2" min="9" max="9"/>
    <col outlineLevel="1" width="9.83203125" customWidth="1" style="2" min="10" max="12"/>
    <col outlineLevel="1" width="10.83203125" bestFit="1" customWidth="1" style="2" min="13" max="13"/>
    <col width="15.6640625" customWidth="1" style="2" min="14" max="14"/>
    <col width="1.83203125" customWidth="1" style="1" min="15" max="15"/>
    <col width="9.33203125" customWidth="1" style="1" min="16" max="16"/>
    <col width="10.1640625" bestFit="1" customWidth="1" style="1" min="17" max="17"/>
    <col width="12.1640625" customWidth="1" style="1" min="18" max="18"/>
    <col width="9.33203125" customWidth="1" style="1" min="19" max="16384"/>
  </cols>
  <sheetData>
    <row r="1" ht="32.25" customHeight="1"/>
    <row r="2" ht="11.25" customHeight="1">
      <c r="A2" s="62" t="n">
        <v>45730</v>
      </c>
      <c r="H2" s="4" t="inlineStr">
        <is>
          <t>2024 ESTIMATED PRODUCTION OF CANADIAN CRUDE OIL AND EQUIVALENT  (m3/d)</t>
        </is>
      </c>
    </row>
    <row r="3" ht="10.5" customHeight="1">
      <c r="A3" s="6" t="n"/>
      <c r="H3" s="4" t="inlineStr">
        <is>
          <t>PRODUCTION ESTIMATIVE DE PÉTROLE BRUT ET D'ÉQUIVALENTS AU CANADA EN 2024 (M³/J)</t>
        </is>
      </c>
    </row>
    <row r="4" ht="11.25" customFormat="1" customHeight="1" s="7"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3" t="n">
        <v>2024</v>
      </c>
    </row>
    <row r="5" ht="11.25" customFormat="1" customHeight="1" s="7">
      <c r="B5" s="8" t="inlineStr">
        <is>
          <t>Jan/janv.</t>
        </is>
      </c>
      <c r="C5" s="8" t="inlineStr">
        <is>
          <t>Feb/fév.</t>
        </is>
      </c>
      <c r="D5" s="8" t="inlineStr">
        <is>
          <t>Mar/mars</t>
        </is>
      </c>
      <c r="E5" s="8" t="inlineStr">
        <is>
          <t>Apr/avr.</t>
        </is>
      </c>
      <c r="F5" s="8" t="inlineStr">
        <is>
          <t>May/mai</t>
        </is>
      </c>
      <c r="G5" s="8" t="inlineStr">
        <is>
          <t>June/juin</t>
        </is>
      </c>
      <c r="H5" s="8" t="inlineStr">
        <is>
          <t>July/juil.</t>
        </is>
      </c>
      <c r="I5" s="8" t="inlineStr">
        <is>
          <t>Aug/août</t>
        </is>
      </c>
      <c r="J5" s="8" t="inlineStr">
        <is>
          <t>Sep/sept.</t>
        </is>
      </c>
      <c r="K5" s="8" t="inlineStr">
        <is>
          <t>Oct/oct.</t>
        </is>
      </c>
      <c r="L5" s="8" t="inlineStr">
        <is>
          <t>Nov/nov.</t>
        </is>
      </c>
      <c r="M5" s="8" t="inlineStr">
        <is>
          <t>Dec/déc.</t>
        </is>
      </c>
      <c r="N5" s="8" t="inlineStr">
        <is>
          <t>Avg/moyenne</t>
        </is>
      </c>
    </row>
    <row r="6" ht="11.25" customFormat="1" customHeight="1" s="7">
      <c r="A6" s="9" t="inlineStr">
        <is>
          <t>CONV. LIGHT CRUDE OIL/</t>
        </is>
      </c>
      <c r="B6" s="2" t="inlineStr">
        <is>
          <t> </t>
        </is>
      </c>
      <c r="C6" s="2" t="inlineStr">
        <is>
          <t> </t>
        </is>
      </c>
      <c r="D6" s="2" t="inlineStr">
        <is>
          <t> </t>
        </is>
      </c>
      <c r="E6" s="2" t="inlineStr">
        <is>
          <t> </t>
        </is>
      </c>
      <c r="F6" s="2" t="inlineStr">
        <is>
          <t> </t>
        </is>
      </c>
      <c r="G6" s="2" t="inlineStr">
        <is>
          <t> </t>
        </is>
      </c>
      <c r="H6" s="2" t="inlineStr">
        <is>
          <t> </t>
        </is>
      </c>
      <c r="I6" s="2" t="inlineStr">
        <is>
          <t> </t>
        </is>
      </c>
      <c r="J6" s="2" t="inlineStr">
        <is>
          <t> </t>
        </is>
      </c>
      <c r="K6" s="2" t="inlineStr">
        <is>
          <t> </t>
        </is>
      </c>
      <c r="L6" s="2" t="inlineStr">
        <is>
          <t> </t>
        </is>
      </c>
      <c r="M6" s="2" t="inlineStr">
        <is>
          <t> </t>
        </is>
      </c>
      <c r="N6" s="2" t="n"/>
    </row>
    <row r="7" ht="11.25" customFormat="1" customHeight="1" s="7">
      <c r="A7" s="10" t="inlineStr">
        <is>
          <t>PÉTROLE BRUT LÉGER CLASS.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3" t="n"/>
    </row>
    <row r="8" outlineLevel="1" ht="11.25" customFormat="1" customHeight="1" s="12">
      <c r="A8" s="11" t="inlineStr">
        <is>
          <t>AB</t>
        </is>
      </c>
      <c r="B8" s="40" t="n">
        <v>57177.61189516129</v>
      </c>
      <c r="C8" s="40" t="n">
        <v>60127.57543103449</v>
      </c>
      <c r="D8" s="40" t="n">
        <v>61958.22076612903</v>
      </c>
      <c r="E8" s="40" t="n">
        <v>62286.78541666667</v>
      </c>
      <c r="F8" s="40" t="n">
        <v>60682.10685483871</v>
      </c>
      <c r="G8" s="40" t="n">
        <v>58429.70520833333</v>
      </c>
      <c r="H8" s="40" t="n">
        <v>58316.34375</v>
      </c>
      <c r="I8" s="40" t="n">
        <v>59574.30544354839</v>
      </c>
      <c r="J8" s="40" t="n">
        <v>58857.528125</v>
      </c>
      <c r="K8" s="40" t="n">
        <v>61811.83669354839</v>
      </c>
      <c r="L8" s="40" t="n">
        <v>64273.27291666667</v>
      </c>
      <c r="M8" s="40" t="n">
        <v>64646.0504032258</v>
      </c>
      <c r="N8" s="40" t="n">
        <v>60678.35843579235</v>
      </c>
      <c r="P8" s="7" t="n"/>
      <c r="Q8" s="7" t="n"/>
    </row>
    <row r="9" outlineLevel="1" ht="11.25" customFormat="1" customHeight="1" s="12">
      <c r="A9" s="11" t="inlineStr">
        <is>
          <t>BC</t>
        </is>
      </c>
      <c r="B9" s="40" t="n">
        <v>1506</v>
      </c>
      <c r="C9" s="40" t="n">
        <v>1592.103448275862</v>
      </c>
      <c r="D9" s="40" t="n">
        <v>1491.645161290323</v>
      </c>
      <c r="E9" s="40" t="n">
        <v>1868.3</v>
      </c>
      <c r="F9" s="40" t="n">
        <v>1571.193548387097</v>
      </c>
      <c r="G9" s="40" t="n">
        <v>1626.8</v>
      </c>
      <c r="H9" s="40" t="n">
        <v>1470</v>
      </c>
      <c r="I9" s="40" t="n">
        <v>1989.258064516129</v>
      </c>
      <c r="J9" s="40" t="n">
        <v>2052.066666666667</v>
      </c>
      <c r="K9" s="40" t="n">
        <v>1905.548387096774</v>
      </c>
      <c r="L9" s="40" t="n">
        <v>1950.533333333333</v>
      </c>
      <c r="M9" s="40" t="n">
        <v>1876.58064516129</v>
      </c>
      <c r="N9" s="40" t="n">
        <v>1741.035519125683</v>
      </c>
      <c r="P9" s="7" t="n"/>
      <c r="Q9" s="7" t="n"/>
    </row>
    <row r="10" outlineLevel="1" ht="11.25" customFormat="1" customHeight="1" s="12">
      <c r="A10" s="11" t="inlineStr">
        <is>
          <t>SK</t>
        </is>
      </c>
      <c r="B10" s="40" t="n">
        <v>23359.97741935484</v>
      </c>
      <c r="C10" s="40" t="n">
        <v>24458.24482758621</v>
      </c>
      <c r="D10" s="40" t="n">
        <v>24994.31935483871</v>
      </c>
      <c r="E10" s="40" t="n">
        <v>24979.14333333333</v>
      </c>
      <c r="F10" s="40" t="n">
        <v>23943.27096774194</v>
      </c>
      <c r="G10" s="40" t="n">
        <v>23043.38333333334</v>
      </c>
      <c r="H10" s="40" t="n">
        <v>22819.25806451613</v>
      </c>
      <c r="I10" s="40" t="n">
        <v>23667.82580645161</v>
      </c>
      <c r="J10" s="40" t="n">
        <v>23938.23333333334</v>
      </c>
      <c r="K10" s="40" t="n">
        <v>24448.42580645161</v>
      </c>
      <c r="L10" s="40" t="n">
        <v>24528.63333333334</v>
      </c>
      <c r="M10" s="40" t="n">
        <v>24198.48387096774</v>
      </c>
      <c r="N10" s="40" t="n">
        <v>24028.27677595628</v>
      </c>
      <c r="P10" s="7" t="n"/>
      <c r="Q10" s="7" t="n"/>
    </row>
    <row r="11" outlineLevel="1" ht="11.25" customFormat="1" customHeight="1" s="12">
      <c r="A11" s="11" t="inlineStr">
        <is>
          <t>MB</t>
        </is>
      </c>
      <c r="B11" s="40" t="n">
        <v>5943.135483870965</v>
      </c>
      <c r="C11" s="40" t="n">
        <v>6061.465517241381</v>
      </c>
      <c r="D11" s="40" t="n">
        <v>6235.387096774201</v>
      </c>
      <c r="E11" s="40" t="n">
        <v>6104.156666666665</v>
      </c>
      <c r="F11" s="40" t="n">
        <v>5856.364516129031</v>
      </c>
      <c r="G11" s="40" t="n">
        <v>5799.473333333332</v>
      </c>
      <c r="H11" s="40" t="n">
        <v>5867.074193548392</v>
      </c>
      <c r="I11" s="40" t="n">
        <v>5861.709677419355</v>
      </c>
      <c r="J11" s="40" t="n">
        <v>5776.430000000005</v>
      </c>
      <c r="K11" s="40" t="n">
        <v>5680.480645161294</v>
      </c>
      <c r="L11" s="40" t="n">
        <v>5530.850000000003</v>
      </c>
      <c r="M11" s="40" t="n"/>
      <c r="N11" s="40" t="n">
        <v>5883.219402985076</v>
      </c>
      <c r="P11" s="7" t="n"/>
      <c r="Q11" s="7" t="n"/>
    </row>
    <row r="12" outlineLevel="1" ht="11.25" customFormat="1" customHeight="1" s="12">
      <c r="A12" s="11" t="inlineStr">
        <is>
          <t>NWT/NT</t>
        </is>
      </c>
      <c r="B12" s="40" t="n">
        <v>608.7967741935485</v>
      </c>
      <c r="C12" s="40" t="n">
        <v>575.0862068965517</v>
      </c>
      <c r="D12" s="40" t="n">
        <v>645.4741935483871</v>
      </c>
      <c r="E12" s="40" t="n">
        <v>634.7533333333333</v>
      </c>
      <c r="F12" s="40" t="n">
        <v>655.2741935483871</v>
      </c>
      <c r="G12" s="40" t="n">
        <v>624.9233333333334</v>
      </c>
      <c r="H12" s="40" t="n">
        <v>556.3516129032258</v>
      </c>
      <c r="I12" s="40" t="n">
        <v>621.9967741935484</v>
      </c>
      <c r="J12" s="40" t="n">
        <v>621.3199999999999</v>
      </c>
      <c r="K12" s="40" t="n">
        <v>602.9354838709677</v>
      </c>
      <c r="L12" s="40" t="n">
        <v>596.0366666666666</v>
      </c>
      <c r="M12" s="40" t="n">
        <v>586.1741935483872</v>
      </c>
      <c r="N12" s="40" t="n">
        <v>610.8622950819672</v>
      </c>
      <c r="P12" s="7" t="n"/>
      <c r="Q12" s="7" t="n"/>
    </row>
    <row r="13" outlineLevel="1" ht="11.25" customFormat="1" customHeight="1" s="13">
      <c r="A13" s="11" t="inlineStr">
        <is>
          <t>NF/NL</t>
        </is>
      </c>
      <c r="B13" s="40" t="n">
        <v>10959.48387096774</v>
      </c>
      <c r="C13" s="40" t="n">
        <v>15775.96551724138</v>
      </c>
      <c r="D13" s="40" t="n">
        <v>12430.64516129032</v>
      </c>
      <c r="E13" s="40" t="n">
        <v>18389.23333333333</v>
      </c>
      <c r="F13" s="40" t="n">
        <v>15175.96774193548</v>
      </c>
      <c r="G13" s="40" t="n">
        <v>12979.1</v>
      </c>
      <c r="H13" s="40" t="n">
        <v>16268.90322580645</v>
      </c>
      <c r="I13" s="40" t="n">
        <v>17754.12903225806</v>
      </c>
      <c r="J13" s="40" t="n">
        <v>14776.63333333333</v>
      </c>
      <c r="K13" s="40" t="n">
        <v>12177.38709677419</v>
      </c>
      <c r="L13" s="40" t="n">
        <v>13877</v>
      </c>
      <c r="M13" s="40" t="n">
        <v>19247.41935483871</v>
      </c>
      <c r="N13" s="40" t="n">
        <v>14979.7650273224</v>
      </c>
      <c r="P13" s="7" t="n"/>
      <c r="Q13" s="7" t="n"/>
      <c r="U13" s="12" t="n"/>
    </row>
    <row r="14" outlineLevel="1" ht="11.25" customFormat="1" customHeight="1" s="13">
      <c r="A14" s="11" t="inlineStr">
        <is>
          <t>NB</t>
        </is>
      </c>
      <c r="B14" s="40" t="n">
        <v>4.474193548387096</v>
      </c>
      <c r="C14" s="40" t="n">
        <v>4.010344827586207</v>
      </c>
      <c r="D14" s="40" t="n">
        <v>3.538709677419355</v>
      </c>
      <c r="E14" s="40" t="n">
        <v>4.593333333333334</v>
      </c>
      <c r="F14" s="40" t="n">
        <v>3.232258064516129</v>
      </c>
      <c r="G14" s="40" t="n">
        <v>2.183333333333333</v>
      </c>
      <c r="H14" s="40" t="n">
        <v>3.235483870967742</v>
      </c>
      <c r="I14" s="40" t="n">
        <v>2.145161290322581</v>
      </c>
      <c r="J14" s="40" t="n"/>
      <c r="K14" s="40" t="n"/>
      <c r="L14" s="40" t="n"/>
      <c r="M14" s="40" t="n"/>
      <c r="N14" s="40" t="n">
        <v>3.422131147540984</v>
      </c>
      <c r="P14" s="7" t="n"/>
      <c r="Q14" s="7" t="n"/>
      <c r="U14" s="12" t="n"/>
    </row>
    <row r="15" outlineLevel="1" ht="11.25" customFormat="1" customHeight="1" s="13">
      <c r="A15" s="11" t="inlineStr">
        <is>
          <t>ON</t>
        </is>
      </c>
      <c r="B15" s="40" t="n">
        <v>76.29032258064517</v>
      </c>
      <c r="C15" s="40" t="n">
        <v>80.37931034482759</v>
      </c>
      <c r="D15" s="40" t="n">
        <v>82.7741935483871</v>
      </c>
      <c r="E15" s="40" t="n">
        <v>81.90000000000001</v>
      </c>
      <c r="F15" s="40" t="n">
        <v>80.48387096774194</v>
      </c>
      <c r="G15" s="40" t="n">
        <v>79.33333333333333</v>
      </c>
      <c r="H15" s="40" t="n">
        <v>78.58064516129032</v>
      </c>
      <c r="I15" s="40" t="n">
        <v>79.41935483870968</v>
      </c>
      <c r="J15" s="40" t="n">
        <v>78.66666666666667</v>
      </c>
      <c r="K15" s="40" t="n">
        <v>80.29032258064517</v>
      </c>
      <c r="L15" s="40" t="n"/>
      <c r="M15" s="40" t="n"/>
      <c r="N15" s="40" t="n">
        <v>79.80655737704917</v>
      </c>
      <c r="P15" s="7" t="n"/>
      <c r="Q15" s="7" t="n"/>
      <c r="U15" s="12" t="n"/>
    </row>
    <row r="16" ht="11.25" customFormat="1" customHeight="1" s="12">
      <c r="A16" s="30" t="inlineStr">
        <is>
          <t>SUB TOTAL/SOUS-TOTAL</t>
        </is>
      </c>
      <c r="B16" s="41">
        <f>SUM(B8:B15)</f>
        <v/>
      </c>
      <c r="C16" s="41">
        <f>SUM(C8:C15)</f>
        <v/>
      </c>
      <c r="D16" s="41">
        <f>SUM(D8:D15)</f>
        <v/>
      </c>
      <c r="E16" s="41">
        <f>SUM(E8:E15)</f>
        <v/>
      </c>
      <c r="F16" s="41">
        <f>SUM(F8:F15)</f>
        <v/>
      </c>
      <c r="G16" s="41">
        <f>SUM(G8:G15)</f>
        <v/>
      </c>
      <c r="H16" s="41">
        <f>SUM(H8:H15)</f>
        <v/>
      </c>
      <c r="I16" s="41">
        <f>SUM(I8:I15)</f>
        <v/>
      </c>
      <c r="J16" s="41">
        <f>SUM(J8:J15)</f>
        <v/>
      </c>
      <c r="K16" s="41">
        <f>SUM(K8:K15)</f>
        <v/>
      </c>
      <c r="L16" s="41">
        <f>SUM(L8:L15)</f>
        <v/>
      </c>
      <c r="M16" s="41">
        <f>SUM(M8:M15)</f>
        <v/>
      </c>
      <c r="N16" s="41" t="n">
        <v>106859.6256967213</v>
      </c>
      <c r="P16" s="7" t="n"/>
      <c r="Q16" s="7" t="n"/>
    </row>
    <row r="17" ht="22.5" customFormat="1" customHeight="1" s="12">
      <c r="A17" s="9" t="inlineStr">
        <is>
          <t>AB UPGRADED BITUMEN/ BITUME VALORISÉ-AB1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P17" s="7" t="n"/>
      <c r="Q17" s="7" t="n"/>
    </row>
    <row r="18" ht="11.25" customFormat="1" customHeight="1" s="12">
      <c r="A18" s="14" t="inlineStr">
        <is>
          <t>SUB TOTAL/SOUS-TOTAL</t>
        </is>
      </c>
      <c r="B18" s="40" t="n">
        <v>202817.0967741935</v>
      </c>
      <c r="C18" s="40" t="n">
        <v>205905.0862068966</v>
      </c>
      <c r="D18" s="40" t="n">
        <v>205836.8709677419</v>
      </c>
      <c r="E18" s="40" t="n">
        <v>195371.45</v>
      </c>
      <c r="F18" s="40" t="n">
        <v>162612.3225806452</v>
      </c>
      <c r="G18" s="40" t="n">
        <v>188903.4166666667</v>
      </c>
      <c r="H18" s="40" t="n">
        <v>210898.0322580645</v>
      </c>
      <c r="I18" s="40" t="n">
        <v>218775.3548387097</v>
      </c>
      <c r="J18" s="40" t="n">
        <v>191671.4</v>
      </c>
      <c r="K18" s="40" t="n">
        <v>198899.564516129</v>
      </c>
      <c r="L18" s="40" t="n">
        <v>217903.5166666667</v>
      </c>
      <c r="M18" s="40" t="n">
        <v>225978.8064516129</v>
      </c>
      <c r="N18" s="40" t="n">
        <v>202150.5478142076</v>
      </c>
      <c r="P18" s="7" t="n"/>
      <c r="Q18" s="7" t="n"/>
    </row>
    <row r="19" ht="11.25" customFormat="1" customHeight="1" s="12">
      <c r="A19" s="3" t="inlineStr">
        <is>
          <t>C5+ / CONDENSATE/C5+/CONDENSATS</t>
        </is>
      </c>
      <c r="B19" s="40" t="n"/>
      <c r="C19" s="40" t="n"/>
      <c r="D19" s="40" t="n"/>
      <c r="E19" s="40" t="n"/>
      <c r="F19" s="40" t="n"/>
      <c r="G19" s="59" t="n"/>
      <c r="H19" s="40" t="n"/>
      <c r="I19" s="40" t="n"/>
      <c r="J19" s="40" t="n"/>
      <c r="K19" s="40" t="n"/>
      <c r="L19" s="40" t="n"/>
      <c r="M19" s="40" t="n"/>
      <c r="N19" s="40" t="n"/>
      <c r="P19" s="7" t="n"/>
      <c r="Q19" s="7" t="n"/>
    </row>
    <row r="20" outlineLevel="1" ht="11.25" customFormat="1" customHeight="1" s="12">
      <c r="A20" s="11" t="inlineStr">
        <is>
          <t>AB</t>
        </is>
      </c>
      <c r="B20" s="40" t="n">
        <v>59736.09576612903</v>
      </c>
      <c r="C20" s="40" t="n">
        <v>60404.31465517241</v>
      </c>
      <c r="D20" s="40" t="n">
        <v>60234.45564516129</v>
      </c>
      <c r="E20" s="40" t="n">
        <v>61274.90833333333</v>
      </c>
      <c r="F20" s="40" t="n">
        <v>57953.00302419355</v>
      </c>
      <c r="G20" s="40" t="n">
        <v>60541.3875</v>
      </c>
      <c r="H20" s="40" t="n">
        <v>60809.60786290323</v>
      </c>
      <c r="I20" s="40" t="n">
        <v>65093.03830645161</v>
      </c>
      <c r="J20" s="40" t="n">
        <v>60077.39791666667</v>
      </c>
      <c r="K20" s="40" t="n">
        <v>66868.18346774194</v>
      </c>
      <c r="L20" s="40" t="n">
        <v>68928.39999999999</v>
      </c>
      <c r="M20" s="40" t="n">
        <v>67432.69858870968</v>
      </c>
      <c r="N20" s="40" t="n">
        <v>62454.44672131148</v>
      </c>
      <c r="P20" s="7" t="n"/>
      <c r="Q20" s="7" t="n"/>
    </row>
    <row r="21" outlineLevel="1" ht="11.25" customFormat="1" customHeight="1" s="12">
      <c r="A21" s="11" t="inlineStr">
        <is>
          <t>BC</t>
        </is>
      </c>
      <c r="B21" s="40" t="n">
        <v>19509.53548387097</v>
      </c>
      <c r="C21" s="40" t="n">
        <v>19556.71034482759</v>
      </c>
      <c r="D21" s="40" t="n">
        <v>19843.15161290323</v>
      </c>
      <c r="E21" s="40" t="n">
        <v>20041.20333333333</v>
      </c>
      <c r="F21" s="40" t="n">
        <v>19337.14193548387</v>
      </c>
      <c r="G21" s="40" t="n">
        <v>19943.90333333334</v>
      </c>
      <c r="H21" s="40" t="n">
        <v>18854.60322580646</v>
      </c>
      <c r="I21" s="40" t="n">
        <v>20545.0741935484</v>
      </c>
      <c r="J21" s="40" t="n">
        <v>20639.81666666667</v>
      </c>
      <c r="K21" s="40" t="n">
        <v>20045.67096774194</v>
      </c>
      <c r="L21" s="40" t="n">
        <v>21518.55000000001</v>
      </c>
      <c r="M21" s="40" t="n">
        <v>23949.62258064517</v>
      </c>
      <c r="N21" s="40" t="n">
        <v>20317.15191256831</v>
      </c>
      <c r="P21" s="7" t="n"/>
      <c r="Q21" s="7" t="n"/>
    </row>
    <row r="22" outlineLevel="1" ht="11.25" customFormat="1" customHeight="1" s="12">
      <c r="A22" s="11" t="inlineStr">
        <is>
          <t>SK</t>
        </is>
      </c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P22" s="7" t="n"/>
      <c r="Q22" s="7" t="n"/>
    </row>
    <row r="23" ht="11.25" customFormat="1" customHeight="1" s="13">
      <c r="A23" s="14" t="inlineStr">
        <is>
          <t>SUB TOTAL/SOUS-TOTAL</t>
        </is>
      </c>
      <c r="B23" s="40">
        <f>SUM(B20:B22)</f>
        <v/>
      </c>
      <c r="C23" s="40">
        <f>SUM(C20:C22)</f>
        <v/>
      </c>
      <c r="D23" s="40">
        <f>SUM(D20:D22)</f>
        <v/>
      </c>
      <c r="E23" s="40">
        <f>SUM(E20:E22)</f>
        <v/>
      </c>
      <c r="F23" s="40">
        <f>SUM(F20:F22)</f>
        <v/>
      </c>
      <c r="G23" s="40">
        <f>SUM(G20:G22)</f>
        <v/>
      </c>
      <c r="H23" s="40">
        <f>SUM(H20:H22)</f>
        <v/>
      </c>
      <c r="I23" s="40">
        <f>SUM(I20:I22)</f>
        <v/>
      </c>
      <c r="J23" s="40">
        <f>SUM(J20:J22)</f>
        <v/>
      </c>
      <c r="K23" s="40">
        <f>SUM(K20:K22)</f>
        <v/>
      </c>
      <c r="L23" s="40">
        <f>SUM(L20:L22)</f>
        <v/>
      </c>
      <c r="M23" s="40">
        <f>SUM(M20:M22)</f>
        <v/>
      </c>
      <c r="N23" s="40" t="n">
        <v>82771.59863387978</v>
      </c>
      <c r="P23" s="7" t="n"/>
      <c r="Q23" s="7" t="n"/>
    </row>
    <row r="24" ht="10.5" customFormat="1" customHeight="1" s="12">
      <c r="A24" s="16" t="inlineStr">
        <is>
          <t>TOTAL LIGHT/LÉGER</t>
        </is>
      </c>
      <c r="B24" s="41">
        <f>SUM(B23,B16,B18)</f>
        <v/>
      </c>
      <c r="C24" s="41">
        <f>SUM(C23,C16,C18)</f>
        <v/>
      </c>
      <c r="D24" s="41">
        <f>SUM(D23,D16,D18)</f>
        <v/>
      </c>
      <c r="E24" s="41">
        <f>SUM(E23,E16,E18)</f>
        <v/>
      </c>
      <c r="F24" s="41">
        <f>SUM(F23,F16,F18)</f>
        <v/>
      </c>
      <c r="G24" s="41">
        <f>SUM(G23,G16,G18)</f>
        <v/>
      </c>
      <c r="H24" s="41">
        <f>SUM(H23,H16,H18)</f>
        <v/>
      </c>
      <c r="I24" s="41">
        <f>SUM(I23,I16,I18)</f>
        <v/>
      </c>
      <c r="J24" s="41">
        <f>SUM(J23,J16,J18)</f>
        <v/>
      </c>
      <c r="K24" s="41">
        <f>SUM(K23,K16,K18)</f>
        <v/>
      </c>
      <c r="L24" s="41">
        <f>SUM(L23,L16,L18)</f>
        <v/>
      </c>
      <c r="M24" s="41">
        <f>SUM(M23,M16,M18)</f>
        <v/>
      </c>
      <c r="N24" s="41" t="n">
        <v>392414.1453210383</v>
      </c>
      <c r="P24" s="7" t="n"/>
      <c r="Q24" s="7" t="n"/>
    </row>
    <row r="25" outlineLevel="3" ht="10.5" customFormat="1" customHeight="1" s="12">
      <c r="A25" s="3" t="inlineStr">
        <is>
          <t>HEAVY CRUDE OIL/ PÉTROLE BRUT LOURD</t>
        </is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P25" s="7" t="n"/>
      <c r="Q25" s="7" t="n"/>
    </row>
    <row r="26" outlineLevel="3" ht="10.5" customFormat="1" customHeight="1" s="13">
      <c r="A26" s="11" t="inlineStr">
        <is>
          <t>AB CONV./CLASS.-AB</t>
        </is>
      </c>
      <c r="B26" s="40" t="n">
        <v>23488.82560483871</v>
      </c>
      <c r="C26" s="40" t="n">
        <v>24839.41648706896</v>
      </c>
      <c r="D26" s="40" t="n">
        <v>25007.15826612903</v>
      </c>
      <c r="E26" s="40" t="n">
        <v>24215.353125</v>
      </c>
      <c r="F26" s="40" t="n">
        <v>24897.23790322581</v>
      </c>
      <c r="G26" s="40" t="n">
        <v>25589.11302083333</v>
      </c>
      <c r="H26" s="40" t="n">
        <v>25049.77419354839</v>
      </c>
      <c r="I26" s="40" t="n">
        <v>25275.08618951613</v>
      </c>
      <c r="J26" s="40" t="n">
        <v>24818.77604166667</v>
      </c>
      <c r="K26" s="40" t="n">
        <v>24797.64415322581</v>
      </c>
      <c r="L26" s="40" t="n">
        <v>24294.52916666667</v>
      </c>
      <c r="M26" s="40" t="n">
        <v>24035.79284274194</v>
      </c>
      <c r="N26" s="40" t="n">
        <v>24691.18391393443</v>
      </c>
      <c r="P26" s="7" t="n"/>
      <c r="Q26" s="7" t="n"/>
    </row>
    <row r="27" outlineLevel="3" ht="20.25" customFormat="1" customHeight="1" s="13">
      <c r="A27" s="17" t="inlineStr">
        <is>
          <t>AB NON-UPGRADED BITUMEN / BITUME NON VALORISÉ-AB2</t>
        </is>
      </c>
      <c r="B27" s="40" t="n">
        <v>310846.2580645161</v>
      </c>
      <c r="C27" s="40" t="n">
        <v>325799.1379310345</v>
      </c>
      <c r="D27" s="40" t="n">
        <v>337501.0322580645</v>
      </c>
      <c r="E27" s="40" t="n">
        <v>330465.9666666667</v>
      </c>
      <c r="F27" s="40" t="n">
        <v>325103.6774193548</v>
      </c>
      <c r="G27" s="40" t="n">
        <v>332487.8666666666</v>
      </c>
      <c r="H27" s="40" t="n">
        <v>329266.6451612903</v>
      </c>
      <c r="I27" s="40" t="n">
        <v>324172.7419354839</v>
      </c>
      <c r="J27" s="40" t="n">
        <v>316994.9</v>
      </c>
      <c r="K27" s="40" t="n">
        <v>357247.2580645161</v>
      </c>
      <c r="L27" s="40" t="n">
        <v>344809.5666666667</v>
      </c>
      <c r="M27" s="40" t="n">
        <v>347134.3548387097</v>
      </c>
      <c r="N27" s="40" t="n">
        <v>331858.893442623</v>
      </c>
      <c r="P27" s="7" t="n"/>
      <c r="Q27" s="7" t="n"/>
    </row>
    <row r="28" outlineLevel="2" ht="10.5" customFormat="1" customHeight="1" s="12">
      <c r="A28" s="14" t="inlineStr">
        <is>
          <t>AB SUB TOTAL/SOUS-TOTAL -AB</t>
        </is>
      </c>
      <c r="B28" s="40">
        <f>SUM(B26:B27)</f>
        <v/>
      </c>
      <c r="C28" s="40">
        <f>SUM(C26:C27)</f>
        <v/>
      </c>
      <c r="D28" s="40">
        <f>SUM(D26:D27)</f>
        <v/>
      </c>
      <c r="E28" s="40">
        <f>SUM(E26:E27)</f>
        <v/>
      </c>
      <c r="F28" s="40">
        <f>SUM(F26:F27)</f>
        <v/>
      </c>
      <c r="G28" s="40">
        <f>SUM(G26:G27)</f>
        <v/>
      </c>
      <c r="H28" s="40">
        <f>SUM(H26:H27)</f>
        <v/>
      </c>
      <c r="I28" s="40">
        <f>SUM(I26:I27)</f>
        <v/>
      </c>
      <c r="J28" s="40">
        <f>SUM(J26:J27)</f>
        <v/>
      </c>
      <c r="K28" s="40">
        <f>SUM(K26:K27)</f>
        <v/>
      </c>
      <c r="L28" s="40">
        <f>SUM(L26:L27)</f>
        <v/>
      </c>
      <c r="M28" s="40">
        <f>SUM(M26:M27)</f>
        <v/>
      </c>
      <c r="N28" s="40" t="n">
        <v>356550.0773565574</v>
      </c>
      <c r="P28" s="7" t="n"/>
      <c r="Q28" s="7" t="n"/>
    </row>
    <row r="29" outlineLevel="2" ht="10.5" customFormat="1" customHeight="1" s="13">
      <c r="A29" s="11" t="inlineStr">
        <is>
          <t>SK CONV./CLASS.-SK</t>
        </is>
      </c>
      <c r="B29" s="40" t="n">
        <v>47401.1935483871</v>
      </c>
      <c r="C29" s="40" t="n">
        <v>48200.84827586207</v>
      </c>
      <c r="D29" s="40" t="n">
        <v>48117.78064516129</v>
      </c>
      <c r="E29" s="40" t="n">
        <v>48371.06999999999</v>
      </c>
      <c r="F29" s="40" t="n">
        <v>48227.81612903225</v>
      </c>
      <c r="G29" s="40" t="n">
        <v>47015.13333333333</v>
      </c>
      <c r="H29" s="40" t="n">
        <v>46681.66774193548</v>
      </c>
      <c r="I29" s="40" t="n">
        <v>47274.72258064517</v>
      </c>
      <c r="J29" s="40" t="n">
        <v>45197.77333333333</v>
      </c>
      <c r="K29" s="40" t="n">
        <v>46982.31290322581</v>
      </c>
      <c r="L29" s="60" t="n">
        <v>46869.48333333332</v>
      </c>
      <c r="M29" s="40" t="n">
        <v>47057.35161290323</v>
      </c>
      <c r="N29" s="40" t="n">
        <v>47282.66830601092</v>
      </c>
      <c r="P29" s="7" t="n"/>
      <c r="Q29" s="7" t="n"/>
    </row>
    <row r="30" outlineLevel="2" ht="10.5" customFormat="1" customHeight="1" s="13">
      <c r="A30" s="11" t="inlineStr">
        <is>
          <t>NL CONV</t>
        </is>
      </c>
      <c r="B30" s="40" t="n">
        <v>19261.90322580645</v>
      </c>
      <c r="C30" s="40" t="n">
        <v>17954.44827586207</v>
      </c>
      <c r="D30" s="40" t="n">
        <v>17831.83870967742</v>
      </c>
      <c r="E30" s="40" t="n">
        <v>16570.73333333333</v>
      </c>
      <c r="F30" s="40" t="n">
        <v>17052.58064516129</v>
      </c>
      <c r="G30" s="40" t="n">
        <v>17007.93333333333</v>
      </c>
      <c r="H30" s="40" t="n">
        <v>17877.54838709677</v>
      </c>
      <c r="I30" s="40" t="n">
        <v>18517.70967741936</v>
      </c>
      <c r="J30" s="40" t="n">
        <v>19963.26666666667</v>
      </c>
      <c r="K30" s="40" t="n">
        <v>19072.25806451613</v>
      </c>
      <c r="L30" s="40" t="n">
        <v>18423.06666666667</v>
      </c>
      <c r="M30" s="40" t="n">
        <v>19200.1935483871</v>
      </c>
      <c r="N30" s="40" t="n">
        <v>18231.86885245902</v>
      </c>
      <c r="P30" s="7" t="n"/>
      <c r="Q30" s="7" t="n"/>
    </row>
    <row r="31" outlineLevel="1" ht="12" customFormat="1" customHeight="1" s="12" thickBot="1">
      <c r="A31" s="27" t="inlineStr">
        <is>
          <t>TOTAL HEAVY/LOURD3</t>
        </is>
      </c>
      <c r="B31" s="39">
        <f>SUM(B28:B30)</f>
        <v/>
      </c>
      <c r="C31" s="39">
        <f>SUM(C28:C30)</f>
        <v/>
      </c>
      <c r="D31" s="39">
        <f>SUM(D28:D30)</f>
        <v/>
      </c>
      <c r="E31" s="39">
        <f>SUM(E28:E30)</f>
        <v/>
      </c>
      <c r="F31" s="39">
        <f>SUM(F28:F30)</f>
        <v/>
      </c>
      <c r="G31" s="39">
        <f>SUM(G28:G30)</f>
        <v/>
      </c>
      <c r="H31" s="39">
        <f>SUM(H28:H30)</f>
        <v/>
      </c>
      <c r="I31" s="39">
        <f>SUM(I28:I30)</f>
        <v/>
      </c>
      <c r="J31" s="39">
        <f>SUM(J28:J30)</f>
        <v/>
      </c>
      <c r="K31" s="39">
        <f>SUM(K28:K30)</f>
        <v/>
      </c>
      <c r="L31" s="39">
        <f>SUM(L28:L30)</f>
        <v/>
      </c>
      <c r="M31" s="39">
        <f>SUM(M28:M30)</f>
        <v/>
      </c>
      <c r="N31" s="39" t="n">
        <v>422064.6145150273</v>
      </c>
      <c r="P31" s="7" t="n"/>
      <c r="Q31" s="7" t="n"/>
    </row>
    <row r="32" outlineLevel="1" ht="12" customFormat="1" customHeight="1" s="12" thickBot="1">
      <c r="A32" s="27" t="inlineStr">
        <is>
          <t>TOTAL PRODUCTION</t>
        </is>
      </c>
      <c r="B32" s="39">
        <f>SUM(B31,B24)</f>
        <v/>
      </c>
      <c r="C32" s="39">
        <f>SUM(C31,C24)</f>
        <v/>
      </c>
      <c r="D32" s="39">
        <f>SUM(D31,D24)</f>
        <v/>
      </c>
      <c r="E32" s="39">
        <f>SUM(E31,E24)</f>
        <v/>
      </c>
      <c r="F32" s="39">
        <f>SUM(F31,F24)</f>
        <v/>
      </c>
      <c r="G32" s="39">
        <f>SUM(G31,G24)</f>
        <v/>
      </c>
      <c r="H32" s="39">
        <f>SUM(H31,H24)</f>
        <v/>
      </c>
      <c r="I32" s="39">
        <f>SUM(I31,I24)</f>
        <v/>
      </c>
      <c r="J32" s="39">
        <f>SUM(J31,J24)</f>
        <v/>
      </c>
      <c r="K32" s="39">
        <f>SUM(K31,K24)</f>
        <v/>
      </c>
      <c r="L32" s="39">
        <f>SUM(L31,L24)</f>
        <v/>
      </c>
      <c r="M32" s="39">
        <f>SUM(M31,M24)</f>
        <v/>
      </c>
      <c r="N32" s="39" t="n">
        <v>814478.7598360656</v>
      </c>
      <c r="P32" s="7" t="n"/>
      <c r="Q32" s="7" t="n"/>
    </row>
    <row r="33" outlineLevel="1" ht="11.25" customHeight="1">
      <c r="A33" s="8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P33" s="7" t="n"/>
      <c r="Q33" s="7" t="n"/>
    </row>
    <row r="34" outlineLevel="1" ht="11.25" customHeight="1">
      <c r="A34" s="8" t="n"/>
      <c r="B34" s="36" t="n"/>
      <c r="C34" s="36" t="n"/>
      <c r="D34" s="36" t="n"/>
      <c r="E34" s="36" t="n"/>
      <c r="F34" s="36" t="n"/>
      <c r="G34" s="36" t="n"/>
      <c r="H34" s="35" t="n"/>
      <c r="I34" s="36" t="n"/>
      <c r="J34" s="36" t="n"/>
      <c r="K34" s="36" t="n"/>
      <c r="L34" s="36" t="n"/>
      <c r="M34" s="36" t="n"/>
      <c r="N34" s="22" t="n"/>
      <c r="P34" s="12" t="n"/>
      <c r="Q34" s="12" t="n"/>
    </row>
    <row r="35" outlineLevel="1" ht="11.25" customHeight="1">
      <c r="A35" s="8" t="n"/>
      <c r="B35" s="36" t="n"/>
      <c r="C35" s="36" t="n"/>
      <c r="D35" s="36" t="n"/>
      <c r="E35" s="1" t="n"/>
      <c r="F35" s="36" t="n"/>
      <c r="G35" s="36" t="n"/>
      <c r="H35" s="35" t="inlineStr">
        <is>
          <t>ESTIMATED PRODUCTION BY REGION</t>
        </is>
      </c>
      <c r="I35" s="1" t="n"/>
      <c r="J35" s="36" t="n"/>
      <c r="K35" s="36" t="n"/>
      <c r="L35" s="36" t="n"/>
      <c r="M35" s="36" t="n"/>
      <c r="N35" s="22" t="n"/>
      <c r="P35" s="12" t="n"/>
      <c r="Q35" s="12" t="n"/>
    </row>
    <row r="36" outlineLevel="1" ht="33.75" customHeight="1">
      <c r="A36" s="18" t="inlineStr">
        <is>
          <t xml:space="preserve">WESTERN CANADA/OUEST CANADIEN
</t>
        </is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20" t="n"/>
      <c r="P36" s="12" t="n"/>
      <c r="Q36" s="12" t="n"/>
    </row>
    <row r="37" ht="11.25" customFormat="1" customHeight="1" s="7">
      <c r="A37" s="19" t="inlineStr">
        <is>
          <t>CONV. LIGHT/LÉGER CLASS.</t>
        </is>
      </c>
      <c r="B37" s="40" t="n">
        <v>88595.52157258063</v>
      </c>
      <c r="C37" s="40" t="n">
        <v>92814.47543103449</v>
      </c>
      <c r="D37" s="40" t="n">
        <v>95325.04657258066</v>
      </c>
      <c r="E37" s="40" t="n">
        <v>95873.13874999998</v>
      </c>
      <c r="F37" s="40" t="n">
        <v>92708.21008064518</v>
      </c>
      <c r="G37" s="40" t="n">
        <v>89524.28520833334</v>
      </c>
      <c r="H37" s="40" t="n">
        <v>89029.02762096774</v>
      </c>
      <c r="I37" s="40" t="n">
        <v>91715.09576612903</v>
      </c>
      <c r="J37" s="40" t="n">
        <v>91245.57812500001</v>
      </c>
      <c r="K37" s="40" t="n">
        <v>94449.22701612904</v>
      </c>
      <c r="L37" s="40" t="n">
        <v>96879.32625000001</v>
      </c>
      <c r="M37" s="40" t="n">
        <v>91307.28911290322</v>
      </c>
      <c r="N37" s="40" t="n">
        <v>92443.44696038253</v>
      </c>
    </row>
    <row r="38" ht="19.5" customFormat="1" customHeight="1" s="20">
      <c r="A38" s="17" t="inlineStr">
        <is>
          <t>AB UPGRADED BITUMEN/ BITUME VALORISÉ-AB 1</t>
        </is>
      </c>
      <c r="B38" s="40" t="n">
        <v>202817.0967741935</v>
      </c>
      <c r="C38" s="40" t="n">
        <v>205905.0862068966</v>
      </c>
      <c r="D38" s="40" t="n">
        <v>205836.8709677419</v>
      </c>
      <c r="E38" s="40" t="n">
        <v>195371.45</v>
      </c>
      <c r="F38" s="40" t="n">
        <v>162612.3225806452</v>
      </c>
      <c r="G38" s="40" t="n">
        <v>188903.4166666667</v>
      </c>
      <c r="H38" s="40" t="n">
        <v>210898.0322580645</v>
      </c>
      <c r="I38" s="40" t="n">
        <v>218775.3548387097</v>
      </c>
      <c r="J38" s="40" t="n">
        <v>191671.4</v>
      </c>
      <c r="K38" s="40" t="n">
        <v>198899.564516129</v>
      </c>
      <c r="L38" s="40" t="n">
        <v>217903.5166666667</v>
      </c>
      <c r="M38" s="40" t="n">
        <v>225978.8064516129</v>
      </c>
      <c r="N38" s="40" t="n">
        <v>202150.5478142076</v>
      </c>
      <c r="O38" s="7" t="n"/>
      <c r="P38" s="7" t="n"/>
    </row>
    <row r="39" outlineLevel="1" ht="11.25" customFormat="1" customHeight="1" s="12">
      <c r="A39" s="14" t="inlineStr">
        <is>
          <t>PENTANES PLUS</t>
        </is>
      </c>
      <c r="B39" s="40" t="n">
        <v>79245.63125000001</v>
      </c>
      <c r="C39" s="40" t="n">
        <v>79961.02499999999</v>
      </c>
      <c r="D39" s="40" t="n">
        <v>80077.60725806451</v>
      </c>
      <c r="E39" s="40" t="n">
        <v>81316.11166666666</v>
      </c>
      <c r="F39" s="40" t="n">
        <v>77290.14495967742</v>
      </c>
      <c r="G39" s="40" t="n">
        <v>80485.29083333333</v>
      </c>
      <c r="H39" s="40" t="n">
        <v>79664.21108870968</v>
      </c>
      <c r="I39" s="40" t="n">
        <v>85638.11250000002</v>
      </c>
      <c r="J39" s="40" t="n">
        <v>80717.21458333333</v>
      </c>
      <c r="K39" s="40" t="n">
        <v>86913.85443548388</v>
      </c>
      <c r="L39" s="40" t="n">
        <v>90446.95</v>
      </c>
      <c r="M39" s="40" t="n">
        <v>91382.32116935485</v>
      </c>
      <c r="N39" s="40" t="n">
        <v>82771.59863387978</v>
      </c>
      <c r="O39" s="7" t="n"/>
      <c r="P39" s="7" t="n"/>
    </row>
    <row r="40" outlineLevel="1" ht="11.25" customFormat="1" customHeight="1" s="12">
      <c r="A40" s="28" t="inlineStr">
        <is>
          <t>TOTAL LIGHT/LÉGER</t>
        </is>
      </c>
      <c r="B40" s="41">
        <f>SUM(B37:B39)</f>
        <v/>
      </c>
      <c r="C40" s="41">
        <f>SUM(C37:C39)</f>
        <v/>
      </c>
      <c r="D40" s="41">
        <f>SUM(D37:D39)</f>
        <v/>
      </c>
      <c r="E40" s="41">
        <f>SUM(E37:E39)</f>
        <v/>
      </c>
      <c r="F40" s="41">
        <f>SUM(F37:F39)</f>
        <v/>
      </c>
      <c r="G40" s="41">
        <f>SUM(G37:G39)</f>
        <v/>
      </c>
      <c r="H40" s="41">
        <f>SUM(H37:H39)</f>
        <v/>
      </c>
      <c r="I40" s="41">
        <f>SUM(I37:I39)</f>
        <v/>
      </c>
      <c r="J40" s="41">
        <f>SUM(J37:J39)</f>
        <v/>
      </c>
      <c r="K40" s="41">
        <f>SUM(K37:K39)</f>
        <v/>
      </c>
      <c r="L40" s="41">
        <f>SUM(L37:L39)</f>
        <v/>
      </c>
      <c r="M40" s="41">
        <f>SUM(M37:M39)</f>
        <v/>
      </c>
      <c r="N40" s="41" t="n">
        <v>377365.5934084699</v>
      </c>
      <c r="O40" s="7" t="n"/>
      <c r="P40" s="7" t="n"/>
    </row>
    <row r="41" outlineLevel="1" ht="10.5" customFormat="1" customHeight="1" s="12">
      <c r="A41" s="19" t="inlineStr">
        <is>
          <t xml:space="preserve">CONV. HEAVY/LOURD CLASS. </t>
        </is>
      </c>
      <c r="B41" s="40" t="n">
        <v>70890.0191532258</v>
      </c>
      <c r="C41" s="40" t="n">
        <v>73040.26476293104</v>
      </c>
      <c r="D41" s="40" t="n">
        <v>73124.93891129033</v>
      </c>
      <c r="E41" s="40" t="n">
        <v>72586.423125</v>
      </c>
      <c r="F41" s="40" t="n">
        <v>73125.05403225806</v>
      </c>
      <c r="G41" s="40" t="n">
        <v>72604.24635416667</v>
      </c>
      <c r="H41" s="40" t="n">
        <v>71731.44193548386</v>
      </c>
      <c r="I41" s="40" t="n">
        <v>72549.8087701613</v>
      </c>
      <c r="J41" s="40" t="n">
        <v>70016.549375</v>
      </c>
      <c r="K41" s="40" t="n">
        <v>71779.95705645162</v>
      </c>
      <c r="L41" s="40" t="n">
        <v>71164.01249999998</v>
      </c>
      <c r="M41" s="40" t="n">
        <v>71093.14445564516</v>
      </c>
      <c r="N41" s="40" t="n">
        <v>71973.85221994534</v>
      </c>
      <c r="O41" s="7" t="n"/>
      <c r="P41" s="7" t="n"/>
    </row>
    <row r="42" outlineLevel="1" ht="18" customFormat="1" customHeight="1" s="12">
      <c r="A42" s="17" t="inlineStr">
        <is>
          <t>AB NON-UPGRADED BITUMEN / BITUME NON VALORISÉ-AB2</t>
        </is>
      </c>
      <c r="B42" s="40">
        <f>B27</f>
        <v/>
      </c>
      <c r="C42" s="40">
        <f>C27</f>
        <v/>
      </c>
      <c r="D42" s="40">
        <f>D27</f>
        <v/>
      </c>
      <c r="E42" s="40">
        <f>E27</f>
        <v/>
      </c>
      <c r="F42" s="40">
        <f>F27</f>
        <v/>
      </c>
      <c r="G42" s="40">
        <f>G27</f>
        <v/>
      </c>
      <c r="H42" s="40">
        <f>H27</f>
        <v/>
      </c>
      <c r="I42" s="40">
        <f>I27</f>
        <v/>
      </c>
      <c r="J42" s="40">
        <f>J27</f>
        <v/>
      </c>
      <c r="K42" s="40">
        <f>K27</f>
        <v/>
      </c>
      <c r="L42" s="40">
        <f>L27</f>
        <v/>
      </c>
      <c r="M42" s="40">
        <f>M27</f>
        <v/>
      </c>
      <c r="N42" s="40" t="n">
        <v>331858.893442623</v>
      </c>
      <c r="O42" s="7" t="n"/>
      <c r="P42" s="7" t="n"/>
    </row>
    <row r="43" outlineLevel="1" ht="11.25" customFormat="1" customHeight="1" s="12">
      <c r="A43" s="28" t="inlineStr">
        <is>
          <t>TOTAL HEAVY/LOURD</t>
        </is>
      </c>
      <c r="B43" s="41">
        <f>SUM(B41:B42)</f>
        <v/>
      </c>
      <c r="C43" s="41">
        <f>SUM(C41:C42)</f>
        <v/>
      </c>
      <c r="D43" s="41">
        <f>SUM(D41:D42)</f>
        <v/>
      </c>
      <c r="E43" s="41">
        <f>SUM(E41:E42)</f>
        <v/>
      </c>
      <c r="F43" s="41">
        <f>SUM(F41:F42)</f>
        <v/>
      </c>
      <c r="G43" s="41">
        <f>SUM(G41:G42)</f>
        <v/>
      </c>
      <c r="H43" s="41">
        <f>SUM(H41:H42)</f>
        <v/>
      </c>
      <c r="I43" s="41">
        <f>SUM(I41:I42)</f>
        <v/>
      </c>
      <c r="J43" s="41">
        <f>SUM(J41:J42)</f>
        <v/>
      </c>
      <c r="K43" s="41">
        <f>SUM(K41:K42)</f>
        <v/>
      </c>
      <c r="L43" s="41">
        <f>SUM(L41:L42)</f>
        <v/>
      </c>
      <c r="M43" s="41">
        <f>SUM(M41:M42)</f>
        <v/>
      </c>
      <c r="N43" s="40" t="n">
        <v>403832.7456625684</v>
      </c>
      <c r="O43" s="7" t="n"/>
      <c r="P43" s="7" t="n"/>
    </row>
    <row r="44" outlineLevel="1" ht="27" customFormat="1" customHeight="1" s="12">
      <c r="A44" s="16" t="inlineStr">
        <is>
          <t>TOTAL WESTERN CANADA/ OUEST CANADIEN</t>
        </is>
      </c>
      <c r="B44" s="38">
        <f>SUM(B40,B43)</f>
        <v/>
      </c>
      <c r="C44" s="38">
        <f>SUM(C40,C43)</f>
        <v/>
      </c>
      <c r="D44" s="38">
        <f>SUM(D40,D43)</f>
        <v/>
      </c>
      <c r="E44" s="38">
        <f>SUM(E40,E43)</f>
        <v/>
      </c>
      <c r="F44" s="38">
        <f>SUM(F40,F43)</f>
        <v/>
      </c>
      <c r="G44" s="38">
        <f>SUM(G40,G43)</f>
        <v/>
      </c>
      <c r="H44" s="38">
        <f>SUM(H40,H43)</f>
        <v/>
      </c>
      <c r="I44" s="38">
        <f>SUM(I40,I43)</f>
        <v/>
      </c>
      <c r="J44" s="38">
        <f>SUM(J40,J43)</f>
        <v/>
      </c>
      <c r="K44" s="38">
        <f>SUM(K40,K43)</f>
        <v/>
      </c>
      <c r="L44" s="38">
        <f>SUM(L40,L43)</f>
        <v/>
      </c>
      <c r="M44" s="38">
        <f>SUM(M40,M43)</f>
        <v/>
      </c>
      <c r="N44" s="38" t="n">
        <v>781198.3390710382</v>
      </c>
      <c r="O44" s="7" t="n"/>
      <c r="P44" s="7" t="n"/>
    </row>
    <row r="45" outlineLevel="1" ht="32.25" customFormat="1" customHeight="1" s="12" thickBot="1">
      <c r="A45" s="26" t="inlineStr">
        <is>
          <t>TOTAL EASTERN CANADA/
EST CANADIEN</t>
        </is>
      </c>
      <c r="B45" s="39">
        <f>SUM(B13:B15,B30)</f>
        <v/>
      </c>
      <c r="C45" s="39">
        <f>SUM(C13:C15,C30)</f>
        <v/>
      </c>
      <c r="D45" s="39">
        <f>SUM(D13:D15,D30)</f>
        <v/>
      </c>
      <c r="E45" s="39">
        <f>SUM(E13:E15,E30)</f>
        <v/>
      </c>
      <c r="F45" s="39">
        <f>SUM(F13:F15,F30)</f>
        <v/>
      </c>
      <c r="G45" s="39">
        <f>SUM(G13:G15,G30)</f>
        <v/>
      </c>
      <c r="H45" s="39">
        <f>SUM(H13:H15,H30)</f>
        <v/>
      </c>
      <c r="I45" s="39">
        <f>SUM(I13:I15,I30)</f>
        <v/>
      </c>
      <c r="J45" s="39">
        <f>SUM(J13:J15,J30)</f>
        <v/>
      </c>
      <c r="K45" s="39">
        <f>SUM(K13:K15,K30)</f>
        <v/>
      </c>
      <c r="L45" s="39">
        <f>SUM(L13:L15,L30)</f>
        <v/>
      </c>
      <c r="M45" s="39">
        <f>SUM(M13:M15,M30)</f>
        <v/>
      </c>
      <c r="N45" s="40" t="n">
        <v>33280.42076502732</v>
      </c>
      <c r="O45" s="7" t="n"/>
      <c r="P45" s="7" t="n"/>
    </row>
    <row r="46" outlineLevel="1" ht="12" customFormat="1" customHeight="1" s="12" thickBot="1">
      <c r="A46" s="25" t="inlineStr">
        <is>
          <t>TOTAL CANADA</t>
        </is>
      </c>
      <c r="B46" s="48">
        <f>SUM(B45,B44)</f>
        <v/>
      </c>
      <c r="C46" s="48">
        <f>SUM(C45,C44)</f>
        <v/>
      </c>
      <c r="D46" s="48">
        <f>SUM(D45,D44)</f>
        <v/>
      </c>
      <c r="E46" s="48">
        <f>SUM(E45,E44)</f>
        <v/>
      </c>
      <c r="F46" s="48">
        <f>SUM(F45,F44)</f>
        <v/>
      </c>
      <c r="G46" s="48">
        <f>SUM(G45,G44)</f>
        <v/>
      </c>
      <c r="H46" s="48">
        <f>SUM(H45,H44)</f>
        <v/>
      </c>
      <c r="I46" s="48">
        <f>SUM(I45,I44)</f>
        <v/>
      </c>
      <c r="J46" s="48">
        <f>SUM(J45,J44)</f>
        <v/>
      </c>
      <c r="K46" s="48">
        <f>SUM(K45,K44)</f>
        <v/>
      </c>
      <c r="L46" s="48">
        <f>SUM(L45,L44)</f>
        <v/>
      </c>
      <c r="M46" s="48">
        <f>SUM(M45,M44)</f>
        <v/>
      </c>
      <c r="N46" s="48" t="n">
        <v>814478.7598360656</v>
      </c>
      <c r="O46" s="7" t="n"/>
      <c r="P46" s="7" t="n"/>
    </row>
    <row r="47" outlineLevel="1" ht="11.25" customFormat="1" customHeight="1" s="12">
      <c r="A47" s="3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P47" s="7" t="n"/>
    </row>
    <row r="48" outlineLevel="1" ht="11.25" customFormat="1" customHeight="1" s="12">
      <c r="A48" s="3" t="inlineStr">
        <is>
          <t>NOTES: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P48" s="7" t="n"/>
    </row>
    <row r="49" outlineLevel="1" ht="10.5" customFormat="1" customHeight="1" s="12">
      <c r="A49" s="3" t="inlineStr">
        <is>
          <t>Figures in black print are actual production data from reporting agencies.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outlineLevel="1" ht="11.25" customFormat="1" customHeight="1" s="13">
      <c r="A50" s="3" t="inlineStr">
        <is>
          <t>Forecasted values are no longer available in this publication. For the latest projections of crude oil and natural gas production in Canada please visit the CERs Energy Futures page.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 outlineLevel="1" ht="11.25" customFormat="1" customHeight="1" s="13">
      <c r="A51" s="21" t="inlineStr">
        <is>
          <t>1 As per AER -ST3, includes in situ bitumen that is upgraded to SCO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11.25" customFormat="1" customHeight="1" s="12">
      <c r="A52" s="22" t="inlineStr">
        <is>
          <t xml:space="preserve">2 As per AER -ST3, excludes in situ produced bitumen that is upgraded to SCO 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 ht="11.25" customFormat="1" customHeight="1" s="12">
      <c r="A53" s="3" t="n"/>
      <c r="B53" s="2" t="n"/>
      <c r="C53" s="2" t="n"/>
      <c r="D53" s="2" t="n"/>
      <c r="E53" s="2" t="n"/>
      <c r="F53" s="2" t="n"/>
      <c r="G53" s="7" t="n"/>
      <c r="H53" s="2" t="n"/>
      <c r="I53" s="2" t="n"/>
      <c r="J53" s="2" t="n"/>
      <c r="K53" s="2" t="n"/>
      <c r="L53" s="2" t="n"/>
      <c r="M53" s="2" t="n"/>
      <c r="N53" s="2" t="n"/>
    </row>
    <row r="54" ht="11.25" customFormat="1" customHeight="1" s="12">
      <c r="A54" s="22" t="inlineStr">
        <is>
          <t>Les chiffres en noir représentent les données de production réelles obtenues auprès d'organismes présentant des rapports.</t>
        </is>
      </c>
      <c r="B54" s="2" t="n"/>
      <c r="C54" s="2" t="n"/>
      <c r="D54" s="2" t="n"/>
      <c r="E54" s="2" t="n"/>
      <c r="F54" s="2" t="n"/>
      <c r="G54" s="7" t="n"/>
      <c r="H54" s="2" t="n"/>
      <c r="I54" s="2" t="n"/>
      <c r="J54" s="2" t="n"/>
      <c r="K54" s="2" t="n"/>
      <c r="L54" s="2" t="n"/>
      <c r="M54" s="2" t="n"/>
      <c r="N54" s="2" t="n"/>
    </row>
    <row r="55" ht="11.25" customFormat="1" customHeight="1" s="12">
      <c r="A55" s="23" t="inlineStr">
        <is>
          <t>Les valeurs prévues ne sont plus disponibles dans cette publication. Pour connaître les dernières projections relatives à la production de pétrole brut et de gaz naturel au Canada, consultez la page principale d’Avenir énergétique du Canada</t>
        </is>
      </c>
      <c r="B55" s="2" t="n"/>
      <c r="C55" s="2" t="n"/>
      <c r="D55" s="2" t="n"/>
      <c r="E55" s="2" t="n"/>
      <c r="F55" s="2" t="n"/>
      <c r="G55" s="7" t="n"/>
      <c r="H55" s="2" t="n"/>
      <c r="I55" s="2" t="n"/>
      <c r="J55" s="2" t="n"/>
      <c r="K55" s="2" t="n"/>
      <c r="L55" s="2" t="n"/>
      <c r="M55" s="2" t="n"/>
      <c r="N55" s="2" t="n"/>
    </row>
    <row r="56" ht="11.25" customHeight="1">
      <c r="A56" s="24" t="inlineStr">
        <is>
          <t>1 Comprend la production de pétrole brut synthétique et de distillats.</t>
        </is>
      </c>
    </row>
    <row r="57" ht="11.25" customFormat="1" customHeight="1" s="13">
      <c r="A57" s="21" t="inlineStr">
        <is>
          <t>2 Bitume in situ, sauf les quantités transformées en pétrole brut synthétique par valorisation.</t>
        </is>
      </c>
      <c r="B57" s="2" t="n"/>
      <c r="C57" s="2" t="n"/>
      <c r="D57" s="2" t="n"/>
      <c r="E57" s="2" t="n"/>
      <c r="F57" s="2" t="n"/>
      <c r="G57" s="7" t="n"/>
      <c r="H57" s="2" t="n"/>
      <c r="I57" s="2" t="n"/>
      <c r="J57" s="2" t="n"/>
      <c r="K57" s="2" t="n"/>
      <c r="L57" s="2" t="n"/>
      <c r="M57" s="2" t="n"/>
      <c r="N57" s="2" t="n"/>
    </row>
    <row r="58" ht="9.949999999999999" customHeight="1">
      <c r="A58" s="3" t="n"/>
    </row>
    <row r="1087" ht="10.5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6C6"/>
  <printOptions horizontalCentered="1" verticalCentered="1"/>
  <pageMargins left="0.24" right="0.22" top="0.37" bottom="0.42" header="0.25" footer="0.17"/>
  <pageSetup orientation="landscape" scale="95" fitToHeight="2"/>
  <headerFooter alignWithMargins="0">
    <oddHeader/>
    <oddFooter>&amp;RNEB/ RP:  &amp;D</oddFooter>
    <evenHeader/>
    <evenFooter/>
    <firstHeader/>
    <firstFooter/>
  </headerFooter>
  <rowBreaks count="1" manualBreakCount="1">
    <brk id="34" min="0" max="45" man="1"/>
  </rowBreaks>
  <colBreaks count="1" manualBreakCount="1">
    <brk id="15" min="0" max="59" man="1"/>
  </col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U57"/>
  <sheetViews>
    <sheetView zoomScaleNormal="100" workbookViewId="0">
      <selection activeCell="A2" sqref="A2"/>
    </sheetView>
  </sheetViews>
  <sheetFormatPr baseColWidth="8" defaultRowHeight="10.5"/>
  <cols>
    <col width="33.5" customWidth="1" min="1" max="1"/>
    <col width="9.6640625" bestFit="1" customWidth="1" min="2" max="13"/>
    <col width="14" bestFit="1" customWidth="1" min="14" max="14"/>
    <col width="12.6640625" bestFit="1" customWidth="1" min="16" max="17"/>
    <col width="11.5" customWidth="1" min="18" max="18"/>
    <col width="10.1640625" bestFit="1" customWidth="1" min="19" max="21"/>
  </cols>
  <sheetData>
    <row r="1" ht="30" customHeight="1"/>
    <row r="2" ht="11.25" customHeight="1">
      <c r="A2" s="62">
        <f>'24TABLE - cubic meters per day'!A2</f>
        <v/>
      </c>
      <c r="H2" s="4" t="inlineStr">
        <is>
          <t>2024 ESTIMATED PRODUCTION OF CANADIAN CRUDE OIL AND EQUIVALENT  (b/d)</t>
        </is>
      </c>
    </row>
    <row r="3" ht="11.25" customHeight="1">
      <c r="H3" s="4" t="inlineStr">
        <is>
          <t>PRODUCTION ESTIMATIVE DE PÉTROLE BRUT ET D'ÉQUIVALENTS AU CANADA EN 2024 (b/j)</t>
        </is>
      </c>
    </row>
    <row r="4" ht="11.25" customHeight="1">
      <c r="A4" s="7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>
        <f>'24TABLE - cubic meters per day'!N4</f>
        <v/>
      </c>
    </row>
    <row r="5" ht="11.25" customHeight="1">
      <c r="A5" s="9" t="n"/>
      <c r="B5" s="7" t="inlineStr">
        <is>
          <t>Jan/janv.</t>
        </is>
      </c>
      <c r="C5" s="7" t="inlineStr">
        <is>
          <t>Feb/fév.</t>
        </is>
      </c>
      <c r="D5" s="7" t="inlineStr">
        <is>
          <t>Mar/mars</t>
        </is>
      </c>
      <c r="E5" s="7" t="inlineStr">
        <is>
          <t>Apr/avr.</t>
        </is>
      </c>
      <c r="F5" s="7" t="inlineStr">
        <is>
          <t>May/mai</t>
        </is>
      </c>
      <c r="G5" s="7" t="inlineStr">
        <is>
          <t>June/juin</t>
        </is>
      </c>
      <c r="H5" s="7" t="inlineStr">
        <is>
          <t>July/juil.</t>
        </is>
      </c>
      <c r="I5" s="7" t="inlineStr">
        <is>
          <t>Aug/août</t>
        </is>
      </c>
      <c r="J5" s="7" t="inlineStr">
        <is>
          <t>Sep/sept.</t>
        </is>
      </c>
      <c r="K5" s="7" t="inlineStr">
        <is>
          <t>Oct/oct.</t>
        </is>
      </c>
      <c r="L5" s="7" t="inlineStr">
        <is>
          <t>Nov/nov.</t>
        </is>
      </c>
      <c r="M5" s="7" t="inlineStr">
        <is>
          <t>Dec/déc.</t>
        </is>
      </c>
      <c r="N5" s="7" t="inlineStr">
        <is>
          <t>Avg/moyenne</t>
        </is>
      </c>
    </row>
    <row r="6" ht="11.25" customHeight="1">
      <c r="A6" s="9" t="inlineStr">
        <is>
          <t>CONV. LIGHT CRUDE OIL/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3" t="n"/>
    </row>
    <row r="7" ht="11.25" customHeight="1">
      <c r="A7" s="10" t="inlineStr">
        <is>
          <t>PÉTROLE BRUT LÉGER CLASS.</t>
        </is>
      </c>
      <c r="B7" s="32" t="n"/>
      <c r="C7" s="32" t="n"/>
      <c r="D7" s="34" t="n"/>
      <c r="E7" s="34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</row>
    <row r="8" ht="11.25" customHeight="1">
      <c r="A8" s="11" t="inlineStr">
        <is>
          <t>AB</t>
        </is>
      </c>
      <c r="B8" s="40">
        <f>'24TABLE - cubic meters per day'!B8*6.2898</f>
        <v/>
      </c>
      <c r="C8" s="40">
        <f>'24TABLE - cubic meters per day'!C8*6.2898</f>
        <v/>
      </c>
      <c r="D8" s="40">
        <f>'24TABLE - cubic meters per day'!D8*6.2898</f>
        <v/>
      </c>
      <c r="E8" s="40">
        <f>'24TABLE - cubic meters per day'!E8*6.2898</f>
        <v/>
      </c>
      <c r="F8" s="40">
        <f>'24TABLE - cubic meters per day'!F8*6.2898</f>
        <v/>
      </c>
      <c r="G8" s="40">
        <f>'24TABLE - cubic meters per day'!G8*6.2898</f>
        <v/>
      </c>
      <c r="H8" s="40">
        <f>'24TABLE - cubic meters per day'!H8*6.2898</f>
        <v/>
      </c>
      <c r="I8" s="40">
        <f>'24TABLE - cubic meters per day'!I8*6.2898</f>
        <v/>
      </c>
      <c r="J8" s="40">
        <f>'24TABLE - cubic meters per day'!J8*6.2898</f>
        <v/>
      </c>
      <c r="K8" s="40">
        <f>'24TABLE - cubic meters per day'!K8*6.2898</f>
        <v/>
      </c>
      <c r="L8" s="40">
        <f>'24TABLE - cubic meters per day'!L8*6.2898</f>
        <v/>
      </c>
      <c r="M8" s="40">
        <f>'24TABLE - cubic meters per day'!M8*6.2898</f>
        <v/>
      </c>
      <c r="N8" s="40">
        <f>'24TABLE - cubic meters per day'!N8*6.2898</f>
        <v/>
      </c>
      <c r="R8" s="54" t="n"/>
    </row>
    <row r="9" ht="11.25" customHeight="1">
      <c r="A9" s="11" t="inlineStr">
        <is>
          <t>BC</t>
        </is>
      </c>
      <c r="B9" s="40">
        <f>'24TABLE - cubic meters per day'!B9*6.2898</f>
        <v/>
      </c>
      <c r="C9" s="40">
        <f>'24TABLE - cubic meters per day'!C9*6.2898</f>
        <v/>
      </c>
      <c r="D9" s="40">
        <f>'24TABLE - cubic meters per day'!D9*6.2898</f>
        <v/>
      </c>
      <c r="E9" s="40">
        <f>'24TABLE - cubic meters per day'!E9*6.2898</f>
        <v/>
      </c>
      <c r="F9" s="40">
        <f>'24TABLE - cubic meters per day'!F9*6.2898</f>
        <v/>
      </c>
      <c r="G9" s="40">
        <f>'24TABLE - cubic meters per day'!G9*6.2898</f>
        <v/>
      </c>
      <c r="H9" s="40">
        <f>'24TABLE - cubic meters per day'!H9*6.2898</f>
        <v/>
      </c>
      <c r="I9" s="40">
        <f>'24TABLE - cubic meters per day'!I9*6.2898</f>
        <v/>
      </c>
      <c r="J9" s="40">
        <f>'24TABLE - cubic meters per day'!J9*6.2898</f>
        <v/>
      </c>
      <c r="K9" s="40">
        <f>'24TABLE - cubic meters per day'!K9*6.2898</f>
        <v/>
      </c>
      <c r="L9" s="40">
        <f>'24TABLE - cubic meters per day'!L9*6.2898</f>
        <v/>
      </c>
      <c r="M9" s="40">
        <f>'24TABLE - cubic meters per day'!M9*6.2898</f>
        <v/>
      </c>
      <c r="N9" s="40">
        <f>'24TABLE - cubic meters per day'!N9*6.2898</f>
        <v/>
      </c>
      <c r="R9" s="54" t="n"/>
    </row>
    <row r="10" ht="11.25" customHeight="1">
      <c r="A10" s="11" t="inlineStr">
        <is>
          <t>SK</t>
        </is>
      </c>
      <c r="B10" s="40">
        <f>'24TABLE - cubic meters per day'!B10*6.2898</f>
        <v/>
      </c>
      <c r="C10" s="40">
        <f>'24TABLE - cubic meters per day'!C10*6.2898</f>
        <v/>
      </c>
      <c r="D10" s="40">
        <f>'24TABLE - cubic meters per day'!D10*6.2898</f>
        <v/>
      </c>
      <c r="E10" s="40">
        <f>'24TABLE - cubic meters per day'!E10*6.2898</f>
        <v/>
      </c>
      <c r="F10" s="40">
        <f>'24TABLE - cubic meters per day'!F10*6.2898</f>
        <v/>
      </c>
      <c r="G10" s="40">
        <f>'24TABLE - cubic meters per day'!G10*6.2898</f>
        <v/>
      </c>
      <c r="H10" s="40">
        <f>'24TABLE - cubic meters per day'!H10*6.2898</f>
        <v/>
      </c>
      <c r="I10" s="40">
        <f>'24TABLE - cubic meters per day'!I10*6.2898</f>
        <v/>
      </c>
      <c r="J10" s="40">
        <f>'24TABLE - cubic meters per day'!J10*6.2898</f>
        <v/>
      </c>
      <c r="K10" s="40">
        <f>'24TABLE - cubic meters per day'!K10*6.2898</f>
        <v/>
      </c>
      <c r="L10" s="40">
        <f>'24TABLE - cubic meters per day'!L10*6.2898</f>
        <v/>
      </c>
      <c r="M10" s="40">
        <f>'24TABLE - cubic meters per day'!M10*6.2898</f>
        <v/>
      </c>
      <c r="N10" s="40">
        <f>'24TABLE - cubic meters per day'!N10*6.2898</f>
        <v/>
      </c>
      <c r="R10" s="12" t="n"/>
    </row>
    <row r="11" ht="11.25" customHeight="1">
      <c r="A11" s="11" t="inlineStr">
        <is>
          <t>MB</t>
        </is>
      </c>
      <c r="B11" s="40">
        <f>'24TABLE - cubic meters per day'!B11*6.2898</f>
        <v/>
      </c>
      <c r="C11" s="40">
        <f>'24TABLE - cubic meters per day'!C11*6.2898</f>
        <v/>
      </c>
      <c r="D11" s="40">
        <f>'24TABLE - cubic meters per day'!D11*6.2898</f>
        <v/>
      </c>
      <c r="E11" s="40">
        <f>'24TABLE - cubic meters per day'!E11*6.2898</f>
        <v/>
      </c>
      <c r="F11" s="40">
        <f>'24TABLE - cubic meters per day'!F11*6.2898</f>
        <v/>
      </c>
      <c r="G11" s="40">
        <f>'24TABLE - cubic meters per day'!G11*6.2898</f>
        <v/>
      </c>
      <c r="H11" s="40">
        <f>'24TABLE - cubic meters per day'!H11*6.2898</f>
        <v/>
      </c>
      <c r="I11" s="40">
        <f>'24TABLE - cubic meters per day'!I11*6.2898</f>
        <v/>
      </c>
      <c r="J11" s="40">
        <f>'24TABLE - cubic meters per day'!J11*6.2898</f>
        <v/>
      </c>
      <c r="K11" s="40">
        <f>'24TABLE - cubic meters per day'!K11*6.2898</f>
        <v/>
      </c>
      <c r="L11" s="40">
        <f>'24TABLE - cubic meters per day'!L11*6.2898</f>
        <v/>
      </c>
      <c r="M11" s="40">
        <f>'24TABLE - cubic meters per day'!M11*6.2898</f>
        <v/>
      </c>
      <c r="N11" s="40">
        <f>'24TABLE - cubic meters per day'!N11*6.2898</f>
        <v/>
      </c>
      <c r="R11" s="52" t="n"/>
    </row>
    <row r="12" ht="11.25" customHeight="1">
      <c r="A12" s="11" t="inlineStr">
        <is>
          <t>NWT/NT</t>
        </is>
      </c>
      <c r="B12" s="40">
        <f>'24TABLE - cubic meters per day'!B12*6.2898</f>
        <v/>
      </c>
      <c r="C12" s="40">
        <f>'24TABLE - cubic meters per day'!C12*6.2898</f>
        <v/>
      </c>
      <c r="D12" s="40">
        <f>'24TABLE - cubic meters per day'!D12*6.2898</f>
        <v/>
      </c>
      <c r="E12" s="40">
        <f>'24TABLE - cubic meters per day'!E12*6.2898</f>
        <v/>
      </c>
      <c r="F12" s="40">
        <f>'24TABLE - cubic meters per day'!F12*6.2898</f>
        <v/>
      </c>
      <c r="G12" s="40">
        <f>'24TABLE - cubic meters per day'!G12*6.2898</f>
        <v/>
      </c>
      <c r="H12" s="40">
        <f>'24TABLE - cubic meters per day'!H12*6.2898</f>
        <v/>
      </c>
      <c r="I12" s="40">
        <f>'24TABLE - cubic meters per day'!I12*6.2898</f>
        <v/>
      </c>
      <c r="J12" s="40">
        <f>'24TABLE - cubic meters per day'!J12*6.2898</f>
        <v/>
      </c>
      <c r="K12" s="40">
        <f>'24TABLE - cubic meters per day'!K12*6.2898</f>
        <v/>
      </c>
      <c r="L12" s="40">
        <f>'24TABLE - cubic meters per day'!L12*6.2898</f>
        <v/>
      </c>
      <c r="M12" s="40">
        <f>'24TABLE - cubic meters per day'!M12*6.2898</f>
        <v/>
      </c>
      <c r="N12" s="40">
        <f>'24TABLE - cubic meters per day'!N12*6.2898</f>
        <v/>
      </c>
    </row>
    <row r="13" ht="11.25" customHeight="1">
      <c r="A13" s="11" t="inlineStr">
        <is>
          <t>NF/NL</t>
        </is>
      </c>
      <c r="B13" s="40">
        <f>'24TABLE - cubic meters per day'!B13*6.2898</f>
        <v/>
      </c>
      <c r="C13" s="40">
        <f>'24TABLE - cubic meters per day'!C13*6.2898</f>
        <v/>
      </c>
      <c r="D13" s="40">
        <f>'24TABLE - cubic meters per day'!D13*6.2898</f>
        <v/>
      </c>
      <c r="E13" s="40">
        <f>'24TABLE - cubic meters per day'!E13*6.2898</f>
        <v/>
      </c>
      <c r="F13" s="40">
        <f>'24TABLE - cubic meters per day'!F13*6.2898</f>
        <v/>
      </c>
      <c r="G13" s="40">
        <f>'24TABLE - cubic meters per day'!G13*6.2898</f>
        <v/>
      </c>
      <c r="H13" s="40">
        <f>'24TABLE - cubic meters per day'!H13*6.2898</f>
        <v/>
      </c>
      <c r="I13" s="40">
        <f>'24TABLE - cubic meters per day'!I13*6.2898</f>
        <v/>
      </c>
      <c r="J13" s="40">
        <f>'24TABLE - cubic meters per day'!J13*6.2898</f>
        <v/>
      </c>
      <c r="K13" s="40">
        <f>'24TABLE - cubic meters per day'!K13*6.2898</f>
        <v/>
      </c>
      <c r="L13" s="40">
        <f>'24TABLE - cubic meters per day'!L13*6.2898</f>
        <v/>
      </c>
      <c r="M13" s="40">
        <f>'24TABLE - cubic meters per day'!M13*6.2898</f>
        <v/>
      </c>
      <c r="N13" s="40">
        <f>'24TABLE - cubic meters per day'!N13*6.2898</f>
        <v/>
      </c>
    </row>
    <row r="14" ht="11.25" customHeight="1">
      <c r="A14" s="11" t="inlineStr">
        <is>
          <t>NB</t>
        </is>
      </c>
      <c r="B14" s="40">
        <f>'24TABLE - cubic meters per day'!B14*6.2898</f>
        <v/>
      </c>
      <c r="C14" s="40">
        <f>'24TABLE - cubic meters per day'!C14*6.2898</f>
        <v/>
      </c>
      <c r="D14" s="40">
        <f>'24TABLE - cubic meters per day'!D14*6.2898</f>
        <v/>
      </c>
      <c r="E14" s="40">
        <f>'24TABLE - cubic meters per day'!E14*6.2898</f>
        <v/>
      </c>
      <c r="F14" s="40">
        <f>'24TABLE - cubic meters per day'!F14*6.2898</f>
        <v/>
      </c>
      <c r="G14" s="40">
        <f>'24TABLE - cubic meters per day'!G14*6.2898</f>
        <v/>
      </c>
      <c r="H14" s="40">
        <f>'24TABLE - cubic meters per day'!H14*6.2898</f>
        <v/>
      </c>
      <c r="I14" s="40">
        <f>'24TABLE - cubic meters per day'!I14*6.2898</f>
        <v/>
      </c>
      <c r="J14" s="40">
        <f>'24TABLE - cubic meters per day'!J14*6.2898</f>
        <v/>
      </c>
      <c r="K14" s="40">
        <f>'24TABLE - cubic meters per day'!K14*6.2898</f>
        <v/>
      </c>
      <c r="L14" s="40">
        <f>'24TABLE - cubic meters per day'!L14*6.2898</f>
        <v/>
      </c>
      <c r="M14" s="40">
        <f>'24TABLE - cubic meters per day'!M14*6.2898</f>
        <v/>
      </c>
      <c r="N14" s="40" t="n"/>
    </row>
    <row r="15" ht="11.25" customHeight="1">
      <c r="A15" s="11" t="inlineStr">
        <is>
          <t>ON</t>
        </is>
      </c>
      <c r="B15" s="40">
        <f>'24TABLE - cubic meters per day'!B15*6.2898</f>
        <v/>
      </c>
      <c r="C15" s="40">
        <f>'24TABLE - cubic meters per day'!C15*6.2898</f>
        <v/>
      </c>
      <c r="D15" s="40">
        <f>'24TABLE - cubic meters per day'!D15*6.2898</f>
        <v/>
      </c>
      <c r="E15" s="40">
        <f>'24TABLE - cubic meters per day'!E15*6.2898</f>
        <v/>
      </c>
      <c r="F15" s="40">
        <f>'24TABLE - cubic meters per day'!F15*6.2898</f>
        <v/>
      </c>
      <c r="G15" s="40">
        <f>'24TABLE - cubic meters per day'!G15*6.2898</f>
        <v/>
      </c>
      <c r="H15" s="40">
        <f>'24TABLE - cubic meters per day'!H15*6.2898</f>
        <v/>
      </c>
      <c r="I15" s="40">
        <f>'24TABLE - cubic meters per day'!I15*6.2898</f>
        <v/>
      </c>
      <c r="J15" s="40">
        <f>'24TABLE - cubic meters per day'!J15*6.2898</f>
        <v/>
      </c>
      <c r="K15" s="40">
        <f>'24TABLE - cubic meters per day'!K15*6.2898</f>
        <v/>
      </c>
      <c r="L15" s="40">
        <f>'24TABLE - cubic meters per day'!L15*6.2898</f>
        <v/>
      </c>
      <c r="M15" s="40">
        <f>'24TABLE - cubic meters per day'!M15*6.2898</f>
        <v/>
      </c>
      <c r="N15" s="40" t="n"/>
    </row>
    <row r="16" ht="11.25" customHeight="1">
      <c r="A16" s="30" t="inlineStr">
        <is>
          <t>SUB TOTAL/SOUS-TOTAL</t>
        </is>
      </c>
      <c r="B16" s="40">
        <f>'24TABLE - cubic meters per day'!B16*6.2898</f>
        <v/>
      </c>
      <c r="C16" s="40">
        <f>'24TABLE - cubic meters per day'!C16*6.2898</f>
        <v/>
      </c>
      <c r="D16" s="40">
        <f>'24TABLE - cubic meters per day'!D16*6.2898</f>
        <v/>
      </c>
      <c r="E16" s="40">
        <f>'24TABLE - cubic meters per day'!E16*6.2898</f>
        <v/>
      </c>
      <c r="F16" s="40">
        <f>'24TABLE - cubic meters per day'!F16*6.2898</f>
        <v/>
      </c>
      <c r="G16" s="40">
        <f>'24TABLE - cubic meters per day'!G16*6.2898</f>
        <v/>
      </c>
      <c r="H16" s="40">
        <f>'24TABLE - cubic meters per day'!H16*6.2898</f>
        <v/>
      </c>
      <c r="I16" s="40">
        <f>'24TABLE - cubic meters per day'!I16*6.2898</f>
        <v/>
      </c>
      <c r="J16" s="40">
        <f>'24TABLE - cubic meters per day'!J16*6.2898</f>
        <v/>
      </c>
      <c r="K16" s="40">
        <f>'24TABLE - cubic meters per day'!K16*6.2898</f>
        <v/>
      </c>
      <c r="L16" s="40">
        <f>'24TABLE - cubic meters per day'!L16*6.2898</f>
        <v/>
      </c>
      <c r="M16" s="40">
        <f>'24TABLE - cubic meters per day'!M16*6.2898</f>
        <v/>
      </c>
      <c r="N16" s="40">
        <f>'24TABLE - cubic meters per day'!N16*6.2898</f>
        <v/>
      </c>
    </row>
    <row r="17" ht="22.5" customHeight="1">
      <c r="A17" s="9" t="inlineStr">
        <is>
          <t>AB UPGRADED BITUMEN/ BITUME VALORISÉ-AB1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</row>
    <row r="18" ht="11.25" customHeight="1">
      <c r="A18" s="14" t="inlineStr">
        <is>
          <t>SUB TOTAL/SOUS-TOTAL</t>
        </is>
      </c>
      <c r="B18" s="40">
        <f>'24TABLE - cubic meters per day'!B18*6.2898</f>
        <v/>
      </c>
      <c r="C18" s="40">
        <f>'24TABLE - cubic meters per day'!C18*6.2898</f>
        <v/>
      </c>
      <c r="D18" s="40">
        <f>'24TABLE - cubic meters per day'!D18*6.2898</f>
        <v/>
      </c>
      <c r="E18" s="40">
        <f>'24TABLE - cubic meters per day'!E18*6.2898</f>
        <v/>
      </c>
      <c r="F18" s="40">
        <f>'24TABLE - cubic meters per day'!F18*6.2898</f>
        <v/>
      </c>
      <c r="G18" s="40">
        <f>'24TABLE - cubic meters per day'!G18*6.2898</f>
        <v/>
      </c>
      <c r="H18" s="40">
        <f>'24TABLE - cubic meters per day'!H18*6.2898</f>
        <v/>
      </c>
      <c r="I18" s="40">
        <f>'24TABLE - cubic meters per day'!I18*6.2898</f>
        <v/>
      </c>
      <c r="J18" s="40">
        <f>'24TABLE - cubic meters per day'!J18*6.2898</f>
        <v/>
      </c>
      <c r="K18" s="40">
        <f>'24TABLE - cubic meters per day'!K18*6.2898</f>
        <v/>
      </c>
      <c r="L18" s="40">
        <f>'24TABLE - cubic meters per day'!L18*6.2898</f>
        <v/>
      </c>
      <c r="M18" s="40">
        <f>'24TABLE - cubic meters per day'!M18*6.2898</f>
        <v/>
      </c>
      <c r="N18" s="40">
        <f>'24TABLE - cubic meters per day'!N18*6.2898</f>
        <v/>
      </c>
      <c r="T18" s="31" t="n"/>
    </row>
    <row r="19" ht="11.25" customHeight="1">
      <c r="A19" s="3" t="inlineStr">
        <is>
          <t>C5+ / CONDENSATE/C5+/CONDENSATS</t>
        </is>
      </c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T19" s="31" t="n"/>
      <c r="U19" s="31" t="n"/>
    </row>
    <row r="20" ht="11.25" customHeight="1">
      <c r="A20" s="11" t="inlineStr">
        <is>
          <t>AB</t>
        </is>
      </c>
      <c r="B20" s="40">
        <f>'24TABLE - cubic meters per day'!B20*6.2898</f>
        <v/>
      </c>
      <c r="C20" s="40">
        <f>'24TABLE - cubic meters per day'!C20*6.2898</f>
        <v/>
      </c>
      <c r="D20" s="40">
        <f>'24TABLE - cubic meters per day'!D20*6.2898</f>
        <v/>
      </c>
      <c r="E20" s="40">
        <f>'24TABLE - cubic meters per day'!E20*6.2898</f>
        <v/>
      </c>
      <c r="F20" s="40">
        <f>'24TABLE - cubic meters per day'!F20*6.2898</f>
        <v/>
      </c>
      <c r="G20" s="40">
        <f>'24TABLE - cubic meters per day'!G20*6.2898</f>
        <v/>
      </c>
      <c r="H20" s="40">
        <f>'24TABLE - cubic meters per day'!H20*6.2898</f>
        <v/>
      </c>
      <c r="I20" s="40">
        <f>'24TABLE - cubic meters per day'!I20*6.2898</f>
        <v/>
      </c>
      <c r="J20" s="40">
        <f>'24TABLE - cubic meters per day'!J20*6.2898</f>
        <v/>
      </c>
      <c r="K20" s="40">
        <f>'24TABLE - cubic meters per day'!K20*6.2898</f>
        <v/>
      </c>
      <c r="L20" s="40">
        <f>'24TABLE - cubic meters per day'!L20*6.2898</f>
        <v/>
      </c>
      <c r="M20" s="40">
        <f>'24TABLE - cubic meters per day'!M20*6.2898</f>
        <v/>
      </c>
      <c r="N20" s="40">
        <f>'24TABLE - cubic meters per day'!N20*6.2898</f>
        <v/>
      </c>
    </row>
    <row r="21" ht="11.25" customHeight="1">
      <c r="A21" s="11" t="inlineStr">
        <is>
          <t>BC</t>
        </is>
      </c>
      <c r="B21" s="40">
        <f>'24TABLE - cubic meters per day'!B21*6.2898</f>
        <v/>
      </c>
      <c r="C21" s="40">
        <f>'24TABLE - cubic meters per day'!C21*6.2898</f>
        <v/>
      </c>
      <c r="D21" s="40">
        <f>'24TABLE - cubic meters per day'!D21*6.2898</f>
        <v/>
      </c>
      <c r="E21" s="40">
        <f>'24TABLE - cubic meters per day'!E21*6.2898</f>
        <v/>
      </c>
      <c r="F21" s="40">
        <f>'24TABLE - cubic meters per day'!F21*6.2898</f>
        <v/>
      </c>
      <c r="G21" s="40">
        <f>'24TABLE - cubic meters per day'!G21*6.2898</f>
        <v/>
      </c>
      <c r="H21" s="40">
        <f>'24TABLE - cubic meters per day'!H21*6.2898</f>
        <v/>
      </c>
      <c r="I21" s="40">
        <f>'24TABLE - cubic meters per day'!I21*6.2898</f>
        <v/>
      </c>
      <c r="J21" s="40">
        <f>'24TABLE - cubic meters per day'!J21*6.2898</f>
        <v/>
      </c>
      <c r="K21" s="40">
        <f>'24TABLE - cubic meters per day'!K21*6.2898</f>
        <v/>
      </c>
      <c r="L21" s="40">
        <f>'24TABLE - cubic meters per day'!L21*6.2898</f>
        <v/>
      </c>
      <c r="M21" s="40">
        <f>'24TABLE - cubic meters per day'!M21*6.2898</f>
        <v/>
      </c>
      <c r="N21" s="40">
        <f>'24TABLE - cubic meters per day'!N21*6.2898</f>
        <v/>
      </c>
    </row>
    <row r="22" ht="11.25" customHeight="1">
      <c r="A22" s="11" t="inlineStr">
        <is>
          <t>SK2</t>
        </is>
      </c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</row>
    <row r="23" ht="11.25" customHeight="1">
      <c r="A23" s="14" t="inlineStr">
        <is>
          <t>SUB TOTAL/SOUS-TOTAL</t>
        </is>
      </c>
      <c r="B23" s="40">
        <f>'24TABLE - cubic meters per day'!B23*6.2898</f>
        <v/>
      </c>
      <c r="C23" s="40">
        <f>'24TABLE - cubic meters per day'!C23*6.2898</f>
        <v/>
      </c>
      <c r="D23" s="40">
        <f>'24TABLE - cubic meters per day'!D23*6.2898</f>
        <v/>
      </c>
      <c r="E23" s="40">
        <f>'24TABLE - cubic meters per day'!E23*6.2898</f>
        <v/>
      </c>
      <c r="F23" s="40">
        <f>'24TABLE - cubic meters per day'!F23*6.2898</f>
        <v/>
      </c>
      <c r="G23" s="40">
        <f>'24TABLE - cubic meters per day'!G23*6.2898</f>
        <v/>
      </c>
      <c r="H23" s="40">
        <f>'24TABLE - cubic meters per day'!H23*6.2898</f>
        <v/>
      </c>
      <c r="I23" s="40">
        <f>'24TABLE - cubic meters per day'!I23*6.2898</f>
        <v/>
      </c>
      <c r="J23" s="40">
        <f>'24TABLE - cubic meters per day'!J23*6.2898</f>
        <v/>
      </c>
      <c r="K23" s="40">
        <f>'24TABLE - cubic meters per day'!K23*6.2898</f>
        <v/>
      </c>
      <c r="L23" s="40">
        <f>'24TABLE - cubic meters per day'!L23*6.2898</f>
        <v/>
      </c>
      <c r="M23" s="40">
        <f>'24TABLE - cubic meters per day'!M23*6.2898</f>
        <v/>
      </c>
      <c r="N23" s="40">
        <f>'24TABLE - cubic meters per day'!N23*6.2898</f>
        <v/>
      </c>
    </row>
    <row r="24" ht="11.25" customHeight="1">
      <c r="A24" s="16" t="inlineStr">
        <is>
          <t>TOTAL LIGHT/LÉGER</t>
        </is>
      </c>
      <c r="B24" s="41">
        <f>'24TABLE - cubic meters per day'!B24*6.2898</f>
        <v/>
      </c>
      <c r="C24" s="41">
        <f>'24TABLE - cubic meters per day'!C24*6.2898</f>
        <v/>
      </c>
      <c r="D24" s="41">
        <f>'24TABLE - cubic meters per day'!D24*6.2898</f>
        <v/>
      </c>
      <c r="E24" s="41">
        <f>'24TABLE - cubic meters per day'!E24*6.2898</f>
        <v/>
      </c>
      <c r="F24" s="41">
        <f>'24TABLE - cubic meters per day'!F24*6.2898</f>
        <v/>
      </c>
      <c r="G24" s="41">
        <f>'24TABLE - cubic meters per day'!G24*6.2898</f>
        <v/>
      </c>
      <c r="H24" s="41">
        <f>'24TABLE - cubic meters per day'!H24*6.2898</f>
        <v/>
      </c>
      <c r="I24" s="41">
        <f>'24TABLE - cubic meters per day'!I24*6.2898</f>
        <v/>
      </c>
      <c r="J24" s="41">
        <f>'24TABLE - cubic meters per day'!J24*6.2898</f>
        <v/>
      </c>
      <c r="K24" s="41">
        <f>'24TABLE - cubic meters per day'!K24*6.2898</f>
        <v/>
      </c>
      <c r="L24" s="41">
        <f>'24TABLE - cubic meters per day'!L24*6.2898</f>
        <v/>
      </c>
      <c r="M24" s="41">
        <f>'24TABLE - cubic meters per day'!M24*6.2898</f>
        <v/>
      </c>
      <c r="N24" s="41">
        <f>'24TABLE - cubic meters per day'!N24*6.2898</f>
        <v/>
      </c>
    </row>
    <row r="25" ht="11.25" customHeight="1">
      <c r="A25" s="3" t="inlineStr">
        <is>
          <t>HEAVY CRUDE OIL/ PÉTROLE BRUT LOURD</t>
        </is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</row>
    <row r="26" ht="11.25" customHeight="1">
      <c r="A26" s="11" t="inlineStr">
        <is>
          <t>AB CONV./CLASS.-AB</t>
        </is>
      </c>
      <c r="B26" s="40">
        <f>'24TABLE - cubic meters per day'!B26*6.2898</f>
        <v/>
      </c>
      <c r="C26" s="40">
        <f>'24TABLE - cubic meters per day'!C26*6.2898</f>
        <v/>
      </c>
      <c r="D26" s="40">
        <f>'24TABLE - cubic meters per day'!D26*6.2898</f>
        <v/>
      </c>
      <c r="E26" s="40">
        <f>'24TABLE - cubic meters per day'!E26*6.2898</f>
        <v/>
      </c>
      <c r="F26" s="40">
        <f>'24TABLE - cubic meters per day'!F26*6.2898</f>
        <v/>
      </c>
      <c r="G26" s="40">
        <f>'24TABLE - cubic meters per day'!G26*6.2898</f>
        <v/>
      </c>
      <c r="H26" s="40">
        <f>'24TABLE - cubic meters per day'!H26*6.2898</f>
        <v/>
      </c>
      <c r="I26" s="40">
        <f>'24TABLE - cubic meters per day'!I26*6.2898</f>
        <v/>
      </c>
      <c r="J26" s="40">
        <f>'24TABLE - cubic meters per day'!J26*6.2898</f>
        <v/>
      </c>
      <c r="K26" s="40">
        <f>'24TABLE - cubic meters per day'!K26*6.2898</f>
        <v/>
      </c>
      <c r="L26" s="40">
        <f>'24TABLE - cubic meters per day'!L26*6.2898</f>
        <v/>
      </c>
      <c r="M26" s="40">
        <f>'24TABLE - cubic meters per day'!M26*6.2898</f>
        <v/>
      </c>
      <c r="N26" s="40">
        <f>'24TABLE - cubic meters per day'!N26*6.2898</f>
        <v/>
      </c>
    </row>
    <row r="27" ht="18" customHeight="1">
      <c r="A27" s="17" t="inlineStr">
        <is>
          <t>AB NON-UPGRADED BITUMEN / BITUME NON VALORISÉ-AB2</t>
        </is>
      </c>
      <c r="B27" s="40">
        <f>'24TABLE - cubic meters per day'!B27*6.2898</f>
        <v/>
      </c>
      <c r="C27" s="40">
        <f>'24TABLE - cubic meters per day'!C27*6.2898</f>
        <v/>
      </c>
      <c r="D27" s="40">
        <f>'24TABLE - cubic meters per day'!D27*6.2898</f>
        <v/>
      </c>
      <c r="E27" s="40">
        <f>'24TABLE - cubic meters per day'!E27*6.2898</f>
        <v/>
      </c>
      <c r="F27" s="40">
        <f>'24TABLE - cubic meters per day'!F27*6.2898</f>
        <v/>
      </c>
      <c r="G27" s="40">
        <f>'24TABLE - cubic meters per day'!G27*6.2898</f>
        <v/>
      </c>
      <c r="H27" s="40">
        <f>'24TABLE - cubic meters per day'!H27*6.2898</f>
        <v/>
      </c>
      <c r="I27" s="40">
        <f>'24TABLE - cubic meters per day'!I27*6.2898</f>
        <v/>
      </c>
      <c r="J27" s="40">
        <f>'24TABLE - cubic meters per day'!J27*6.2898</f>
        <v/>
      </c>
      <c r="K27" s="40">
        <f>'24TABLE - cubic meters per day'!K27*6.2898</f>
        <v/>
      </c>
      <c r="L27" s="40">
        <f>'24TABLE - cubic meters per day'!L27*6.2898</f>
        <v/>
      </c>
      <c r="M27" s="40">
        <f>'24TABLE - cubic meters per day'!M27*6.2898</f>
        <v/>
      </c>
      <c r="N27" s="40">
        <f>'24TABLE - cubic meters per day'!N27*6.2898</f>
        <v/>
      </c>
    </row>
    <row r="28" ht="11.25" customHeight="1">
      <c r="A28" s="14" t="inlineStr">
        <is>
          <t>AB SUB TOTAL/SOUS-TOTAL -AB</t>
        </is>
      </c>
      <c r="B28" s="40">
        <f>'24TABLE - cubic meters per day'!B28*6.2898</f>
        <v/>
      </c>
      <c r="C28" s="40">
        <f>'24TABLE - cubic meters per day'!C28*6.2898</f>
        <v/>
      </c>
      <c r="D28" s="40">
        <f>'24TABLE - cubic meters per day'!D28*6.2898</f>
        <v/>
      </c>
      <c r="E28" s="40">
        <f>'24TABLE - cubic meters per day'!E28*6.2898</f>
        <v/>
      </c>
      <c r="F28" s="40">
        <f>'24TABLE - cubic meters per day'!F28*6.2898</f>
        <v/>
      </c>
      <c r="G28" s="40">
        <f>'24TABLE - cubic meters per day'!G28*6.2898</f>
        <v/>
      </c>
      <c r="H28" s="40">
        <f>'24TABLE - cubic meters per day'!H28*6.2898</f>
        <v/>
      </c>
      <c r="I28" s="40">
        <f>'24TABLE - cubic meters per day'!I28*6.2898</f>
        <v/>
      </c>
      <c r="J28" s="40">
        <f>'24TABLE - cubic meters per day'!J28*6.2898</f>
        <v/>
      </c>
      <c r="K28" s="40">
        <f>'24TABLE - cubic meters per day'!K28*6.2898</f>
        <v/>
      </c>
      <c r="L28" s="40">
        <f>'24TABLE - cubic meters per day'!L28*6.2898</f>
        <v/>
      </c>
      <c r="M28" s="40">
        <f>'24TABLE - cubic meters per day'!M28*6.2898</f>
        <v/>
      </c>
      <c r="N28" s="40">
        <f>'24TABLE - cubic meters per day'!N28*6.2898</f>
        <v/>
      </c>
    </row>
    <row r="29" ht="11.25" customHeight="1">
      <c r="A29" s="11" t="inlineStr">
        <is>
          <t>SK CONV./CLASS.-SK</t>
        </is>
      </c>
      <c r="B29" s="40">
        <f>'24TABLE - cubic meters per day'!B29*6.2898</f>
        <v/>
      </c>
      <c r="C29" s="40">
        <f>'24TABLE - cubic meters per day'!C29*6.2898</f>
        <v/>
      </c>
      <c r="D29" s="40">
        <f>'24TABLE - cubic meters per day'!D29*6.2898</f>
        <v/>
      </c>
      <c r="E29" s="40">
        <f>'24TABLE - cubic meters per day'!E29*6.2898</f>
        <v/>
      </c>
      <c r="F29" s="40">
        <f>'24TABLE - cubic meters per day'!F29*6.2898</f>
        <v/>
      </c>
      <c r="G29" s="40">
        <f>'24TABLE - cubic meters per day'!G29*6.2898</f>
        <v/>
      </c>
      <c r="H29" s="40">
        <f>'24TABLE - cubic meters per day'!H29*6.2898</f>
        <v/>
      </c>
      <c r="I29" s="40">
        <f>'24TABLE - cubic meters per day'!I29*6.2898</f>
        <v/>
      </c>
      <c r="J29" s="40">
        <f>'24TABLE - cubic meters per day'!J29*6.2898</f>
        <v/>
      </c>
      <c r="K29" s="40">
        <f>'24TABLE - cubic meters per day'!K29*6.2898</f>
        <v/>
      </c>
      <c r="L29" s="40">
        <f>'24TABLE - cubic meters per day'!L29*6.2898</f>
        <v/>
      </c>
      <c r="M29" s="40">
        <f>'24TABLE - cubic meters per day'!M29*6.2898</f>
        <v/>
      </c>
      <c r="N29" s="40">
        <f>'24TABLE - cubic meters per day'!N29*6.2898</f>
        <v/>
      </c>
    </row>
    <row r="30" ht="11.25" customHeight="1">
      <c r="A30" s="11" t="inlineStr">
        <is>
          <t>NL CONV</t>
        </is>
      </c>
      <c r="B30" s="40">
        <f>'24TABLE - cubic meters per day'!B30*6.2898</f>
        <v/>
      </c>
      <c r="C30" s="40">
        <f>'24TABLE - cubic meters per day'!C30*6.2898</f>
        <v/>
      </c>
      <c r="D30" s="40">
        <f>'24TABLE - cubic meters per day'!D30*6.2898</f>
        <v/>
      </c>
      <c r="E30" s="40">
        <f>'24TABLE - cubic meters per day'!E30*6.2898</f>
        <v/>
      </c>
      <c r="F30" s="40">
        <f>'24TABLE - cubic meters per day'!F30*6.2898</f>
        <v/>
      </c>
      <c r="G30" s="40">
        <f>'24TABLE - cubic meters per day'!G30*6.2898</f>
        <v/>
      </c>
      <c r="H30" s="40">
        <f>'24TABLE - cubic meters per day'!H30*6.2898</f>
        <v/>
      </c>
      <c r="I30" s="40">
        <f>'24TABLE - cubic meters per day'!I30*6.2898</f>
        <v/>
      </c>
      <c r="J30" s="40">
        <f>'24TABLE - cubic meters per day'!J30*6.2898</f>
        <v/>
      </c>
      <c r="K30" s="40">
        <f>'24TABLE - cubic meters per day'!K30*6.2898</f>
        <v/>
      </c>
      <c r="L30" s="40">
        <f>'24TABLE - cubic meters per day'!L30*6.2898</f>
        <v/>
      </c>
      <c r="M30" s="40">
        <f>'24TABLE - cubic meters per day'!M30*6.2898</f>
        <v/>
      </c>
      <c r="N30" s="40">
        <f>'24TABLE - cubic meters per day'!N30*6.2898</f>
        <v/>
      </c>
    </row>
    <row r="31" ht="12" customHeight="1" thickBot="1">
      <c r="A31" s="27" t="inlineStr">
        <is>
          <t>TOTAL HEAVY/LOURD3</t>
        </is>
      </c>
      <c r="B31" s="39">
        <f>'24TABLE - cubic meters per day'!B31*6.2898</f>
        <v/>
      </c>
      <c r="C31" s="39">
        <f>'24TABLE - cubic meters per day'!C31*6.2898</f>
        <v/>
      </c>
      <c r="D31" s="39">
        <f>'24TABLE - cubic meters per day'!D31*6.2898</f>
        <v/>
      </c>
      <c r="E31" s="39">
        <f>'24TABLE - cubic meters per day'!E31*6.2898</f>
        <v/>
      </c>
      <c r="F31" s="39">
        <f>'24TABLE - cubic meters per day'!F31*6.2898</f>
        <v/>
      </c>
      <c r="G31" s="39">
        <f>'24TABLE - cubic meters per day'!G31*6.2898</f>
        <v/>
      </c>
      <c r="H31" s="39">
        <f>'24TABLE - cubic meters per day'!H31*6.2898</f>
        <v/>
      </c>
      <c r="I31" s="39">
        <f>'24TABLE - cubic meters per day'!I31*6.2898</f>
        <v/>
      </c>
      <c r="J31" s="39">
        <f>'24TABLE - cubic meters per day'!J31*6.2898</f>
        <v/>
      </c>
      <c r="K31" s="39">
        <f>'24TABLE - cubic meters per day'!K31*6.2898</f>
        <v/>
      </c>
      <c r="L31" s="39">
        <f>'24TABLE - cubic meters per day'!L31*6.2898</f>
        <v/>
      </c>
      <c r="M31" s="39">
        <f>'24TABLE - cubic meters per day'!M31*6.2898</f>
        <v/>
      </c>
      <c r="N31" s="39">
        <f>'24TABLE - cubic meters per day'!N31*6.2898</f>
        <v/>
      </c>
    </row>
    <row r="32" ht="12" customHeight="1" thickBot="1">
      <c r="A32" s="27" t="inlineStr">
        <is>
          <t>TOTAL PRODUCTION</t>
        </is>
      </c>
      <c r="B32" s="39">
        <f>'24TABLE - cubic meters per day'!B32*6.2898</f>
        <v/>
      </c>
      <c r="C32" s="39">
        <f>'24TABLE - cubic meters per day'!C32*6.2898</f>
        <v/>
      </c>
      <c r="D32" s="39">
        <f>'24TABLE - cubic meters per day'!D32*6.2898</f>
        <v/>
      </c>
      <c r="E32" s="39">
        <f>'24TABLE - cubic meters per day'!E32*6.2898</f>
        <v/>
      </c>
      <c r="F32" s="39">
        <f>'24TABLE - cubic meters per day'!F32*6.2898</f>
        <v/>
      </c>
      <c r="G32" s="39">
        <f>'24TABLE - cubic meters per day'!G32*6.2898</f>
        <v/>
      </c>
      <c r="H32" s="39">
        <f>'24TABLE - cubic meters per day'!H32*6.2898</f>
        <v/>
      </c>
      <c r="I32" s="39">
        <f>'24TABLE - cubic meters per day'!I32*6.2898</f>
        <v/>
      </c>
      <c r="J32" s="39">
        <f>'24TABLE - cubic meters per day'!J32*6.2898</f>
        <v/>
      </c>
      <c r="K32" s="39">
        <f>'24TABLE - cubic meters per day'!K32*6.2898</f>
        <v/>
      </c>
      <c r="L32" s="39">
        <f>'24TABLE - cubic meters per day'!L32*6.2898</f>
        <v/>
      </c>
      <c r="M32" s="39">
        <f>'24TABLE - cubic meters per day'!M32*6.2898</f>
        <v/>
      </c>
      <c r="N32" s="39">
        <f>'24TABLE - cubic meters per day'!N32*6.2898</f>
        <v/>
      </c>
    </row>
    <row r="33" ht="11.25" customHeight="1">
      <c r="A33" s="8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</row>
    <row r="34" ht="11.25" customHeight="1">
      <c r="A34" s="8" t="n"/>
      <c r="B34" s="36" t="n"/>
      <c r="C34" s="36" t="n"/>
      <c r="D34" s="36" t="n"/>
      <c r="E34" s="36" t="n"/>
      <c r="F34" s="36" t="n"/>
      <c r="G34" s="36" t="n"/>
      <c r="H34" s="35" t="n"/>
      <c r="I34" s="36" t="n"/>
      <c r="J34" s="36" t="n"/>
      <c r="K34" s="36" t="n"/>
      <c r="L34" s="36" t="n"/>
      <c r="M34" s="36" t="n"/>
      <c r="N34" s="22" t="n"/>
    </row>
    <row r="35" ht="11.25" customHeight="1">
      <c r="A35" s="8" t="n"/>
      <c r="B35" s="36" t="n"/>
      <c r="C35" s="36" t="n"/>
      <c r="D35" s="36" t="n"/>
      <c r="E35" s="1" t="n"/>
      <c r="F35" s="36" t="n"/>
      <c r="G35" s="36" t="n"/>
      <c r="H35" s="35" t="inlineStr">
        <is>
          <t>ESTIMATED PRODUCTION BY REGION</t>
        </is>
      </c>
      <c r="I35" s="1" t="n"/>
      <c r="J35" s="36" t="n"/>
      <c r="K35" s="36" t="n"/>
      <c r="L35" s="36" t="n"/>
      <c r="M35" s="36" t="n"/>
      <c r="N35" s="22" t="n"/>
    </row>
    <row r="36" ht="33.75" customHeight="1">
      <c r="A36" s="18" t="inlineStr">
        <is>
          <t xml:space="preserve">WESTERN CANADA/OUEST CANADIEN
</t>
        </is>
      </c>
      <c r="B36" s="36" t="n"/>
      <c r="C36" s="36" t="n"/>
      <c r="D36" s="36" t="n"/>
      <c r="E36" s="36" t="n"/>
      <c r="F36" s="36" t="n"/>
      <c r="H36" s="36" t="n"/>
      <c r="I36" s="36" t="n"/>
      <c r="J36" s="36" t="n"/>
      <c r="K36" s="36" t="n"/>
      <c r="L36" s="36" t="n"/>
      <c r="M36" s="36" t="n"/>
      <c r="N36" s="20" t="n"/>
    </row>
    <row r="37" ht="11.25" customHeight="1">
      <c r="A37" s="19" t="inlineStr">
        <is>
          <t>CONV. LIGHT/LÉGER CLASS.</t>
        </is>
      </c>
      <c r="B37" s="40">
        <f>'24TABLE - cubic meters per day'!B37*6.2898</f>
        <v/>
      </c>
      <c r="C37" s="40">
        <f>'24TABLE - cubic meters per day'!C37*6.2898</f>
        <v/>
      </c>
      <c r="D37" s="40">
        <f>'24TABLE - cubic meters per day'!D37*6.2898</f>
        <v/>
      </c>
      <c r="E37" s="40">
        <f>'24TABLE - cubic meters per day'!E37*6.2898</f>
        <v/>
      </c>
      <c r="F37" s="40">
        <f>'24TABLE - cubic meters per day'!F37*6.2898</f>
        <v/>
      </c>
      <c r="G37" s="40">
        <f>'24TABLE - cubic meters per day'!G37*6.2898</f>
        <v/>
      </c>
      <c r="H37" s="40">
        <f>'24TABLE - cubic meters per day'!H37*6.2898</f>
        <v/>
      </c>
      <c r="I37" s="40">
        <f>'24TABLE - cubic meters per day'!I37*6.2898</f>
        <v/>
      </c>
      <c r="J37" s="40">
        <f>'24TABLE - cubic meters per day'!J37*6.2898</f>
        <v/>
      </c>
      <c r="K37" s="40">
        <f>'24TABLE - cubic meters per day'!K37*6.2898</f>
        <v/>
      </c>
      <c r="L37" s="40">
        <f>'24TABLE - cubic meters per day'!L37*6.2898</f>
        <v/>
      </c>
      <c r="M37" s="40">
        <f>'24TABLE - cubic meters per day'!M37*6.2898</f>
        <v/>
      </c>
      <c r="N37" s="40">
        <f>'24TABLE - cubic meters per day'!N37*6.2898</f>
        <v/>
      </c>
      <c r="T37" s="52" t="n"/>
      <c r="U37" s="52" t="n"/>
    </row>
    <row r="38" ht="17.25" customHeight="1">
      <c r="A38" s="17" t="inlineStr">
        <is>
          <t>AB UPGRADED BITUMEN/ BITUME VALORISÉ-AB 1</t>
        </is>
      </c>
      <c r="B38" s="40">
        <f>'24TABLE - cubic meters per day'!B38*6.2898</f>
        <v/>
      </c>
      <c r="C38" s="40">
        <f>'24TABLE - cubic meters per day'!C38*6.2898</f>
        <v/>
      </c>
      <c r="D38" s="40">
        <f>'24TABLE - cubic meters per day'!D38*6.2898</f>
        <v/>
      </c>
      <c r="E38" s="40">
        <f>'24TABLE - cubic meters per day'!E38*6.2898</f>
        <v/>
      </c>
      <c r="F38" s="40">
        <f>'24TABLE - cubic meters per day'!F38*6.2898</f>
        <v/>
      </c>
      <c r="G38" s="40">
        <f>'24TABLE - cubic meters per day'!G38*6.2898</f>
        <v/>
      </c>
      <c r="H38" s="40">
        <f>'24TABLE - cubic meters per day'!H38*6.2898</f>
        <v/>
      </c>
      <c r="I38" s="40">
        <f>'24TABLE - cubic meters per day'!I38*6.2898</f>
        <v/>
      </c>
      <c r="J38" s="40">
        <f>'24TABLE - cubic meters per day'!J38*6.2898</f>
        <v/>
      </c>
      <c r="K38" s="40">
        <f>'24TABLE - cubic meters per day'!K38*6.2898</f>
        <v/>
      </c>
      <c r="L38" s="40">
        <f>'24TABLE - cubic meters per day'!L38*6.2898</f>
        <v/>
      </c>
      <c r="M38" s="40">
        <f>'24TABLE - cubic meters per day'!M38*6.2898</f>
        <v/>
      </c>
      <c r="N38" s="40">
        <f>'24TABLE - cubic meters per day'!N38*6.2898</f>
        <v/>
      </c>
      <c r="T38" s="57" t="n"/>
      <c r="U38" s="57" t="n"/>
    </row>
    <row r="39" ht="11.25" customHeight="1">
      <c r="A39" s="14" t="inlineStr">
        <is>
          <t>PENTANES PLUS</t>
        </is>
      </c>
      <c r="B39" s="40">
        <f>'24TABLE - cubic meters per day'!B39*6.2898</f>
        <v/>
      </c>
      <c r="C39" s="40">
        <f>'24TABLE - cubic meters per day'!C39*6.2898</f>
        <v/>
      </c>
      <c r="D39" s="40">
        <f>'24TABLE - cubic meters per day'!D39*6.2898</f>
        <v/>
      </c>
      <c r="E39" s="40">
        <f>'24TABLE - cubic meters per day'!E39*6.2898</f>
        <v/>
      </c>
      <c r="F39" s="40">
        <f>'24TABLE - cubic meters per day'!F39*6.2898</f>
        <v/>
      </c>
      <c r="G39" s="40">
        <f>'24TABLE - cubic meters per day'!G39*6.2898</f>
        <v/>
      </c>
      <c r="H39" s="40">
        <f>'24TABLE - cubic meters per day'!H39*6.2898</f>
        <v/>
      </c>
      <c r="I39" s="40">
        <f>'24TABLE - cubic meters per day'!I39*6.2898</f>
        <v/>
      </c>
      <c r="J39" s="40">
        <f>'24TABLE - cubic meters per day'!J39*6.2898</f>
        <v/>
      </c>
      <c r="K39" s="40">
        <f>'24TABLE - cubic meters per day'!K39*6.2898</f>
        <v/>
      </c>
      <c r="L39" s="40">
        <f>'24TABLE - cubic meters per day'!L39*6.2898</f>
        <v/>
      </c>
      <c r="M39" s="40">
        <f>'24TABLE - cubic meters per day'!M39*6.2898</f>
        <v/>
      </c>
      <c r="N39" s="40">
        <f>'24TABLE - cubic meters per day'!N39*6.2898</f>
        <v/>
      </c>
    </row>
    <row r="40" ht="11.25" customHeight="1">
      <c r="A40" s="28" t="inlineStr">
        <is>
          <t>TOTAL LIGHT/LÉGER</t>
        </is>
      </c>
      <c r="B40" s="41">
        <f>'24TABLE - cubic meters per day'!B40*6.2898</f>
        <v/>
      </c>
      <c r="C40" s="41">
        <f>'24TABLE - cubic meters per day'!C40*6.2898</f>
        <v/>
      </c>
      <c r="D40" s="41">
        <f>'24TABLE - cubic meters per day'!D40*6.2898</f>
        <v/>
      </c>
      <c r="E40" s="41">
        <f>'24TABLE - cubic meters per day'!E40*6.2898</f>
        <v/>
      </c>
      <c r="F40" s="41">
        <f>'24TABLE - cubic meters per day'!F40*6.2898</f>
        <v/>
      </c>
      <c r="G40" s="41">
        <f>'24TABLE - cubic meters per day'!G40*6.2898</f>
        <v/>
      </c>
      <c r="H40" s="41">
        <f>'24TABLE - cubic meters per day'!H40*6.2898</f>
        <v/>
      </c>
      <c r="I40" s="41">
        <f>'24TABLE - cubic meters per day'!I40*6.2898</f>
        <v/>
      </c>
      <c r="J40" s="41">
        <f>'24TABLE - cubic meters per day'!J40*6.2898</f>
        <v/>
      </c>
      <c r="K40" s="41">
        <f>'24TABLE - cubic meters per day'!K40*6.2898</f>
        <v/>
      </c>
      <c r="L40" s="41">
        <f>'24TABLE - cubic meters per day'!L40*6.2898</f>
        <v/>
      </c>
      <c r="M40" s="41">
        <f>'24TABLE - cubic meters per day'!M40*6.2898</f>
        <v/>
      </c>
      <c r="N40" s="41">
        <f>'24TABLE - cubic meters per day'!N40*6.2898</f>
        <v/>
      </c>
    </row>
    <row r="41" ht="11.25" customHeight="1">
      <c r="A41" s="19" t="inlineStr">
        <is>
          <t xml:space="preserve">CONV. HEAVY/LOURD CLASS. </t>
        </is>
      </c>
      <c r="B41" s="40">
        <f>'24TABLE - cubic meters per day'!B41*6.2898</f>
        <v/>
      </c>
      <c r="C41" s="40">
        <f>'24TABLE - cubic meters per day'!C41*6.2898</f>
        <v/>
      </c>
      <c r="D41" s="40">
        <f>'24TABLE - cubic meters per day'!D41*6.2898</f>
        <v/>
      </c>
      <c r="E41" s="40">
        <f>'24TABLE - cubic meters per day'!E41*6.2898</f>
        <v/>
      </c>
      <c r="F41" s="40">
        <f>'24TABLE - cubic meters per day'!F41*6.2898</f>
        <v/>
      </c>
      <c r="G41" s="40">
        <f>'24TABLE - cubic meters per day'!G41*6.2898</f>
        <v/>
      </c>
      <c r="H41" s="40">
        <f>'24TABLE - cubic meters per day'!H41*6.2898</f>
        <v/>
      </c>
      <c r="I41" s="40">
        <f>'24TABLE - cubic meters per day'!I41*6.2898</f>
        <v/>
      </c>
      <c r="J41" s="40">
        <f>'24TABLE - cubic meters per day'!J41*6.2898</f>
        <v/>
      </c>
      <c r="K41" s="40">
        <f>'24TABLE - cubic meters per day'!K41*6.2898</f>
        <v/>
      </c>
      <c r="L41" s="40">
        <f>'24TABLE - cubic meters per day'!L41*6.2898</f>
        <v/>
      </c>
      <c r="M41" s="40">
        <f>'24TABLE - cubic meters per day'!M41*6.2898</f>
        <v/>
      </c>
      <c r="N41" s="40">
        <f>'24TABLE - cubic meters per day'!N41*6.2898</f>
        <v/>
      </c>
      <c r="T41" s="52" t="n"/>
    </row>
    <row r="42" ht="18" customHeight="1">
      <c r="A42" s="17" t="inlineStr">
        <is>
          <t>AB NON-UPGRADED BITUMEN / BITUME NON VALORISÉ-AB2</t>
        </is>
      </c>
      <c r="B42" s="40">
        <f>'24TABLE - cubic meters per day'!B42*6.2898</f>
        <v/>
      </c>
      <c r="C42" s="40">
        <f>'24TABLE - cubic meters per day'!C42*6.2898</f>
        <v/>
      </c>
      <c r="D42" s="40">
        <f>'24TABLE - cubic meters per day'!D42*6.2898</f>
        <v/>
      </c>
      <c r="E42" s="40">
        <f>'24TABLE - cubic meters per day'!E42*6.2898</f>
        <v/>
      </c>
      <c r="F42" s="40">
        <f>'24TABLE - cubic meters per day'!F42*6.2898</f>
        <v/>
      </c>
      <c r="G42" s="40">
        <f>'24TABLE - cubic meters per day'!G42*6.2898</f>
        <v/>
      </c>
      <c r="H42" s="40">
        <f>'24TABLE - cubic meters per day'!H42*6.2898</f>
        <v/>
      </c>
      <c r="I42" s="40">
        <f>'24TABLE - cubic meters per day'!I42*6.2898</f>
        <v/>
      </c>
      <c r="J42" s="40">
        <f>'24TABLE - cubic meters per day'!J42*6.2898</f>
        <v/>
      </c>
      <c r="K42" s="40">
        <f>'24TABLE - cubic meters per day'!K42*6.2898</f>
        <v/>
      </c>
      <c r="L42" s="40">
        <f>'24TABLE - cubic meters per day'!L42*6.2898</f>
        <v/>
      </c>
      <c r="M42" s="40">
        <f>'24TABLE - cubic meters per day'!M42*6.2898</f>
        <v/>
      </c>
      <c r="N42" s="40">
        <f>'24TABLE - cubic meters per day'!N42*6.2898</f>
        <v/>
      </c>
    </row>
    <row r="43" ht="11.25" customHeight="1">
      <c r="A43" s="28" t="inlineStr">
        <is>
          <t>TOTAL HEAVY/LOURD</t>
        </is>
      </c>
      <c r="B43" s="41">
        <f>'24TABLE - cubic meters per day'!B43*6.2898</f>
        <v/>
      </c>
      <c r="C43" s="41">
        <f>'24TABLE - cubic meters per day'!C43*6.2898</f>
        <v/>
      </c>
      <c r="D43" s="41">
        <f>'24TABLE - cubic meters per day'!D43*6.2898</f>
        <v/>
      </c>
      <c r="E43" s="41">
        <f>'24TABLE - cubic meters per day'!E43*6.2898</f>
        <v/>
      </c>
      <c r="F43" s="41">
        <f>'24TABLE - cubic meters per day'!F43*6.2898</f>
        <v/>
      </c>
      <c r="G43" s="41">
        <f>'24TABLE - cubic meters per day'!G43*6.2898</f>
        <v/>
      </c>
      <c r="H43" s="41">
        <f>'24TABLE - cubic meters per day'!H43*6.2898</f>
        <v/>
      </c>
      <c r="I43" s="41">
        <f>'24TABLE - cubic meters per day'!I43*6.2898</f>
        <v/>
      </c>
      <c r="J43" s="41">
        <f>'24TABLE - cubic meters per day'!J43*6.2898</f>
        <v/>
      </c>
      <c r="K43" s="41">
        <f>'24TABLE - cubic meters per day'!K43*6.2898</f>
        <v/>
      </c>
      <c r="L43" s="41">
        <f>'24TABLE - cubic meters per day'!L43*6.2898</f>
        <v/>
      </c>
      <c r="M43" s="41">
        <f>'24TABLE - cubic meters per day'!M43*6.2898</f>
        <v/>
      </c>
      <c r="N43" s="41">
        <f>'24TABLE - cubic meters per day'!N43*6.2898</f>
        <v/>
      </c>
    </row>
    <row r="44" ht="22.5" customHeight="1">
      <c r="A44" s="16" t="inlineStr">
        <is>
          <t>TOTAL WESTERN CANADA/ OUEST CANADIEN</t>
        </is>
      </c>
      <c r="B44" s="38">
        <f>'24TABLE - cubic meters per day'!B44*6.2898</f>
        <v/>
      </c>
      <c r="C44" s="38">
        <f>'24TABLE - cubic meters per day'!C44*6.2898</f>
        <v/>
      </c>
      <c r="D44" s="38">
        <f>'24TABLE - cubic meters per day'!D44*6.2898</f>
        <v/>
      </c>
      <c r="E44" s="38">
        <f>'24TABLE - cubic meters per day'!E44*6.2898</f>
        <v/>
      </c>
      <c r="F44" s="38">
        <f>'24TABLE - cubic meters per day'!F44*6.2898</f>
        <v/>
      </c>
      <c r="G44" s="38">
        <f>'24TABLE - cubic meters per day'!G44*6.2898</f>
        <v/>
      </c>
      <c r="H44" s="38">
        <f>'24TABLE - cubic meters per day'!H44*6.2898</f>
        <v/>
      </c>
      <c r="I44" s="38">
        <f>'24TABLE - cubic meters per day'!I44*6.2898</f>
        <v/>
      </c>
      <c r="J44" s="38">
        <f>'24TABLE - cubic meters per day'!J44*6.2898</f>
        <v/>
      </c>
      <c r="K44" s="38">
        <f>'24TABLE - cubic meters per day'!K44*6.2898</f>
        <v/>
      </c>
      <c r="L44" s="38">
        <f>'24TABLE - cubic meters per day'!L44*6.2898</f>
        <v/>
      </c>
      <c r="M44" s="38">
        <f>'24TABLE - cubic meters per day'!M44*6.2898</f>
        <v/>
      </c>
      <c r="N44" s="38">
        <f>'24TABLE - cubic meters per day'!N44*6.2898</f>
        <v/>
      </c>
    </row>
    <row r="45" ht="23.25" customHeight="1" thickBot="1">
      <c r="A45" s="26" t="inlineStr">
        <is>
          <t>TOTAL EASTERN CANADA/
EST CANADIEN</t>
        </is>
      </c>
      <c r="B45" s="39">
        <f>'24TABLE - cubic meters per day'!B45*6.2898</f>
        <v/>
      </c>
      <c r="C45" s="39">
        <f>'24TABLE - cubic meters per day'!C45*6.2898</f>
        <v/>
      </c>
      <c r="D45" s="39">
        <f>'24TABLE - cubic meters per day'!D45*6.2898</f>
        <v/>
      </c>
      <c r="E45" s="39">
        <f>'24TABLE - cubic meters per day'!E45*6.2898</f>
        <v/>
      </c>
      <c r="F45" s="39">
        <f>'24TABLE - cubic meters per day'!F45*6.2898</f>
        <v/>
      </c>
      <c r="G45" s="39">
        <f>'24TABLE - cubic meters per day'!G45*6.2898</f>
        <v/>
      </c>
      <c r="H45" s="39">
        <f>'24TABLE - cubic meters per day'!H45*6.2898</f>
        <v/>
      </c>
      <c r="I45" s="39">
        <f>'24TABLE - cubic meters per day'!I45*6.2898</f>
        <v/>
      </c>
      <c r="J45" s="39">
        <f>'24TABLE - cubic meters per day'!J45*6.2898</f>
        <v/>
      </c>
      <c r="K45" s="39">
        <f>'24TABLE - cubic meters per day'!K45*6.2898</f>
        <v/>
      </c>
      <c r="L45" s="39">
        <f>'24TABLE - cubic meters per day'!L45*6.2898</f>
        <v/>
      </c>
      <c r="M45" s="39">
        <f>'24TABLE - cubic meters per day'!M45*6.2898</f>
        <v/>
      </c>
      <c r="N45" s="49">
        <f>'24TABLE - cubic meters per day'!N45*6.2898</f>
        <v/>
      </c>
      <c r="S45" s="52" t="n"/>
    </row>
    <row r="46" ht="12" customHeight="1" thickBot="1">
      <c r="A46" s="25" t="inlineStr">
        <is>
          <t>TOTAL CANADA</t>
        </is>
      </c>
      <c r="B46" s="48">
        <f>'24TABLE - cubic meters per day'!B46*6.2898</f>
        <v/>
      </c>
      <c r="C46" s="48">
        <f>'24TABLE - cubic meters per day'!C46*6.2898</f>
        <v/>
      </c>
      <c r="D46" s="48">
        <f>'24TABLE - cubic meters per day'!D46*6.2898</f>
        <v/>
      </c>
      <c r="E46" s="48">
        <f>'24TABLE - cubic meters per day'!E46*6.2898</f>
        <v/>
      </c>
      <c r="F46" s="48">
        <f>'24TABLE - cubic meters per day'!F46*6.2898</f>
        <v/>
      </c>
      <c r="G46" s="48">
        <f>'24TABLE - cubic meters per day'!G46*6.2898</f>
        <v/>
      </c>
      <c r="H46" s="48">
        <f>'24TABLE - cubic meters per day'!H46*6.2898</f>
        <v/>
      </c>
      <c r="I46" s="48">
        <f>'24TABLE - cubic meters per day'!I46*6.2898</f>
        <v/>
      </c>
      <c r="J46" s="48">
        <f>'24TABLE - cubic meters per day'!J46*6.2898</f>
        <v/>
      </c>
      <c r="K46" s="48">
        <f>'24TABLE - cubic meters per day'!K46*6.2898</f>
        <v/>
      </c>
      <c r="L46" s="48">
        <f>'24TABLE - cubic meters per day'!L46*6.2898</f>
        <v/>
      </c>
      <c r="M46" s="48">
        <f>'24TABLE - cubic meters per day'!M46*6.2898</f>
        <v/>
      </c>
      <c r="N46" s="48">
        <f>'24TABLE - cubic meters per day'!N46*6.2898</f>
        <v/>
      </c>
    </row>
    <row r="48" ht="11.25" customHeight="1">
      <c r="A48" s="3" t="inlineStr">
        <is>
          <t>NOTES:</t>
        </is>
      </c>
    </row>
    <row r="49" ht="11.25" customHeight="1">
      <c r="A49" s="3" t="inlineStr">
        <is>
          <t>Figures in black print are actual production data from reporting agencies.</t>
        </is>
      </c>
    </row>
    <row r="50" ht="11.25" customHeight="1">
      <c r="A50" s="3" t="inlineStr">
        <is>
          <t>Forecasted values are no longer available in this publication. For the latest projections of crude oil and natural gas production in Canada please visit the CERs Energy Futures page.</t>
        </is>
      </c>
    </row>
    <row r="51" ht="11.25" customHeight="1">
      <c r="A51" s="21" t="inlineStr">
        <is>
          <t>1 As per AER -ST3, includes in situ bitumen that is upgraded to SCO</t>
        </is>
      </c>
    </row>
    <row r="52" ht="11.25" customHeight="1">
      <c r="A52" s="22" t="inlineStr">
        <is>
          <t xml:space="preserve">2 As per AER -ST3, excludes in situ produced bitumen that is upgraded to SCO </t>
        </is>
      </c>
      <c r="S52" s="52" t="n"/>
    </row>
    <row r="53" ht="11.25" customHeight="1">
      <c r="A53" s="3" t="n"/>
    </row>
    <row r="54" ht="11.25" customHeight="1">
      <c r="A54" s="22" t="inlineStr">
        <is>
          <t>Les chiffres en noir représentent les données de production réelles obtenues auprès d'organismes présentant des rapports.</t>
        </is>
      </c>
    </row>
    <row r="55" ht="11.25" customHeight="1">
      <c r="A55" s="23" t="inlineStr">
        <is>
          <t>Les valeurs prévues ne sont plus disponibles dans cette publication. Pour connaître les dernières projections relatives à la production de pétrole brut et de gaz naturel au Canada, consultez la page principale d’Avenir énergétique du Canada</t>
        </is>
      </c>
    </row>
    <row r="56" ht="11.25" customHeight="1">
      <c r="A56" s="24" t="inlineStr">
        <is>
          <t>1 Comprend la production de pétrole brut synthétique et de distillats.</t>
        </is>
      </c>
    </row>
    <row r="57" ht="11.25" customHeight="1">
      <c r="A57" s="21" t="inlineStr">
        <is>
          <t>2 Bitume in situ, sauf les quantités transformées en pétrole brut synthétique par valorisation.</t>
        </is>
      </c>
    </row>
  </sheetData>
  <pageMargins left="0.7" right="0.7" top="0.75" bottom="0.75" header="0.3" footer="0.3"/>
  <pageSetup orientation="landscape" scale="95" fitToHeight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A58"/>
  <sheetViews>
    <sheetView showOutlineSymbols="0" zoomScaleNormal="100" zoomScaleSheetLayoutView="100" workbookViewId="0">
      <selection activeCell="K11" sqref="K11"/>
    </sheetView>
  </sheetViews>
  <sheetFormatPr baseColWidth="8" defaultColWidth="9.33203125" defaultRowHeight="9.949999999999999" customHeight="1" outlineLevelRow="3"/>
  <cols>
    <col width="33.5" customWidth="1" style="1" min="1" max="1"/>
    <col outlineLevel="1" width="9.83203125" customWidth="1" style="2" min="2" max="8"/>
    <col outlineLevel="1" width="10.33203125" customWidth="1" style="2" min="9" max="9"/>
    <col outlineLevel="1" width="9.83203125" customWidth="1" style="2" min="10" max="12"/>
    <col outlineLevel="1" width="10.83203125" bestFit="1" customWidth="1" style="2" min="13" max="13"/>
    <col width="15.6640625" customWidth="1" style="2" min="14" max="14"/>
    <col width="1.83203125" customWidth="1" style="1" min="15" max="15"/>
    <col width="9.33203125" customWidth="1" style="1" min="16" max="16"/>
    <col width="10.1640625" bestFit="1" customWidth="1" style="1" min="17" max="17"/>
    <col width="12.1640625" customWidth="1" style="1" min="18" max="18"/>
    <col width="9.33203125" customWidth="1" style="1" min="19" max="16384"/>
  </cols>
  <sheetData>
    <row r="1" ht="32.25" customHeight="1"/>
    <row r="2" ht="11.25" customHeight="1">
      <c r="A2" s="62" t="n">
        <v>45469</v>
      </c>
      <c r="H2" s="4" t="inlineStr">
        <is>
          <t>2023 ESTIMATED PRODUCTION OF CANADIAN CRUDE OIL AND EQUIVALENT  (m3/d)</t>
        </is>
      </c>
    </row>
    <row r="3" ht="10.5" customHeight="1">
      <c r="A3" s="6" t="n"/>
      <c r="H3" s="4" t="inlineStr">
        <is>
          <t>PRODUCTION ESTIMATIVE DE PÉTROLE BRUT ET D'ÉQUIVALENTS AU CANADA EN 2023 (M³/J)</t>
        </is>
      </c>
    </row>
    <row r="4" ht="11.25" customFormat="1" customHeight="1" s="7"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3" t="n">
        <v>2023</v>
      </c>
    </row>
    <row r="5" ht="11.25" customFormat="1" customHeight="1" s="7">
      <c r="B5" s="8" t="inlineStr">
        <is>
          <t>Jan/janv.</t>
        </is>
      </c>
      <c r="C5" s="8" t="inlineStr">
        <is>
          <t>Feb/fév.</t>
        </is>
      </c>
      <c r="D5" s="8" t="inlineStr">
        <is>
          <t>Mar/mars</t>
        </is>
      </c>
      <c r="E5" s="8" t="inlineStr">
        <is>
          <t>Apr/avr.</t>
        </is>
      </c>
      <c r="F5" s="8" t="inlineStr">
        <is>
          <t>May/mai</t>
        </is>
      </c>
      <c r="G5" s="8" t="inlineStr">
        <is>
          <t>June/juin</t>
        </is>
      </c>
      <c r="H5" s="8" t="inlineStr">
        <is>
          <t>July/juil.</t>
        </is>
      </c>
      <c r="I5" s="8" t="inlineStr">
        <is>
          <t>Aug/août</t>
        </is>
      </c>
      <c r="J5" s="8" t="inlineStr">
        <is>
          <t>Sep/sept.</t>
        </is>
      </c>
      <c r="K5" s="8" t="inlineStr">
        <is>
          <t>Oct/oct.</t>
        </is>
      </c>
      <c r="L5" s="8" t="inlineStr">
        <is>
          <t>Nov/nov.</t>
        </is>
      </c>
      <c r="M5" s="8" t="inlineStr">
        <is>
          <t>Dec/déc.</t>
        </is>
      </c>
      <c r="N5" s="8" t="inlineStr">
        <is>
          <t>Avg/moyenne</t>
        </is>
      </c>
    </row>
    <row r="6" ht="11.25" customFormat="1" customHeight="1" s="7">
      <c r="A6" s="9" t="inlineStr">
        <is>
          <t>CONV. LIGHT CRUDE OIL/</t>
        </is>
      </c>
      <c r="B6" s="2" t="inlineStr">
        <is>
          <t> </t>
        </is>
      </c>
      <c r="C6" s="2" t="inlineStr">
        <is>
          <t> </t>
        </is>
      </c>
      <c r="D6" s="2" t="inlineStr">
        <is>
          <t> </t>
        </is>
      </c>
      <c r="E6" s="2" t="inlineStr">
        <is>
          <t> </t>
        </is>
      </c>
      <c r="F6" s="2" t="inlineStr">
        <is>
          <t> </t>
        </is>
      </c>
      <c r="G6" s="2" t="inlineStr">
        <is>
          <t> </t>
        </is>
      </c>
      <c r="H6" s="2" t="inlineStr">
        <is>
          <t> </t>
        </is>
      </c>
      <c r="I6" s="2" t="inlineStr">
        <is>
          <t> </t>
        </is>
      </c>
      <c r="J6" s="2" t="inlineStr">
        <is>
          <t> </t>
        </is>
      </c>
      <c r="K6" s="2" t="inlineStr">
        <is>
          <t> </t>
        </is>
      </c>
      <c r="L6" s="2" t="inlineStr">
        <is>
          <t> </t>
        </is>
      </c>
      <c r="M6" s="2" t="inlineStr">
        <is>
          <t> </t>
        </is>
      </c>
      <c r="N6" s="2" t="n"/>
    </row>
    <row r="7" ht="11.25" customFormat="1" customHeight="1" s="7">
      <c r="A7" s="10" t="inlineStr">
        <is>
          <t>PÉTROLE BRUT LÉGER CLASS.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3" t="n"/>
    </row>
    <row r="8" outlineLevel="1" ht="11.25" customFormat="1" customHeight="1" s="12">
      <c r="A8" s="11" t="inlineStr">
        <is>
          <t>AB</t>
        </is>
      </c>
      <c r="B8" s="40" t="n">
        <v>58982.09173387097</v>
      </c>
      <c r="C8" s="40" t="n">
        <v>59389.4375</v>
      </c>
      <c r="D8" s="40" t="n">
        <v>60554.26411290323</v>
      </c>
      <c r="E8" s="40" t="n">
        <v>61083.03333333333</v>
      </c>
      <c r="F8" s="40" t="n">
        <v>53046.2560483871</v>
      </c>
      <c r="G8" s="40" t="n">
        <v>55139.79791666667</v>
      </c>
      <c r="H8" s="40" t="n">
        <v>59202.70766129033</v>
      </c>
      <c r="I8" s="40" t="n">
        <v>60868.75504032258</v>
      </c>
      <c r="J8" s="40" t="n">
        <v>60069.14895833333</v>
      </c>
      <c r="K8" s="40" t="n">
        <v>60560.8870967742</v>
      </c>
      <c r="L8" s="40" t="n">
        <v>61650.68125</v>
      </c>
      <c r="M8" s="40" t="n">
        <v>62681.75705645161</v>
      </c>
      <c r="N8" s="40" t="n">
        <v>59435.56815068493</v>
      </c>
    </row>
    <row r="9" outlineLevel="1" ht="11.25" customFormat="1" customHeight="1" s="12">
      <c r="A9" s="11" t="inlineStr">
        <is>
          <t>BC</t>
        </is>
      </c>
      <c r="B9" s="40" t="n">
        <v>1732.516129032258</v>
      </c>
      <c r="C9" s="40" t="n">
        <v>1743.928571428571</v>
      </c>
      <c r="D9" s="40" t="n">
        <v>1720.645161290323</v>
      </c>
      <c r="E9" s="40" t="n">
        <v>1869.133333333333</v>
      </c>
      <c r="F9" s="40" t="n">
        <v>1263.677419354839</v>
      </c>
      <c r="G9" s="40" t="n">
        <v>1406.033333333333</v>
      </c>
      <c r="H9" s="40" t="n">
        <v>1311.645161290323</v>
      </c>
      <c r="I9" s="40" t="n">
        <v>1303.41935483871</v>
      </c>
      <c r="J9" s="40" t="n">
        <v>1085.8</v>
      </c>
      <c r="K9" s="40" t="n">
        <v>1294.096774193548</v>
      </c>
      <c r="L9" s="40" t="n">
        <v>1358.366666666667</v>
      </c>
      <c r="M9" s="40" t="n">
        <v>1544.548387096774</v>
      </c>
      <c r="N9" s="40" t="n">
        <v>1467.66301369863</v>
      </c>
    </row>
    <row r="10" outlineLevel="1" ht="11.25" customFormat="1" customHeight="1" s="12">
      <c r="A10" s="11" t="inlineStr">
        <is>
          <t>SK</t>
        </is>
      </c>
      <c r="B10" s="40" t="n">
        <v>24759.54838709677</v>
      </c>
      <c r="C10" s="40" t="n">
        <v>25713.01428571429</v>
      </c>
      <c r="D10" s="40" t="n">
        <v>26031.38064516129</v>
      </c>
      <c r="E10" s="40" t="n">
        <v>25149.82333333334</v>
      </c>
      <c r="F10" s="40" t="n">
        <v>24161.3064516129</v>
      </c>
      <c r="G10" s="40" t="n">
        <v>23561.21</v>
      </c>
      <c r="H10" s="40" t="n">
        <v>24331.48709677419</v>
      </c>
      <c r="I10" s="40" t="n">
        <v>24789.59032258065</v>
      </c>
      <c r="J10" s="40" t="n">
        <v>25464.06333333334</v>
      </c>
      <c r="K10" s="40" t="n">
        <v>25482.71935483871</v>
      </c>
      <c r="L10" s="40" t="n">
        <v>25103.34</v>
      </c>
      <c r="M10" s="40" t="n">
        <v>24963.10322580645</v>
      </c>
      <c r="N10" s="40" t="n">
        <v>24954.5498630137</v>
      </c>
    </row>
    <row r="11" outlineLevel="1" ht="11.25" customFormat="1" customHeight="1" s="12">
      <c r="A11" s="11" t="inlineStr">
        <is>
          <t>MB</t>
        </is>
      </c>
      <c r="B11" s="40" t="n">
        <v>6456.94516129032</v>
      </c>
      <c r="C11" s="40" t="n">
        <v>6219.185714285718</v>
      </c>
      <c r="D11" s="40" t="n">
        <v>6113.545161290322</v>
      </c>
      <c r="E11" s="40" t="n">
        <v>5965.513333333337</v>
      </c>
      <c r="F11" s="40" t="n">
        <v>6415.5064516129</v>
      </c>
      <c r="G11" s="40" t="n">
        <v>6130.436666666667</v>
      </c>
      <c r="H11" s="40" t="n">
        <v>6019.790322580645</v>
      </c>
      <c r="I11" s="40" t="n">
        <v>5834.619354838708</v>
      </c>
      <c r="J11" s="40" t="n">
        <v>5727.090000000003</v>
      </c>
      <c r="K11" s="40" t="n">
        <v>6122.196774193546</v>
      </c>
      <c r="L11" s="40" t="n">
        <v>6256.34</v>
      </c>
      <c r="M11" s="40" t="n">
        <v>6225.56129032258</v>
      </c>
      <c r="N11" s="40" t="n">
        <v>6124.251232876712</v>
      </c>
    </row>
    <row r="12" outlineLevel="1" ht="11.25" customFormat="1" customHeight="1" s="12">
      <c r="A12" s="11" t="inlineStr">
        <is>
          <t>NWT/NT</t>
        </is>
      </c>
      <c r="B12" s="40" t="n">
        <v>674.1419354838711</v>
      </c>
      <c r="C12" s="40" t="n">
        <v>645.4178571428572</v>
      </c>
      <c r="D12" s="40" t="n">
        <v>620.0935483870968</v>
      </c>
      <c r="E12" s="40" t="n">
        <v>669.3833333333333</v>
      </c>
      <c r="F12" s="40" t="n">
        <v>619.9354838709677</v>
      </c>
      <c r="G12" s="40" t="n">
        <v>637.4166666666666</v>
      </c>
      <c r="H12" s="40" t="n">
        <v>658.9000000000001</v>
      </c>
      <c r="I12" s="40" t="n">
        <v>644.0967741935484</v>
      </c>
      <c r="J12" s="40" t="n">
        <v>655.49</v>
      </c>
      <c r="K12" s="40" t="n">
        <v>629.683870967742</v>
      </c>
      <c r="L12" s="40" t="n">
        <v>625.8633333333333</v>
      </c>
      <c r="M12" s="40" t="n">
        <v>614.6129032258065</v>
      </c>
      <c r="N12" s="40" t="n">
        <v>641.1553424657535</v>
      </c>
    </row>
    <row r="13" outlineLevel="1" ht="11.25" customFormat="1" customHeight="1" s="13">
      <c r="A13" s="11" t="inlineStr">
        <is>
          <t>NF/NL</t>
        </is>
      </c>
      <c r="B13" s="40" t="n">
        <v>15104.29032258065</v>
      </c>
      <c r="C13" s="40" t="n">
        <v>14169.92857142857</v>
      </c>
      <c r="D13" s="40" t="n">
        <v>11608.35483870968</v>
      </c>
      <c r="E13" s="40" t="n">
        <v>12688.03333333333</v>
      </c>
      <c r="F13" s="40" t="n">
        <v>13449.70967741935</v>
      </c>
      <c r="G13" s="40" t="n">
        <v>12204.5</v>
      </c>
      <c r="H13" s="40" t="n">
        <v>13895.35483870968</v>
      </c>
      <c r="I13" s="40" t="n">
        <v>13565.16129032258</v>
      </c>
      <c r="J13" s="40" t="n">
        <v>13185.43333333333</v>
      </c>
      <c r="K13" s="40" t="n">
        <v>12343.93548387097</v>
      </c>
      <c r="L13" s="40" t="n">
        <v>11779.33333333333</v>
      </c>
      <c r="M13" s="40" t="n">
        <v>13607.87096774194</v>
      </c>
      <c r="N13" s="40" t="n">
        <v>13132.30684931507</v>
      </c>
      <c r="U13" s="12" t="n"/>
    </row>
    <row r="14" outlineLevel="1" ht="11.25" customFormat="1" customHeight="1" s="13">
      <c r="A14" s="11" t="inlineStr">
        <is>
          <t>NB</t>
        </is>
      </c>
      <c r="B14" s="40" t="n">
        <v>4.087096774193548</v>
      </c>
      <c r="C14" s="40" t="n">
        <v>3.867857142857143</v>
      </c>
      <c r="D14" s="40" t="n">
        <v>3.625806451612903</v>
      </c>
      <c r="E14" s="40" t="n">
        <v>2.376666666666666</v>
      </c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>
        <v>3.489166666666667</v>
      </c>
      <c r="U14" s="12" t="n"/>
    </row>
    <row r="15" outlineLevel="1" ht="11.25" customFormat="1" customHeight="1" s="13">
      <c r="A15" s="11" t="inlineStr">
        <is>
          <t>ON</t>
        </is>
      </c>
      <c r="B15" s="40" t="n">
        <v>79.2258064516129</v>
      </c>
      <c r="C15" s="40" t="n">
        <v>79.89285714285714</v>
      </c>
      <c r="D15" s="40" t="n">
        <v>80.61290322580645</v>
      </c>
      <c r="E15" s="40" t="n">
        <v>80.5</v>
      </c>
      <c r="F15" s="40" t="n">
        <v>77.16129032258064</v>
      </c>
      <c r="G15" s="40" t="n">
        <v>77.83333333333333</v>
      </c>
      <c r="H15" s="40" t="n">
        <v>78.87096774193549</v>
      </c>
      <c r="I15" s="40" t="n">
        <v>76.64516129032258</v>
      </c>
      <c r="J15" s="40" t="n">
        <v>78</v>
      </c>
      <c r="K15" s="40" t="n">
        <v>79</v>
      </c>
      <c r="L15" s="40" t="n">
        <v>79.7</v>
      </c>
      <c r="M15" s="40" t="n">
        <v>80</v>
      </c>
      <c r="N15" s="40" t="n">
        <v>78.94520547945206</v>
      </c>
      <c r="U15" s="12" t="n"/>
    </row>
    <row r="16" ht="11.25" customFormat="1" customHeight="1" s="12">
      <c r="A16" s="30" t="inlineStr">
        <is>
          <t>SUB TOTAL/SOUS-TOTAL</t>
        </is>
      </c>
      <c r="B16" s="41">
        <f>SUM(B8:B15)</f>
        <v/>
      </c>
      <c r="C16" s="41">
        <f>SUM(C8:C15)</f>
        <v/>
      </c>
      <c r="D16" s="41">
        <f>SUM(D8:D15)</f>
        <v/>
      </c>
      <c r="E16" s="41">
        <f>SUM(E8:E15)</f>
        <v/>
      </c>
      <c r="F16" s="41">
        <f>SUM(F8:F15)</f>
        <v/>
      </c>
      <c r="G16" s="41">
        <f>SUM(G8:G15)</f>
        <v/>
      </c>
      <c r="H16" s="41">
        <f>SUM(H8:H15)</f>
        <v/>
      </c>
      <c r="I16" s="41">
        <f>SUM(I8:I15)</f>
        <v/>
      </c>
      <c r="J16" s="41">
        <f>SUM(J8:J15)</f>
        <v/>
      </c>
      <c r="K16" s="41">
        <f>SUM(K8:K15)</f>
        <v/>
      </c>
      <c r="L16" s="41">
        <f>SUM(L8:L15)</f>
        <v/>
      </c>
      <c r="M16" s="41">
        <f>SUM(M8:M15)</f>
        <v/>
      </c>
      <c r="N16" s="41" t="n">
        <v>105835.5867808219</v>
      </c>
    </row>
    <row r="17" ht="22.5" customFormat="1" customHeight="1" s="12">
      <c r="A17" s="9" t="inlineStr">
        <is>
          <t>AB UPGRADED BITUMEN/ BITUME VALORISÉ-AB1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</row>
    <row r="18" ht="11.25" customFormat="1" customHeight="1" s="12">
      <c r="A18" s="14" t="inlineStr">
        <is>
          <t>SUB TOTAL/SOUS-TOTAL</t>
        </is>
      </c>
      <c r="B18" s="40" t="n">
        <v>183513.3387096774</v>
      </c>
      <c r="C18" s="40" t="n">
        <v>205299.2678571429</v>
      </c>
      <c r="D18" s="40" t="n">
        <v>205035.3870967742</v>
      </c>
      <c r="E18" s="40" t="n">
        <v>178425.25</v>
      </c>
      <c r="F18" s="40" t="n">
        <v>171156.3870967742</v>
      </c>
      <c r="G18" s="40" t="n">
        <v>182274.85</v>
      </c>
      <c r="H18" s="40" t="n">
        <v>217002.5161290323</v>
      </c>
      <c r="I18" s="40" t="n">
        <v>209244.2096774194</v>
      </c>
      <c r="J18" s="40" t="n">
        <v>171545.6666666667</v>
      </c>
      <c r="K18" s="40" t="n">
        <v>168503.9193548387</v>
      </c>
      <c r="L18" s="40" t="n">
        <v>216377.6666666667</v>
      </c>
      <c r="M18" s="40" t="n">
        <v>223178.5967741935</v>
      </c>
      <c r="N18" s="40" t="n">
        <v>194284.2397260274</v>
      </c>
    </row>
    <row r="19" ht="11.25" customFormat="1" customHeight="1" s="12">
      <c r="A19" s="3" t="inlineStr">
        <is>
          <t>C5+ / CONDENSATE/C5+/CONDENSATS</t>
        </is>
      </c>
      <c r="B19" s="40" t="n"/>
      <c r="C19" s="40" t="n"/>
      <c r="D19" s="40" t="n"/>
      <c r="E19" s="40" t="n"/>
      <c r="F19" s="40" t="n"/>
      <c r="G19" s="59" t="n"/>
      <c r="H19" s="40" t="n"/>
      <c r="I19" s="40" t="n"/>
      <c r="J19" s="40" t="n"/>
      <c r="K19" s="40" t="n"/>
      <c r="L19" s="40" t="n"/>
      <c r="M19" s="40" t="n"/>
      <c r="N19" s="40" t="n"/>
    </row>
    <row r="20" outlineLevel="1" ht="11.25" customFormat="1" customHeight="1" s="12">
      <c r="A20" s="11" t="inlineStr">
        <is>
          <t>AB</t>
        </is>
      </c>
      <c r="B20" s="40" t="n">
        <v>57699.30544354839</v>
      </c>
      <c r="C20" s="40" t="n">
        <v>57209.84598214286</v>
      </c>
      <c r="D20" s="40" t="n">
        <v>57831.82661290323</v>
      </c>
      <c r="E20" s="40" t="n">
        <v>57261.86666666667</v>
      </c>
      <c r="F20" s="40" t="n">
        <v>49120.44657258064</v>
      </c>
      <c r="G20" s="40" t="n">
        <v>54994.88958333333</v>
      </c>
      <c r="H20" s="40" t="n">
        <v>58509.04233870967</v>
      </c>
      <c r="I20" s="40" t="n">
        <v>60349.6058467742</v>
      </c>
      <c r="J20" s="40" t="n">
        <v>57285.40625</v>
      </c>
      <c r="K20" s="40" t="n">
        <v>63343.57358870967</v>
      </c>
      <c r="L20" s="40" t="n">
        <v>64009.809375</v>
      </c>
      <c r="M20" s="40" t="n">
        <v>66272.04637096774</v>
      </c>
      <c r="N20" s="40" t="n">
        <v>58672.15368150685</v>
      </c>
    </row>
    <row r="21" outlineLevel="1" ht="11.25" customFormat="1" customHeight="1" s="12">
      <c r="A21" s="11" t="inlineStr">
        <is>
          <t>BC</t>
        </is>
      </c>
      <c r="B21" s="40" t="n">
        <v>15354.46774193548</v>
      </c>
      <c r="C21" s="40" t="n">
        <v>14596.79285714286</v>
      </c>
      <c r="D21" s="40" t="n">
        <v>16142.78387096774</v>
      </c>
      <c r="E21" s="40" t="n">
        <v>16644.18666666667</v>
      </c>
      <c r="F21" s="40" t="n">
        <v>14636.0935483871</v>
      </c>
      <c r="G21" s="40" t="n">
        <v>15207.30000000001</v>
      </c>
      <c r="H21" s="40" t="n">
        <v>15426.17096774194</v>
      </c>
      <c r="I21" s="40" t="n">
        <v>17235.30322580645</v>
      </c>
      <c r="J21" s="40" t="n">
        <v>16568.58666666667</v>
      </c>
      <c r="K21" s="40" t="n">
        <v>17964.86451612903</v>
      </c>
      <c r="L21" s="40" t="n">
        <v>19128.48333333334</v>
      </c>
      <c r="M21" s="40" t="n">
        <v>19493.89677419355</v>
      </c>
      <c r="N21" s="40" t="n">
        <v>16545.28191780822</v>
      </c>
    </row>
    <row r="22" outlineLevel="1" ht="11.25" customFormat="1" customHeight="1" s="12">
      <c r="A22" s="11" t="inlineStr">
        <is>
          <t>SK</t>
        </is>
      </c>
      <c r="B22" s="40" t="n">
        <v>572.761935483871</v>
      </c>
      <c r="C22" s="40" t="n">
        <v>572.7617857142857</v>
      </c>
      <c r="D22" s="40" t="n">
        <v>572.761935483871</v>
      </c>
      <c r="E22" s="40" t="n">
        <v>572.7620000000001</v>
      </c>
      <c r="F22" s="40" t="n">
        <v>572.761935483871</v>
      </c>
      <c r="G22" s="40" t="n">
        <v>572.7620000000001</v>
      </c>
      <c r="H22" s="40" t="n">
        <v>572.761935483871</v>
      </c>
      <c r="I22" s="40" t="n">
        <v>572.761935483871</v>
      </c>
      <c r="J22" s="40" t="n">
        <v>572.7620000000001</v>
      </c>
      <c r="K22" s="40" t="n">
        <v>572.761935483871</v>
      </c>
      <c r="L22" s="40" t="n">
        <v>572.7620000000001</v>
      </c>
      <c r="M22" s="40" t="n">
        <v>572.761935483871</v>
      </c>
      <c r="N22" s="40" t="n">
        <v>572.7619452054794</v>
      </c>
    </row>
    <row r="23" ht="11.25" customFormat="1" customHeight="1" s="13">
      <c r="A23" s="14" t="inlineStr">
        <is>
          <t>SUB TOTAL/SOUS-TOTAL</t>
        </is>
      </c>
      <c r="B23" s="40">
        <f>SUM(B20:B22)</f>
        <v/>
      </c>
      <c r="C23" s="40">
        <f>SUM(C20:C22)</f>
        <v/>
      </c>
      <c r="D23" s="40">
        <f>SUM(D20:D22)</f>
        <v/>
      </c>
      <c r="E23" s="40">
        <f>SUM(E20:E22)</f>
        <v/>
      </c>
      <c r="F23" s="40">
        <f>SUM(F20:F22)</f>
        <v/>
      </c>
      <c r="G23" s="40">
        <f>SUM(G20:G22)</f>
        <v/>
      </c>
      <c r="H23" s="40">
        <f>SUM(H20:H22)</f>
        <v/>
      </c>
      <c r="I23" s="40">
        <f>SUM(I20:I22)</f>
        <v/>
      </c>
      <c r="J23" s="40">
        <f>SUM(J20:J22)</f>
        <v/>
      </c>
      <c r="K23" s="40">
        <f>SUM(K20:K22)</f>
        <v/>
      </c>
      <c r="L23" s="40">
        <f>SUM(L20:L22)</f>
        <v/>
      </c>
      <c r="M23" s="40">
        <f>SUM(M20:M22)</f>
        <v/>
      </c>
      <c r="N23" s="40" t="n">
        <v>75790.19754452055</v>
      </c>
    </row>
    <row r="24" ht="10.5" customFormat="1" customHeight="1" s="12">
      <c r="A24" s="16" t="inlineStr">
        <is>
          <t>TOTAL LIGHT/LÉGER</t>
        </is>
      </c>
      <c r="B24" s="41">
        <f>SUM(B23,B16,B18)</f>
        <v/>
      </c>
      <c r="C24" s="41">
        <f>SUM(C23,C16,C18)</f>
        <v/>
      </c>
      <c r="D24" s="41">
        <f>SUM(D23,D16,D18)</f>
        <v/>
      </c>
      <c r="E24" s="41">
        <f>SUM(E23,E16,E18)</f>
        <v/>
      </c>
      <c r="F24" s="41">
        <f>SUM(F23,F16,F18)</f>
        <v/>
      </c>
      <c r="G24" s="41">
        <f>SUM(G23,G16,G18)</f>
        <v/>
      </c>
      <c r="H24" s="41">
        <f>SUM(H23,H16,H18)</f>
        <v/>
      </c>
      <c r="I24" s="41">
        <f>SUM(I23,I16,I18)</f>
        <v/>
      </c>
      <c r="J24" s="41">
        <f>SUM(J23,J16,J18)</f>
        <v/>
      </c>
      <c r="K24" s="41">
        <f>SUM(K23,K16,K18)</f>
        <v/>
      </c>
      <c r="L24" s="41">
        <f>SUM(L23,L16,L18)</f>
        <v/>
      </c>
      <c r="M24" s="41">
        <f>SUM(M23,M16,M18)</f>
        <v/>
      </c>
      <c r="N24" s="41" t="n">
        <v>375910.0240513698</v>
      </c>
    </row>
    <row r="25" outlineLevel="3" ht="10.5" customFormat="1" customHeight="1" s="12">
      <c r="A25" s="3" t="inlineStr">
        <is>
          <t>HEAVY CRUDE OIL/ PÉTROLE BRUT LOURD</t>
        </is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</row>
    <row r="26" outlineLevel="3" ht="10.5" customFormat="1" customHeight="1" s="13">
      <c r="A26" s="11" t="inlineStr">
        <is>
          <t>AB CONV./CLASS.-AB</t>
        </is>
      </c>
      <c r="B26" s="40" t="n">
        <v>23059.49747983871</v>
      </c>
      <c r="C26" s="40" t="n">
        <v>23695.30747767857</v>
      </c>
      <c r="D26" s="40" t="n">
        <v>23554.6875</v>
      </c>
      <c r="E26" s="40" t="n">
        <v>23435.36041666667</v>
      </c>
      <c r="F26" s="40" t="n">
        <v>22853.62298387097</v>
      </c>
      <c r="G26" s="40" t="n">
        <v>22157.17708333333</v>
      </c>
      <c r="H26" s="40" t="n">
        <v>22739.06451612903</v>
      </c>
      <c r="I26" s="40" t="n">
        <v>22607.63205645161</v>
      </c>
      <c r="J26" s="40" t="n">
        <v>22863.11041666667</v>
      </c>
      <c r="K26" s="40" t="n">
        <v>23330.88760080645</v>
      </c>
      <c r="L26" s="40" t="n">
        <v>23480.27291666666</v>
      </c>
      <c r="M26" s="40" t="n">
        <v>23539.10635080645</v>
      </c>
      <c r="N26" s="40" t="n">
        <v>23106.2073630137</v>
      </c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</row>
    <row r="27" outlineLevel="3" ht="20.25" customFormat="1" customHeight="1" s="13">
      <c r="A27" s="17" t="inlineStr">
        <is>
          <t>AB NON-UPGRADED BITUMEN / BITUME NON VALORISÉ-AB2</t>
        </is>
      </c>
      <c r="B27" s="40" t="n">
        <v>317371.5161290322</v>
      </c>
      <c r="C27" s="40" t="n">
        <v>311396.5357142857</v>
      </c>
      <c r="D27" s="40" t="n">
        <v>312652.0967741936</v>
      </c>
      <c r="E27" s="40" t="n">
        <v>286798.2</v>
      </c>
      <c r="F27" s="40" t="n">
        <v>286834.3225806452</v>
      </c>
      <c r="G27" s="40" t="n">
        <v>304669.8666666666</v>
      </c>
      <c r="H27" s="40" t="n">
        <v>309469.935483871</v>
      </c>
      <c r="I27" s="40" t="n">
        <v>312633.4193548387</v>
      </c>
      <c r="J27" s="40" t="n">
        <v>350245.0666666667</v>
      </c>
      <c r="K27" s="40" t="n">
        <v>343120.8064516129</v>
      </c>
      <c r="L27" s="40" t="n">
        <v>347793</v>
      </c>
      <c r="M27" s="40" t="n">
        <v>344686.3225806452</v>
      </c>
      <c r="N27" s="40" t="n">
        <v>318997.5561643835</v>
      </c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</row>
    <row r="28" outlineLevel="2" ht="10.5" customFormat="1" customHeight="1" s="12">
      <c r="A28" s="14" t="inlineStr">
        <is>
          <t>AB SUB TOTAL/SOUS-TOTAL -AB</t>
        </is>
      </c>
      <c r="B28" s="40">
        <f>SUM(B26:B27)</f>
        <v/>
      </c>
      <c r="C28" s="40">
        <f>SUM(C26:C27)</f>
        <v/>
      </c>
      <c r="D28" s="40">
        <f>SUM(D26:D27)</f>
        <v/>
      </c>
      <c r="E28" s="40">
        <f>SUM(E26:E27)</f>
        <v/>
      </c>
      <c r="F28" s="40">
        <f>SUM(F26:F27)</f>
        <v/>
      </c>
      <c r="G28" s="40">
        <f>SUM(G26:G27)</f>
        <v/>
      </c>
      <c r="H28" s="40">
        <f>SUM(H26:H27)</f>
        <v/>
      </c>
      <c r="I28" s="40">
        <f>SUM(I26:I27)</f>
        <v/>
      </c>
      <c r="J28" s="40">
        <f>SUM(J26:J27)</f>
        <v/>
      </c>
      <c r="K28" s="40">
        <f>SUM(K26:K27)</f>
        <v/>
      </c>
      <c r="L28" s="40">
        <f>SUM(L26:L27)</f>
        <v/>
      </c>
      <c r="M28" s="40">
        <f>SUM(M26:M27)</f>
        <v/>
      </c>
      <c r="N28" s="40" t="n">
        <v>342103.7635273972</v>
      </c>
    </row>
    <row r="29" outlineLevel="2" ht="10.5" customFormat="1" customHeight="1" s="13">
      <c r="A29" s="11" t="inlineStr">
        <is>
          <t>SK CONV./CLASS.-SK</t>
        </is>
      </c>
      <c r="B29" s="40" t="n">
        <v>46869.49677419355</v>
      </c>
      <c r="C29" s="40" t="n">
        <v>47160.91428571429</v>
      </c>
      <c r="D29" s="40" t="n">
        <v>47108.93225806452</v>
      </c>
      <c r="E29" s="40" t="n">
        <v>47492.06666666667</v>
      </c>
      <c r="F29" s="40" t="n">
        <v>47552.28387096774</v>
      </c>
      <c r="G29" s="40" t="n">
        <v>46999.23999999999</v>
      </c>
      <c r="H29" s="40" t="n">
        <v>47220.01612903226</v>
      </c>
      <c r="I29" s="40" t="n">
        <v>46801.74193548387</v>
      </c>
      <c r="J29" s="40" t="n">
        <v>45634.38</v>
      </c>
      <c r="K29" s="40" t="n">
        <v>46584.7</v>
      </c>
      <c r="L29" s="40" t="n">
        <v>47677.22333333334</v>
      </c>
      <c r="M29" s="40" t="n">
        <v>48599.14193548387</v>
      </c>
      <c r="N29" s="40" t="n">
        <v>47143.61260273972</v>
      </c>
    </row>
    <row r="30" outlineLevel="2" ht="10.5" customFormat="1" customHeight="1" s="13">
      <c r="A30" s="11" t="inlineStr">
        <is>
          <t>NL CONV</t>
        </is>
      </c>
      <c r="B30" s="40" t="n">
        <v>22190.64516129032</v>
      </c>
      <c r="C30" s="40" t="n">
        <v>18841.78571428571</v>
      </c>
      <c r="D30" s="40" t="n">
        <v>18777.61290322581</v>
      </c>
      <c r="E30" s="40" t="n">
        <v>21921.8</v>
      </c>
      <c r="F30" s="40" t="n">
        <v>20915.41935483871</v>
      </c>
      <c r="G30" s="40" t="n">
        <v>20297.7</v>
      </c>
      <c r="H30" s="40" t="n">
        <v>19921.8064516129</v>
      </c>
      <c r="I30" s="40" t="n">
        <v>19334.1935483871</v>
      </c>
      <c r="J30" s="40" t="n">
        <v>4875.2</v>
      </c>
      <c r="K30" s="40" t="n">
        <v>18031.87096774194</v>
      </c>
      <c r="L30" s="40" t="n">
        <v>20108.5</v>
      </c>
      <c r="M30" s="40" t="n">
        <v>18968.58064516129</v>
      </c>
      <c r="N30" s="40" t="n">
        <v>18701.39726027397</v>
      </c>
    </row>
    <row r="31" outlineLevel="1" ht="12" customFormat="1" customHeight="1" s="12" thickBot="1">
      <c r="A31" s="27" t="inlineStr">
        <is>
          <t>TOTAL HEAVY/LOURD3</t>
        </is>
      </c>
      <c r="B31" s="39">
        <f>SUM(B28:B30)</f>
        <v/>
      </c>
      <c r="C31" s="39">
        <f>SUM(C28:C30)</f>
        <v/>
      </c>
      <c r="D31" s="39">
        <f>SUM(D28:D30)</f>
        <v/>
      </c>
      <c r="E31" s="39">
        <f>SUM(E28:E30)</f>
        <v/>
      </c>
      <c r="F31" s="39">
        <f>SUM(F28:F30)</f>
        <v/>
      </c>
      <c r="G31" s="39">
        <f>SUM(G28:G30)</f>
        <v/>
      </c>
      <c r="H31" s="39">
        <f>SUM(H28:H30)</f>
        <v/>
      </c>
      <c r="I31" s="39">
        <f>SUM(I28:I30)</f>
        <v/>
      </c>
      <c r="J31" s="39">
        <f>SUM(J28:J30)</f>
        <v/>
      </c>
      <c r="K31" s="39">
        <f>SUM(K28:K30)</f>
        <v/>
      </c>
      <c r="L31" s="39">
        <f>SUM(L28:L30)</f>
        <v/>
      </c>
      <c r="M31" s="39">
        <f>SUM(M28:M30)</f>
        <v/>
      </c>
      <c r="N31" s="39" t="n">
        <v>407948.7733904111</v>
      </c>
      <c r="P31" s="13" t="n"/>
    </row>
    <row r="32" outlineLevel="1" ht="12" customFormat="1" customHeight="1" s="12" thickBot="1">
      <c r="A32" s="27" t="inlineStr">
        <is>
          <t>TOTAL PRODUCTION</t>
        </is>
      </c>
      <c r="B32" s="39">
        <f>SUM(B31,B24)</f>
        <v/>
      </c>
      <c r="C32" s="39">
        <f>SUM(C31,C24)</f>
        <v/>
      </c>
      <c r="D32" s="39">
        <f>SUM(D31,D24)</f>
        <v/>
      </c>
      <c r="E32" s="39">
        <f>SUM(E31,E24)</f>
        <v/>
      </c>
      <c r="F32" s="39">
        <f>SUM(F31,F24)</f>
        <v/>
      </c>
      <c r="G32" s="39">
        <f>SUM(G31,G24)</f>
        <v/>
      </c>
      <c r="H32" s="39">
        <f>SUM(H31,H24)</f>
        <v/>
      </c>
      <c r="I32" s="39">
        <f>SUM(I31,I24)</f>
        <v/>
      </c>
      <c r="J32" s="39">
        <f>SUM(J31,J24)</f>
        <v/>
      </c>
      <c r="K32" s="39">
        <f>SUM(K31,K24)</f>
        <v/>
      </c>
      <c r="L32" s="39">
        <f>SUM(L31,L24)</f>
        <v/>
      </c>
      <c r="M32" s="39">
        <f>SUM(M31,M24)</f>
        <v/>
      </c>
      <c r="N32" s="39" t="n">
        <v>783858.7974417809</v>
      </c>
    </row>
    <row r="33" outlineLevel="1" ht="11.25" customHeight="1">
      <c r="A33" s="8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</row>
    <row r="34" outlineLevel="1" ht="11.25" customHeight="1">
      <c r="A34" s="8" t="n"/>
      <c r="B34" s="36" t="n"/>
      <c r="C34" s="36" t="n"/>
      <c r="D34" s="36" t="n"/>
      <c r="E34" s="36" t="n"/>
      <c r="F34" s="36" t="n"/>
      <c r="G34" s="36" t="n"/>
      <c r="H34" s="35" t="n"/>
      <c r="I34" s="36" t="n"/>
      <c r="J34" s="36" t="n"/>
      <c r="K34" s="36" t="n"/>
      <c r="L34" s="36" t="n"/>
      <c r="M34" s="36" t="n"/>
      <c r="N34" s="22" t="n"/>
    </row>
    <row r="35" outlineLevel="1" ht="11.25" customHeight="1">
      <c r="A35" s="8" t="n"/>
      <c r="B35" s="36" t="n"/>
      <c r="C35" s="36" t="n"/>
      <c r="D35" s="36" t="n"/>
      <c r="E35" s="1" t="n"/>
      <c r="F35" s="36" t="n"/>
      <c r="G35" s="36" t="n"/>
      <c r="H35" s="35" t="inlineStr">
        <is>
          <t>ESTIMATED PRODUCTION BY REGION</t>
        </is>
      </c>
      <c r="I35" s="1" t="n"/>
      <c r="J35" s="36" t="n"/>
      <c r="K35" s="36" t="n"/>
      <c r="L35" s="36" t="n"/>
      <c r="M35" s="36" t="n"/>
      <c r="N35" s="22" t="n"/>
    </row>
    <row r="36" outlineLevel="1" ht="33.75" customHeight="1">
      <c r="A36" s="18" t="inlineStr">
        <is>
          <t xml:space="preserve">WESTERN CANADA/OUEST CANADIEN
</t>
        </is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20" t="n"/>
    </row>
    <row r="37" ht="11.25" customFormat="1" customHeight="1" s="7">
      <c r="A37" s="19" t="inlineStr">
        <is>
          <t>CONV. LIGHT/LÉGER CLASS.</t>
        </is>
      </c>
      <c r="B37" s="40">
        <f>SUM(B8:B12,)</f>
        <v/>
      </c>
      <c r="C37" s="40">
        <f>SUM(C8:C12,)</f>
        <v/>
      </c>
      <c r="D37" s="40">
        <f>SUM(D8:D12,)</f>
        <v/>
      </c>
      <c r="E37" s="40">
        <f>SUM(E8:E12,)</f>
        <v/>
      </c>
      <c r="F37" s="40">
        <f>SUM(F8:F12,)</f>
        <v/>
      </c>
      <c r="G37" s="40">
        <f>SUM(G8:G12,)</f>
        <v/>
      </c>
      <c r="H37" s="40">
        <f>SUM(H8:H12,)</f>
        <v/>
      </c>
      <c r="I37" s="40">
        <f>SUM(I8:I12,)</f>
        <v/>
      </c>
      <c r="J37" s="40">
        <f>SUM(J8:J12,)</f>
        <v/>
      </c>
      <c r="K37" s="40">
        <f>SUM(K8:K12,)</f>
        <v/>
      </c>
      <c r="L37" s="40">
        <f>SUM(L8:L12,)</f>
        <v/>
      </c>
      <c r="M37" s="40">
        <f>SUM(M8:M12,)</f>
        <v/>
      </c>
      <c r="N37" s="40" t="n">
        <v>92623.26541095891</v>
      </c>
    </row>
    <row r="38" ht="19.5" customFormat="1" customHeight="1" s="20">
      <c r="A38" s="17" t="inlineStr">
        <is>
          <t>AB UPGRADED BITUMEN/ BITUME VALORISÉ-AB 1</t>
        </is>
      </c>
      <c r="B38" s="40">
        <f>B18</f>
        <v/>
      </c>
      <c r="C38" s="40">
        <f>C18</f>
        <v/>
      </c>
      <c r="D38" s="40">
        <f>D18</f>
        <v/>
      </c>
      <c r="E38" s="40">
        <f>E18</f>
        <v/>
      </c>
      <c r="F38" s="40">
        <f>F18</f>
        <v/>
      </c>
      <c r="G38" s="40">
        <f>G18</f>
        <v/>
      </c>
      <c r="H38" s="40">
        <f>H18</f>
        <v/>
      </c>
      <c r="I38" s="40">
        <f>I18</f>
        <v/>
      </c>
      <c r="J38" s="40">
        <f>J18</f>
        <v/>
      </c>
      <c r="K38" s="40">
        <f>K18</f>
        <v/>
      </c>
      <c r="L38" s="40">
        <f>L18</f>
        <v/>
      </c>
      <c r="M38" s="40">
        <f>M18</f>
        <v/>
      </c>
      <c r="N38" s="40" t="n">
        <v>194284.2397260274</v>
      </c>
    </row>
    <row r="39" outlineLevel="1" ht="11.25" customFormat="1" customHeight="1" s="12">
      <c r="A39" s="14" t="inlineStr">
        <is>
          <t>PENTANES PLUS</t>
        </is>
      </c>
      <c r="B39" s="40">
        <f>SUM(B20:B22)</f>
        <v/>
      </c>
      <c r="C39" s="40">
        <f>SUM(C20:C22)</f>
        <v/>
      </c>
      <c r="D39" s="40">
        <f>SUM(D20:D22)</f>
        <v/>
      </c>
      <c r="E39" s="40">
        <f>SUM(E20:E22)</f>
        <v/>
      </c>
      <c r="F39" s="40">
        <f>SUM(F20:F22)</f>
        <v/>
      </c>
      <c r="G39" s="40">
        <f>SUM(G20:G22)</f>
        <v/>
      </c>
      <c r="H39" s="40">
        <f>SUM(H20:H22)</f>
        <v/>
      </c>
      <c r="I39" s="40">
        <f>SUM(I20:I22)</f>
        <v/>
      </c>
      <c r="J39" s="40">
        <f>SUM(J20:J22)</f>
        <v/>
      </c>
      <c r="K39" s="40">
        <f>SUM(K20:K22)</f>
        <v/>
      </c>
      <c r="L39" s="40">
        <f>SUM(L20:L22)</f>
        <v/>
      </c>
      <c r="M39" s="40">
        <f>SUM(M20:M22)</f>
        <v/>
      </c>
      <c r="N39" s="40" t="n">
        <v>75790.19754452055</v>
      </c>
    </row>
    <row r="40" outlineLevel="1" ht="11.25" customFormat="1" customHeight="1" s="12">
      <c r="A40" s="28" t="inlineStr">
        <is>
          <t>TOTAL LIGHT/LÉGER</t>
        </is>
      </c>
      <c r="B40" s="41">
        <f>SUM(B37:B39)</f>
        <v/>
      </c>
      <c r="C40" s="41">
        <f>SUM(C37:C39)</f>
        <v/>
      </c>
      <c r="D40" s="41">
        <f>SUM(D37:D39)</f>
        <v/>
      </c>
      <c r="E40" s="41">
        <f>SUM(E37:E39)</f>
        <v/>
      </c>
      <c r="F40" s="41">
        <f>SUM(F37:F39)</f>
        <v/>
      </c>
      <c r="G40" s="41">
        <f>SUM(G37:G39)</f>
        <v/>
      </c>
      <c r="H40" s="41">
        <f>SUM(H37:H39)</f>
        <v/>
      </c>
      <c r="I40" s="41">
        <f>SUM(I37:I39)</f>
        <v/>
      </c>
      <c r="J40" s="41">
        <f>SUM(J37:J39)</f>
        <v/>
      </c>
      <c r="K40" s="41">
        <f>SUM(K37:K39)</f>
        <v/>
      </c>
      <c r="L40" s="41">
        <f>SUM(L37:L39)</f>
        <v/>
      </c>
      <c r="M40" s="41">
        <f>SUM(M37:M39)</f>
        <v/>
      </c>
      <c r="N40" s="41" t="n">
        <v>362697.7026815069</v>
      </c>
    </row>
    <row r="41" outlineLevel="1" ht="10.5" customFormat="1" customHeight="1" s="12">
      <c r="A41" s="19" t="inlineStr">
        <is>
          <t xml:space="preserve">CONV. HEAVY/LOURD CLASS. </t>
        </is>
      </c>
      <c r="B41" s="40">
        <f>SUM(B26,B29)</f>
        <v/>
      </c>
      <c r="C41" s="40">
        <f>SUM(C26,C29)</f>
        <v/>
      </c>
      <c r="D41" s="40">
        <f>SUM(D26,D29)</f>
        <v/>
      </c>
      <c r="E41" s="40">
        <f>SUM(E26,E29)</f>
        <v/>
      </c>
      <c r="F41" s="40">
        <f>SUM(F26,F29)</f>
        <v/>
      </c>
      <c r="G41" s="40">
        <f>SUM(G26,G29)</f>
        <v/>
      </c>
      <c r="H41" s="40">
        <f>SUM(H26,H29)</f>
        <v/>
      </c>
      <c r="I41" s="40">
        <f>SUM(I26,I29)</f>
        <v/>
      </c>
      <c r="J41" s="40">
        <f>SUM(J26,J29)</f>
        <v/>
      </c>
      <c r="K41" s="40">
        <f>SUM(K26,K29)</f>
        <v/>
      </c>
      <c r="L41" s="40">
        <f>SUM(L26,L29)</f>
        <v/>
      </c>
      <c r="M41" s="40">
        <f>SUM(M26,M29)</f>
        <v/>
      </c>
      <c r="N41" s="40" t="n">
        <v>70249.85037671233</v>
      </c>
    </row>
    <row r="42" outlineLevel="1" ht="18" customFormat="1" customHeight="1" s="12">
      <c r="A42" s="17" t="inlineStr">
        <is>
          <t>AB NON-UPGRADED BITUMEN / BITUME NON VALORISÉ-AB2</t>
        </is>
      </c>
      <c r="B42" s="40">
        <f>B27</f>
        <v/>
      </c>
      <c r="C42" s="40">
        <f>C27</f>
        <v/>
      </c>
      <c r="D42" s="40">
        <f>D27</f>
        <v/>
      </c>
      <c r="E42" s="40">
        <f>E27</f>
        <v/>
      </c>
      <c r="F42" s="40">
        <f>F27</f>
        <v/>
      </c>
      <c r="G42" s="40">
        <f>G27</f>
        <v/>
      </c>
      <c r="H42" s="40">
        <f>H27</f>
        <v/>
      </c>
      <c r="I42" s="40">
        <f>I27</f>
        <v/>
      </c>
      <c r="J42" s="40">
        <f>J27</f>
        <v/>
      </c>
      <c r="K42" s="40">
        <f>K27</f>
        <v/>
      </c>
      <c r="L42" s="40">
        <f>L27</f>
        <v/>
      </c>
      <c r="M42" s="40">
        <f>M27</f>
        <v/>
      </c>
      <c r="N42" s="40" t="n">
        <v>318997.5561643835</v>
      </c>
    </row>
    <row r="43" outlineLevel="1" ht="11.25" customFormat="1" customHeight="1" s="12">
      <c r="A43" s="28" t="inlineStr">
        <is>
          <t>TOTAL HEAVY/LOURD</t>
        </is>
      </c>
      <c r="B43" s="41">
        <f>SUM(B41:B42)</f>
        <v/>
      </c>
      <c r="C43" s="41">
        <f>SUM(C41:C42)</f>
        <v/>
      </c>
      <c r="D43" s="41">
        <f>SUM(D41:D42)</f>
        <v/>
      </c>
      <c r="E43" s="41">
        <f>SUM(E41:E42)</f>
        <v/>
      </c>
      <c r="F43" s="41">
        <f>SUM(F41:F42)</f>
        <v/>
      </c>
      <c r="G43" s="41">
        <f>SUM(G41:G42)</f>
        <v/>
      </c>
      <c r="H43" s="41">
        <f>SUM(H41:H42)</f>
        <v/>
      </c>
      <c r="I43" s="41">
        <f>SUM(I41:I42)</f>
        <v/>
      </c>
      <c r="J43" s="41">
        <f>SUM(J41:J42)</f>
        <v/>
      </c>
      <c r="K43" s="41">
        <f>SUM(K41:K42)</f>
        <v/>
      </c>
      <c r="L43" s="41">
        <f>SUM(L41:L42)</f>
        <v/>
      </c>
      <c r="M43" s="41">
        <f>SUM(M41:M42)</f>
        <v/>
      </c>
      <c r="N43" s="40" t="n">
        <v>389247.4065410959</v>
      </c>
    </row>
    <row r="44" outlineLevel="1" ht="27" customFormat="1" customHeight="1" s="12">
      <c r="A44" s="16" t="inlineStr">
        <is>
          <t>TOTAL WESTERN CANADA/ OUEST CANADIEN</t>
        </is>
      </c>
      <c r="B44" s="38">
        <f>SUM(B40,B43)</f>
        <v/>
      </c>
      <c r="C44" s="38">
        <f>SUM(C40,C43)</f>
        <v/>
      </c>
      <c r="D44" s="38">
        <f>SUM(D40,D43)</f>
        <v/>
      </c>
      <c r="E44" s="38">
        <f>SUM(E40,E43)</f>
        <v/>
      </c>
      <c r="F44" s="38">
        <f>SUM(F40,F43)</f>
        <v/>
      </c>
      <c r="G44" s="38">
        <f>SUM(G40,G43)</f>
        <v/>
      </c>
      <c r="H44" s="38">
        <f>SUM(H40,H43)</f>
        <v/>
      </c>
      <c r="I44" s="38">
        <f>SUM(I40,I43)</f>
        <v/>
      </c>
      <c r="J44" s="38">
        <f>SUM(J40,J43)</f>
        <v/>
      </c>
      <c r="K44" s="38">
        <f>SUM(K40,K43)</f>
        <v/>
      </c>
      <c r="L44" s="38">
        <f>SUM(L40,L43)</f>
        <v/>
      </c>
      <c r="M44" s="38">
        <f>SUM(M40,M43)</f>
        <v/>
      </c>
      <c r="N44" s="38" t="n">
        <v>751945.1092226027</v>
      </c>
    </row>
    <row r="45" outlineLevel="1" ht="32.25" customFormat="1" customHeight="1" s="12" thickBot="1">
      <c r="A45" s="26" t="inlineStr">
        <is>
          <t>TOTAL EASTERN CANADA/
EST CANADIEN</t>
        </is>
      </c>
      <c r="B45" s="39">
        <f>SUM(B13:B15,B30)</f>
        <v/>
      </c>
      <c r="C45" s="39">
        <f>SUM(C13:C15,C30)</f>
        <v/>
      </c>
      <c r="D45" s="39">
        <f>SUM(D13:D15,D30)</f>
        <v/>
      </c>
      <c r="E45" s="39">
        <f>SUM(E13:E15,E30)</f>
        <v/>
      </c>
      <c r="F45" s="39">
        <f>SUM(F13:F15,F30)</f>
        <v/>
      </c>
      <c r="G45" s="39">
        <f>SUM(G13:G15,G30)</f>
        <v/>
      </c>
      <c r="H45" s="39">
        <f>SUM(H13:H15,H30)</f>
        <v/>
      </c>
      <c r="I45" s="39">
        <f>SUM(I13:I15,I30)</f>
        <v/>
      </c>
      <c r="J45" s="39">
        <f>SUM(J13:J15,J30)</f>
        <v/>
      </c>
      <c r="K45" s="39">
        <f>SUM(K13:K15,K30)</f>
        <v/>
      </c>
      <c r="L45" s="39">
        <f>SUM(L13:L15,L30)</f>
        <v/>
      </c>
      <c r="M45" s="39">
        <f>SUM(M13:M15,M30)</f>
        <v/>
      </c>
      <c r="N45" s="40" t="n">
        <v>31880.82109589041</v>
      </c>
    </row>
    <row r="46" outlineLevel="1" ht="12" customFormat="1" customHeight="1" s="12" thickBot="1">
      <c r="A46" s="25" t="inlineStr">
        <is>
          <t>TOTAL CANADA</t>
        </is>
      </c>
      <c r="B46" s="48">
        <f>SUM(B45,B44)</f>
        <v/>
      </c>
      <c r="C46" s="48">
        <f>SUM(C45,C44)</f>
        <v/>
      </c>
      <c r="D46" s="48">
        <f>SUM(D45,D44)</f>
        <v/>
      </c>
      <c r="E46" s="48">
        <f>SUM(E45,E44)</f>
        <v/>
      </c>
      <c r="F46" s="48">
        <f>SUM(F45,F44)</f>
        <v/>
      </c>
      <c r="G46" s="48">
        <f>SUM(G45,G44)</f>
        <v/>
      </c>
      <c r="H46" s="48">
        <f>SUM(H45,H44)</f>
        <v/>
      </c>
      <c r="I46" s="48">
        <f>SUM(I45,I44)</f>
        <v/>
      </c>
      <c r="J46" s="48">
        <f>SUM(J45,J44)</f>
        <v/>
      </c>
      <c r="K46" s="48">
        <f>SUM(K45,K44)</f>
        <v/>
      </c>
      <c r="L46" s="48">
        <f>SUM(L45,L44)</f>
        <v/>
      </c>
      <c r="M46" s="48">
        <f>SUM(M45,M44)</f>
        <v/>
      </c>
      <c r="N46" s="48" t="n">
        <v>783825.930318493</v>
      </c>
    </row>
    <row r="47" outlineLevel="1" ht="11.25" customFormat="1" customHeight="1" s="12">
      <c r="A47" s="3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 outlineLevel="1" ht="11.25" customFormat="1" customHeight="1" s="12">
      <c r="A48" s="3" t="inlineStr">
        <is>
          <t>NOTES: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 outlineLevel="1" ht="10.5" customFormat="1" customHeight="1" s="12">
      <c r="A49" s="3" t="inlineStr">
        <is>
          <t>Figures in black print are actual production data from reporting agencies.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outlineLevel="1" ht="11.25" customFormat="1" customHeight="1" s="13">
      <c r="A50" s="3" t="inlineStr">
        <is>
          <t>Forecasted values are no longer available in this publication. For the latest projections of crude oil and natural gas production in Canada please visit the CERs Energy Futures page.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 outlineLevel="1" ht="11.25" customFormat="1" customHeight="1" s="13">
      <c r="A51" s="21" t="inlineStr">
        <is>
          <t>1 As per AER -ST3, includes in situ bitumen that is upgraded to SCO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11.25" customFormat="1" customHeight="1" s="12">
      <c r="A52" s="22" t="inlineStr">
        <is>
          <t xml:space="preserve">2 As per AER -ST3, excludes in situ produced bitumen that is upgraded to SCO 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 ht="11.25" customFormat="1" customHeight="1" s="12">
      <c r="A53" s="3" t="n"/>
      <c r="B53" s="2" t="n"/>
      <c r="C53" s="2" t="n"/>
      <c r="D53" s="2" t="n"/>
      <c r="E53" s="2" t="n"/>
      <c r="F53" s="2" t="n"/>
      <c r="G53" s="7" t="n"/>
      <c r="H53" s="2" t="n"/>
      <c r="I53" s="2" t="n"/>
      <c r="J53" s="2" t="n"/>
      <c r="K53" s="2" t="n"/>
      <c r="L53" s="2" t="n"/>
      <c r="M53" s="2" t="n"/>
      <c r="N53" s="2" t="n"/>
    </row>
    <row r="54" ht="11.25" customFormat="1" customHeight="1" s="12">
      <c r="A54" s="22" t="inlineStr">
        <is>
          <t>Les chiffres en noir représentent les données de production réelles obtenues auprès d'organismes présentant des rapports.</t>
        </is>
      </c>
      <c r="B54" s="2" t="n"/>
      <c r="C54" s="2" t="n"/>
      <c r="D54" s="2" t="n"/>
      <c r="E54" s="2" t="n"/>
      <c r="F54" s="2" t="n"/>
      <c r="G54" s="7" t="n"/>
      <c r="H54" s="2" t="n"/>
      <c r="I54" s="2" t="n"/>
      <c r="J54" s="2" t="n"/>
      <c r="K54" s="2" t="n"/>
      <c r="L54" s="2" t="n"/>
      <c r="M54" s="2" t="n"/>
      <c r="N54" s="2" t="n"/>
    </row>
    <row r="55" ht="11.25" customFormat="1" customHeight="1" s="12">
      <c r="A55" s="23" t="inlineStr">
        <is>
          <t>Les valeurs prévues ne sont plus disponibles dans cette publication. Pour connaître les dernières projections relatives à la production de pétrole brut et de gaz naturel au Canada, consultez la page principale d’Avenir énergétique du Canada</t>
        </is>
      </c>
      <c r="B55" s="2" t="n"/>
      <c r="C55" s="2" t="n"/>
      <c r="D55" s="2" t="n"/>
      <c r="E55" s="2" t="n"/>
      <c r="F55" s="2" t="n"/>
      <c r="G55" s="7" t="n"/>
      <c r="H55" s="2" t="n"/>
      <c r="I55" s="2" t="n"/>
      <c r="J55" s="2" t="n"/>
      <c r="K55" s="2" t="n"/>
      <c r="L55" s="2" t="n"/>
      <c r="M55" s="2" t="n"/>
      <c r="N55" s="2" t="n"/>
    </row>
    <row r="56" ht="11.25" customHeight="1">
      <c r="A56" s="24" t="inlineStr">
        <is>
          <t>1 Comprend la production de pétrole brut synthétique et de distillats.</t>
        </is>
      </c>
    </row>
    <row r="57" ht="11.25" customFormat="1" customHeight="1" s="13">
      <c r="A57" s="21" t="inlineStr">
        <is>
          <t>2 Bitume in situ, sauf les quantités transformées en pétrole brut synthétique par valorisation.</t>
        </is>
      </c>
      <c r="B57" s="2" t="n"/>
      <c r="C57" s="2" t="n"/>
      <c r="D57" s="2" t="n"/>
      <c r="E57" s="2" t="n"/>
      <c r="F57" s="2" t="n"/>
      <c r="G57" s="7" t="n"/>
      <c r="H57" s="2" t="n"/>
      <c r="I57" s="2" t="n"/>
      <c r="J57" s="2" t="n"/>
      <c r="K57" s="2" t="n"/>
      <c r="L57" s="2" t="n"/>
      <c r="M57" s="2" t="n"/>
      <c r="N57" s="2" t="n"/>
    </row>
    <row r="58" ht="9.949999999999999" customHeight="1">
      <c r="A58" s="3" t="n"/>
    </row>
    <row r="1087" ht="10.5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6C6"/>
  <printOptions horizontalCentered="1" verticalCentered="1"/>
  <pageMargins left="0.24" right="0.22" top="0.37" bottom="0.42" header="0.25" footer="0.17"/>
  <pageSetup orientation="landscape" scale="95" fitToHeight="2"/>
  <headerFooter alignWithMargins="0">
    <oddHeader/>
    <oddFooter>&amp;RNEB/ RP:  &amp;D</oddFooter>
    <evenHeader/>
    <evenFooter/>
    <firstHeader/>
    <firstFooter/>
  </headerFooter>
  <rowBreaks count="1" manualBreakCount="1">
    <brk id="34" min="0" max="45" man="1"/>
  </rowBreaks>
  <colBreaks count="1" manualBreakCount="1">
    <brk id="15" min="0" max="59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U57"/>
  <sheetViews>
    <sheetView zoomScaleNormal="100" workbookViewId="0">
      <selection activeCell="E14" sqref="E14"/>
    </sheetView>
  </sheetViews>
  <sheetFormatPr baseColWidth="8" defaultRowHeight="10.5"/>
  <cols>
    <col width="33.5" customWidth="1" min="1" max="1"/>
    <col width="9.6640625" bestFit="1" customWidth="1" min="2" max="13"/>
    <col width="14" bestFit="1" customWidth="1" min="14" max="14"/>
    <col width="12.6640625" bestFit="1" customWidth="1" min="16" max="17"/>
    <col width="11.5" customWidth="1" min="18" max="18"/>
    <col width="10.1640625" bestFit="1" customWidth="1" min="19" max="21"/>
  </cols>
  <sheetData>
    <row r="1" ht="30" customHeight="1"/>
    <row r="2" ht="11.25" customHeight="1">
      <c r="A2" s="62">
        <f>'23TABLE - cubic meters per day'!A2</f>
        <v/>
      </c>
      <c r="H2" s="4" t="inlineStr">
        <is>
          <t>2023 ESTIMATED PRODUCTION OF CANADIAN CRUDE OIL AND EQUIVALENT  (b/d)</t>
        </is>
      </c>
    </row>
    <row r="3" ht="11.25" customHeight="1">
      <c r="H3" s="4" t="inlineStr">
        <is>
          <t>PRODUCTION ESTIMATIVE DE PÉTROLE BRUT ET D'ÉQUIVALENTS AU CANADA EN 2023 (b/j)</t>
        </is>
      </c>
    </row>
    <row r="4" ht="11.25" customHeight="1">
      <c r="A4" s="7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>
        <f>'23TABLE - cubic meters per day'!N4</f>
        <v/>
      </c>
    </row>
    <row r="5" ht="11.25" customHeight="1">
      <c r="A5" s="9" t="n"/>
      <c r="B5" s="7" t="inlineStr">
        <is>
          <t>Jan/janv.</t>
        </is>
      </c>
      <c r="C5" s="7" t="inlineStr">
        <is>
          <t>Feb/fév.</t>
        </is>
      </c>
      <c r="D5" s="7" t="inlineStr">
        <is>
          <t>Mar/mars</t>
        </is>
      </c>
      <c r="E5" s="7" t="inlineStr">
        <is>
          <t>Apr/avr.</t>
        </is>
      </c>
      <c r="F5" s="7" t="inlineStr">
        <is>
          <t>May/mai</t>
        </is>
      </c>
      <c r="G5" s="7" t="inlineStr">
        <is>
          <t>June/juin</t>
        </is>
      </c>
      <c r="H5" s="7" t="inlineStr">
        <is>
          <t>July/juil.</t>
        </is>
      </c>
      <c r="I5" s="7" t="inlineStr">
        <is>
          <t>Aug/août</t>
        </is>
      </c>
      <c r="J5" s="7" t="inlineStr">
        <is>
          <t>Sep/sept.</t>
        </is>
      </c>
      <c r="K5" s="7" t="inlineStr">
        <is>
          <t>Oct/oct.</t>
        </is>
      </c>
      <c r="L5" s="7" t="inlineStr">
        <is>
          <t>Nov/nov.</t>
        </is>
      </c>
      <c r="M5" s="7" t="inlineStr">
        <is>
          <t>Dec/déc.</t>
        </is>
      </c>
      <c r="N5" s="7" t="inlineStr">
        <is>
          <t>Avg/moyenne</t>
        </is>
      </c>
    </row>
    <row r="6" ht="11.25" customHeight="1">
      <c r="A6" s="9" t="inlineStr">
        <is>
          <t>CONV. LIGHT CRUDE OIL/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3" t="n"/>
    </row>
    <row r="7" ht="11.25" customHeight="1">
      <c r="A7" s="10" t="inlineStr">
        <is>
          <t>PÉTROLE BRUT LÉGER CLASS.</t>
        </is>
      </c>
      <c r="B7" s="32" t="n"/>
      <c r="C7" s="32" t="n"/>
      <c r="D7" s="34" t="n"/>
      <c r="E7" s="34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</row>
    <row r="8" ht="11.25" customHeight="1">
      <c r="A8" s="11" t="inlineStr">
        <is>
          <t>AB</t>
        </is>
      </c>
      <c r="B8" s="40">
        <f>'23TABLE - cubic meters per day'!B8*6.2898</f>
        <v/>
      </c>
      <c r="C8" s="40">
        <f>'23TABLE - cubic meters per day'!C8*6.2898</f>
        <v/>
      </c>
      <c r="D8" s="40">
        <f>'23TABLE - cubic meters per day'!D8*6.2898</f>
        <v/>
      </c>
      <c r="E8" s="40">
        <f>'23TABLE - cubic meters per day'!E8*6.2898</f>
        <v/>
      </c>
      <c r="F8" s="40">
        <f>'23TABLE - cubic meters per day'!F8*6.2898</f>
        <v/>
      </c>
      <c r="G8" s="40">
        <f>'23TABLE - cubic meters per day'!G8*6.2898</f>
        <v/>
      </c>
      <c r="H8" s="40">
        <f>'23TABLE - cubic meters per day'!H8*6.2898</f>
        <v/>
      </c>
      <c r="I8" s="40">
        <f>'23TABLE - cubic meters per day'!I8*6.2898</f>
        <v/>
      </c>
      <c r="J8" s="40">
        <f>'23TABLE - cubic meters per day'!J8*6.2898</f>
        <v/>
      </c>
      <c r="K8" s="40">
        <f>'23TABLE - cubic meters per day'!K8*6.2898</f>
        <v/>
      </c>
      <c r="L8" s="40">
        <f>'23TABLE - cubic meters per day'!L8*6.2898</f>
        <v/>
      </c>
      <c r="M8" s="40">
        <f>'23TABLE - cubic meters per day'!M8*6.2898</f>
        <v/>
      </c>
      <c r="N8" s="40">
        <f>'23TABLE - cubic meters per day'!N8*6.2898</f>
        <v/>
      </c>
      <c r="R8" s="54" t="n"/>
    </row>
    <row r="9" ht="11.25" customHeight="1">
      <c r="A9" s="11" t="inlineStr">
        <is>
          <t>BC</t>
        </is>
      </c>
      <c r="B9" s="40">
        <f>'23TABLE - cubic meters per day'!B9*6.2898</f>
        <v/>
      </c>
      <c r="C9" s="40">
        <f>'23TABLE - cubic meters per day'!C9*6.2898</f>
        <v/>
      </c>
      <c r="D9" s="40">
        <f>'23TABLE - cubic meters per day'!D9*6.2898</f>
        <v/>
      </c>
      <c r="E9" s="40">
        <f>'23TABLE - cubic meters per day'!E9*6.2898</f>
        <v/>
      </c>
      <c r="F9" s="40">
        <f>'23TABLE - cubic meters per day'!F9*6.2898</f>
        <v/>
      </c>
      <c r="G9" s="40">
        <f>'23TABLE - cubic meters per day'!G9*6.2898</f>
        <v/>
      </c>
      <c r="H9" s="40">
        <f>'23TABLE - cubic meters per day'!H9*6.2898</f>
        <v/>
      </c>
      <c r="I9" s="40">
        <f>'23TABLE - cubic meters per day'!I9*6.2898</f>
        <v/>
      </c>
      <c r="J9" s="40">
        <f>'23TABLE - cubic meters per day'!J9*6.2898</f>
        <v/>
      </c>
      <c r="K9" s="40">
        <f>'23TABLE - cubic meters per day'!K9*6.2898</f>
        <v/>
      </c>
      <c r="L9" s="40">
        <f>'23TABLE - cubic meters per day'!L9*6.2898</f>
        <v/>
      </c>
      <c r="M9" s="40">
        <f>'23TABLE - cubic meters per day'!M9*6.2898</f>
        <v/>
      </c>
      <c r="N9" s="40">
        <f>'23TABLE - cubic meters per day'!N9*6.2898</f>
        <v/>
      </c>
      <c r="R9" s="54" t="n"/>
    </row>
    <row r="10" ht="11.25" customHeight="1">
      <c r="A10" s="11" t="inlineStr">
        <is>
          <t>SK</t>
        </is>
      </c>
      <c r="B10" s="40">
        <f>'23TABLE - cubic meters per day'!B10*6.2898</f>
        <v/>
      </c>
      <c r="C10" s="40">
        <f>'23TABLE - cubic meters per day'!C10*6.2898</f>
        <v/>
      </c>
      <c r="D10" s="40">
        <f>'23TABLE - cubic meters per day'!D10*6.2898</f>
        <v/>
      </c>
      <c r="E10" s="40">
        <f>'23TABLE - cubic meters per day'!E10*6.2898</f>
        <v/>
      </c>
      <c r="F10" s="40">
        <f>'23TABLE - cubic meters per day'!F10*6.2898</f>
        <v/>
      </c>
      <c r="G10" s="40">
        <f>'23TABLE - cubic meters per day'!G10*6.2898</f>
        <v/>
      </c>
      <c r="H10" s="40">
        <f>'23TABLE - cubic meters per day'!H10*6.2898</f>
        <v/>
      </c>
      <c r="I10" s="40">
        <f>'23TABLE - cubic meters per day'!I10*6.2898</f>
        <v/>
      </c>
      <c r="J10" s="40">
        <f>'23TABLE - cubic meters per day'!J10*6.2898</f>
        <v/>
      </c>
      <c r="K10" s="40">
        <f>'23TABLE - cubic meters per day'!K10*6.2898</f>
        <v/>
      </c>
      <c r="L10" s="40">
        <f>'23TABLE - cubic meters per day'!L10*6.2898</f>
        <v/>
      </c>
      <c r="M10" s="40">
        <f>'23TABLE - cubic meters per day'!M10*6.2898</f>
        <v/>
      </c>
      <c r="N10" s="40">
        <f>'23TABLE - cubic meters per day'!N10*6.2898</f>
        <v/>
      </c>
      <c r="R10" s="12" t="n"/>
    </row>
    <row r="11" ht="11.25" customHeight="1">
      <c r="A11" s="11" t="inlineStr">
        <is>
          <t>MB</t>
        </is>
      </c>
      <c r="B11" s="40">
        <f>'23TABLE - cubic meters per day'!B11*6.2898</f>
        <v/>
      </c>
      <c r="C11" s="40">
        <f>'23TABLE - cubic meters per day'!C11*6.2898</f>
        <v/>
      </c>
      <c r="D11" s="40">
        <f>'23TABLE - cubic meters per day'!D11*6.2898</f>
        <v/>
      </c>
      <c r="E11" s="40">
        <f>'23TABLE - cubic meters per day'!E11*6.2898</f>
        <v/>
      </c>
      <c r="F11" s="40">
        <f>'23TABLE - cubic meters per day'!F11*6.2898</f>
        <v/>
      </c>
      <c r="G11" s="40">
        <f>'23TABLE - cubic meters per day'!G11*6.2898</f>
        <v/>
      </c>
      <c r="H11" s="40">
        <f>'23TABLE - cubic meters per day'!H11*6.2898</f>
        <v/>
      </c>
      <c r="I11" s="40">
        <f>'23TABLE - cubic meters per day'!I11*6.2898</f>
        <v/>
      </c>
      <c r="J11" s="40">
        <f>'23TABLE - cubic meters per day'!J11*6.2898</f>
        <v/>
      </c>
      <c r="K11" s="40">
        <f>'23TABLE - cubic meters per day'!K11*6.2898</f>
        <v/>
      </c>
      <c r="L11" s="40">
        <f>'23TABLE - cubic meters per day'!L11*6.2898</f>
        <v/>
      </c>
      <c r="M11" s="40">
        <f>'23TABLE - cubic meters per day'!M11*6.2898</f>
        <v/>
      </c>
      <c r="N11" s="40">
        <f>'23TABLE - cubic meters per day'!N11*6.2898</f>
        <v/>
      </c>
      <c r="R11" s="52" t="n"/>
    </row>
    <row r="12" ht="11.25" customHeight="1">
      <c r="A12" s="11" t="inlineStr">
        <is>
          <t>NWT/NT</t>
        </is>
      </c>
      <c r="B12" s="40">
        <f>'23TABLE - cubic meters per day'!B12*6.2898</f>
        <v/>
      </c>
      <c r="C12" s="40">
        <f>'23TABLE - cubic meters per day'!C12*6.2898</f>
        <v/>
      </c>
      <c r="D12" s="40">
        <f>'23TABLE - cubic meters per day'!D12*6.2898</f>
        <v/>
      </c>
      <c r="E12" s="40">
        <f>'23TABLE - cubic meters per day'!E12*6.2898</f>
        <v/>
      </c>
      <c r="F12" s="40">
        <f>'23TABLE - cubic meters per day'!F12*6.2898</f>
        <v/>
      </c>
      <c r="G12" s="40">
        <f>'23TABLE - cubic meters per day'!G12*6.2898</f>
        <v/>
      </c>
      <c r="H12" s="40">
        <f>'23TABLE - cubic meters per day'!H12*6.2898</f>
        <v/>
      </c>
      <c r="I12" s="40">
        <f>'23TABLE - cubic meters per day'!I12*6.2898</f>
        <v/>
      </c>
      <c r="J12" s="40">
        <f>'23TABLE - cubic meters per day'!J12*6.2898</f>
        <v/>
      </c>
      <c r="K12" s="40">
        <f>'23TABLE - cubic meters per day'!K12*6.2898</f>
        <v/>
      </c>
      <c r="L12" s="40">
        <f>'23TABLE - cubic meters per day'!L12*6.2898</f>
        <v/>
      </c>
      <c r="M12" s="40">
        <f>'23TABLE - cubic meters per day'!M12*6.2898</f>
        <v/>
      </c>
      <c r="N12" s="40">
        <f>'23TABLE - cubic meters per day'!N12*6.2898</f>
        <v/>
      </c>
    </row>
    <row r="13" ht="11.25" customHeight="1">
      <c r="A13" s="11" t="inlineStr">
        <is>
          <t>NF/NL</t>
        </is>
      </c>
      <c r="B13" s="40">
        <f>'23TABLE - cubic meters per day'!B13*6.2898</f>
        <v/>
      </c>
      <c r="C13" s="40">
        <f>'23TABLE - cubic meters per day'!C13*6.2898</f>
        <v/>
      </c>
      <c r="D13" s="40">
        <f>'23TABLE - cubic meters per day'!D13*6.2898</f>
        <v/>
      </c>
      <c r="E13" s="40">
        <f>'23TABLE - cubic meters per day'!E13*6.2898</f>
        <v/>
      </c>
      <c r="F13" s="40">
        <f>'23TABLE - cubic meters per day'!F13*6.2898</f>
        <v/>
      </c>
      <c r="G13" s="40">
        <f>'23TABLE - cubic meters per day'!G13*6.2898</f>
        <v/>
      </c>
      <c r="H13" s="40">
        <f>'23TABLE - cubic meters per day'!H13*6.2898</f>
        <v/>
      </c>
      <c r="I13" s="40">
        <f>'23TABLE - cubic meters per day'!I13*6.2898</f>
        <v/>
      </c>
      <c r="J13" s="40">
        <f>'23TABLE - cubic meters per day'!J13*6.2898</f>
        <v/>
      </c>
      <c r="K13" s="40">
        <f>'23TABLE - cubic meters per day'!K13*6.2898</f>
        <v/>
      </c>
      <c r="L13" s="40">
        <f>'23TABLE - cubic meters per day'!L13*6.2898</f>
        <v/>
      </c>
      <c r="M13" s="40">
        <f>'23TABLE - cubic meters per day'!M13*6.2898</f>
        <v/>
      </c>
      <c r="N13" s="40">
        <f>'23TABLE - cubic meters per day'!N13*6.2898</f>
        <v/>
      </c>
    </row>
    <row r="14" ht="11.25" customHeight="1">
      <c r="A14" s="11" t="inlineStr">
        <is>
          <t>NB</t>
        </is>
      </c>
      <c r="B14" s="40">
        <f>'23TABLE - cubic meters per day'!B14*6.2898</f>
        <v/>
      </c>
      <c r="C14" s="40">
        <f>'23TABLE - cubic meters per day'!C14*6.2898</f>
        <v/>
      </c>
      <c r="D14" s="40">
        <f>'23TABLE - cubic meters per day'!D14*6.2898</f>
        <v/>
      </c>
      <c r="E14" s="40">
        <f>'23TABLE - cubic meters per day'!E14*6.2898</f>
        <v/>
      </c>
      <c r="F14" s="40" t="n"/>
      <c r="G14" s="40" t="n"/>
      <c r="H14" s="40" t="n"/>
      <c r="I14" s="40" t="n"/>
      <c r="J14" s="40" t="n"/>
      <c r="K14" s="40" t="n"/>
      <c r="L14" s="40" t="n"/>
      <c r="M14" s="40" t="n"/>
      <c r="N14" s="40" t="n"/>
    </row>
    <row r="15" ht="11.25" customHeight="1">
      <c r="A15" s="11" t="inlineStr">
        <is>
          <t>ON</t>
        </is>
      </c>
      <c r="B15" s="40">
        <f>'23TABLE - cubic meters per day'!B15*6.2898</f>
        <v/>
      </c>
      <c r="C15" s="40">
        <f>'23TABLE - cubic meters per day'!C15*6.2898</f>
        <v/>
      </c>
      <c r="D15" s="40">
        <f>'23TABLE - cubic meters per day'!D15*6.2898</f>
        <v/>
      </c>
      <c r="E15" s="40">
        <f>'23TABLE - cubic meters per day'!E15*6.2898</f>
        <v/>
      </c>
      <c r="F15" s="40">
        <f>'23TABLE - cubic meters per day'!F15*6.2898</f>
        <v/>
      </c>
      <c r="G15" s="40">
        <f>'23TABLE - cubic meters per day'!G15*6.2898</f>
        <v/>
      </c>
      <c r="H15" s="40">
        <f>'23TABLE - cubic meters per day'!H15*6.2898</f>
        <v/>
      </c>
      <c r="I15" s="40">
        <f>'23TABLE - cubic meters per day'!I15*6.2898</f>
        <v/>
      </c>
      <c r="J15" s="40">
        <f>'23TABLE - cubic meters per day'!J15*6.2898</f>
        <v/>
      </c>
      <c r="K15" s="40">
        <f>'23TABLE - cubic meters per day'!K15*6.2898</f>
        <v/>
      </c>
      <c r="L15" s="40">
        <f>'23TABLE - cubic meters per day'!L15*6.2898</f>
        <v/>
      </c>
      <c r="M15" s="40">
        <f>'23TABLE - cubic meters per day'!M15*6.2898</f>
        <v/>
      </c>
      <c r="N15" s="40">
        <f>'23TABLE - cubic meters per day'!N15*6.2898</f>
        <v/>
      </c>
    </row>
    <row r="16" ht="11.25" customHeight="1">
      <c r="A16" s="30" t="inlineStr">
        <is>
          <t>SUB TOTAL/SOUS-TOTAL</t>
        </is>
      </c>
      <c r="B16" s="41">
        <f>SUM(B8:B15)</f>
        <v/>
      </c>
      <c r="C16" s="41">
        <f>SUM(C8:C15)</f>
        <v/>
      </c>
      <c r="D16" s="41">
        <f>SUM(D8:D15)</f>
        <v/>
      </c>
      <c r="E16" s="41">
        <f>SUM(E8:E15)</f>
        <v/>
      </c>
      <c r="F16" s="41">
        <f>SUM(F8:F15)</f>
        <v/>
      </c>
      <c r="G16" s="41">
        <f>SUM(G8:G15)</f>
        <v/>
      </c>
      <c r="H16" s="41">
        <f>SUM(H8:H15)</f>
        <v/>
      </c>
      <c r="I16" s="41">
        <f>SUM(I8:I15)</f>
        <v/>
      </c>
      <c r="J16" s="41">
        <f>SUM(J8:J15)</f>
        <v/>
      </c>
      <c r="K16" s="41">
        <f>SUM(K8:K15)</f>
        <v/>
      </c>
      <c r="L16" s="41">
        <f>SUM(L8:L15)</f>
        <v/>
      </c>
      <c r="M16" s="41">
        <f>SUM(M8:M15)</f>
        <v/>
      </c>
      <c r="N16" s="41">
        <f>'23TABLE - cubic meters per day'!N16*6.2898</f>
        <v/>
      </c>
    </row>
    <row r="17" ht="22.5" customHeight="1">
      <c r="A17" s="9" t="inlineStr">
        <is>
          <t>AB UPGRADED BITUMEN/ BITUME VALORISÉ-AB1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</row>
    <row r="18" ht="11.25" customHeight="1">
      <c r="A18" s="14" t="inlineStr">
        <is>
          <t>SUB TOTAL/SOUS-TOTAL</t>
        </is>
      </c>
      <c r="B18" s="40">
        <f>'23TABLE - cubic meters per day'!B18*6.2898</f>
        <v/>
      </c>
      <c r="C18" s="40">
        <f>'23TABLE - cubic meters per day'!C18*6.2898</f>
        <v/>
      </c>
      <c r="D18" s="40">
        <f>'23TABLE - cubic meters per day'!D18*6.2898</f>
        <v/>
      </c>
      <c r="E18" s="40">
        <f>'23TABLE - cubic meters per day'!E18*6.2898</f>
        <v/>
      </c>
      <c r="F18" s="40">
        <f>'23TABLE - cubic meters per day'!F18*6.2898</f>
        <v/>
      </c>
      <c r="G18" s="40">
        <f>'23TABLE - cubic meters per day'!G18*6.2898</f>
        <v/>
      </c>
      <c r="H18" s="40">
        <f>'23TABLE - cubic meters per day'!H18*6.2898</f>
        <v/>
      </c>
      <c r="I18" s="40">
        <f>'23TABLE - cubic meters per day'!I18*6.2898</f>
        <v/>
      </c>
      <c r="J18" s="40">
        <f>'23TABLE - cubic meters per day'!J18*6.2898</f>
        <v/>
      </c>
      <c r="K18" s="40">
        <f>'23TABLE - cubic meters per day'!K18*6.2898</f>
        <v/>
      </c>
      <c r="L18" s="40">
        <f>'23TABLE - cubic meters per day'!L18*6.2898</f>
        <v/>
      </c>
      <c r="M18" s="40">
        <f>'23TABLE - cubic meters per day'!M18*6.2898</f>
        <v/>
      </c>
      <c r="N18" s="40">
        <f>'23TABLE - cubic meters per day'!N18*6.2898</f>
        <v/>
      </c>
      <c r="T18" s="31" t="n"/>
    </row>
    <row r="19" ht="11.25" customHeight="1">
      <c r="A19" s="3" t="inlineStr">
        <is>
          <t>C5+ / CONDENSATE/C5+/CONDENSATS</t>
        </is>
      </c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7" t="n"/>
      <c r="T19" s="31" t="n"/>
      <c r="U19" s="31" t="n"/>
    </row>
    <row r="20" ht="11.25" customHeight="1">
      <c r="A20" s="11" t="inlineStr">
        <is>
          <t>AB</t>
        </is>
      </c>
      <c r="B20" s="40">
        <f>'23TABLE - cubic meters per day'!B20*6.2898</f>
        <v/>
      </c>
      <c r="C20" s="40">
        <f>'23TABLE - cubic meters per day'!C20*6.2898</f>
        <v/>
      </c>
      <c r="D20" s="40">
        <f>'23TABLE - cubic meters per day'!D20*6.2898</f>
        <v/>
      </c>
      <c r="E20" s="40">
        <f>'23TABLE - cubic meters per day'!E20*6.2898</f>
        <v/>
      </c>
      <c r="F20" s="40">
        <f>'23TABLE - cubic meters per day'!F20*6.2898</f>
        <v/>
      </c>
      <c r="G20" s="40">
        <f>'23TABLE - cubic meters per day'!G20*6.2898</f>
        <v/>
      </c>
      <c r="H20" s="40">
        <f>'23TABLE - cubic meters per day'!H20*6.2898</f>
        <v/>
      </c>
      <c r="I20" s="40">
        <f>'23TABLE - cubic meters per day'!I20*6.2898</f>
        <v/>
      </c>
      <c r="J20" s="40">
        <f>'23TABLE - cubic meters per day'!J20*6.2898</f>
        <v/>
      </c>
      <c r="K20" s="40">
        <f>'23TABLE - cubic meters per day'!K20*6.2898</f>
        <v/>
      </c>
      <c r="L20" s="40">
        <f>'23TABLE - cubic meters per day'!L20*6.2898</f>
        <v/>
      </c>
      <c r="M20" s="40">
        <f>'23TABLE - cubic meters per day'!M20*6.2898</f>
        <v/>
      </c>
      <c r="N20" s="40">
        <f>'23TABLE - cubic meters per day'!N20*6.2898</f>
        <v/>
      </c>
    </row>
    <row r="21" ht="11.25" customHeight="1">
      <c r="A21" s="11" t="inlineStr">
        <is>
          <t>BC</t>
        </is>
      </c>
      <c r="B21" s="40">
        <f>'23TABLE - cubic meters per day'!B21*6.2898</f>
        <v/>
      </c>
      <c r="C21" s="40">
        <f>'23TABLE - cubic meters per day'!C21*6.2898</f>
        <v/>
      </c>
      <c r="D21" s="40">
        <f>'23TABLE - cubic meters per day'!D21*6.2898</f>
        <v/>
      </c>
      <c r="E21" s="40">
        <f>'23TABLE - cubic meters per day'!E21*6.2898</f>
        <v/>
      </c>
      <c r="F21" s="40">
        <f>'23TABLE - cubic meters per day'!F21*6.2898</f>
        <v/>
      </c>
      <c r="G21" s="40">
        <f>'23TABLE - cubic meters per day'!G21*6.2898</f>
        <v/>
      </c>
      <c r="H21" s="40">
        <f>'23TABLE - cubic meters per day'!H21*6.2898</f>
        <v/>
      </c>
      <c r="I21" s="40">
        <f>'23TABLE - cubic meters per day'!I21*6.2898</f>
        <v/>
      </c>
      <c r="J21" s="40">
        <f>'23TABLE - cubic meters per day'!J21*6.2898</f>
        <v/>
      </c>
      <c r="K21" s="40">
        <f>'23TABLE - cubic meters per day'!K21*6.2898</f>
        <v/>
      </c>
      <c r="L21" s="40">
        <f>'23TABLE - cubic meters per day'!L21*6.2898</f>
        <v/>
      </c>
      <c r="M21" s="40">
        <f>'23TABLE - cubic meters per day'!M21*6.2898</f>
        <v/>
      </c>
      <c r="N21" s="40">
        <f>'23TABLE - cubic meters per day'!N21*6.2898</f>
        <v/>
      </c>
    </row>
    <row r="22" ht="11.25" customHeight="1">
      <c r="A22" s="11" t="inlineStr">
        <is>
          <t>SK2</t>
        </is>
      </c>
      <c r="B22" s="40">
        <f>'23TABLE - cubic meters per day'!B22*6.2898</f>
        <v/>
      </c>
      <c r="C22" s="40">
        <f>'23TABLE - cubic meters per day'!C22*6.2898</f>
        <v/>
      </c>
      <c r="D22" s="40">
        <f>'23TABLE - cubic meters per day'!D22*6.2898</f>
        <v/>
      </c>
      <c r="E22" s="40">
        <f>'23TABLE - cubic meters per day'!E22*6.2898</f>
        <v/>
      </c>
      <c r="F22" s="40">
        <f>'23TABLE - cubic meters per day'!F22*6.2898</f>
        <v/>
      </c>
      <c r="G22" s="40">
        <f>'23TABLE - cubic meters per day'!G22*6.2898</f>
        <v/>
      </c>
      <c r="H22" s="40">
        <f>'23TABLE - cubic meters per day'!H22*6.2898</f>
        <v/>
      </c>
      <c r="I22" s="40">
        <f>'23TABLE - cubic meters per day'!I22*6.2898</f>
        <v/>
      </c>
      <c r="J22" s="40">
        <f>'23TABLE - cubic meters per day'!J22*6.2898</f>
        <v/>
      </c>
      <c r="K22" s="40">
        <f>'23TABLE - cubic meters per day'!K22*6.2898</f>
        <v/>
      </c>
      <c r="L22" s="40">
        <f>'23TABLE - cubic meters per day'!L22*6.2898</f>
        <v/>
      </c>
      <c r="M22" s="40">
        <f>'23TABLE - cubic meters per day'!M22*6.2898</f>
        <v/>
      </c>
      <c r="N22" s="40" t="n"/>
    </row>
    <row r="23" ht="11.25" customHeight="1">
      <c r="A23" s="14" t="inlineStr">
        <is>
          <t>SUB TOTAL/SOUS-TOTAL</t>
        </is>
      </c>
      <c r="B23" s="40">
        <f>'23TABLE - cubic meters per day'!B23*6.2898</f>
        <v/>
      </c>
      <c r="C23" s="40">
        <f>'23TABLE - cubic meters per day'!C23*6.2898</f>
        <v/>
      </c>
      <c r="D23" s="40">
        <f>'23TABLE - cubic meters per day'!D23*6.2898</f>
        <v/>
      </c>
      <c r="E23" s="40">
        <f>'23TABLE - cubic meters per day'!E23*6.2898</f>
        <v/>
      </c>
      <c r="F23" s="40">
        <f>'23TABLE - cubic meters per day'!F23*6.2898</f>
        <v/>
      </c>
      <c r="G23" s="40">
        <f>'23TABLE - cubic meters per day'!G23*6.2898</f>
        <v/>
      </c>
      <c r="H23" s="40">
        <f>'23TABLE - cubic meters per day'!H23*6.2898</f>
        <v/>
      </c>
      <c r="I23" s="40">
        <f>'23TABLE - cubic meters per day'!I23*6.2898</f>
        <v/>
      </c>
      <c r="J23" s="40">
        <f>'23TABLE - cubic meters per day'!J23*6.2898</f>
        <v/>
      </c>
      <c r="K23" s="40">
        <f>'23TABLE - cubic meters per day'!K23*6.2898</f>
        <v/>
      </c>
      <c r="L23" s="40">
        <f>'23TABLE - cubic meters per day'!L23*6.2898</f>
        <v/>
      </c>
      <c r="M23" s="40">
        <f>'23TABLE - cubic meters per day'!M23*6.2898</f>
        <v/>
      </c>
      <c r="N23" s="40">
        <f>'23TABLE - cubic meters per day'!N23*6.2898</f>
        <v/>
      </c>
    </row>
    <row r="24" ht="11.25" customHeight="1">
      <c r="A24" s="16" t="inlineStr">
        <is>
          <t>TOTAL LIGHT/LÉGER</t>
        </is>
      </c>
      <c r="B24" s="41">
        <f>SUM(B23,B16,B18)</f>
        <v/>
      </c>
      <c r="C24" s="41">
        <f>SUM(C23,C16,C18)</f>
        <v/>
      </c>
      <c r="D24" s="41">
        <f>SUM(D23,D16,D18)</f>
        <v/>
      </c>
      <c r="E24" s="41">
        <f>SUM(E23,E16,E18)</f>
        <v/>
      </c>
      <c r="F24" s="41">
        <f>SUM(F23,F16,F18)</f>
        <v/>
      </c>
      <c r="G24" s="41">
        <f>SUM(G23,G16,G18)</f>
        <v/>
      </c>
      <c r="H24" s="41">
        <f>SUM(H23,H16,H18)</f>
        <v/>
      </c>
      <c r="I24" s="41">
        <f>SUM(I23,I16,I18)</f>
        <v/>
      </c>
      <c r="J24" s="41">
        <f>SUM(J23,J16,J18)</f>
        <v/>
      </c>
      <c r="K24" s="41">
        <f>SUM(K23,K16,K18)</f>
        <v/>
      </c>
      <c r="L24" s="41">
        <f>SUM(L23,L16,L18)</f>
        <v/>
      </c>
      <c r="M24" s="41">
        <f>SUM(M23,M16,M18)</f>
        <v/>
      </c>
      <c r="N24" s="41">
        <f>'23TABLE - cubic meters per day'!N24*6.2898</f>
        <v/>
      </c>
    </row>
    <row r="25" ht="11.25" customHeight="1">
      <c r="A25" s="3" t="inlineStr">
        <is>
          <t>HEAVY CRUDE OIL/ PÉTROLE BRUT LOURD</t>
        </is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</row>
    <row r="26" ht="11.25" customHeight="1">
      <c r="A26" s="11" t="inlineStr">
        <is>
          <t>AB CONV./CLASS.-AB</t>
        </is>
      </c>
      <c r="B26" s="40">
        <f>'23TABLE - cubic meters per day'!B26*6.2898</f>
        <v/>
      </c>
      <c r="C26" s="40">
        <f>'23TABLE - cubic meters per day'!C26*6.2898</f>
        <v/>
      </c>
      <c r="D26" s="40">
        <f>'23TABLE - cubic meters per day'!D26*6.2898</f>
        <v/>
      </c>
      <c r="E26" s="40">
        <f>'23TABLE - cubic meters per day'!E26*6.2898</f>
        <v/>
      </c>
      <c r="F26" s="40">
        <f>'23TABLE - cubic meters per day'!F26*6.2898</f>
        <v/>
      </c>
      <c r="G26" s="40">
        <f>'23TABLE - cubic meters per day'!G26*6.2898</f>
        <v/>
      </c>
      <c r="H26" s="40">
        <f>'23TABLE - cubic meters per day'!H26*6.2898</f>
        <v/>
      </c>
      <c r="I26" s="40">
        <f>'23TABLE - cubic meters per day'!I26*6.2898</f>
        <v/>
      </c>
      <c r="J26" s="40">
        <f>'23TABLE - cubic meters per day'!J26*6.2898</f>
        <v/>
      </c>
      <c r="K26" s="40">
        <f>'23TABLE - cubic meters per day'!K26*6.2898</f>
        <v/>
      </c>
      <c r="L26" s="40">
        <f>'23TABLE - cubic meters per day'!L26*6.2898</f>
        <v/>
      </c>
      <c r="M26" s="40">
        <f>'23TABLE - cubic meters per day'!M26*6.2898</f>
        <v/>
      </c>
      <c r="N26" s="40">
        <f>'23TABLE - cubic meters per day'!N26*6.2898</f>
        <v/>
      </c>
    </row>
    <row r="27" ht="18" customHeight="1">
      <c r="A27" s="17" t="inlineStr">
        <is>
          <t>AB NON-UPGRADED BITUMEN / BITUME NON VALORISÉ-AB2</t>
        </is>
      </c>
      <c r="B27" s="40">
        <f>'23TABLE - cubic meters per day'!B27*6.2898</f>
        <v/>
      </c>
      <c r="C27" s="40">
        <f>'23TABLE - cubic meters per day'!C27*6.2898</f>
        <v/>
      </c>
      <c r="D27" s="40">
        <f>'23TABLE - cubic meters per day'!D27*6.2898</f>
        <v/>
      </c>
      <c r="E27" s="40">
        <f>'23TABLE - cubic meters per day'!E27*6.2898</f>
        <v/>
      </c>
      <c r="F27" s="40">
        <f>'23TABLE - cubic meters per day'!F27*6.2898</f>
        <v/>
      </c>
      <c r="G27" s="40">
        <f>'23TABLE - cubic meters per day'!G27*6.2898</f>
        <v/>
      </c>
      <c r="H27" s="40">
        <f>'23TABLE - cubic meters per day'!H27*6.2898</f>
        <v/>
      </c>
      <c r="I27" s="40">
        <f>'23TABLE - cubic meters per day'!I27*6.2898</f>
        <v/>
      </c>
      <c r="J27" s="40">
        <f>'23TABLE - cubic meters per day'!J27*6.2898</f>
        <v/>
      </c>
      <c r="K27" s="40">
        <f>'23TABLE - cubic meters per day'!K27*6.2898</f>
        <v/>
      </c>
      <c r="L27" s="40">
        <f>'23TABLE - cubic meters per day'!L27*6.2898</f>
        <v/>
      </c>
      <c r="M27" s="40">
        <f>'23TABLE - cubic meters per day'!M27*6.2898</f>
        <v/>
      </c>
      <c r="N27" s="40">
        <f>'23TABLE - cubic meters per day'!N27*6.2898</f>
        <v/>
      </c>
    </row>
    <row r="28" ht="11.25" customHeight="1">
      <c r="A28" s="14" t="inlineStr">
        <is>
          <t>AB SUB TOTAL/SOUS-TOTAL -AB</t>
        </is>
      </c>
      <c r="B28" s="40">
        <f>'23TABLE - cubic meters per day'!B28*6.2898</f>
        <v/>
      </c>
      <c r="C28" s="40">
        <f>'23TABLE - cubic meters per day'!C28*6.2898</f>
        <v/>
      </c>
      <c r="D28" s="40">
        <f>'23TABLE - cubic meters per day'!D28*6.2898</f>
        <v/>
      </c>
      <c r="E28" s="40">
        <f>'23TABLE - cubic meters per day'!E28*6.2898</f>
        <v/>
      </c>
      <c r="F28" s="40">
        <f>'23TABLE - cubic meters per day'!F28*6.2898</f>
        <v/>
      </c>
      <c r="G28" s="40">
        <f>'23TABLE - cubic meters per day'!G28*6.2898</f>
        <v/>
      </c>
      <c r="H28" s="40">
        <f>'23TABLE - cubic meters per day'!H28*6.2898</f>
        <v/>
      </c>
      <c r="I28" s="40">
        <f>'23TABLE - cubic meters per day'!I28*6.2898</f>
        <v/>
      </c>
      <c r="J28" s="40">
        <f>'23TABLE - cubic meters per day'!J28*6.2898</f>
        <v/>
      </c>
      <c r="K28" s="40">
        <f>'23TABLE - cubic meters per day'!K28*6.2898</f>
        <v/>
      </c>
      <c r="L28" s="40">
        <f>'23TABLE - cubic meters per day'!L28*6.2898</f>
        <v/>
      </c>
      <c r="M28" s="40">
        <f>'23TABLE - cubic meters per day'!M28*6.2898</f>
        <v/>
      </c>
      <c r="N28" s="40">
        <f>'23TABLE - cubic meters per day'!N28*6.2898</f>
        <v/>
      </c>
    </row>
    <row r="29" ht="11.25" customHeight="1">
      <c r="A29" s="11" t="inlineStr">
        <is>
          <t>SK CONV./CLASS.-SK</t>
        </is>
      </c>
      <c r="B29" s="40">
        <f>'23TABLE - cubic meters per day'!B29*6.2898</f>
        <v/>
      </c>
      <c r="C29" s="40">
        <f>'23TABLE - cubic meters per day'!C29*6.2898</f>
        <v/>
      </c>
      <c r="D29" s="40">
        <f>'23TABLE - cubic meters per day'!D29*6.2898</f>
        <v/>
      </c>
      <c r="E29" s="40">
        <f>'23TABLE - cubic meters per day'!E29*6.2898</f>
        <v/>
      </c>
      <c r="F29" s="40">
        <f>'23TABLE - cubic meters per day'!F29*6.2898</f>
        <v/>
      </c>
      <c r="G29" s="40">
        <f>'23TABLE - cubic meters per day'!G29*6.2898</f>
        <v/>
      </c>
      <c r="H29" s="40">
        <f>'23TABLE - cubic meters per day'!H29*6.2898</f>
        <v/>
      </c>
      <c r="I29" s="40">
        <f>'23TABLE - cubic meters per day'!I29*6.2898</f>
        <v/>
      </c>
      <c r="J29" s="40">
        <f>'23TABLE - cubic meters per day'!J29*6.2898</f>
        <v/>
      </c>
      <c r="K29" s="40">
        <f>'23TABLE - cubic meters per day'!K29*6.2898</f>
        <v/>
      </c>
      <c r="L29" s="40">
        <f>'23TABLE - cubic meters per day'!L29*6.2898</f>
        <v/>
      </c>
      <c r="M29" s="40">
        <f>'23TABLE - cubic meters per day'!M29*6.2898</f>
        <v/>
      </c>
      <c r="N29" s="40">
        <f>'23TABLE - cubic meters per day'!N29*6.2898</f>
        <v/>
      </c>
    </row>
    <row r="30" ht="11.25" customHeight="1">
      <c r="A30" s="11" t="inlineStr">
        <is>
          <t>NL CONV</t>
        </is>
      </c>
      <c r="B30" s="40">
        <f>'23TABLE - cubic meters per day'!B30*6.2898</f>
        <v/>
      </c>
      <c r="C30" s="40">
        <f>'23TABLE - cubic meters per day'!C30*6.2898</f>
        <v/>
      </c>
      <c r="D30" s="40">
        <f>'23TABLE - cubic meters per day'!D30*6.2898</f>
        <v/>
      </c>
      <c r="E30" s="40">
        <f>'23TABLE - cubic meters per day'!E30*6.2898</f>
        <v/>
      </c>
      <c r="F30" s="40">
        <f>'23TABLE - cubic meters per day'!F30*6.2898</f>
        <v/>
      </c>
      <c r="G30" s="40">
        <f>'23TABLE - cubic meters per day'!G30*6.2898</f>
        <v/>
      </c>
      <c r="H30" s="40">
        <f>'23TABLE - cubic meters per day'!H30*6.2898</f>
        <v/>
      </c>
      <c r="I30" s="40">
        <f>'23TABLE - cubic meters per day'!I30*6.2898</f>
        <v/>
      </c>
      <c r="J30" s="40">
        <f>'23TABLE - cubic meters per day'!J30*6.2898</f>
        <v/>
      </c>
      <c r="K30" s="40">
        <f>'23TABLE - cubic meters per day'!K30*6.2898</f>
        <v/>
      </c>
      <c r="L30" s="40">
        <f>'23TABLE - cubic meters per day'!L30*6.2898</f>
        <v/>
      </c>
      <c r="M30" s="40">
        <f>'23TABLE - cubic meters per day'!M30*6.2898</f>
        <v/>
      </c>
      <c r="N30" s="40">
        <f>'23TABLE - cubic meters per day'!N30*6.2898</f>
        <v/>
      </c>
    </row>
    <row r="31" ht="12" customHeight="1" thickBot="1">
      <c r="A31" s="27" t="inlineStr">
        <is>
          <t>TOTAL HEAVY/LOURD3</t>
        </is>
      </c>
      <c r="B31" s="39">
        <f>SUM(B28:B30)</f>
        <v/>
      </c>
      <c r="C31" s="39">
        <f>SUM(C28:C30)</f>
        <v/>
      </c>
      <c r="D31" s="39">
        <f>SUM(D28:D30)</f>
        <v/>
      </c>
      <c r="E31" s="39">
        <f>SUM(E28:E30)</f>
        <v/>
      </c>
      <c r="F31" s="39">
        <f>SUM(F28:F30)</f>
        <v/>
      </c>
      <c r="G31" s="39">
        <f>SUM(G28:G30)</f>
        <v/>
      </c>
      <c r="H31" s="39">
        <f>SUM(H28:H30)</f>
        <v/>
      </c>
      <c r="I31" s="39">
        <f>SUM(I28:I30)</f>
        <v/>
      </c>
      <c r="J31" s="39">
        <f>SUM(J28:J30)</f>
        <v/>
      </c>
      <c r="K31" s="39">
        <f>SUM(K28:K30)</f>
        <v/>
      </c>
      <c r="L31" s="39">
        <f>SUM(L28:L30)</f>
        <v/>
      </c>
      <c r="M31" s="39">
        <f>SUM(M28:M30)</f>
        <v/>
      </c>
      <c r="N31" s="39">
        <f>'23TABLE - cubic meters per day'!N31*6.2898</f>
        <v/>
      </c>
    </row>
    <row r="32" ht="12" customHeight="1" thickBot="1">
      <c r="A32" s="27" t="inlineStr">
        <is>
          <t>TOTAL PRODUCTION</t>
        </is>
      </c>
      <c r="B32" s="39">
        <f>SUM(B31,B24)</f>
        <v/>
      </c>
      <c r="C32" s="39">
        <f>SUM(C31,C24)</f>
        <v/>
      </c>
      <c r="D32" s="39">
        <f>SUM(D31,D24)</f>
        <v/>
      </c>
      <c r="E32" s="39">
        <f>SUM(E31,E24)</f>
        <v/>
      </c>
      <c r="F32" s="39">
        <f>SUM(F31,F24)</f>
        <v/>
      </c>
      <c r="G32" s="39">
        <f>SUM(G31,G24)</f>
        <v/>
      </c>
      <c r="H32" s="39">
        <f>SUM(H31,H24)</f>
        <v/>
      </c>
      <c r="I32" s="39">
        <f>SUM(I31,I24)</f>
        <v/>
      </c>
      <c r="J32" s="39">
        <f>SUM(J31,J24)</f>
        <v/>
      </c>
      <c r="K32" s="39">
        <f>SUM(K31,K24)</f>
        <v/>
      </c>
      <c r="L32" s="39">
        <f>SUM(L31,L24)</f>
        <v/>
      </c>
      <c r="M32" s="39">
        <f>SUM(M31,M24)</f>
        <v/>
      </c>
      <c r="N32" s="39">
        <f>'23TABLE - cubic meters per day'!N32*6.2898</f>
        <v/>
      </c>
    </row>
    <row r="33" ht="11.25" customHeight="1">
      <c r="A33" s="8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</row>
    <row r="34" ht="11.25" customHeight="1">
      <c r="A34" s="8" t="n"/>
      <c r="B34" s="36" t="n"/>
      <c r="C34" s="36" t="n"/>
      <c r="D34" s="36" t="n"/>
      <c r="E34" s="36" t="n"/>
      <c r="F34" s="36" t="n"/>
      <c r="G34" s="36" t="n"/>
      <c r="H34" s="35" t="n"/>
      <c r="I34" s="36" t="n"/>
      <c r="J34" s="36" t="n"/>
      <c r="K34" s="36" t="n"/>
      <c r="L34" s="36" t="n"/>
      <c r="M34" s="36" t="n"/>
      <c r="N34" s="22" t="n"/>
    </row>
    <row r="35" ht="11.25" customHeight="1">
      <c r="A35" s="8" t="n"/>
      <c r="B35" s="36" t="n"/>
      <c r="C35" s="36" t="n"/>
      <c r="D35" s="36" t="n"/>
      <c r="E35" s="1" t="n"/>
      <c r="F35" s="36" t="n"/>
      <c r="G35" s="36" t="n"/>
      <c r="H35" s="35" t="inlineStr">
        <is>
          <t>ESTIMATED PRODUCTION BY REGION</t>
        </is>
      </c>
      <c r="I35" s="1" t="n"/>
      <c r="J35" s="36" t="n"/>
      <c r="K35" s="36" t="n"/>
      <c r="L35" s="36" t="n"/>
      <c r="M35" s="36" t="n"/>
      <c r="N35" s="22" t="n"/>
    </row>
    <row r="36" ht="33.75" customHeight="1">
      <c r="A36" s="18" t="inlineStr">
        <is>
          <t xml:space="preserve">WESTERN CANADA/OUEST CANADIEN
</t>
        </is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20" t="n"/>
    </row>
    <row r="37" ht="11.25" customHeight="1">
      <c r="A37" s="19" t="inlineStr">
        <is>
          <t>CONV. LIGHT/LÉGER CLASS.</t>
        </is>
      </c>
      <c r="B37" s="40">
        <f>'23TABLE - cubic meters per day'!B37*6.2898</f>
        <v/>
      </c>
      <c r="C37" s="40">
        <f>'23TABLE - cubic meters per day'!C37*6.2898</f>
        <v/>
      </c>
      <c r="D37" s="40">
        <f>'23TABLE - cubic meters per day'!D37*6.2898</f>
        <v/>
      </c>
      <c r="E37" s="40">
        <f>'23TABLE - cubic meters per day'!E37*6.2898</f>
        <v/>
      </c>
      <c r="F37" s="40">
        <f>'23TABLE - cubic meters per day'!F37*6.2898</f>
        <v/>
      </c>
      <c r="G37" s="40">
        <f>'23TABLE - cubic meters per day'!G37*6.2898</f>
        <v/>
      </c>
      <c r="H37" s="40">
        <f>'23TABLE - cubic meters per day'!H37*6.2898</f>
        <v/>
      </c>
      <c r="I37" s="40">
        <f>'23TABLE - cubic meters per day'!I37*6.2898</f>
        <v/>
      </c>
      <c r="J37" s="40">
        <f>'23TABLE - cubic meters per day'!J37*6.2898</f>
        <v/>
      </c>
      <c r="K37" s="40">
        <f>'23TABLE - cubic meters per day'!K37*6.2898</f>
        <v/>
      </c>
      <c r="L37" s="40">
        <f>'23TABLE - cubic meters per day'!L37*6.2898</f>
        <v/>
      </c>
      <c r="M37" s="40">
        <f>'23TABLE - cubic meters per day'!M37*6.2898</f>
        <v/>
      </c>
      <c r="N37" s="40">
        <f>'23TABLE - cubic meters per day'!N37*6.2898</f>
        <v/>
      </c>
      <c r="T37" s="52" t="n"/>
      <c r="U37" s="52" t="n"/>
    </row>
    <row r="38" ht="17.25" customHeight="1">
      <c r="A38" s="17" t="inlineStr">
        <is>
          <t>AB UPGRADED BITUMEN/ BITUME VALORISÉ-AB 1</t>
        </is>
      </c>
      <c r="B38" s="40">
        <f>'23TABLE - cubic meters per day'!B38*6.2898</f>
        <v/>
      </c>
      <c r="C38" s="40">
        <f>'23TABLE - cubic meters per day'!C38*6.2898</f>
        <v/>
      </c>
      <c r="D38" s="40">
        <f>'23TABLE - cubic meters per day'!D38*6.2898</f>
        <v/>
      </c>
      <c r="E38" s="40">
        <f>'23TABLE - cubic meters per day'!E38*6.2898</f>
        <v/>
      </c>
      <c r="F38" s="40">
        <f>'23TABLE - cubic meters per day'!F38*6.2898</f>
        <v/>
      </c>
      <c r="G38" s="40">
        <f>'23TABLE - cubic meters per day'!G38*6.2898</f>
        <v/>
      </c>
      <c r="H38" s="40">
        <f>'23TABLE - cubic meters per day'!H38*6.2898</f>
        <v/>
      </c>
      <c r="I38" s="40">
        <f>'23TABLE - cubic meters per day'!I38*6.2898</f>
        <v/>
      </c>
      <c r="J38" s="40">
        <f>'23TABLE - cubic meters per day'!J38*6.2898</f>
        <v/>
      </c>
      <c r="K38" s="40">
        <f>'23TABLE - cubic meters per day'!K38*6.2898</f>
        <v/>
      </c>
      <c r="L38" s="40">
        <f>'23TABLE - cubic meters per day'!L38*6.2898</f>
        <v/>
      </c>
      <c r="M38" s="40">
        <f>'23TABLE - cubic meters per day'!M38*6.2898</f>
        <v/>
      </c>
      <c r="N38" s="40">
        <f>'23TABLE - cubic meters per day'!N38*6.2898</f>
        <v/>
      </c>
      <c r="T38" s="57" t="n"/>
      <c r="U38" s="57" t="n"/>
    </row>
    <row r="39" ht="11.25" customHeight="1">
      <c r="A39" s="14" t="inlineStr">
        <is>
          <t>PENTANES PLUS</t>
        </is>
      </c>
      <c r="B39" s="40">
        <f>'23TABLE - cubic meters per day'!B39*6.2898</f>
        <v/>
      </c>
      <c r="C39" s="40">
        <f>'23TABLE - cubic meters per day'!C39*6.2898</f>
        <v/>
      </c>
      <c r="D39" s="40">
        <f>'23TABLE - cubic meters per day'!D39*6.2898</f>
        <v/>
      </c>
      <c r="E39" s="40">
        <f>'23TABLE - cubic meters per day'!E39*6.2898</f>
        <v/>
      </c>
      <c r="F39" s="40">
        <f>'23TABLE - cubic meters per day'!F39*6.2898</f>
        <v/>
      </c>
      <c r="G39" s="40">
        <f>'23TABLE - cubic meters per day'!G39*6.2898</f>
        <v/>
      </c>
      <c r="H39" s="40">
        <f>'23TABLE - cubic meters per day'!H39*6.2898</f>
        <v/>
      </c>
      <c r="I39" s="40">
        <f>'23TABLE - cubic meters per day'!I39*6.2898</f>
        <v/>
      </c>
      <c r="J39" s="40">
        <f>'23TABLE - cubic meters per day'!J39*6.2898</f>
        <v/>
      </c>
      <c r="K39" s="40">
        <f>'23TABLE - cubic meters per day'!K39*6.2898</f>
        <v/>
      </c>
      <c r="L39" s="40">
        <f>'23TABLE - cubic meters per day'!L39*6.2898</f>
        <v/>
      </c>
      <c r="M39" s="40">
        <f>'23TABLE - cubic meters per day'!M39*6.2898</f>
        <v/>
      </c>
      <c r="N39" s="40">
        <f>'23TABLE - cubic meters per day'!N39*6.2898</f>
        <v/>
      </c>
    </row>
    <row r="40" ht="11.25" customHeight="1">
      <c r="A40" s="28" t="inlineStr">
        <is>
          <t>TOTAL LIGHT/LÉGER</t>
        </is>
      </c>
      <c r="B40" s="41">
        <f>'23TABLE - cubic meters per day'!B40*6.2898</f>
        <v/>
      </c>
      <c r="C40" s="41">
        <f>'23TABLE - cubic meters per day'!C40*6.2898</f>
        <v/>
      </c>
      <c r="D40" s="41">
        <f>'23TABLE - cubic meters per day'!D40*6.2898</f>
        <v/>
      </c>
      <c r="E40" s="41">
        <f>'23TABLE - cubic meters per day'!E40*6.2898</f>
        <v/>
      </c>
      <c r="F40" s="41">
        <f>'23TABLE - cubic meters per day'!F40*6.2898</f>
        <v/>
      </c>
      <c r="G40" s="41">
        <f>'23TABLE - cubic meters per day'!G40*6.2898</f>
        <v/>
      </c>
      <c r="H40" s="41">
        <f>'23TABLE - cubic meters per day'!H40*6.2898</f>
        <v/>
      </c>
      <c r="I40" s="41">
        <f>'23TABLE - cubic meters per day'!I40*6.2898</f>
        <v/>
      </c>
      <c r="J40" s="41">
        <f>'23TABLE - cubic meters per day'!J40*6.2898</f>
        <v/>
      </c>
      <c r="K40" s="41">
        <f>'23TABLE - cubic meters per day'!K40*6.2898</f>
        <v/>
      </c>
      <c r="L40" s="41">
        <f>'23TABLE - cubic meters per day'!L40*6.2898</f>
        <v/>
      </c>
      <c r="M40" s="41">
        <f>'23TABLE - cubic meters per day'!M40*6.2898</f>
        <v/>
      </c>
      <c r="N40" s="41">
        <f>'23TABLE - cubic meters per day'!N40*6.2898</f>
        <v/>
      </c>
    </row>
    <row r="41" ht="11.25" customHeight="1">
      <c r="A41" s="19" t="inlineStr">
        <is>
          <t xml:space="preserve">CONV. HEAVY/LOURD CLASS. </t>
        </is>
      </c>
      <c r="B41" s="40">
        <f>'23TABLE - cubic meters per day'!B41*6.2898</f>
        <v/>
      </c>
      <c r="C41" s="40">
        <f>'23TABLE - cubic meters per day'!C41*6.2898</f>
        <v/>
      </c>
      <c r="D41" s="40">
        <f>'23TABLE - cubic meters per day'!D41*6.2898</f>
        <v/>
      </c>
      <c r="E41" s="40">
        <f>'23TABLE - cubic meters per day'!E41*6.2898</f>
        <v/>
      </c>
      <c r="F41" s="40">
        <f>'23TABLE - cubic meters per day'!F41*6.2898</f>
        <v/>
      </c>
      <c r="G41" s="40">
        <f>'23TABLE - cubic meters per day'!G41*6.2898</f>
        <v/>
      </c>
      <c r="H41" s="40">
        <f>'23TABLE - cubic meters per day'!H41*6.2898</f>
        <v/>
      </c>
      <c r="I41" s="40">
        <f>'23TABLE - cubic meters per day'!I41*6.2898</f>
        <v/>
      </c>
      <c r="J41" s="40">
        <f>'23TABLE - cubic meters per day'!J41*6.2898</f>
        <v/>
      </c>
      <c r="K41" s="40">
        <f>'23TABLE - cubic meters per day'!K41*6.2898</f>
        <v/>
      </c>
      <c r="L41" s="40">
        <f>'23TABLE - cubic meters per day'!L41*6.2898</f>
        <v/>
      </c>
      <c r="M41" s="40">
        <f>'23TABLE - cubic meters per day'!M41*6.2898</f>
        <v/>
      </c>
      <c r="N41" s="40">
        <f>'23TABLE - cubic meters per day'!N41*6.2898</f>
        <v/>
      </c>
      <c r="T41" s="52" t="n"/>
    </row>
    <row r="42" ht="18" customHeight="1">
      <c r="A42" s="17" t="inlineStr">
        <is>
          <t>AB NON-UPGRADED BITUMEN / BITUME NON VALORISÉ-AB2</t>
        </is>
      </c>
      <c r="B42" s="40">
        <f>'23TABLE - cubic meters per day'!B42*6.2898</f>
        <v/>
      </c>
      <c r="C42" s="40">
        <f>'23TABLE - cubic meters per day'!C42*6.2898</f>
        <v/>
      </c>
      <c r="D42" s="40">
        <f>'23TABLE - cubic meters per day'!D42*6.2898</f>
        <v/>
      </c>
      <c r="E42" s="40">
        <f>'23TABLE - cubic meters per day'!E42*6.2898</f>
        <v/>
      </c>
      <c r="F42" s="40">
        <f>'23TABLE - cubic meters per day'!F42*6.2898</f>
        <v/>
      </c>
      <c r="G42" s="40">
        <f>'23TABLE - cubic meters per day'!G42*6.2898</f>
        <v/>
      </c>
      <c r="H42" s="40">
        <f>'23TABLE - cubic meters per day'!H42*6.2898</f>
        <v/>
      </c>
      <c r="I42" s="40">
        <f>'23TABLE - cubic meters per day'!I42*6.2898</f>
        <v/>
      </c>
      <c r="J42" s="40">
        <f>'23TABLE - cubic meters per day'!J42*6.2898</f>
        <v/>
      </c>
      <c r="K42" s="40">
        <f>'23TABLE - cubic meters per day'!K42*6.2898</f>
        <v/>
      </c>
      <c r="L42" s="40">
        <f>'23TABLE - cubic meters per day'!L42*6.2898</f>
        <v/>
      </c>
      <c r="M42" s="40">
        <f>'23TABLE - cubic meters per day'!M42*6.2898</f>
        <v/>
      </c>
      <c r="N42" s="40">
        <f>'23TABLE - cubic meters per day'!N42*6.2898</f>
        <v/>
      </c>
    </row>
    <row r="43" ht="11.25" customHeight="1">
      <c r="A43" s="28" t="inlineStr">
        <is>
          <t>TOTAL HEAVY/LOURD</t>
        </is>
      </c>
      <c r="B43" s="41">
        <f>'23TABLE - cubic meters per day'!B43*6.2898</f>
        <v/>
      </c>
      <c r="C43" s="41">
        <f>'23TABLE - cubic meters per day'!C43*6.2898</f>
        <v/>
      </c>
      <c r="D43" s="41">
        <f>'23TABLE - cubic meters per day'!D43*6.2898</f>
        <v/>
      </c>
      <c r="E43" s="41">
        <f>'23TABLE - cubic meters per day'!E43*6.2898</f>
        <v/>
      </c>
      <c r="F43" s="41">
        <f>'23TABLE - cubic meters per day'!F43*6.2898</f>
        <v/>
      </c>
      <c r="G43" s="41">
        <f>'23TABLE - cubic meters per day'!G43*6.2898</f>
        <v/>
      </c>
      <c r="H43" s="41">
        <f>'23TABLE - cubic meters per day'!H43*6.2898</f>
        <v/>
      </c>
      <c r="I43" s="41">
        <f>'23TABLE - cubic meters per day'!I43*6.2898</f>
        <v/>
      </c>
      <c r="J43" s="41">
        <f>'23TABLE - cubic meters per day'!J43*6.2898</f>
        <v/>
      </c>
      <c r="K43" s="41">
        <f>'23TABLE - cubic meters per day'!K43*6.2898</f>
        <v/>
      </c>
      <c r="L43" s="41">
        <f>'23TABLE - cubic meters per day'!L43*6.2898</f>
        <v/>
      </c>
      <c r="M43" s="41">
        <f>'23TABLE - cubic meters per day'!M43*6.2898</f>
        <v/>
      </c>
      <c r="N43" s="41">
        <f>'23TABLE - cubic meters per day'!N43*6.2898</f>
        <v/>
      </c>
    </row>
    <row r="44" ht="22.5" customHeight="1">
      <c r="A44" s="16" t="inlineStr">
        <is>
          <t>TOTAL WESTERN CANADA/ OUEST CANADIEN</t>
        </is>
      </c>
      <c r="B44" s="38">
        <f>'23TABLE - cubic meters per day'!B44*6.2898</f>
        <v/>
      </c>
      <c r="C44" s="38">
        <f>'23TABLE - cubic meters per day'!C44*6.2898</f>
        <v/>
      </c>
      <c r="D44" s="38">
        <f>'23TABLE - cubic meters per day'!D44*6.2898</f>
        <v/>
      </c>
      <c r="E44" s="38">
        <f>'23TABLE - cubic meters per day'!E44*6.2898</f>
        <v/>
      </c>
      <c r="F44" s="38">
        <f>'23TABLE - cubic meters per day'!F44*6.2898</f>
        <v/>
      </c>
      <c r="G44" s="38">
        <f>'23TABLE - cubic meters per day'!G44*6.2898</f>
        <v/>
      </c>
      <c r="H44" s="38">
        <f>'23TABLE - cubic meters per day'!H44*6.2898</f>
        <v/>
      </c>
      <c r="I44" s="38">
        <f>'23TABLE - cubic meters per day'!I44*6.2898</f>
        <v/>
      </c>
      <c r="J44" s="38">
        <f>'23TABLE - cubic meters per day'!J44*6.2898</f>
        <v/>
      </c>
      <c r="K44" s="38">
        <f>'23TABLE - cubic meters per day'!K44*6.2898</f>
        <v/>
      </c>
      <c r="L44" s="38">
        <f>'23TABLE - cubic meters per day'!L44*6.2898</f>
        <v/>
      </c>
      <c r="M44" s="38">
        <f>'23TABLE - cubic meters per day'!M44*6.2898</f>
        <v/>
      </c>
      <c r="N44" s="38">
        <f>'23TABLE - cubic meters per day'!N44*6.2898</f>
        <v/>
      </c>
    </row>
    <row r="45" ht="23.25" customHeight="1" thickBot="1">
      <c r="A45" s="26" t="inlineStr">
        <is>
          <t>TOTAL EASTERN CANADA/
EST CANADIEN</t>
        </is>
      </c>
      <c r="B45" s="49">
        <f>'23TABLE - cubic meters per day'!B45*6.2898</f>
        <v/>
      </c>
      <c r="C45" s="49">
        <f>'23TABLE - cubic meters per day'!C45*6.2898</f>
        <v/>
      </c>
      <c r="D45" s="49">
        <f>'23TABLE - cubic meters per day'!D45*6.2898</f>
        <v/>
      </c>
      <c r="E45" s="49">
        <f>'23TABLE - cubic meters per day'!E45*6.2898</f>
        <v/>
      </c>
      <c r="F45" s="49">
        <f>'23TABLE - cubic meters per day'!F45*6.2898</f>
        <v/>
      </c>
      <c r="G45" s="49">
        <f>'23TABLE - cubic meters per day'!G45*6.2898</f>
        <v/>
      </c>
      <c r="H45" s="49">
        <f>'23TABLE - cubic meters per day'!H45*6.2898</f>
        <v/>
      </c>
      <c r="I45" s="49">
        <f>'23TABLE - cubic meters per day'!I45*6.2898</f>
        <v/>
      </c>
      <c r="J45" s="49">
        <f>'23TABLE - cubic meters per day'!J45*6.2898</f>
        <v/>
      </c>
      <c r="K45" s="49">
        <f>'23TABLE - cubic meters per day'!K45*6.2898</f>
        <v/>
      </c>
      <c r="L45" s="49">
        <f>'23TABLE - cubic meters per day'!L45*6.2898</f>
        <v/>
      </c>
      <c r="M45" s="49">
        <f>'23TABLE - cubic meters per day'!M45*6.2898</f>
        <v/>
      </c>
      <c r="N45" s="49">
        <f>'23TABLE - cubic meters per day'!N45*6.2898</f>
        <v/>
      </c>
      <c r="S45" s="52" t="n"/>
    </row>
    <row r="46" ht="12" customHeight="1" thickBot="1">
      <c r="A46" s="25" t="inlineStr">
        <is>
          <t>TOTAL CANADA</t>
        </is>
      </c>
      <c r="B46" s="48">
        <f>SUM(B45,B44)</f>
        <v/>
      </c>
      <c r="C46" s="48">
        <f>SUM(C45,C44)</f>
        <v/>
      </c>
      <c r="D46" s="48">
        <f>SUM(D45,D44)</f>
        <v/>
      </c>
      <c r="E46" s="48">
        <f>SUM(E45,E44)</f>
        <v/>
      </c>
      <c r="F46" s="48">
        <f>SUM(F45,F44)</f>
        <v/>
      </c>
      <c r="G46" s="48">
        <f>SUM(G45,G44)</f>
        <v/>
      </c>
      <c r="H46" s="48">
        <f>SUM(H45,H44)</f>
        <v/>
      </c>
      <c r="I46" s="48">
        <f>SUM(I45,I44)</f>
        <v/>
      </c>
      <c r="J46" s="48">
        <f>SUM(J45,J44)</f>
        <v/>
      </c>
      <c r="K46" s="48">
        <f>SUM(K45,K44)</f>
        <v/>
      </c>
      <c r="L46" s="48">
        <f>SUM(L45,L44)</f>
        <v/>
      </c>
      <c r="M46" s="48">
        <f>SUM(M45,M44)</f>
        <v/>
      </c>
      <c r="N46" s="48" t="n"/>
    </row>
    <row r="48" ht="11.25" customHeight="1">
      <c r="A48" s="3" t="inlineStr">
        <is>
          <t>NOTES:</t>
        </is>
      </c>
    </row>
    <row r="49" ht="11.25" customHeight="1">
      <c r="A49" s="3" t="inlineStr">
        <is>
          <t>Figures in black print are actual production data from reporting agencies.</t>
        </is>
      </c>
    </row>
    <row r="50" ht="11.25" customHeight="1">
      <c r="A50" s="3" t="inlineStr">
        <is>
          <t>Forecasted values are no longer available in this publication. For the latest projections of crude oil and natural gas production in Canada please visit the CERs Energy Futures page.</t>
        </is>
      </c>
    </row>
    <row r="51" ht="11.25" customHeight="1">
      <c r="A51" s="21" t="inlineStr">
        <is>
          <t>1 As per AER -ST3, includes in situ bitumen that is upgraded to SCO</t>
        </is>
      </c>
    </row>
    <row r="52" ht="11.25" customHeight="1">
      <c r="A52" s="22" t="inlineStr">
        <is>
          <t xml:space="preserve">2 As per AER -ST3, excludes in situ produced bitumen that is upgraded to SCO </t>
        </is>
      </c>
      <c r="S52" s="52" t="n"/>
    </row>
    <row r="53" ht="11.25" customHeight="1">
      <c r="A53" s="3" t="n"/>
    </row>
    <row r="54" ht="11.25" customHeight="1">
      <c r="A54" s="22" t="inlineStr">
        <is>
          <t>Les chiffres en noir représentent les données de production réelles obtenues auprès d'organismes présentant des rapports.</t>
        </is>
      </c>
    </row>
    <row r="55" ht="11.25" customHeight="1">
      <c r="A55" s="23" t="inlineStr">
        <is>
          <t>Les valeurs prévues ne sont plus disponibles dans cette publication. Pour connaître les dernières projections relatives à la production de pétrole brut et de gaz naturel au Canada, consultez la page principale d’Avenir énergétique du Canada</t>
        </is>
      </c>
    </row>
    <row r="56" ht="11.25" customHeight="1">
      <c r="A56" s="24" t="inlineStr">
        <is>
          <t>1 Comprend la production de pétrole brut synthétique et de distillats.</t>
        </is>
      </c>
    </row>
    <row r="57" ht="11.25" customHeight="1">
      <c r="A57" s="21" t="inlineStr">
        <is>
          <t>2 Bitume in situ, sauf les quantités transformées en pétrole brut synthétique par valorisation.</t>
        </is>
      </c>
    </row>
  </sheetData>
  <pageMargins left="0.7" right="0.7" top="0.75" bottom="0.75" header="0.3" footer="0.3"/>
  <pageSetup orientation="landscape" scale="95" fitToHeight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58"/>
  <sheetViews>
    <sheetView showOutlineSymbols="0" zoomScale="90" zoomScaleNormal="90" zoomScaleSheetLayoutView="100" workbookViewId="0">
      <selection activeCell="K41" sqref="K41"/>
    </sheetView>
  </sheetViews>
  <sheetFormatPr baseColWidth="8" defaultColWidth="9.33203125" defaultRowHeight="9.949999999999999" customHeight="1" outlineLevelRow="3"/>
  <cols>
    <col width="33.5" customWidth="1" style="1" min="1" max="1"/>
    <col outlineLevel="1" width="9.83203125" customWidth="1" style="2" min="2" max="12"/>
    <col outlineLevel="1" width="10.83203125" bestFit="1" customWidth="1" style="2" min="13" max="13"/>
    <col width="13.83203125" customWidth="1" style="2" min="14" max="14"/>
    <col width="1.83203125" customWidth="1" style="1" min="15" max="15"/>
    <col width="9.33203125" customWidth="1" style="1" min="16" max="16"/>
    <col width="13" customWidth="1" style="1" min="17" max="17"/>
    <col width="9.33203125" customWidth="1" style="1" min="18" max="19"/>
    <col width="14" bestFit="1" customWidth="1" style="1" min="20" max="20"/>
    <col width="9.33203125" customWidth="1" style="1" min="21" max="16384"/>
  </cols>
  <sheetData>
    <row r="1" ht="32.25" customHeight="1"/>
    <row r="2" ht="11.25" customHeight="1">
      <c r="A2" s="62" t="n">
        <v>45033</v>
      </c>
      <c r="H2" s="4" t="inlineStr">
        <is>
          <t>2022 ESTIMATED PRODUCTION OF CANADIAN CRUDE OIL AND EQUIVALENT  (m3/d)</t>
        </is>
      </c>
    </row>
    <row r="3" ht="10.5" customHeight="1">
      <c r="A3" s="6" t="n"/>
      <c r="H3" s="4" t="inlineStr">
        <is>
          <t>PRODUCTION ESTIMATIVE DE PÉTROLE BRUT ET D'ÉQUIVALENTS AU CANADA EN 2022 (M³/J)</t>
        </is>
      </c>
    </row>
    <row r="4" ht="11.25" customFormat="1" customHeight="1" s="7"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3" t="n">
        <v>2022</v>
      </c>
    </row>
    <row r="5" ht="11.25" customFormat="1" customHeight="1" s="7">
      <c r="B5" s="8" t="inlineStr">
        <is>
          <t>Jan/janv.</t>
        </is>
      </c>
      <c r="C5" s="8" t="inlineStr">
        <is>
          <t>Feb/fév.</t>
        </is>
      </c>
      <c r="D5" s="8" t="inlineStr">
        <is>
          <t>Mar/mars</t>
        </is>
      </c>
      <c r="E5" s="8" t="inlineStr">
        <is>
          <t>Apr/avr.</t>
        </is>
      </c>
      <c r="F5" s="8" t="inlineStr">
        <is>
          <t>May/mai</t>
        </is>
      </c>
      <c r="G5" s="8" t="inlineStr">
        <is>
          <t>June/juin</t>
        </is>
      </c>
      <c r="H5" s="8" t="inlineStr">
        <is>
          <t>July/juil.</t>
        </is>
      </c>
      <c r="I5" s="8" t="inlineStr">
        <is>
          <t>Aug/août</t>
        </is>
      </c>
      <c r="J5" s="8" t="inlineStr">
        <is>
          <t>Sep/sept.</t>
        </is>
      </c>
      <c r="K5" s="8" t="inlineStr">
        <is>
          <t>Oct/oct.</t>
        </is>
      </c>
      <c r="L5" s="8" t="inlineStr">
        <is>
          <t>Nov/nov.</t>
        </is>
      </c>
      <c r="M5" s="8" t="inlineStr">
        <is>
          <t>Dec/déc.</t>
        </is>
      </c>
      <c r="N5" s="8" t="inlineStr">
        <is>
          <t>Avg/moyenne</t>
        </is>
      </c>
    </row>
    <row r="6" ht="11.25" customFormat="1" customHeight="1" s="7">
      <c r="A6" s="9" t="inlineStr">
        <is>
          <t>CONV. LIGHT CRUDE OIL/</t>
        </is>
      </c>
      <c r="B6" s="2" t="inlineStr">
        <is>
          <t> </t>
        </is>
      </c>
      <c r="C6" s="2" t="inlineStr">
        <is>
          <t> </t>
        </is>
      </c>
      <c r="D6" s="2" t="inlineStr">
        <is>
          <t> </t>
        </is>
      </c>
      <c r="E6" s="2" t="inlineStr">
        <is>
          <t> </t>
        </is>
      </c>
      <c r="F6" s="2" t="inlineStr">
        <is>
          <t> </t>
        </is>
      </c>
      <c r="G6" s="2" t="inlineStr">
        <is>
          <t> </t>
        </is>
      </c>
      <c r="H6" s="2" t="inlineStr">
        <is>
          <t> </t>
        </is>
      </c>
      <c r="I6" s="2" t="inlineStr">
        <is>
          <t> </t>
        </is>
      </c>
      <c r="J6" s="2" t="inlineStr">
        <is>
          <t> </t>
        </is>
      </c>
      <c r="K6" s="2" t="inlineStr">
        <is>
          <t> </t>
        </is>
      </c>
      <c r="L6" s="2" t="inlineStr">
        <is>
          <t> </t>
        </is>
      </c>
      <c r="M6" s="2" t="inlineStr">
        <is>
          <t> </t>
        </is>
      </c>
      <c r="N6" s="2" t="n"/>
    </row>
    <row r="7" ht="11.25" customFormat="1" customHeight="1" s="7">
      <c r="A7" s="10" t="inlineStr">
        <is>
          <t>PÉTROLE BRUT LÉGER CLASS.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3" t="n"/>
    </row>
    <row r="8" outlineLevel="1" ht="11.25" customFormat="1" customHeight="1" s="12">
      <c r="A8" s="11" t="inlineStr">
        <is>
          <t>AB</t>
        </is>
      </c>
      <c r="B8" s="40" t="n">
        <v>52478.92137096774</v>
      </c>
      <c r="C8" s="40" t="n">
        <v>54351.82142857143</v>
      </c>
      <c r="D8" s="40" t="n">
        <v>56943.2308467742</v>
      </c>
      <c r="E8" s="40" t="n">
        <v>59035.04375</v>
      </c>
      <c r="F8" s="40" t="n">
        <v>57032.75</v>
      </c>
      <c r="G8" s="40" t="n">
        <v>56454.275</v>
      </c>
      <c r="H8" s="40" t="n">
        <v>56861.48286290323</v>
      </c>
      <c r="I8" s="40" t="n">
        <v>57927.0060483871</v>
      </c>
      <c r="J8" s="40" t="n">
        <v>57010.63854166667</v>
      </c>
      <c r="K8" s="40" t="n">
        <v>59192.51814516129</v>
      </c>
      <c r="L8" s="40" t="n">
        <v>59029.025</v>
      </c>
      <c r="M8" s="40" t="n">
        <v>58739.47379032258</v>
      </c>
      <c r="N8" s="40" t="n">
        <v>57101.80094178082</v>
      </c>
      <c r="R8" s="54" t="n"/>
    </row>
    <row r="9" outlineLevel="1" ht="11.25" customFormat="1" customHeight="1" s="12">
      <c r="A9" s="11" t="inlineStr">
        <is>
          <t>BC</t>
        </is>
      </c>
      <c r="B9" s="40" t="n">
        <v>1718.654838709678</v>
      </c>
      <c r="C9" s="40" t="n">
        <v>1956.982142857143</v>
      </c>
      <c r="D9" s="40" t="n">
        <v>1817.077419354839</v>
      </c>
      <c r="E9" s="40" t="n">
        <v>1929.323333333333</v>
      </c>
      <c r="F9" s="40" t="n">
        <v>1877.690322580645</v>
      </c>
      <c r="G9" s="40" t="n">
        <v>1886.696666666667</v>
      </c>
      <c r="H9" s="40" t="n">
        <v>1825.809677419355</v>
      </c>
      <c r="I9" s="40" t="n">
        <v>1741.645161290323</v>
      </c>
      <c r="J9" s="40" t="n">
        <v>1686.6</v>
      </c>
      <c r="K9" s="40" t="n">
        <v>1774.032258064516</v>
      </c>
      <c r="L9" s="40" t="n">
        <v>1790.766666666667</v>
      </c>
      <c r="M9" s="40" t="n">
        <v>1724.064516129032</v>
      </c>
      <c r="N9" s="40" t="n">
        <v>1809.439178082192</v>
      </c>
      <c r="Q9" s="54" t="n"/>
      <c r="R9" s="54" t="n"/>
      <c r="T9" s="54" t="n"/>
    </row>
    <row r="10" outlineLevel="1" ht="11.25" customFormat="1" customHeight="1" s="12">
      <c r="A10" s="11" t="inlineStr">
        <is>
          <t>SK</t>
        </is>
      </c>
      <c r="B10" s="40" t="n">
        <v>23972.50322580645</v>
      </c>
      <c r="C10" s="40" t="n">
        <v>24646.36071428571</v>
      </c>
      <c r="D10" s="40" t="n">
        <v>26088.76129032258</v>
      </c>
      <c r="E10" s="40" t="n">
        <v>24555.46666666667</v>
      </c>
      <c r="F10" s="40" t="n">
        <v>24374.38064516129</v>
      </c>
      <c r="G10" s="40" t="n">
        <v>23878.80666666667</v>
      </c>
      <c r="H10" s="40" t="n">
        <v>23832.33548387096</v>
      </c>
      <c r="I10" s="40" t="n">
        <v>24698.45806451613</v>
      </c>
      <c r="J10" s="40" t="n">
        <v>25262.1</v>
      </c>
      <c r="K10" s="40" t="n">
        <v>25435.8064516129</v>
      </c>
      <c r="L10" s="40" t="n">
        <v>25674.31</v>
      </c>
      <c r="M10" s="40" t="n">
        <v>24552.18064516129</v>
      </c>
      <c r="N10" s="40" t="n">
        <v>24747.41315068493</v>
      </c>
      <c r="Q10" s="54" t="n"/>
      <c r="R10" s="54" t="n"/>
      <c r="T10" s="54" t="n"/>
    </row>
    <row r="11" outlineLevel="1" ht="11.25" customFormat="1" customHeight="1" s="12">
      <c r="A11" s="11" t="inlineStr">
        <is>
          <t>MB</t>
        </is>
      </c>
      <c r="B11" s="40" t="n">
        <v>5907.941935483871</v>
      </c>
      <c r="C11" s="40" t="n">
        <v>5850.439285714282</v>
      </c>
      <c r="D11" s="40" t="n">
        <v>6290.864516129034</v>
      </c>
      <c r="E11" s="40" t="n">
        <v>6035.589999999999</v>
      </c>
      <c r="F11" s="40" t="n">
        <v>5913.106451612903</v>
      </c>
      <c r="G11" s="40" t="n">
        <v>5801.429999999997</v>
      </c>
      <c r="H11" s="40" t="n">
        <v>5729.635483870966</v>
      </c>
      <c r="I11" s="40" t="n">
        <v>5977.919354838709</v>
      </c>
      <c r="J11" s="40" t="n">
        <v>6091.313333333334</v>
      </c>
      <c r="K11" s="40" t="n">
        <v>6301.764516129029</v>
      </c>
      <c r="L11" s="40" t="n">
        <v>6261.370000000001</v>
      </c>
      <c r="M11" s="40" t="n">
        <v>6357.97096774194</v>
      </c>
      <c r="N11" s="40" t="n">
        <v>6044.818356164383</v>
      </c>
      <c r="Q11" s="54" t="n"/>
      <c r="R11" s="54" t="n"/>
    </row>
    <row r="12" outlineLevel="1" ht="11.25" customFormat="1" customHeight="1" s="12">
      <c r="A12" s="11" t="inlineStr">
        <is>
          <t>NWT/NT</t>
        </is>
      </c>
      <c r="B12" s="40" t="n">
        <v>1012.864516129032</v>
      </c>
      <c r="C12" s="40" t="n">
        <v>1002.275</v>
      </c>
      <c r="D12" s="40" t="n">
        <v>1004.506451612903</v>
      </c>
      <c r="E12" s="40" t="n">
        <v>1028.28</v>
      </c>
      <c r="F12" s="40" t="n">
        <v>996.0193548387097</v>
      </c>
      <c r="G12" s="40" t="n">
        <v>974.7199999999999</v>
      </c>
      <c r="H12" s="40" t="n">
        <v>874.8548387096774</v>
      </c>
      <c r="I12" s="40" t="n">
        <v>839.016129032258</v>
      </c>
      <c r="J12" s="40" t="n">
        <v>727.7233333333334</v>
      </c>
      <c r="K12" s="40" t="n">
        <v>723.3774193548387</v>
      </c>
      <c r="L12" s="40" t="n">
        <v>694.5599999999999</v>
      </c>
      <c r="M12" s="40" t="n">
        <v>690.4193548387096</v>
      </c>
      <c r="N12" s="40" t="n">
        <v>879.986301369863</v>
      </c>
      <c r="Q12" s="54" t="n"/>
      <c r="R12" s="54" t="n"/>
    </row>
    <row r="13" outlineLevel="1" ht="11.25" customFormat="1" customHeight="1" s="13">
      <c r="A13" s="11" t="inlineStr">
        <is>
          <t>NF/NL</t>
        </is>
      </c>
      <c r="B13" s="40" t="n">
        <v>17261.90322580645</v>
      </c>
      <c r="C13" s="40" t="n">
        <v>17365.39285714286</v>
      </c>
      <c r="D13" s="40" t="n">
        <v>18327.09677419355</v>
      </c>
      <c r="E13" s="40" t="n">
        <v>17244.83333333333</v>
      </c>
      <c r="F13" s="40" t="n">
        <v>17254.48387096774</v>
      </c>
      <c r="G13" s="40" t="n">
        <v>17209</v>
      </c>
      <c r="H13" s="40" t="n">
        <v>15934.03225806452</v>
      </c>
      <c r="I13" s="40" t="n">
        <v>14270.77419354839</v>
      </c>
      <c r="J13" s="40" t="n">
        <v>5672.1</v>
      </c>
      <c r="K13" s="40" t="n">
        <v>5821.903225806452</v>
      </c>
      <c r="L13" s="40" t="n">
        <v>16137.13333333333</v>
      </c>
      <c r="M13" s="40" t="n">
        <v>15145.54838709677</v>
      </c>
      <c r="N13" s="40" t="n">
        <v>14790.71506849315</v>
      </c>
      <c r="R13" s="54" t="n"/>
      <c r="U13" s="12" t="n"/>
    </row>
    <row r="14" outlineLevel="1" ht="11.25" customFormat="1" customHeight="1" s="13">
      <c r="A14" s="11" t="inlineStr">
        <is>
          <t>NB</t>
        </is>
      </c>
      <c r="B14" s="40" t="n">
        <v>6.029032258064515</v>
      </c>
      <c r="C14" s="40" t="n">
        <v>5</v>
      </c>
      <c r="D14" s="40" t="n">
        <v>4.729032258064516</v>
      </c>
      <c r="E14" s="40" t="n">
        <v>3.306666666666667</v>
      </c>
      <c r="F14" s="40" t="n">
        <v>3.932258064516129</v>
      </c>
      <c r="G14" s="40" t="n">
        <v>3.63</v>
      </c>
      <c r="H14" s="40" t="n">
        <v>3.161290322580645</v>
      </c>
      <c r="I14" s="40" t="n">
        <v>3.7</v>
      </c>
      <c r="J14" s="40" t="n">
        <v>3.483333333333333</v>
      </c>
      <c r="K14" s="40" t="n">
        <v>3.345161290322581</v>
      </c>
      <c r="L14" s="40" t="n">
        <v>4.093333333333334</v>
      </c>
      <c r="M14" s="40" t="n">
        <v>3.958064516129032</v>
      </c>
      <c r="N14" s="40" t="n">
        <v>4.027123287671233</v>
      </c>
      <c r="R14" s="54" t="n"/>
      <c r="U14" s="12" t="n"/>
    </row>
    <row r="15" outlineLevel="1" ht="11.25" customFormat="1" customHeight="1" s="13">
      <c r="A15" s="11" t="inlineStr">
        <is>
          <t>ON</t>
        </is>
      </c>
      <c r="B15" s="40" t="n">
        <v>82.90322580645162</v>
      </c>
      <c r="C15" s="40" t="n">
        <v>83.64285714285714</v>
      </c>
      <c r="D15" s="40" t="n">
        <v>84.7741935483871</v>
      </c>
      <c r="E15" s="40" t="n">
        <v>85.5</v>
      </c>
      <c r="F15" s="40" t="n">
        <v>84.51612903225806</v>
      </c>
      <c r="G15" s="40" t="n">
        <v>81.86666666666666</v>
      </c>
      <c r="H15" s="40" t="n">
        <v>83.38709677419355</v>
      </c>
      <c r="I15" s="40" t="n">
        <v>79.93548387096774</v>
      </c>
      <c r="J15" s="40" t="n">
        <v>81.43333333333334</v>
      </c>
      <c r="K15" s="40" t="n">
        <v>83.35483870967742</v>
      </c>
      <c r="L15" s="40" t="n">
        <v>82.83333333333333</v>
      </c>
      <c r="M15" s="40" t="n">
        <v>78.16129032258064</v>
      </c>
      <c r="N15" s="40" t="n">
        <v>82.68219178082192</v>
      </c>
      <c r="R15" s="54" t="n"/>
      <c r="U15" s="12" t="n"/>
    </row>
    <row r="16" ht="11.25" customFormat="1" customHeight="1" s="12">
      <c r="A16" s="30" t="inlineStr">
        <is>
          <t>SUB TOTAL/SOUS-TOTAL</t>
        </is>
      </c>
      <c r="B16" s="41">
        <f>SUM(B8:B15)</f>
        <v/>
      </c>
      <c r="C16" s="41">
        <f>SUM(C8:C15)</f>
        <v/>
      </c>
      <c r="D16" s="41">
        <f>SUM(D8:D15)</f>
        <v/>
      </c>
      <c r="E16" s="41">
        <f>SUM(E8:E15)</f>
        <v/>
      </c>
      <c r="F16" s="41">
        <f>SUM(F8:F15)</f>
        <v/>
      </c>
      <c r="G16" s="41">
        <f>SUM(G8:G15)</f>
        <v/>
      </c>
      <c r="H16" s="41">
        <f>SUM(H8:H15)</f>
        <v/>
      </c>
      <c r="I16" s="41">
        <f>SUM(I8:I15)</f>
        <v/>
      </c>
      <c r="J16" s="41">
        <f>SUM(J8:J15)</f>
        <v/>
      </c>
      <c r="K16" s="41">
        <f>SUM(K8:K15)</f>
        <v/>
      </c>
      <c r="L16" s="41">
        <f>SUM(L8:L15)</f>
        <v/>
      </c>
      <c r="M16" s="41">
        <f>SUM(M8:M15)</f>
        <v/>
      </c>
      <c r="N16" s="41" t="n">
        <v>105460.8823116438</v>
      </c>
    </row>
    <row r="17" ht="22.5" customFormat="1" customHeight="1" s="12">
      <c r="A17" s="9" t="inlineStr">
        <is>
          <t>AB UPGRADED BITUMEN/ BITUME VALORISÉ-AB1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</row>
    <row r="18" ht="11.25" customFormat="1" customHeight="1" s="12">
      <c r="A18" s="14" t="inlineStr">
        <is>
          <t>SUB TOTAL/SOUS-TOTAL</t>
        </is>
      </c>
      <c r="B18" s="40" t="n">
        <v>185818.9838709677</v>
      </c>
      <c r="C18" s="40" t="n">
        <v>198050.25</v>
      </c>
      <c r="D18" s="40" t="n">
        <v>193673.7741935484</v>
      </c>
      <c r="E18" s="40" t="n">
        <v>179810.2333333333</v>
      </c>
      <c r="F18" s="40" t="n">
        <v>164852.435483871</v>
      </c>
      <c r="G18" s="40" t="n">
        <v>181016.5</v>
      </c>
      <c r="H18" s="40" t="n">
        <v>186643.064516129</v>
      </c>
      <c r="I18" s="40" t="n">
        <v>180232.2419354839</v>
      </c>
      <c r="J18" s="40" t="n">
        <v>176389.15</v>
      </c>
      <c r="K18" s="40" t="n">
        <v>174438.7096774194</v>
      </c>
      <c r="L18" s="40" t="n">
        <v>211286.1</v>
      </c>
      <c r="M18" s="40" t="n">
        <v>195988.0322580645</v>
      </c>
      <c r="N18" s="40" t="n">
        <v>185565.8383561644</v>
      </c>
    </row>
    <row r="19" ht="11.25" customFormat="1" customHeight="1" s="12">
      <c r="A19" s="3" t="inlineStr">
        <is>
          <t>C5+ / CONDENSATE/C5+/CONDENSATS</t>
        </is>
      </c>
      <c r="B19" s="40" t="n"/>
      <c r="C19" s="40" t="n"/>
      <c r="D19" s="40" t="n"/>
      <c r="E19" s="40" t="n"/>
      <c r="F19" s="40" t="n"/>
      <c r="G19" s="59" t="n"/>
      <c r="H19" s="40" t="n"/>
      <c r="I19" s="40" t="n"/>
      <c r="J19" s="40" t="n"/>
      <c r="K19" s="40" t="n"/>
      <c r="L19" s="40" t="n"/>
      <c r="M19" s="40" t="n"/>
      <c r="N19" s="40" t="n"/>
    </row>
    <row r="20" outlineLevel="1" ht="11.25" customFormat="1" customHeight="1" s="12">
      <c r="A20" s="11" t="inlineStr">
        <is>
          <t>AB</t>
        </is>
      </c>
      <c r="B20" s="40" t="n">
        <v>53989.90625</v>
      </c>
      <c r="C20" s="40" t="n">
        <v>56013.47767857143</v>
      </c>
      <c r="D20" s="40" t="n">
        <v>57126.37701612903</v>
      </c>
      <c r="E20" s="40" t="n">
        <v>57970.90104166666</v>
      </c>
      <c r="F20" s="40" t="n">
        <v>55786.00806451613</v>
      </c>
      <c r="G20" s="40" t="n">
        <v>54321.10520833333</v>
      </c>
      <c r="H20" s="40" t="n">
        <v>59822.98588709677</v>
      </c>
      <c r="I20" s="40" t="n">
        <v>58830.31048387097</v>
      </c>
      <c r="J20" s="40" t="n">
        <v>59457.690625</v>
      </c>
      <c r="K20" s="40" t="n">
        <v>60797.14717741936</v>
      </c>
      <c r="L20" s="40" t="n">
        <v>61257.15104166666</v>
      </c>
      <c r="M20" s="40" t="n">
        <v>60958.44657258064</v>
      </c>
      <c r="N20" s="40" t="n">
        <v>58041.72448630137</v>
      </c>
    </row>
    <row r="21" outlineLevel="1" ht="11.25" customFormat="1" customHeight="1" s="12">
      <c r="A21" s="11" t="inlineStr">
        <is>
          <t>BC</t>
        </is>
      </c>
      <c r="B21" s="40" t="n">
        <v>16332.78064516129</v>
      </c>
      <c r="C21" s="40" t="n">
        <v>16253.58571428572</v>
      </c>
      <c r="D21" s="40" t="n">
        <v>16548.94193548387</v>
      </c>
      <c r="E21" s="40" t="n">
        <v>16164.02333333334</v>
      </c>
      <c r="F21" s="40" t="n">
        <v>15964.31612903225</v>
      </c>
      <c r="G21" s="40" t="n">
        <v>15508.29666666667</v>
      </c>
      <c r="H21" s="40" t="n">
        <v>15725.76774193548</v>
      </c>
      <c r="I21" s="40" t="n">
        <v>15529.15806451613</v>
      </c>
      <c r="J21" s="40" t="n">
        <v>13956.53666666667</v>
      </c>
      <c r="K21" s="40" t="n">
        <v>16493.08387096774</v>
      </c>
      <c r="L21" s="40" t="n">
        <v>17348.96666666667</v>
      </c>
      <c r="M21" s="40" t="n">
        <v>10983.14516129032</v>
      </c>
      <c r="N21" s="40" t="n">
        <v>15559.80301369863</v>
      </c>
    </row>
    <row r="22" outlineLevel="1" ht="11.25" customFormat="1" customHeight="1" s="12">
      <c r="A22" s="11" t="inlineStr">
        <is>
          <t>SK</t>
        </is>
      </c>
      <c r="B22" s="40" t="n">
        <v>560.9287096774194</v>
      </c>
      <c r="C22" s="40" t="n">
        <v>560.9289285714286</v>
      </c>
      <c r="D22" s="40" t="n">
        <v>560.9287096774194</v>
      </c>
      <c r="E22" s="40" t="n">
        <v>560.9286666666667</v>
      </c>
      <c r="F22" s="40" t="n">
        <v>560.9287096774194</v>
      </c>
      <c r="G22" s="40" t="n">
        <v>560.9286666666667</v>
      </c>
      <c r="H22" s="40" t="n">
        <v>560.9287096774194</v>
      </c>
      <c r="I22" s="40" t="n">
        <v>560.9287096774194</v>
      </c>
      <c r="J22" s="40" t="n">
        <v>560.9286666666667</v>
      </c>
      <c r="K22" s="40" t="n">
        <v>560.9287096774194</v>
      </c>
      <c r="L22" s="40" t="n">
        <v>560.9286666666667</v>
      </c>
      <c r="M22" s="40" t="n">
        <v>560.9287096774194</v>
      </c>
      <c r="N22" s="40" t="n">
        <v>560.9287123287673</v>
      </c>
    </row>
    <row r="23" ht="11.25" customFormat="1" customHeight="1" s="13">
      <c r="A23" s="14" t="inlineStr">
        <is>
          <t>SUB TOTAL/SOUS-TOTAL</t>
        </is>
      </c>
      <c r="B23" s="40" t="n">
        <v>70873.0741935484</v>
      </c>
      <c r="C23" s="40" t="n">
        <v>72876.42142857143</v>
      </c>
      <c r="D23" s="40" t="n">
        <v>74225.7064516129</v>
      </c>
      <c r="E23" s="40" t="n">
        <v>74703.66</v>
      </c>
      <c r="F23" s="40" t="n">
        <v>72300.70967741935</v>
      </c>
      <c r="G23" s="40" t="n">
        <v>70355.10666666667</v>
      </c>
      <c r="H23" s="40" t="n">
        <v>76099.14193548387</v>
      </c>
      <c r="I23" s="40" t="n">
        <v>74909.85806451614</v>
      </c>
      <c r="J23" s="40" t="n">
        <v>73982.96000000002</v>
      </c>
      <c r="K23" s="40" t="n">
        <v>77840.61612903226</v>
      </c>
      <c r="L23" s="40" t="n">
        <v>79174.85000000001</v>
      </c>
      <c r="M23" s="40" t="n">
        <v>72491.97741935484</v>
      </c>
      <c r="N23" s="40" t="n">
        <v>74162.45621232878</v>
      </c>
    </row>
    <row r="24" ht="10.5" customFormat="1" customHeight="1" s="12">
      <c r="A24" s="16" t="inlineStr">
        <is>
          <t>TOTAL LIGHT/LÉGER</t>
        </is>
      </c>
      <c r="B24" s="41" t="n">
        <v>359249.0290322581</v>
      </c>
      <c r="C24" s="41" t="n">
        <v>376180.475</v>
      </c>
      <c r="D24" s="41" t="n">
        <v>378455.064516129</v>
      </c>
      <c r="E24" s="41" t="n">
        <v>364426.5433333333</v>
      </c>
      <c r="F24" s="41" t="n">
        <v>344679.4258064516</v>
      </c>
      <c r="G24" s="41" t="n">
        <v>357652.85</v>
      </c>
      <c r="H24" s="41" t="n">
        <v>367881.0032258065</v>
      </c>
      <c r="I24" s="41" t="n">
        <v>360763.2064516129</v>
      </c>
      <c r="J24" s="41" t="n">
        <v>347225.22</v>
      </c>
      <c r="K24" s="41" t="n">
        <v>351651.0322580645</v>
      </c>
      <c r="L24" s="41" t="n">
        <v>400128.0366666667</v>
      </c>
      <c r="M24" s="41" t="n">
        <v>375765.3258064516</v>
      </c>
      <c r="N24" s="41" t="n">
        <v>365189.176880137</v>
      </c>
    </row>
    <row r="25" outlineLevel="3" ht="10.5" customFormat="1" customHeight="1" s="12">
      <c r="A25" s="3" t="inlineStr">
        <is>
          <t>HEAVY CRUDE OIL/ PÉTROLE BRUT LOURD</t>
        </is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</row>
    <row r="26" outlineLevel="3" ht="10.5" customFormat="1" customHeight="1" s="13">
      <c r="A26" s="11" t="inlineStr">
        <is>
          <t>AB CONV./CLASS.-AB</t>
        </is>
      </c>
      <c r="B26" s="40" t="n">
        <v>19125.6935483871</v>
      </c>
      <c r="C26" s="40" t="n">
        <v>20076.25055803571</v>
      </c>
      <c r="D26" s="40" t="n">
        <v>20707.40625</v>
      </c>
      <c r="E26" s="40" t="n">
        <v>21275.69010416667</v>
      </c>
      <c r="F26" s="40" t="n">
        <v>21604.36491935484</v>
      </c>
      <c r="G26" s="40" t="n">
        <v>21547.62604166667</v>
      </c>
      <c r="H26" s="40" t="n">
        <v>21457.71320564516</v>
      </c>
      <c r="I26" s="40" t="n">
        <v>21756.04838709677</v>
      </c>
      <c r="J26" s="40" t="n">
        <v>21677.26666666667</v>
      </c>
      <c r="K26" s="40" t="n">
        <v>21615.30997983871</v>
      </c>
      <c r="L26" s="40" t="n">
        <v>21086.78645833333</v>
      </c>
      <c r="M26" s="40" t="n">
        <v>20190.63205645161</v>
      </c>
      <c r="N26" s="40" t="n">
        <v>21013.5022260274</v>
      </c>
    </row>
    <row r="27" outlineLevel="3" ht="20.25" customFormat="1" customHeight="1" s="13">
      <c r="A27" s="17" t="inlineStr">
        <is>
          <t>AB NON-UPGRADED BITUMEN / BITUME NON VALORISÉ-AB2</t>
        </is>
      </c>
      <c r="B27" s="40" t="n">
        <v>297464.8387096774</v>
      </c>
      <c r="C27" s="40" t="n">
        <v>310814.9285714286</v>
      </c>
      <c r="D27" s="40" t="n">
        <v>310871.7419354839</v>
      </c>
      <c r="E27" s="40" t="n">
        <v>305429.5333333333</v>
      </c>
      <c r="F27" s="40" t="n">
        <v>295468.3870967742</v>
      </c>
      <c r="G27" s="40" t="n">
        <v>297000.8666666666</v>
      </c>
      <c r="H27" s="40" t="n">
        <v>323740.7419354839</v>
      </c>
      <c r="I27" s="40" t="n">
        <v>334287.4516129032</v>
      </c>
      <c r="J27" s="40" t="n">
        <v>347547.3</v>
      </c>
      <c r="K27" s="40" t="n">
        <v>341803.1935483871</v>
      </c>
      <c r="L27" s="40" t="n">
        <v>323903.7666666667</v>
      </c>
      <c r="M27" s="40" t="n">
        <v>317067.8064516129</v>
      </c>
      <c r="N27" s="40" t="n">
        <v>317153.6739726028</v>
      </c>
    </row>
    <row r="28" outlineLevel="2" ht="10.5" customFormat="1" customHeight="1" s="12">
      <c r="A28" s="14" t="inlineStr">
        <is>
          <t>AB SUB TOTAL/SOUS-TOTAL -AB</t>
        </is>
      </c>
      <c r="B28" s="40" t="n">
        <v>316590.5387096774</v>
      </c>
      <c r="C28" s="40" t="n">
        <v>330891.1964285714</v>
      </c>
      <c r="D28" s="40" t="n">
        <v>331579.2774193548</v>
      </c>
      <c r="E28" s="40" t="n">
        <v>326819.9333333333</v>
      </c>
      <c r="F28" s="40" t="n">
        <v>317081.4516129033</v>
      </c>
      <c r="G28" s="40" t="n">
        <v>318535.8333333334</v>
      </c>
      <c r="H28" s="40" t="n">
        <v>345210.9451612904</v>
      </c>
      <c r="I28" s="40" t="n">
        <v>356060.3935483872</v>
      </c>
      <c r="J28" s="40" t="n">
        <v>369217.0933333334</v>
      </c>
      <c r="K28" s="40" t="n">
        <v>363358.8580645162</v>
      </c>
      <c r="L28" s="40" t="n">
        <v>344990.5600000001</v>
      </c>
      <c r="M28" s="40" t="n">
        <v>337258.4548387097</v>
      </c>
      <c r="N28" s="40" t="n">
        <v>338167.1761986301</v>
      </c>
    </row>
    <row r="29" outlineLevel="2" ht="10.5" customFormat="1" customHeight="1" s="13">
      <c r="A29" s="11" t="inlineStr">
        <is>
          <t>SK CONV./CLASS.-SK</t>
        </is>
      </c>
      <c r="B29" s="40" t="n">
        <v>45059.97096774194</v>
      </c>
      <c r="C29" s="40" t="n">
        <v>45676.68214285715</v>
      </c>
      <c r="D29" s="40" t="n">
        <v>46844.21935483872</v>
      </c>
      <c r="E29" s="40" t="n">
        <v>48418.92666666666</v>
      </c>
      <c r="F29" s="40" t="n">
        <v>47508.66129032258</v>
      </c>
      <c r="G29" s="40" t="n">
        <v>47446.27666666666</v>
      </c>
      <c r="H29" s="40" t="n">
        <v>47513.77096774194</v>
      </c>
      <c r="I29" s="40" t="n">
        <v>47890.94838709678</v>
      </c>
      <c r="J29" s="40" t="n">
        <v>48771.04000000001</v>
      </c>
      <c r="K29" s="40" t="n">
        <v>47943.4</v>
      </c>
      <c r="L29" s="40" t="n">
        <v>47873.77333333333</v>
      </c>
      <c r="M29" s="40" t="n">
        <v>47104.18387096774</v>
      </c>
      <c r="N29" s="40" t="n">
        <v>47342.65041095891</v>
      </c>
    </row>
    <row r="30" outlineLevel="2" ht="10.5" customFormat="1" customHeight="1" s="13">
      <c r="A30" s="11" t="inlineStr">
        <is>
          <t>NL CONV</t>
        </is>
      </c>
      <c r="B30" s="40" t="n">
        <v>20200.77419354839</v>
      </c>
      <c r="C30" s="40" t="n">
        <v>21361.10714285714</v>
      </c>
      <c r="D30" s="40" t="n">
        <v>21556.25806451613</v>
      </c>
      <c r="E30" s="40" t="n">
        <v>21810.1</v>
      </c>
      <c r="F30" s="40" t="n">
        <v>21634.35483870968</v>
      </c>
      <c r="G30" s="40" t="n">
        <v>21615.93333333333</v>
      </c>
      <c r="H30" s="40" t="n">
        <v>22159.51612903226</v>
      </c>
      <c r="I30" s="40" t="n">
        <v>22279.70967741936</v>
      </c>
      <c r="J30" s="40" t="n">
        <v>22062.23333333333</v>
      </c>
      <c r="K30" s="40" t="n">
        <v>23174.67741935484</v>
      </c>
      <c r="L30" s="40" t="n">
        <v>22430.86666666666</v>
      </c>
      <c r="M30" s="40" t="n">
        <v>22606.67741935484</v>
      </c>
      <c r="N30" s="40" t="n">
        <v>21911.38630136986</v>
      </c>
    </row>
    <row r="31" outlineLevel="1" ht="12" customFormat="1" customHeight="1" s="12" thickBot="1">
      <c r="A31" s="27" t="inlineStr">
        <is>
          <t>TOTAL HEAVY/LOURD3</t>
        </is>
      </c>
      <c r="B31" s="39" t="n">
        <v>381865.929032258</v>
      </c>
      <c r="C31" s="39" t="n">
        <v>397938.6607142857</v>
      </c>
      <c r="D31" s="39" t="n">
        <v>399996.9387096774</v>
      </c>
      <c r="E31" s="39" t="n">
        <v>397066.1866666666</v>
      </c>
      <c r="F31" s="39" t="n">
        <v>386238.006451613</v>
      </c>
      <c r="G31" s="39" t="n">
        <v>387610.4333333334</v>
      </c>
      <c r="H31" s="39" t="n">
        <v>414905.3483870968</v>
      </c>
      <c r="I31" s="39" t="n">
        <v>426246.6451612904</v>
      </c>
      <c r="J31" s="39" t="n">
        <v>440057.04</v>
      </c>
      <c r="K31" s="39" t="n">
        <v>434497.106451613</v>
      </c>
      <c r="L31" s="39" t="n">
        <v>415305.99</v>
      </c>
      <c r="M31" s="39" t="n">
        <v>406986.0774193548</v>
      </c>
      <c r="N31" s="39" t="n">
        <v>407421.2129109589</v>
      </c>
    </row>
    <row r="32" outlineLevel="1" ht="10.5" customFormat="1" customHeight="1" s="12" thickBot="1">
      <c r="A32" s="27" t="inlineStr">
        <is>
          <t>TOTAL PRODUCTION</t>
        </is>
      </c>
      <c r="B32" s="39">
        <f>SUM(B31,B24)</f>
        <v/>
      </c>
      <c r="C32" s="39">
        <f>SUM(C31,C24)</f>
        <v/>
      </c>
      <c r="D32" s="39">
        <f>SUM(D31,D24)</f>
        <v/>
      </c>
      <c r="E32" s="39">
        <f>SUM(E31,E24)</f>
        <v/>
      </c>
      <c r="F32" s="39">
        <f>SUM(F31,F24)</f>
        <v/>
      </c>
      <c r="G32" s="39">
        <f>SUM(G31,G24)</f>
        <v/>
      </c>
      <c r="H32" s="39">
        <f>SUM(H31,H24)</f>
        <v/>
      </c>
      <c r="I32" s="39">
        <f>SUM(I31,I24)</f>
        <v/>
      </c>
      <c r="J32" s="39">
        <f>SUM(J31,J24)</f>
        <v/>
      </c>
      <c r="K32" s="39">
        <f>SUM(K31,K24)</f>
        <v/>
      </c>
      <c r="L32" s="39">
        <f>SUM(L31,L24)</f>
        <v/>
      </c>
      <c r="M32" s="39">
        <f>SUM(M31,M24)</f>
        <v/>
      </c>
      <c r="N32" s="39" t="n">
        <v>772610.3897910959</v>
      </c>
    </row>
    <row r="33" outlineLevel="1" ht="11.25" customHeight="1">
      <c r="A33" s="8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</row>
    <row r="34" outlineLevel="1" ht="11.25" customHeight="1">
      <c r="A34" s="8" t="n"/>
      <c r="B34" s="36" t="n"/>
      <c r="C34" s="36" t="n"/>
      <c r="D34" s="36" t="n"/>
      <c r="E34" s="36" t="n"/>
      <c r="F34" s="36" t="n"/>
      <c r="G34" s="36" t="n"/>
      <c r="H34" s="35" t="n"/>
      <c r="I34" s="36" t="n"/>
      <c r="J34" s="36" t="n"/>
      <c r="K34" s="36" t="n"/>
      <c r="L34" s="36" t="n"/>
      <c r="M34" s="36" t="n"/>
      <c r="N34" s="22" t="n"/>
    </row>
    <row r="35" outlineLevel="1" ht="11.25" customHeight="1">
      <c r="A35" s="8" t="n"/>
      <c r="B35" s="36" t="n"/>
      <c r="C35" s="36" t="n"/>
      <c r="D35" s="36" t="n"/>
      <c r="E35" s="1" t="n"/>
      <c r="F35" s="36" t="n"/>
      <c r="G35" s="36" t="n"/>
      <c r="H35" s="35" t="inlineStr">
        <is>
          <t>ESTIMATED PRODUCTION BY REGION</t>
        </is>
      </c>
      <c r="I35" s="1" t="n"/>
      <c r="J35" s="36" t="n"/>
      <c r="K35" s="36" t="n"/>
      <c r="L35" s="36" t="n"/>
      <c r="M35" s="36" t="n"/>
      <c r="N35" s="22" t="n"/>
    </row>
    <row r="36" outlineLevel="1" ht="33.75" customHeight="1">
      <c r="A36" s="18" t="inlineStr">
        <is>
          <t xml:space="preserve">WESTERN CANADA/OUEST CANADIEN
</t>
        </is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20" t="n"/>
    </row>
    <row r="37" ht="11.25" customFormat="1" customHeight="1" s="7">
      <c r="A37" s="19" t="inlineStr">
        <is>
          <t>CONV. LIGHT/LÉGER CLASS.</t>
        </is>
      </c>
      <c r="B37" s="40" t="n">
        <v>85206.12903225808</v>
      </c>
      <c r="C37" s="40" t="n">
        <v>87799.79642857141</v>
      </c>
      <c r="D37" s="40" t="n">
        <v>92138.98709677417</v>
      </c>
      <c r="E37" s="40" t="n">
        <v>92579.03999999998</v>
      </c>
      <c r="F37" s="40" t="n">
        <v>90187.28064516129</v>
      </c>
      <c r="G37" s="40" t="n">
        <v>88990.37333333334</v>
      </c>
      <c r="H37" s="40" t="n">
        <v>89121.37096774194</v>
      </c>
      <c r="I37" s="40" t="n">
        <v>91176.22258064516</v>
      </c>
      <c r="J37" s="40" t="n">
        <v>90777.57333333335</v>
      </c>
      <c r="K37" s="40" t="n">
        <v>93427.35806451611</v>
      </c>
      <c r="L37" s="40" t="n">
        <v>93447.34000000003</v>
      </c>
      <c r="M37" s="40" t="n">
        <v>92061.57096774192</v>
      </c>
      <c r="N37" s="40" t="n">
        <v>90583.45792808218</v>
      </c>
    </row>
    <row r="38" ht="19.5" customFormat="1" customHeight="1" s="20">
      <c r="A38" s="17" t="inlineStr">
        <is>
          <t>AB UPGRADED BITUMEN/ BITUME VALORISÉ-AB 1</t>
        </is>
      </c>
      <c r="B38" s="40" t="n">
        <v>185818.9903225806</v>
      </c>
      <c r="C38" s="40" t="n">
        <v>198050.2571428572</v>
      </c>
      <c r="D38" s="40" t="n">
        <v>193673.7709677419</v>
      </c>
      <c r="E38" s="40" t="n">
        <v>179810.2366666667</v>
      </c>
      <c r="F38" s="40" t="n">
        <v>164852.435483871</v>
      </c>
      <c r="G38" s="40" t="n">
        <v>181016.5033333333</v>
      </c>
      <c r="H38" s="40" t="n">
        <v>186643.070967742</v>
      </c>
      <c r="I38" s="40" t="n">
        <v>180326.4161290323</v>
      </c>
      <c r="J38" s="40" t="n">
        <v>176711.1533333333</v>
      </c>
      <c r="K38" s="40" t="n">
        <v>174477.8</v>
      </c>
      <c r="L38" s="40" t="n">
        <v>211285.8466666667</v>
      </c>
      <c r="M38" s="40" t="n">
        <v>195988.0354838709</v>
      </c>
      <c r="N38" s="40" t="n">
        <v>185565.8383561644</v>
      </c>
    </row>
    <row r="39" outlineLevel="1" ht="11.25" customFormat="1" customHeight="1" s="12">
      <c r="A39" s="14" t="inlineStr">
        <is>
          <t>PENTANES PLUS</t>
        </is>
      </c>
      <c r="B39" s="40" t="n">
        <v>70873.0741935484</v>
      </c>
      <c r="C39" s="40" t="n">
        <v>72876.42142857143</v>
      </c>
      <c r="D39" s="40" t="n">
        <v>74225.7064516129</v>
      </c>
      <c r="E39" s="40" t="n">
        <v>74703.66</v>
      </c>
      <c r="F39" s="40" t="n">
        <v>72300.70967741935</v>
      </c>
      <c r="G39" s="40" t="n">
        <v>70355.10666666667</v>
      </c>
      <c r="H39" s="40" t="n">
        <v>76099.14193548387</v>
      </c>
      <c r="I39" s="40" t="n">
        <v>74909.85806451614</v>
      </c>
      <c r="J39" s="40" t="n">
        <v>73982.96000000002</v>
      </c>
      <c r="K39" s="40" t="n">
        <v>77840.61612903226</v>
      </c>
      <c r="L39" s="40" t="n">
        <v>79174.85000000001</v>
      </c>
      <c r="M39" s="40" t="n">
        <v>72491.97741935484</v>
      </c>
      <c r="N39" s="40" t="n">
        <v>74162.45621232878</v>
      </c>
    </row>
    <row r="40" outlineLevel="1" ht="11.25" customFormat="1" customHeight="1" s="12">
      <c r="A40" s="28" t="inlineStr">
        <is>
          <t>TOTAL LIGHT/LÉGER</t>
        </is>
      </c>
      <c r="B40" s="41" t="n">
        <v>341898.1935483871</v>
      </c>
      <c r="C40" s="41" t="n">
        <v>358726.475</v>
      </c>
      <c r="D40" s="41" t="n">
        <v>360038.464516129</v>
      </c>
      <c r="E40" s="41" t="n">
        <v>347092.9366666666</v>
      </c>
      <c r="F40" s="41" t="n">
        <v>327340.4258064516</v>
      </c>
      <c r="G40" s="41" t="n">
        <v>340361.9833333333</v>
      </c>
      <c r="H40" s="41" t="n">
        <v>351863.5838709677</v>
      </c>
      <c r="I40" s="41" t="n">
        <v>346412.4967741936</v>
      </c>
      <c r="J40" s="41" t="n">
        <v>341471.6866666667</v>
      </c>
      <c r="K40" s="41" t="n">
        <v>345745.7741935484</v>
      </c>
      <c r="L40" s="41" t="n">
        <v>383908.0366666667</v>
      </c>
      <c r="M40" s="41" t="n">
        <v>360541.5838709677</v>
      </c>
      <c r="N40" s="41" t="n">
        <v>350311.7524965754</v>
      </c>
    </row>
    <row r="41" outlineLevel="1" ht="10.5" customFormat="1" customHeight="1" s="12">
      <c r="A41" s="19" t="inlineStr">
        <is>
          <t xml:space="preserve">CONV. HEAVY/LOURD CLASS. </t>
        </is>
      </c>
      <c r="B41" s="40" t="n">
        <v>64200.30967741936</v>
      </c>
      <c r="C41" s="40" t="n">
        <v>65762.60714285714</v>
      </c>
      <c r="D41" s="40" t="n">
        <v>67568.80967741935</v>
      </c>
      <c r="E41" s="40" t="n">
        <v>69711.84333333334</v>
      </c>
      <c r="F41" s="40" t="n">
        <v>69126.56451612903</v>
      </c>
      <c r="G41" s="40" t="n">
        <v>69006.29333333333</v>
      </c>
      <c r="H41" s="40" t="n">
        <v>68992.60000000001</v>
      </c>
      <c r="I41" s="40" t="n">
        <v>69662.59032258065</v>
      </c>
      <c r="J41" s="40" t="n">
        <v>70454.98000000001</v>
      </c>
      <c r="K41" s="40" t="n">
        <v>69578.88064516131</v>
      </c>
      <c r="L41" s="40" t="n">
        <v>68971.35000000001</v>
      </c>
      <c r="M41" s="40" t="n">
        <v>67311.57741935483</v>
      </c>
      <c r="N41" s="40" t="n">
        <v>68356.1526369863</v>
      </c>
    </row>
    <row r="42" outlineLevel="1" ht="18" customFormat="1" customHeight="1" s="12">
      <c r="A42" s="17" t="inlineStr">
        <is>
          <t>AB NON-UPGRADED BITUMEN / BITUME NON VALORISÉ-AB2</t>
        </is>
      </c>
      <c r="B42" s="40" t="n">
        <v>297464.8451612903</v>
      </c>
      <c r="C42" s="40" t="n">
        <v>310814.9464285714</v>
      </c>
      <c r="D42" s="40" t="n">
        <v>310871.8709677419</v>
      </c>
      <c r="E42" s="40" t="n">
        <v>305544.2433333333</v>
      </c>
      <c r="F42" s="40" t="n">
        <v>295477.0870967743</v>
      </c>
      <c r="G42" s="40" t="n">
        <v>296988.2066666667</v>
      </c>
      <c r="H42" s="40" t="n">
        <v>323753.2322580646</v>
      </c>
      <c r="I42" s="40" t="n">
        <v>334304.3451612904</v>
      </c>
      <c r="J42" s="40" t="n">
        <v>347539.8266666667</v>
      </c>
      <c r="K42" s="40" t="n">
        <v>341743.5483870968</v>
      </c>
      <c r="L42" s="40" t="n">
        <v>323903.7733333334</v>
      </c>
      <c r="M42" s="40" t="n">
        <v>317067.8225806452</v>
      </c>
      <c r="N42" s="40" t="n">
        <v>317153.6739726028</v>
      </c>
    </row>
    <row r="43" outlineLevel="1" ht="11.25" customFormat="1" customHeight="1" s="12">
      <c r="A43" s="28" t="inlineStr">
        <is>
          <t>TOTAL HEAVY/LOURD</t>
        </is>
      </c>
      <c r="B43" s="41" t="n">
        <v>361665.1548387097</v>
      </c>
      <c r="C43" s="41" t="n">
        <v>376577.5535714286</v>
      </c>
      <c r="D43" s="41" t="n">
        <v>378440.6806451613</v>
      </c>
      <c r="E43" s="41" t="n">
        <v>375256.0866666667</v>
      </c>
      <c r="F43" s="41" t="n">
        <v>364603.6516129033</v>
      </c>
      <c r="G43" s="41" t="n">
        <v>365994.5000000001</v>
      </c>
      <c r="H43" s="41" t="n">
        <v>392745.8322580645</v>
      </c>
      <c r="I43" s="41" t="n">
        <v>403966.935483871</v>
      </c>
      <c r="J43" s="41" t="n">
        <v>417994.8066666668</v>
      </c>
      <c r="K43" s="41" t="n">
        <v>411322.4290322581</v>
      </c>
      <c r="L43" s="41" t="n">
        <v>392875.1233333334</v>
      </c>
      <c r="M43" s="41" t="n">
        <v>384379.4</v>
      </c>
      <c r="N43" s="41" t="n">
        <v>385509.826609589</v>
      </c>
    </row>
    <row r="44" outlineLevel="1" ht="21" customFormat="1" customHeight="1" s="12">
      <c r="A44" s="16" t="inlineStr">
        <is>
          <t>TOTAL WESTERN CANADA/ OUEST CANADIEN</t>
        </is>
      </c>
      <c r="B44" s="38" t="n">
        <v>703563.3483870968</v>
      </c>
      <c r="C44" s="38" t="n">
        <v>735304.0285714285</v>
      </c>
      <c r="D44" s="38" t="n">
        <v>738479.1451612903</v>
      </c>
      <c r="E44" s="38" t="n">
        <v>722349.0233333333</v>
      </c>
      <c r="F44" s="38" t="n">
        <v>691944.0774193548</v>
      </c>
      <c r="G44" s="38" t="n">
        <v>706356.4833333334</v>
      </c>
      <c r="H44" s="38" t="n">
        <v>744609.4161290323</v>
      </c>
      <c r="I44" s="38" t="n">
        <v>750379.4322580646</v>
      </c>
      <c r="J44" s="38" t="n">
        <v>759466.4933333334</v>
      </c>
      <c r="K44" s="38" t="n">
        <v>757068.2032258065</v>
      </c>
      <c r="L44" s="38" t="n">
        <v>776783.1600000001</v>
      </c>
      <c r="M44" s="38" t="n">
        <v>744920.9838709678</v>
      </c>
      <c r="N44" s="38" t="n">
        <v>735821.5791061643</v>
      </c>
    </row>
    <row r="45" outlineLevel="1" ht="23.25" customFormat="1" customHeight="1" s="12" thickBot="1">
      <c r="A45" s="26" t="inlineStr">
        <is>
          <t>TOTAL EASTERN CANADA/
EST CANADIEN</t>
        </is>
      </c>
      <c r="B45" s="39" t="n">
        <v>37551.60967741936</v>
      </c>
      <c r="C45" s="39" t="n">
        <v>38815.10714285714</v>
      </c>
      <c r="D45" s="39" t="n">
        <v>39972.85806451613</v>
      </c>
      <c r="E45" s="39" t="n">
        <v>39143.70666666667</v>
      </c>
      <c r="F45" s="39" t="n">
        <v>38973.35483870968</v>
      </c>
      <c r="G45" s="39" t="n">
        <v>38906.8</v>
      </c>
      <c r="H45" s="39" t="n">
        <v>38176.93548387097</v>
      </c>
      <c r="I45" s="39" t="n">
        <v>36630.41935483871</v>
      </c>
      <c r="J45" s="39" t="n">
        <v>27815.76666666667</v>
      </c>
      <c r="K45" s="39" t="n">
        <v>29079.93548387097</v>
      </c>
      <c r="L45" s="39" t="n">
        <v>38650.86666666667</v>
      </c>
      <c r="M45" s="39" t="n">
        <v>37830.41935483871</v>
      </c>
      <c r="N45" s="39" t="n">
        <v>36788.8106849315</v>
      </c>
    </row>
    <row r="46" outlineLevel="1" ht="12" customFormat="1" customHeight="1" s="12" thickBot="1">
      <c r="A46" s="25" t="inlineStr">
        <is>
          <t>TOTAL CANADA</t>
        </is>
      </c>
      <c r="B46" s="48" t="n">
        <v>741114.9580645161</v>
      </c>
      <c r="C46" s="48" t="n">
        <v>774119.1357142857</v>
      </c>
      <c r="D46" s="48" t="n">
        <v>778452.0032258064</v>
      </c>
      <c r="E46" s="48" t="n">
        <v>761492.73</v>
      </c>
      <c r="F46" s="48" t="n">
        <v>730917.4322580645</v>
      </c>
      <c r="G46" s="48" t="n">
        <v>745263.2833333334</v>
      </c>
      <c r="H46" s="48" t="n">
        <v>782786.3516129032</v>
      </c>
      <c r="I46" s="48" t="n">
        <v>787009.8516129033</v>
      </c>
      <c r="J46" s="48" t="n">
        <v>787282.2600000001</v>
      </c>
      <c r="K46" s="48" t="n">
        <v>786148.1387096774</v>
      </c>
      <c r="L46" s="48" t="n">
        <v>815434.0266666668</v>
      </c>
      <c r="M46" s="48" t="n">
        <v>782751.4032258064</v>
      </c>
      <c r="N46" s="48" t="n">
        <v>772610.3897910959</v>
      </c>
    </row>
    <row r="47" outlineLevel="1" ht="11.25" customFormat="1" customHeight="1" s="12">
      <c r="A47" s="3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 outlineLevel="1" ht="11.25" customFormat="1" customHeight="1" s="12">
      <c r="A48" s="3" t="inlineStr">
        <is>
          <t>NOTES: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 outlineLevel="1" ht="10.5" customFormat="1" customHeight="1" s="12">
      <c r="A49" s="3" t="inlineStr">
        <is>
          <t>Figures in black print are actual production data from reporting agencies.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outlineLevel="1" ht="11.25" customFormat="1" customHeight="1" s="13">
      <c r="A50" s="3" t="inlineStr">
        <is>
          <t>Forecasted values are no longer available in this publication. For the latest projections of crude oil and natural gas production in Canada please visit the CERs Energy Futures page.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 outlineLevel="1" ht="11.25" customFormat="1" customHeight="1" s="13">
      <c r="A51" s="21" t="inlineStr">
        <is>
          <t>1 As per AER -ST3, includes in situ bitumen that is upgraded to SCO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11.25" customFormat="1" customHeight="1" s="12">
      <c r="A52" s="22" t="inlineStr">
        <is>
          <t xml:space="preserve">2 As per AER -ST3, excludes in situ produced bitumen that is upgraded to SCO 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 ht="11.25" customFormat="1" customHeight="1" s="12">
      <c r="A53" s="3" t="n"/>
      <c r="B53" s="2" t="n"/>
      <c r="C53" s="2" t="n"/>
      <c r="D53" s="2" t="n"/>
      <c r="E53" s="2" t="n"/>
      <c r="F53" s="2" t="n"/>
      <c r="G53" s="7" t="n"/>
      <c r="H53" s="2" t="n"/>
      <c r="I53" s="2" t="n"/>
      <c r="J53" s="2" t="n"/>
      <c r="K53" s="2" t="n"/>
      <c r="L53" s="2" t="n"/>
      <c r="M53" s="2" t="n"/>
      <c r="N53" s="2" t="n"/>
    </row>
    <row r="54" ht="11.25" customFormat="1" customHeight="1" s="12">
      <c r="A54" s="22" t="inlineStr">
        <is>
          <t>Les chiffres en noir représentent les données de production réelles obtenues auprès d'organismes présentant des rapports.</t>
        </is>
      </c>
      <c r="B54" s="2" t="n"/>
      <c r="C54" s="2" t="n"/>
      <c r="D54" s="2" t="n"/>
      <c r="E54" s="2" t="n"/>
      <c r="F54" s="2" t="n"/>
      <c r="G54" s="7" t="n"/>
      <c r="H54" s="2" t="n"/>
      <c r="I54" s="2" t="n"/>
      <c r="J54" s="2" t="n"/>
      <c r="K54" s="2" t="n"/>
      <c r="L54" s="2" t="n"/>
      <c r="M54" s="2" t="n"/>
      <c r="N54" s="2" t="n"/>
    </row>
    <row r="55" ht="11.25" customFormat="1" customHeight="1" s="12">
      <c r="A55" s="23" t="inlineStr">
        <is>
          <t>Les valeurs prévues ne sont plus disponibles dans cette publication. Pour connaître les dernières projections relatives à la production de pétrole brut et de gaz naturel au Canada, consultez la page principale d’Avenir énergétique du Canada</t>
        </is>
      </c>
      <c r="B55" s="2" t="n"/>
      <c r="C55" s="2" t="n"/>
      <c r="D55" s="2" t="n"/>
      <c r="E55" s="2" t="n"/>
      <c r="F55" s="2" t="n"/>
      <c r="G55" s="7" t="n"/>
      <c r="H55" s="2" t="n"/>
      <c r="I55" s="2" t="n"/>
      <c r="J55" s="2" t="n"/>
      <c r="K55" s="2" t="n"/>
      <c r="L55" s="2" t="n"/>
      <c r="M55" s="2" t="n"/>
      <c r="N55" s="2" t="n"/>
    </row>
    <row r="56" ht="11.25" customHeight="1">
      <c r="A56" s="24" t="inlineStr">
        <is>
          <t>1 Comprend la production de pétrole brut synthétique et de distillats.</t>
        </is>
      </c>
    </row>
    <row r="57" ht="11.25" customFormat="1" customHeight="1" s="13">
      <c r="A57" s="21" t="inlineStr">
        <is>
          <t>2 Bitume in situ, sauf les quantités transformées en pétrole brut synthétique par valorisation.</t>
        </is>
      </c>
      <c r="B57" s="2" t="n"/>
      <c r="C57" s="2" t="n"/>
      <c r="D57" s="2" t="n"/>
      <c r="E57" s="2" t="n"/>
      <c r="F57" s="2" t="n"/>
      <c r="G57" s="7" t="n"/>
      <c r="H57" s="2" t="n"/>
      <c r="I57" s="2" t="n"/>
      <c r="J57" s="2" t="n"/>
      <c r="K57" s="2" t="n"/>
      <c r="L57" s="2" t="n"/>
      <c r="M57" s="2" t="n"/>
      <c r="N57" s="2" t="n"/>
    </row>
    <row r="58" ht="9.949999999999999" customHeight="1">
      <c r="A58" s="3" t="n"/>
    </row>
    <row r="1087" ht="10.5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6C6"/>
  <printOptions horizontalCentered="1" verticalCentered="1"/>
  <pageMargins left="0.24" right="0.22" top="0.37" bottom="0.42" header="0.25" footer="0.17"/>
  <pageSetup orientation="landscape" scale="95" fitToHeight="2"/>
  <headerFooter alignWithMargins="0">
    <oddHeader/>
    <oddFooter>&amp;RNEB/ RP:  &amp;D</oddFooter>
    <evenHeader/>
    <evenFooter/>
    <firstHeader/>
    <firstFooter/>
  </headerFooter>
  <rowBreaks count="1" manualBreakCount="1">
    <brk id="34" min="0" max="45" man="1"/>
  </rowBreaks>
  <colBreaks count="1" manualBreakCount="1">
    <brk id="15" min="0" max="59" man="1"/>
  </colBreaks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U57"/>
  <sheetViews>
    <sheetView zoomScale="112" zoomScaleNormal="112" workbookViewId="0">
      <selection activeCell="N18" sqref="N18:N32"/>
    </sheetView>
  </sheetViews>
  <sheetFormatPr baseColWidth="8" defaultRowHeight="10.5"/>
  <cols>
    <col width="33.5" customWidth="1" min="1" max="1"/>
    <col width="9.6640625" bestFit="1" customWidth="1" min="2" max="13"/>
    <col width="14" bestFit="1" customWidth="1" min="14" max="14"/>
    <col width="10.1640625" bestFit="1" customWidth="1" min="16" max="16"/>
    <col width="10.1640625" bestFit="1" customWidth="1" min="19" max="19"/>
  </cols>
  <sheetData>
    <row r="1" ht="30" customHeight="1"/>
    <row r="2" ht="11.25" customHeight="1">
      <c r="A2" s="62" t="n">
        <v>45033</v>
      </c>
      <c r="H2" s="4" t="inlineStr">
        <is>
          <t>2022 ESTIMATED PRODUCTION OF CANADIAN CRUDE OIL AND EQUIVALENT  (b/d)</t>
        </is>
      </c>
    </row>
    <row r="3" ht="11.25" customHeight="1">
      <c r="H3" s="4" t="inlineStr">
        <is>
          <t>PRODUCTION ESTIMATIVE DE PÉTROLE BRUT ET D'ÉQUIVALENTS AU CANADA EN 2022 (b/j)</t>
        </is>
      </c>
    </row>
    <row r="4" ht="11.25" customHeight="1">
      <c r="A4" s="7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>
        <f>'22TABLE - cubic meters per day'!N4</f>
        <v/>
      </c>
    </row>
    <row r="5" ht="11.25" customHeight="1">
      <c r="A5" s="9" t="n"/>
      <c r="B5" s="7" t="inlineStr">
        <is>
          <t>Jan/janv.</t>
        </is>
      </c>
      <c r="C5" s="7" t="inlineStr">
        <is>
          <t>Feb/fév.</t>
        </is>
      </c>
      <c r="D5" s="7" t="inlineStr">
        <is>
          <t>Mar/mars</t>
        </is>
      </c>
      <c r="E5" s="7" t="inlineStr">
        <is>
          <t>Apr/avr.</t>
        </is>
      </c>
      <c r="F5" s="7" t="inlineStr">
        <is>
          <t>May/mai</t>
        </is>
      </c>
      <c r="G5" s="7" t="inlineStr">
        <is>
          <t>June/juin</t>
        </is>
      </c>
      <c r="H5" s="7" t="inlineStr">
        <is>
          <t>July/juil.</t>
        </is>
      </c>
      <c r="I5" s="7" t="inlineStr">
        <is>
          <t>Aug/août</t>
        </is>
      </c>
      <c r="J5" s="7" t="inlineStr">
        <is>
          <t>Sep/sept.</t>
        </is>
      </c>
      <c r="K5" s="7" t="inlineStr">
        <is>
          <t>Oct/oct.</t>
        </is>
      </c>
      <c r="L5" s="7" t="inlineStr">
        <is>
          <t>Nov/nov.</t>
        </is>
      </c>
      <c r="M5" s="7" t="inlineStr">
        <is>
          <t>Dec/déc.</t>
        </is>
      </c>
      <c r="N5" s="7" t="inlineStr">
        <is>
          <t>Avg/moyenne</t>
        </is>
      </c>
    </row>
    <row r="6" ht="11.25" customHeight="1">
      <c r="A6" s="9" t="inlineStr">
        <is>
          <t>CONV. LIGHT CRUDE OIL/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3" t="n"/>
    </row>
    <row r="7" ht="11.25" customHeight="1">
      <c r="A7" s="10" t="inlineStr">
        <is>
          <t>PÉTROLE BRUT LÉGER CLASS.</t>
        </is>
      </c>
      <c r="B7" s="32" t="n"/>
      <c r="C7" s="32" t="n"/>
      <c r="D7" s="34" t="n"/>
      <c r="E7" s="34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</row>
    <row r="8" ht="11.25" customHeight="1">
      <c r="A8" s="11" t="inlineStr">
        <is>
          <t>AB</t>
        </is>
      </c>
      <c r="B8" s="40">
        <f>'22TABLE - cubic meters per day'!B8*6.2898</f>
        <v/>
      </c>
      <c r="C8" s="40">
        <f>'22TABLE - cubic meters per day'!C8*6.2898</f>
        <v/>
      </c>
      <c r="D8" s="40">
        <f>'22TABLE - cubic meters per day'!D8*6.2898</f>
        <v/>
      </c>
      <c r="E8" s="40">
        <f>'22TABLE - cubic meters per day'!E8*6.2898</f>
        <v/>
      </c>
      <c r="F8" s="40">
        <f>'22TABLE - cubic meters per day'!F8*6.2898</f>
        <v/>
      </c>
      <c r="G8" s="40">
        <f>'22TABLE - cubic meters per day'!G8*6.2898</f>
        <v/>
      </c>
      <c r="H8" s="40">
        <f>'22TABLE - cubic meters per day'!H8*6.2898</f>
        <v/>
      </c>
      <c r="I8" s="40">
        <f>'22TABLE - cubic meters per day'!I8*6.2898</f>
        <v/>
      </c>
      <c r="J8" s="40">
        <f>'22TABLE - cubic meters per day'!J8*6.2898</f>
        <v/>
      </c>
      <c r="K8" s="40">
        <f>'22TABLE - cubic meters per day'!K8*6.2898</f>
        <v/>
      </c>
      <c r="L8" s="40">
        <f>'22TABLE - cubic meters per day'!L8*6.2898</f>
        <v/>
      </c>
      <c r="M8" s="40">
        <f>'22TABLE - cubic meters per day'!M8*6.2898</f>
        <v/>
      </c>
      <c r="N8" s="40">
        <f>'22TABLE - cubic meters per day'!N8*6.2898</f>
        <v/>
      </c>
    </row>
    <row r="9" ht="11.25" customHeight="1">
      <c r="A9" s="11" t="inlineStr">
        <is>
          <t>BC</t>
        </is>
      </c>
      <c r="B9" s="40">
        <f>'22TABLE - cubic meters per day'!B9*6.2898</f>
        <v/>
      </c>
      <c r="C9" s="40">
        <f>'22TABLE - cubic meters per day'!C9*6.2898</f>
        <v/>
      </c>
      <c r="D9" s="40">
        <f>'22TABLE - cubic meters per day'!D9*6.2898</f>
        <v/>
      </c>
      <c r="E9" s="40">
        <f>'22TABLE - cubic meters per day'!E9*6.2898</f>
        <v/>
      </c>
      <c r="F9" s="40">
        <f>'22TABLE - cubic meters per day'!F9*6.2898</f>
        <v/>
      </c>
      <c r="G9" s="40">
        <f>'22TABLE - cubic meters per day'!G9*6.2898</f>
        <v/>
      </c>
      <c r="H9" s="40">
        <f>'22TABLE - cubic meters per day'!H9*6.2898</f>
        <v/>
      </c>
      <c r="I9" s="40">
        <f>'22TABLE - cubic meters per day'!I9*6.2898</f>
        <v/>
      </c>
      <c r="J9" s="40">
        <f>'22TABLE - cubic meters per day'!J9*6.2898</f>
        <v/>
      </c>
      <c r="K9" s="40">
        <f>'22TABLE - cubic meters per day'!K9*6.2898</f>
        <v/>
      </c>
      <c r="L9" s="40">
        <f>'22TABLE - cubic meters per day'!L9*6.2898</f>
        <v/>
      </c>
      <c r="M9" s="40">
        <f>'22TABLE - cubic meters per day'!M9*6.2898</f>
        <v/>
      </c>
      <c r="N9" s="40">
        <f>'22TABLE - cubic meters per day'!N9*6.2898</f>
        <v/>
      </c>
    </row>
    <row r="10" ht="11.25" customHeight="1">
      <c r="A10" s="11" t="inlineStr">
        <is>
          <t>SK</t>
        </is>
      </c>
      <c r="B10" s="40">
        <f>'22TABLE - cubic meters per day'!B10*6.2898</f>
        <v/>
      </c>
      <c r="C10" s="40">
        <f>'22TABLE - cubic meters per day'!C10*6.2898</f>
        <v/>
      </c>
      <c r="D10" s="40">
        <f>'22TABLE - cubic meters per day'!D10*6.2898</f>
        <v/>
      </c>
      <c r="E10" s="40">
        <f>'22TABLE - cubic meters per day'!E10*6.2898</f>
        <v/>
      </c>
      <c r="F10" s="40">
        <f>'22TABLE - cubic meters per day'!F10*6.2898</f>
        <v/>
      </c>
      <c r="G10" s="40">
        <f>'22TABLE - cubic meters per day'!G10*6.2898</f>
        <v/>
      </c>
      <c r="H10" s="40">
        <f>'22TABLE - cubic meters per day'!H10*6.2898</f>
        <v/>
      </c>
      <c r="I10" s="40">
        <f>'22TABLE - cubic meters per day'!I10*6.2898</f>
        <v/>
      </c>
      <c r="J10" s="40">
        <f>'22TABLE - cubic meters per day'!J10*6.2898</f>
        <v/>
      </c>
      <c r="K10" s="40">
        <f>'22TABLE - cubic meters per day'!K10*6.2898</f>
        <v/>
      </c>
      <c r="L10" s="40">
        <f>'22TABLE - cubic meters per day'!L10*6.2898</f>
        <v/>
      </c>
      <c r="M10" s="40">
        <f>'22TABLE - cubic meters per day'!M10*6.2898</f>
        <v/>
      </c>
      <c r="N10" s="40">
        <f>'22TABLE - cubic meters per day'!N10*6.2898</f>
        <v/>
      </c>
    </row>
    <row r="11" ht="11.25" customHeight="1">
      <c r="A11" s="11" t="inlineStr">
        <is>
          <t>MB</t>
        </is>
      </c>
      <c r="B11" s="40">
        <f>'22TABLE - cubic meters per day'!B11*6.2898</f>
        <v/>
      </c>
      <c r="C11" s="40">
        <f>'22TABLE - cubic meters per day'!C11*6.2898</f>
        <v/>
      </c>
      <c r="D11" s="40">
        <f>'22TABLE - cubic meters per day'!D11*6.2898</f>
        <v/>
      </c>
      <c r="E11" s="40">
        <f>'22TABLE - cubic meters per day'!E11*6.2898</f>
        <v/>
      </c>
      <c r="F11" s="40">
        <f>'22TABLE - cubic meters per day'!F11*6.2898</f>
        <v/>
      </c>
      <c r="G11" s="40">
        <f>'22TABLE - cubic meters per day'!G11*6.2898</f>
        <v/>
      </c>
      <c r="H11" s="40">
        <f>'22TABLE - cubic meters per day'!H11*6.2898</f>
        <v/>
      </c>
      <c r="I11" s="40">
        <f>'22TABLE - cubic meters per day'!I11*6.2898</f>
        <v/>
      </c>
      <c r="J11" s="40">
        <f>'22TABLE - cubic meters per day'!J11*6.2898</f>
        <v/>
      </c>
      <c r="K11" s="40">
        <f>'22TABLE - cubic meters per day'!K11*6.2898</f>
        <v/>
      </c>
      <c r="L11" s="40">
        <f>'22TABLE - cubic meters per day'!L11*6.2898</f>
        <v/>
      </c>
      <c r="M11" s="40">
        <f>'22TABLE - cubic meters per day'!M11*6.2898</f>
        <v/>
      </c>
      <c r="N11" s="40">
        <f>'22TABLE - cubic meters per day'!N11*6.2898</f>
        <v/>
      </c>
    </row>
    <row r="12" ht="11.25" customHeight="1">
      <c r="A12" s="11" t="inlineStr">
        <is>
          <t>NWT/NT</t>
        </is>
      </c>
      <c r="B12" s="40">
        <f>'22TABLE - cubic meters per day'!B12*6.2898</f>
        <v/>
      </c>
      <c r="C12" s="40">
        <f>'22TABLE - cubic meters per day'!C12*6.2898</f>
        <v/>
      </c>
      <c r="D12" s="40">
        <f>'22TABLE - cubic meters per day'!D12*6.2898</f>
        <v/>
      </c>
      <c r="E12" s="40">
        <f>'22TABLE - cubic meters per day'!E12*6.2898</f>
        <v/>
      </c>
      <c r="F12" s="40">
        <f>'22TABLE - cubic meters per day'!F12*6.2898</f>
        <v/>
      </c>
      <c r="G12" s="40">
        <f>'22TABLE - cubic meters per day'!G12*6.2898</f>
        <v/>
      </c>
      <c r="H12" s="40">
        <f>'22TABLE - cubic meters per day'!H12*6.2898</f>
        <v/>
      </c>
      <c r="I12" s="40">
        <f>'22TABLE - cubic meters per day'!I12*6.2898</f>
        <v/>
      </c>
      <c r="J12" s="40">
        <f>'22TABLE - cubic meters per day'!J12*6.2898</f>
        <v/>
      </c>
      <c r="K12" s="40">
        <f>'22TABLE - cubic meters per day'!K12*6.2898</f>
        <v/>
      </c>
      <c r="L12" s="40">
        <f>'22TABLE - cubic meters per day'!L12*6.2898</f>
        <v/>
      </c>
      <c r="M12" s="40">
        <f>'22TABLE - cubic meters per day'!M12*6.2898</f>
        <v/>
      </c>
      <c r="N12" s="40">
        <f>'22TABLE - cubic meters per day'!N12*6.2898</f>
        <v/>
      </c>
    </row>
    <row r="13" ht="11.25" customHeight="1">
      <c r="A13" s="11" t="inlineStr">
        <is>
          <t>NF/NL</t>
        </is>
      </c>
      <c r="B13" s="40">
        <f>'22TABLE - cubic meters per day'!B13*6.2898</f>
        <v/>
      </c>
      <c r="C13" s="40">
        <f>'22TABLE - cubic meters per day'!C13*6.2898</f>
        <v/>
      </c>
      <c r="D13" s="40">
        <f>'22TABLE - cubic meters per day'!D13*6.2898</f>
        <v/>
      </c>
      <c r="E13" s="40">
        <f>'22TABLE - cubic meters per day'!E13*6.2898</f>
        <v/>
      </c>
      <c r="F13" s="40">
        <f>'22TABLE - cubic meters per day'!F13*6.2898</f>
        <v/>
      </c>
      <c r="G13" s="40">
        <f>'22TABLE - cubic meters per day'!G13*6.2898</f>
        <v/>
      </c>
      <c r="H13" s="40">
        <f>'22TABLE - cubic meters per day'!H13*6.2898</f>
        <v/>
      </c>
      <c r="I13" s="40">
        <f>'22TABLE - cubic meters per day'!I13*6.2898</f>
        <v/>
      </c>
      <c r="J13" s="40">
        <f>'22TABLE - cubic meters per day'!J13*6.2898</f>
        <v/>
      </c>
      <c r="K13" s="40">
        <f>'22TABLE - cubic meters per day'!K13*6.2898</f>
        <v/>
      </c>
      <c r="L13" s="40">
        <f>'22TABLE - cubic meters per day'!L13*6.2898</f>
        <v/>
      </c>
      <c r="M13" s="40">
        <f>'22TABLE - cubic meters per day'!M13*6.2898</f>
        <v/>
      </c>
      <c r="N13" s="40">
        <f>'22TABLE - cubic meters per day'!N13*6.2898</f>
        <v/>
      </c>
    </row>
    <row r="14" ht="11.25" customHeight="1">
      <c r="A14" s="11" t="inlineStr">
        <is>
          <t>NB</t>
        </is>
      </c>
      <c r="B14" s="40">
        <f>'22TABLE - cubic meters per day'!B14*6.2898</f>
        <v/>
      </c>
      <c r="C14" s="40">
        <f>'22TABLE - cubic meters per day'!C14*6.2898</f>
        <v/>
      </c>
      <c r="D14" s="40">
        <f>'22TABLE - cubic meters per day'!D14*6.2898</f>
        <v/>
      </c>
      <c r="E14" s="40">
        <f>'22TABLE - cubic meters per day'!E14*6.2898</f>
        <v/>
      </c>
      <c r="F14" s="40">
        <f>'22TABLE - cubic meters per day'!F14*6.2898</f>
        <v/>
      </c>
      <c r="G14" s="40">
        <f>'22TABLE - cubic meters per day'!G14*6.2898</f>
        <v/>
      </c>
      <c r="H14" s="40">
        <f>'22TABLE - cubic meters per day'!H14*6.2898</f>
        <v/>
      </c>
      <c r="I14" s="40">
        <f>'22TABLE - cubic meters per day'!I14*6.2898</f>
        <v/>
      </c>
      <c r="J14" s="40">
        <f>'22TABLE - cubic meters per day'!J14*6.2898</f>
        <v/>
      </c>
      <c r="K14" s="40">
        <f>'22TABLE - cubic meters per day'!K14*6.2898</f>
        <v/>
      </c>
      <c r="L14" s="40">
        <f>'22TABLE - cubic meters per day'!L14*6.2898</f>
        <v/>
      </c>
      <c r="M14" s="40">
        <f>'22TABLE - cubic meters per day'!M14*6.2898</f>
        <v/>
      </c>
      <c r="N14" s="40">
        <f>'22TABLE - cubic meters per day'!N14*6.2898</f>
        <v/>
      </c>
    </row>
    <row r="15" ht="11.25" customHeight="1">
      <c r="A15" s="11" t="inlineStr">
        <is>
          <t>ON</t>
        </is>
      </c>
      <c r="B15" s="40">
        <f>'22TABLE - cubic meters per day'!B15*6.2898</f>
        <v/>
      </c>
      <c r="C15" s="40">
        <f>'22TABLE - cubic meters per day'!C15*6.2898</f>
        <v/>
      </c>
      <c r="D15" s="40">
        <f>'22TABLE - cubic meters per day'!D15*6.2898</f>
        <v/>
      </c>
      <c r="E15" s="40">
        <f>'22TABLE - cubic meters per day'!E15*6.2898</f>
        <v/>
      </c>
      <c r="F15" s="40">
        <f>'22TABLE - cubic meters per day'!F15*6.2898</f>
        <v/>
      </c>
      <c r="G15" s="40">
        <f>'22TABLE - cubic meters per day'!G15*6.2898</f>
        <v/>
      </c>
      <c r="H15" s="40">
        <f>'22TABLE - cubic meters per day'!H15*6.2898</f>
        <v/>
      </c>
      <c r="I15" s="40">
        <f>'22TABLE - cubic meters per day'!I15*6.2898</f>
        <v/>
      </c>
      <c r="J15" s="40">
        <f>'22TABLE - cubic meters per day'!J15*6.2898</f>
        <v/>
      </c>
      <c r="K15" s="40">
        <f>'22TABLE - cubic meters per day'!K15*6.2898</f>
        <v/>
      </c>
      <c r="L15" s="40">
        <f>'22TABLE - cubic meters per day'!L15*6.2898</f>
        <v/>
      </c>
      <c r="M15" s="40">
        <f>'22TABLE - cubic meters per day'!M15*6.2898</f>
        <v/>
      </c>
      <c r="N15" s="40">
        <f>'22TABLE - cubic meters per day'!N15*6.2898</f>
        <v/>
      </c>
    </row>
    <row r="16" ht="11.25" customHeight="1">
      <c r="A16" s="30" t="inlineStr">
        <is>
          <t>SUB TOTAL/SOUS-TOTAL</t>
        </is>
      </c>
      <c r="B16" s="41">
        <f>'22TABLE - cubic meters per day'!B16*6.2898</f>
        <v/>
      </c>
      <c r="C16" s="41">
        <f>'22TABLE - cubic meters per day'!C16*6.2898</f>
        <v/>
      </c>
      <c r="D16" s="41">
        <f>'22TABLE - cubic meters per day'!D16*6.2898</f>
        <v/>
      </c>
      <c r="E16" s="41">
        <f>'22TABLE - cubic meters per day'!E16*6.2898</f>
        <v/>
      </c>
      <c r="F16" s="41">
        <f>'22TABLE - cubic meters per day'!F16*6.2898</f>
        <v/>
      </c>
      <c r="G16" s="41">
        <f>'22TABLE - cubic meters per day'!G16*6.2898</f>
        <v/>
      </c>
      <c r="H16" s="41">
        <f>'22TABLE - cubic meters per day'!H16*6.2898</f>
        <v/>
      </c>
      <c r="I16" s="41">
        <f>'22TABLE - cubic meters per day'!I16*6.2898</f>
        <v/>
      </c>
      <c r="J16" s="41">
        <f>'22TABLE - cubic meters per day'!J16*6.2898</f>
        <v/>
      </c>
      <c r="K16" s="41">
        <f>'22TABLE - cubic meters per day'!K16*6.2898</f>
        <v/>
      </c>
      <c r="L16" s="41">
        <f>'22TABLE - cubic meters per day'!L16*6.2898</f>
        <v/>
      </c>
      <c r="M16" s="41">
        <f>'22TABLE - cubic meters per day'!M16*6.2898</f>
        <v/>
      </c>
      <c r="N16" s="40">
        <f>'22TABLE - cubic meters per day'!N16*6.2898</f>
        <v/>
      </c>
    </row>
    <row r="17" ht="22.5" customHeight="1">
      <c r="A17" s="9" t="inlineStr">
        <is>
          <t>AB UPGRADED BITUMEN/ BITUME VALORISÉ-AB1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</row>
    <row r="18" ht="11.25" customHeight="1">
      <c r="A18" s="14" t="inlineStr">
        <is>
          <t>SUB TOTAL/SOUS-TOTAL</t>
        </is>
      </c>
      <c r="B18" s="40">
        <f>'22TABLE - cubic meters per day'!B18*6.2898</f>
        <v/>
      </c>
      <c r="C18" s="40">
        <f>'22TABLE - cubic meters per day'!C18*6.2898</f>
        <v/>
      </c>
      <c r="D18" s="40">
        <f>'22TABLE - cubic meters per day'!D18*6.2898</f>
        <v/>
      </c>
      <c r="E18" s="40">
        <f>'22TABLE - cubic meters per day'!E18*6.2898</f>
        <v/>
      </c>
      <c r="F18" s="40">
        <f>'22TABLE - cubic meters per day'!F18*6.2898</f>
        <v/>
      </c>
      <c r="G18" s="40">
        <f>'22TABLE - cubic meters per day'!G18*6.2898</f>
        <v/>
      </c>
      <c r="H18" s="40">
        <f>'22TABLE - cubic meters per day'!H18*6.2898</f>
        <v/>
      </c>
      <c r="I18" s="40">
        <f>'22TABLE - cubic meters per day'!I18*6.2898</f>
        <v/>
      </c>
      <c r="J18" s="40">
        <f>'22TABLE - cubic meters per day'!J18*6.2898</f>
        <v/>
      </c>
      <c r="K18" s="40">
        <f>'22TABLE - cubic meters per day'!K18*6.2898</f>
        <v/>
      </c>
      <c r="L18" s="40">
        <f>'22TABLE - cubic meters per day'!L18*6.2898</f>
        <v/>
      </c>
      <c r="M18" s="40">
        <f>'22TABLE - cubic meters per day'!M18*6.2898</f>
        <v/>
      </c>
      <c r="N18" s="40">
        <f>'22TABLE - cubic meters per day'!N18*6.2898</f>
        <v/>
      </c>
      <c r="T18" s="31" t="n"/>
    </row>
    <row r="19" ht="11.25" customHeight="1">
      <c r="A19" s="3" t="inlineStr">
        <is>
          <t>C5+ / CONDENSATE/C5+/CONDENSATS</t>
        </is>
      </c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7" t="n"/>
      <c r="T19" s="31" t="n"/>
      <c r="U19" s="31" t="n"/>
    </row>
    <row r="20" ht="11.25" customHeight="1">
      <c r="A20" s="11" t="inlineStr">
        <is>
          <t>AB</t>
        </is>
      </c>
      <c r="B20" s="40">
        <f>'22TABLE - cubic meters per day'!B20*6.2898</f>
        <v/>
      </c>
      <c r="C20" s="40">
        <f>'22TABLE - cubic meters per day'!C20*6.2898</f>
        <v/>
      </c>
      <c r="D20" s="40">
        <f>'22TABLE - cubic meters per day'!D20*6.2898</f>
        <v/>
      </c>
      <c r="E20" s="40">
        <f>'22TABLE - cubic meters per day'!E20*6.2898</f>
        <v/>
      </c>
      <c r="F20" s="40">
        <f>'22TABLE - cubic meters per day'!F20*6.2898</f>
        <v/>
      </c>
      <c r="G20" s="40">
        <f>'22TABLE - cubic meters per day'!G20*6.2898</f>
        <v/>
      </c>
      <c r="H20" s="40">
        <f>'22TABLE - cubic meters per day'!H20*6.2898</f>
        <v/>
      </c>
      <c r="I20" s="40">
        <f>'22TABLE - cubic meters per day'!I20*6.2898</f>
        <v/>
      </c>
      <c r="J20" s="40">
        <f>'22TABLE - cubic meters per day'!J20*6.2898</f>
        <v/>
      </c>
      <c r="K20" s="40">
        <f>'22TABLE - cubic meters per day'!K20*6.2898</f>
        <v/>
      </c>
      <c r="L20" s="40">
        <f>'22TABLE - cubic meters per day'!L20*6.2898</f>
        <v/>
      </c>
      <c r="M20" s="40">
        <f>'22TABLE - cubic meters per day'!M20*6.2898</f>
        <v/>
      </c>
      <c r="N20" s="40">
        <f>'22TABLE - cubic meters per day'!N20*6.2898</f>
        <v/>
      </c>
    </row>
    <row r="21" ht="11.25" customHeight="1">
      <c r="A21" s="11" t="inlineStr">
        <is>
          <t>BC</t>
        </is>
      </c>
      <c r="B21" s="40">
        <f>'22TABLE - cubic meters per day'!B21*6.2898</f>
        <v/>
      </c>
      <c r="C21" s="40">
        <f>'22TABLE - cubic meters per day'!C21*6.2898</f>
        <v/>
      </c>
      <c r="D21" s="40">
        <f>'22TABLE - cubic meters per day'!D21*6.2898</f>
        <v/>
      </c>
      <c r="E21" s="40">
        <f>'22TABLE - cubic meters per day'!E21*6.2898</f>
        <v/>
      </c>
      <c r="F21" s="40">
        <f>'22TABLE - cubic meters per day'!F21*6.2898</f>
        <v/>
      </c>
      <c r="G21" s="40">
        <f>'22TABLE - cubic meters per day'!G21*6.2898</f>
        <v/>
      </c>
      <c r="H21" s="40">
        <f>'22TABLE - cubic meters per day'!H21*6.2898</f>
        <v/>
      </c>
      <c r="I21" s="40">
        <f>'22TABLE - cubic meters per day'!I21*6.2898</f>
        <v/>
      </c>
      <c r="J21" s="40">
        <f>'22TABLE - cubic meters per day'!J21*6.2898</f>
        <v/>
      </c>
      <c r="K21" s="40">
        <f>'22TABLE - cubic meters per day'!K21*6.2898</f>
        <v/>
      </c>
      <c r="L21" s="40">
        <f>'22TABLE - cubic meters per day'!L21*6.2898</f>
        <v/>
      </c>
      <c r="M21" s="40">
        <f>'22TABLE - cubic meters per day'!M21*6.2898</f>
        <v/>
      </c>
      <c r="N21" s="40">
        <f>'22TABLE - cubic meters per day'!N21*6.2898</f>
        <v/>
      </c>
    </row>
    <row r="22" ht="11.25" customHeight="1">
      <c r="A22" s="11" t="inlineStr">
        <is>
          <t>SK2</t>
        </is>
      </c>
      <c r="B22" s="40">
        <f>'22TABLE - cubic meters per day'!B22*6.2898</f>
        <v/>
      </c>
      <c r="C22" s="40">
        <f>'22TABLE - cubic meters per day'!C22*6.2898</f>
        <v/>
      </c>
      <c r="D22" s="40">
        <f>'22TABLE - cubic meters per day'!D22*6.2898</f>
        <v/>
      </c>
      <c r="E22" s="40">
        <f>'22TABLE - cubic meters per day'!E22*6.2898</f>
        <v/>
      </c>
      <c r="F22" s="40">
        <f>'22TABLE - cubic meters per day'!F22*6.2898</f>
        <v/>
      </c>
      <c r="G22" s="40">
        <f>'22TABLE - cubic meters per day'!G22*6.2898</f>
        <v/>
      </c>
      <c r="H22" s="40">
        <f>'22TABLE - cubic meters per day'!H22*6.2898</f>
        <v/>
      </c>
      <c r="I22" s="40">
        <f>'22TABLE - cubic meters per day'!I22*6.2898</f>
        <v/>
      </c>
      <c r="J22" s="40">
        <f>'22TABLE - cubic meters per day'!J22*6.2898</f>
        <v/>
      </c>
      <c r="K22" s="40">
        <f>'22TABLE - cubic meters per day'!K22*6.2898</f>
        <v/>
      </c>
      <c r="L22" s="40">
        <f>'22TABLE - cubic meters per day'!L22*6.2898</f>
        <v/>
      </c>
      <c r="M22" s="40">
        <f>'22TABLE - cubic meters per day'!M22*6.2898</f>
        <v/>
      </c>
      <c r="N22" s="40">
        <f>'22TABLE - cubic meters per day'!N22*6.2898</f>
        <v/>
      </c>
    </row>
    <row r="23" ht="11.25" customHeight="1">
      <c r="A23" s="14" t="inlineStr">
        <is>
          <t>SUB TOTAL/SOUS-TOTAL</t>
        </is>
      </c>
      <c r="B23" s="40">
        <f>'22TABLE - cubic meters per day'!B23*6.2898</f>
        <v/>
      </c>
      <c r="C23" s="40">
        <f>'22TABLE - cubic meters per day'!C23*6.2898</f>
        <v/>
      </c>
      <c r="D23" s="40">
        <f>'22TABLE - cubic meters per day'!D23*6.2898</f>
        <v/>
      </c>
      <c r="E23" s="40">
        <f>'22TABLE - cubic meters per day'!E23*6.2898</f>
        <v/>
      </c>
      <c r="F23" s="40">
        <f>'22TABLE - cubic meters per day'!F23*6.2898</f>
        <v/>
      </c>
      <c r="G23" s="40">
        <f>'22TABLE - cubic meters per day'!G23*6.2898</f>
        <v/>
      </c>
      <c r="H23" s="40">
        <f>'22TABLE - cubic meters per day'!H23*6.2898</f>
        <v/>
      </c>
      <c r="I23" s="40">
        <f>'22TABLE - cubic meters per day'!I23*6.2898</f>
        <v/>
      </c>
      <c r="J23" s="40">
        <f>'22TABLE - cubic meters per day'!J23*6.2898</f>
        <v/>
      </c>
      <c r="K23" s="40">
        <f>'22TABLE - cubic meters per day'!K23*6.2898</f>
        <v/>
      </c>
      <c r="L23" s="40">
        <f>'22TABLE - cubic meters per day'!L23*6.2898</f>
        <v/>
      </c>
      <c r="M23" s="40">
        <f>'22TABLE - cubic meters per day'!M23*6.2898</f>
        <v/>
      </c>
      <c r="N23" s="40">
        <f>'22TABLE - cubic meters per day'!N23*6.2898</f>
        <v/>
      </c>
    </row>
    <row r="24" ht="11.25" customHeight="1">
      <c r="A24" s="16" t="inlineStr">
        <is>
          <t>TOTAL LIGHT/LÉGER</t>
        </is>
      </c>
      <c r="B24" s="41">
        <f>'22TABLE - cubic meters per day'!B24*6.2898</f>
        <v/>
      </c>
      <c r="C24" s="41">
        <f>'22TABLE - cubic meters per day'!C24*6.2898</f>
        <v/>
      </c>
      <c r="D24" s="41">
        <f>'22TABLE - cubic meters per day'!D24*6.2898</f>
        <v/>
      </c>
      <c r="E24" s="41">
        <f>'22TABLE - cubic meters per day'!E24*6.2898</f>
        <v/>
      </c>
      <c r="F24" s="41">
        <f>'22TABLE - cubic meters per day'!F24*6.2898</f>
        <v/>
      </c>
      <c r="G24" s="41">
        <f>'22TABLE - cubic meters per day'!G24*6.2898</f>
        <v/>
      </c>
      <c r="H24" s="41">
        <f>'22TABLE - cubic meters per day'!H24*6.2898</f>
        <v/>
      </c>
      <c r="I24" s="41">
        <f>'22TABLE - cubic meters per day'!I24*6.2898</f>
        <v/>
      </c>
      <c r="J24" s="41">
        <f>'22TABLE - cubic meters per day'!J24*6.2898</f>
        <v/>
      </c>
      <c r="K24" s="41">
        <f>'22TABLE - cubic meters per day'!K24*6.2898</f>
        <v/>
      </c>
      <c r="L24" s="41">
        <f>'22TABLE - cubic meters per day'!L24*6.2898</f>
        <v/>
      </c>
      <c r="M24" s="41">
        <f>'22TABLE - cubic meters per day'!M24*6.2898</f>
        <v/>
      </c>
      <c r="N24" s="40">
        <f>'22TABLE - cubic meters per day'!N24*6.2898</f>
        <v/>
      </c>
    </row>
    <row r="25" ht="11.25" customHeight="1">
      <c r="A25" s="3" t="inlineStr">
        <is>
          <t>HEAVY CRUDE OIL/ PÉTROLE BRUT LOURD</t>
        </is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</row>
    <row r="26" ht="11.25" customHeight="1">
      <c r="A26" s="11" t="inlineStr">
        <is>
          <t>AB CONV./CLASS.-AB</t>
        </is>
      </c>
      <c r="B26" s="40">
        <f>'22TABLE - cubic meters per day'!B26*6.2898</f>
        <v/>
      </c>
      <c r="C26" s="40">
        <f>'22TABLE - cubic meters per day'!C26*6.2898</f>
        <v/>
      </c>
      <c r="D26" s="40">
        <f>'22TABLE - cubic meters per day'!D26*6.2898</f>
        <v/>
      </c>
      <c r="E26" s="40">
        <f>'22TABLE - cubic meters per day'!E26*6.2898</f>
        <v/>
      </c>
      <c r="F26" s="40">
        <f>'22TABLE - cubic meters per day'!F26*6.2898</f>
        <v/>
      </c>
      <c r="G26" s="40">
        <f>'22TABLE - cubic meters per day'!G26*6.2898</f>
        <v/>
      </c>
      <c r="H26" s="40">
        <f>'22TABLE - cubic meters per day'!H26*6.2898</f>
        <v/>
      </c>
      <c r="I26" s="40">
        <f>'22TABLE - cubic meters per day'!I26*6.2898</f>
        <v/>
      </c>
      <c r="J26" s="40">
        <f>'22TABLE - cubic meters per day'!J26*6.2898</f>
        <v/>
      </c>
      <c r="K26" s="40">
        <f>'22TABLE - cubic meters per day'!K26*6.2898</f>
        <v/>
      </c>
      <c r="L26" s="40">
        <f>'22TABLE - cubic meters per day'!L26*6.2898</f>
        <v/>
      </c>
      <c r="M26" s="40">
        <f>'22TABLE - cubic meters per day'!M26*6.2898</f>
        <v/>
      </c>
      <c r="N26" s="40">
        <f>'22TABLE - cubic meters per day'!N26*6.2898</f>
        <v/>
      </c>
    </row>
    <row r="27" ht="18" customHeight="1">
      <c r="A27" s="17" t="inlineStr">
        <is>
          <t>AB NON-UPGRADED BITUMEN / BITUME NON VALORISÉ-AB2</t>
        </is>
      </c>
      <c r="B27" s="40">
        <f>'22TABLE - cubic meters per day'!B27*6.2898</f>
        <v/>
      </c>
      <c r="C27" s="40">
        <f>'22TABLE - cubic meters per day'!C27*6.2898</f>
        <v/>
      </c>
      <c r="D27" s="40">
        <f>'22TABLE - cubic meters per day'!D27*6.2898</f>
        <v/>
      </c>
      <c r="E27" s="40">
        <f>'22TABLE - cubic meters per day'!E27*6.2898</f>
        <v/>
      </c>
      <c r="F27" s="40">
        <f>'22TABLE - cubic meters per day'!F27*6.2898</f>
        <v/>
      </c>
      <c r="G27" s="40">
        <f>'22TABLE - cubic meters per day'!G27*6.2898</f>
        <v/>
      </c>
      <c r="H27" s="40">
        <f>'22TABLE - cubic meters per day'!H27*6.2898</f>
        <v/>
      </c>
      <c r="I27" s="40">
        <f>'22TABLE - cubic meters per day'!I27*6.2898</f>
        <v/>
      </c>
      <c r="J27" s="40">
        <f>'22TABLE - cubic meters per day'!J27*6.2898</f>
        <v/>
      </c>
      <c r="K27" s="40">
        <f>'22TABLE - cubic meters per day'!K27*6.2898</f>
        <v/>
      </c>
      <c r="L27" s="40">
        <f>'22TABLE - cubic meters per day'!L27*6.2898</f>
        <v/>
      </c>
      <c r="M27" s="40">
        <f>'22TABLE - cubic meters per day'!M27*6.2898</f>
        <v/>
      </c>
      <c r="N27" s="40">
        <f>'22TABLE - cubic meters per day'!N27*6.2898</f>
        <v/>
      </c>
    </row>
    <row r="28" ht="11.25" customHeight="1">
      <c r="A28" s="14" t="inlineStr">
        <is>
          <t>AB SUB TOTAL/SOUS-TOTAL -AB</t>
        </is>
      </c>
      <c r="B28" s="40">
        <f>'22TABLE - cubic meters per day'!B28*6.2898</f>
        <v/>
      </c>
      <c r="C28" s="40">
        <f>'22TABLE - cubic meters per day'!C28*6.2898</f>
        <v/>
      </c>
      <c r="D28" s="40">
        <f>'22TABLE - cubic meters per day'!D28*6.2898</f>
        <v/>
      </c>
      <c r="E28" s="40">
        <f>'22TABLE - cubic meters per day'!E28*6.2898</f>
        <v/>
      </c>
      <c r="F28" s="40">
        <f>'22TABLE - cubic meters per day'!F28*6.2898</f>
        <v/>
      </c>
      <c r="G28" s="40">
        <f>'22TABLE - cubic meters per day'!G28*6.2898</f>
        <v/>
      </c>
      <c r="H28" s="40">
        <f>'22TABLE - cubic meters per day'!H28*6.2898</f>
        <v/>
      </c>
      <c r="I28" s="40">
        <f>'22TABLE - cubic meters per day'!I28*6.2898</f>
        <v/>
      </c>
      <c r="J28" s="40">
        <f>'22TABLE - cubic meters per day'!J28*6.2898</f>
        <v/>
      </c>
      <c r="K28" s="40">
        <f>'22TABLE - cubic meters per day'!K28*6.2898</f>
        <v/>
      </c>
      <c r="L28" s="40">
        <f>'22TABLE - cubic meters per day'!L28*6.2898</f>
        <v/>
      </c>
      <c r="M28" s="40">
        <f>'22TABLE - cubic meters per day'!M28*6.2898</f>
        <v/>
      </c>
      <c r="N28" s="40">
        <f>'22TABLE - cubic meters per day'!N28*6.2898</f>
        <v/>
      </c>
    </row>
    <row r="29" ht="11.25" customHeight="1">
      <c r="A29" s="11" t="inlineStr">
        <is>
          <t>SK CONV./CLASS.-SK</t>
        </is>
      </c>
      <c r="B29" s="40">
        <f>'22TABLE - cubic meters per day'!B29*6.2898</f>
        <v/>
      </c>
      <c r="C29" s="40">
        <f>'22TABLE - cubic meters per day'!C29*6.2898</f>
        <v/>
      </c>
      <c r="D29" s="40">
        <f>'22TABLE - cubic meters per day'!D29*6.2898</f>
        <v/>
      </c>
      <c r="E29" s="40">
        <f>'22TABLE - cubic meters per day'!E29*6.2898</f>
        <v/>
      </c>
      <c r="F29" s="40">
        <f>'22TABLE - cubic meters per day'!F29*6.2898</f>
        <v/>
      </c>
      <c r="G29" s="40">
        <f>'22TABLE - cubic meters per day'!G29*6.2898</f>
        <v/>
      </c>
      <c r="H29" s="40">
        <f>'22TABLE - cubic meters per day'!H29*6.2898</f>
        <v/>
      </c>
      <c r="I29" s="40">
        <f>'22TABLE - cubic meters per day'!I29*6.2898</f>
        <v/>
      </c>
      <c r="J29" s="40">
        <f>'22TABLE - cubic meters per day'!J29*6.2898</f>
        <v/>
      </c>
      <c r="K29" s="40">
        <f>'22TABLE - cubic meters per day'!K29*6.2898</f>
        <v/>
      </c>
      <c r="L29" s="40">
        <f>'22TABLE - cubic meters per day'!L29*6.2898</f>
        <v/>
      </c>
      <c r="M29" s="40">
        <f>'22TABLE - cubic meters per day'!M29*6.2898</f>
        <v/>
      </c>
      <c r="N29" s="40">
        <f>'22TABLE - cubic meters per day'!N29*6.2898</f>
        <v/>
      </c>
    </row>
    <row r="30" ht="11.25" customHeight="1">
      <c r="A30" s="11" t="inlineStr">
        <is>
          <t>NL CONV</t>
        </is>
      </c>
      <c r="B30" s="40">
        <f>'22TABLE - cubic meters per day'!B30*6.2898</f>
        <v/>
      </c>
      <c r="C30" s="40">
        <f>'22TABLE - cubic meters per day'!C30*6.2898</f>
        <v/>
      </c>
      <c r="D30" s="40">
        <f>'22TABLE - cubic meters per day'!D30*6.2898</f>
        <v/>
      </c>
      <c r="E30" s="40">
        <f>'22TABLE - cubic meters per day'!E30*6.2898</f>
        <v/>
      </c>
      <c r="F30" s="40">
        <f>'22TABLE - cubic meters per day'!F30*6.2898</f>
        <v/>
      </c>
      <c r="G30" s="40">
        <f>'22TABLE - cubic meters per day'!G30*6.2898</f>
        <v/>
      </c>
      <c r="H30" s="40">
        <f>'22TABLE - cubic meters per day'!H30*6.2898</f>
        <v/>
      </c>
      <c r="I30" s="40">
        <f>'22TABLE - cubic meters per day'!I30*6.2898</f>
        <v/>
      </c>
      <c r="J30" s="40">
        <f>'22TABLE - cubic meters per day'!J30*6.2898</f>
        <v/>
      </c>
      <c r="K30" s="40">
        <f>'22TABLE - cubic meters per day'!K30*6.2898</f>
        <v/>
      </c>
      <c r="L30" s="40">
        <f>'22TABLE - cubic meters per day'!L30*6.2898</f>
        <v/>
      </c>
      <c r="M30" s="40">
        <f>'22TABLE - cubic meters per day'!M30*6.2898</f>
        <v/>
      </c>
      <c r="N30" s="40">
        <f>'22TABLE - cubic meters per day'!N30*6.2898</f>
        <v/>
      </c>
    </row>
    <row r="31" ht="12" customHeight="1" thickBot="1">
      <c r="A31" s="27" t="inlineStr">
        <is>
          <t>TOTAL HEAVY/LOURD3</t>
        </is>
      </c>
      <c r="B31" s="39">
        <f>'22TABLE - cubic meters per day'!B31*6.2898</f>
        <v/>
      </c>
      <c r="C31" s="39">
        <f>'22TABLE - cubic meters per day'!C31*6.2898</f>
        <v/>
      </c>
      <c r="D31" s="39">
        <f>'22TABLE - cubic meters per day'!D31*6.2898</f>
        <v/>
      </c>
      <c r="E31" s="39">
        <f>'22TABLE - cubic meters per day'!E31*6.2898</f>
        <v/>
      </c>
      <c r="F31" s="39">
        <f>'22TABLE - cubic meters per day'!F31*6.2898</f>
        <v/>
      </c>
      <c r="G31" s="39">
        <f>'22TABLE - cubic meters per day'!G31*6.2898</f>
        <v/>
      </c>
      <c r="H31" s="39">
        <f>'22TABLE - cubic meters per day'!H31*6.2898</f>
        <v/>
      </c>
      <c r="I31" s="39">
        <f>'22TABLE - cubic meters per day'!I31*6.2898</f>
        <v/>
      </c>
      <c r="J31" s="39">
        <f>'22TABLE - cubic meters per day'!J31*6.2898</f>
        <v/>
      </c>
      <c r="K31" s="39">
        <f>'22TABLE - cubic meters per day'!K31*6.2898</f>
        <v/>
      </c>
      <c r="L31" s="39">
        <f>'22TABLE - cubic meters per day'!L31*6.2898</f>
        <v/>
      </c>
      <c r="M31" s="39">
        <f>'22TABLE - cubic meters per day'!M31*6.2898</f>
        <v/>
      </c>
      <c r="N31" s="39">
        <f>'22TABLE - cubic meters per day'!N31*6.2898</f>
        <v/>
      </c>
    </row>
    <row r="32" ht="12" customHeight="1" thickBot="1">
      <c r="A32" s="27" t="inlineStr">
        <is>
          <t>TOTAL PRODUCTION</t>
        </is>
      </c>
      <c r="B32" s="39">
        <f>'22TABLE - cubic meters per day'!B32*6.2898</f>
        <v/>
      </c>
      <c r="C32" s="39">
        <f>'22TABLE - cubic meters per day'!C32*6.2898</f>
        <v/>
      </c>
      <c r="D32" s="39">
        <f>'22TABLE - cubic meters per day'!D32*6.2898</f>
        <v/>
      </c>
      <c r="E32" s="39">
        <f>'22TABLE - cubic meters per day'!E32*6.2898</f>
        <v/>
      </c>
      <c r="F32" s="39">
        <f>'22TABLE - cubic meters per day'!F32*6.2898</f>
        <v/>
      </c>
      <c r="G32" s="39">
        <f>'22TABLE - cubic meters per day'!G32*6.2898</f>
        <v/>
      </c>
      <c r="H32" s="39">
        <f>'22TABLE - cubic meters per day'!H32*6.2898</f>
        <v/>
      </c>
      <c r="I32" s="39">
        <f>'22TABLE - cubic meters per day'!I32*6.2898</f>
        <v/>
      </c>
      <c r="J32" s="39">
        <f>'22TABLE - cubic meters per day'!J32*6.2898</f>
        <v/>
      </c>
      <c r="K32" s="39">
        <f>'22TABLE - cubic meters per day'!K32*6.2898</f>
        <v/>
      </c>
      <c r="L32" s="39">
        <f>'22TABLE - cubic meters per day'!L32*6.2898</f>
        <v/>
      </c>
      <c r="M32" s="39">
        <f>'22TABLE - cubic meters per day'!M32*6.2898</f>
        <v/>
      </c>
      <c r="N32" s="39">
        <f>'22TABLE - cubic meters per day'!N32*6.2898</f>
        <v/>
      </c>
    </row>
    <row r="33" ht="11.25" customHeight="1">
      <c r="A33" s="8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</row>
    <row r="34" ht="11.25" customHeight="1">
      <c r="A34" s="8" t="n"/>
      <c r="B34" s="36" t="n"/>
      <c r="C34" s="36" t="n"/>
      <c r="D34" s="36" t="n"/>
      <c r="E34" s="36" t="n"/>
      <c r="F34" s="36" t="n"/>
      <c r="G34" s="36" t="n"/>
      <c r="H34" s="35" t="n"/>
      <c r="I34" s="36" t="n"/>
      <c r="J34" s="36" t="n"/>
      <c r="K34" s="36" t="n"/>
      <c r="L34" s="36" t="n"/>
      <c r="M34" s="36" t="n"/>
      <c r="N34" s="22" t="n"/>
    </row>
    <row r="35" ht="11.25" customHeight="1">
      <c r="A35" s="8" t="n"/>
      <c r="B35" s="36" t="n"/>
      <c r="C35" s="36" t="n"/>
      <c r="D35" s="36" t="n"/>
      <c r="E35" s="1" t="n"/>
      <c r="F35" s="36" t="n"/>
      <c r="G35" s="36" t="n"/>
      <c r="H35" s="35" t="inlineStr">
        <is>
          <t>ESTIMATED PRODUCTION BY REGION</t>
        </is>
      </c>
      <c r="I35" s="1" t="n"/>
      <c r="J35" s="36" t="n"/>
      <c r="K35" s="36" t="n"/>
      <c r="L35" s="36" t="n"/>
      <c r="M35" s="36" t="n"/>
      <c r="N35" s="22" t="n"/>
    </row>
    <row r="36" ht="33.75" customHeight="1">
      <c r="A36" s="18" t="inlineStr">
        <is>
          <t xml:space="preserve">WESTERN CANADA/OUEST CANADIEN
</t>
        </is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20" t="n"/>
    </row>
    <row r="37" ht="11.25" customHeight="1">
      <c r="A37" s="19" t="inlineStr">
        <is>
          <t>CONV. LIGHT/LÉGER CLASS.</t>
        </is>
      </c>
      <c r="B37" s="40">
        <f>'22TABLE - cubic meters per day'!B37*6.2898</f>
        <v/>
      </c>
      <c r="C37" s="40">
        <f>'22TABLE - cubic meters per day'!C37*6.2898</f>
        <v/>
      </c>
      <c r="D37" s="40">
        <f>'22TABLE - cubic meters per day'!D37*6.2898</f>
        <v/>
      </c>
      <c r="E37" s="40">
        <f>'22TABLE - cubic meters per day'!E37*6.2898</f>
        <v/>
      </c>
      <c r="F37" s="40">
        <f>'22TABLE - cubic meters per day'!F37*6.2898</f>
        <v/>
      </c>
      <c r="G37" s="40">
        <f>'22TABLE - cubic meters per day'!G37*6.2898</f>
        <v/>
      </c>
      <c r="H37" s="40">
        <f>'22TABLE - cubic meters per day'!H37*6.2898</f>
        <v/>
      </c>
      <c r="I37" s="40">
        <f>'22TABLE - cubic meters per day'!I37*6.2898</f>
        <v/>
      </c>
      <c r="J37" s="40">
        <f>'22TABLE - cubic meters per day'!J37*6.2898</f>
        <v/>
      </c>
      <c r="K37" s="40">
        <f>'22TABLE - cubic meters per day'!K37*6.2898</f>
        <v/>
      </c>
      <c r="L37" s="40">
        <f>'22TABLE - cubic meters per day'!L37*6.2898</f>
        <v/>
      </c>
      <c r="M37" s="40">
        <f>'22TABLE - cubic meters per day'!M37*6.2898</f>
        <v/>
      </c>
      <c r="N37" s="40">
        <f>AVERAGE(B37:M37)</f>
        <v/>
      </c>
    </row>
    <row r="38" ht="17.25" customHeight="1">
      <c r="A38" s="17" t="inlineStr">
        <is>
          <t>AB UPGRADED BITUMEN/ BITUME VALORISÉ-AB 1</t>
        </is>
      </c>
      <c r="B38" s="40">
        <f>'22TABLE - cubic meters per day'!B38*6.2898</f>
        <v/>
      </c>
      <c r="C38" s="40">
        <f>'22TABLE - cubic meters per day'!C38*6.2898</f>
        <v/>
      </c>
      <c r="D38" s="40">
        <f>'22TABLE - cubic meters per day'!D38*6.2898</f>
        <v/>
      </c>
      <c r="E38" s="40">
        <f>'22TABLE - cubic meters per day'!E38*6.2898</f>
        <v/>
      </c>
      <c r="F38" s="40">
        <f>'22TABLE - cubic meters per day'!F38*6.2898</f>
        <v/>
      </c>
      <c r="G38" s="40">
        <f>'22TABLE - cubic meters per day'!G38*6.2898</f>
        <v/>
      </c>
      <c r="H38" s="40">
        <f>'22TABLE - cubic meters per day'!H38*6.2898</f>
        <v/>
      </c>
      <c r="I38" s="40">
        <f>'22TABLE - cubic meters per day'!I38*6.2898</f>
        <v/>
      </c>
      <c r="J38" s="40">
        <f>'22TABLE - cubic meters per day'!J38*6.2898</f>
        <v/>
      </c>
      <c r="K38" s="40">
        <f>'22TABLE - cubic meters per day'!K38*6.2898</f>
        <v/>
      </c>
      <c r="L38" s="40">
        <f>'22TABLE - cubic meters per day'!L38*6.2898</f>
        <v/>
      </c>
      <c r="M38" s="40">
        <f>'22TABLE - cubic meters per day'!M38*6.2898</f>
        <v/>
      </c>
      <c r="N38" s="40">
        <f>AVERAGE(B38:M38)</f>
        <v/>
      </c>
    </row>
    <row r="39" ht="11.25" customHeight="1">
      <c r="A39" s="14" t="inlineStr">
        <is>
          <t>PENTANES PLUS</t>
        </is>
      </c>
      <c r="B39" s="40">
        <f>'22TABLE - cubic meters per day'!B39*6.2898</f>
        <v/>
      </c>
      <c r="C39" s="40">
        <f>'22TABLE - cubic meters per day'!C39*6.2898</f>
        <v/>
      </c>
      <c r="D39" s="40">
        <f>'22TABLE - cubic meters per day'!D39*6.2898</f>
        <v/>
      </c>
      <c r="E39" s="40">
        <f>'22TABLE - cubic meters per day'!E39*6.2898</f>
        <v/>
      </c>
      <c r="F39" s="40">
        <f>'22TABLE - cubic meters per day'!F39*6.2898</f>
        <v/>
      </c>
      <c r="G39" s="40">
        <f>'22TABLE - cubic meters per day'!G39*6.2898</f>
        <v/>
      </c>
      <c r="H39" s="40">
        <f>'22TABLE - cubic meters per day'!H39*6.2898</f>
        <v/>
      </c>
      <c r="I39" s="40">
        <f>'22TABLE - cubic meters per day'!I39*6.2898</f>
        <v/>
      </c>
      <c r="J39" s="40">
        <f>'22TABLE - cubic meters per day'!J39*6.2898</f>
        <v/>
      </c>
      <c r="K39" s="40">
        <f>'22TABLE - cubic meters per day'!K39*6.2898</f>
        <v/>
      </c>
      <c r="L39" s="40">
        <f>'22TABLE - cubic meters per day'!L39*6.2898</f>
        <v/>
      </c>
      <c r="M39" s="40">
        <f>'22TABLE - cubic meters per day'!M39*6.2898</f>
        <v/>
      </c>
      <c r="N39" s="40">
        <f>AVERAGE(B39:M39)</f>
        <v/>
      </c>
    </row>
    <row r="40" ht="11.25" customHeight="1">
      <c r="A40" s="28" t="inlineStr">
        <is>
          <t>TOTAL LIGHT/LÉGER</t>
        </is>
      </c>
      <c r="B40" s="41">
        <f>'22TABLE - cubic meters per day'!B40*6.2898</f>
        <v/>
      </c>
      <c r="C40" s="41">
        <f>'22TABLE - cubic meters per day'!C40*6.2898</f>
        <v/>
      </c>
      <c r="D40" s="41">
        <f>'22TABLE - cubic meters per day'!D40*6.2898</f>
        <v/>
      </c>
      <c r="E40" s="41">
        <f>'22TABLE - cubic meters per day'!E40*6.2898</f>
        <v/>
      </c>
      <c r="F40" s="41">
        <f>'22TABLE - cubic meters per day'!F40*6.2898</f>
        <v/>
      </c>
      <c r="G40" s="41">
        <f>'22TABLE - cubic meters per day'!G40*6.2898</f>
        <v/>
      </c>
      <c r="H40" s="41">
        <f>'22TABLE - cubic meters per day'!H40*6.2898</f>
        <v/>
      </c>
      <c r="I40" s="41">
        <f>'22TABLE - cubic meters per day'!I40*6.2898</f>
        <v/>
      </c>
      <c r="J40" s="41">
        <f>'22TABLE - cubic meters per day'!J40*6.2898</f>
        <v/>
      </c>
      <c r="K40" s="41">
        <f>'22TABLE - cubic meters per day'!K40*6.2898</f>
        <v/>
      </c>
      <c r="L40" s="41">
        <f>'22TABLE - cubic meters per day'!L40*6.2898</f>
        <v/>
      </c>
      <c r="M40" s="41">
        <f>'22TABLE - cubic meters per day'!M40*6.2898</f>
        <v/>
      </c>
      <c r="N40" s="41">
        <f>AVERAGE(B40:M40)</f>
        <v/>
      </c>
    </row>
    <row r="41" ht="11.25" customHeight="1">
      <c r="A41" s="19" t="inlineStr">
        <is>
          <t xml:space="preserve">CONV. HEAVY/LOURD CLASS. </t>
        </is>
      </c>
      <c r="B41" s="40">
        <f>'22TABLE - cubic meters per day'!B41*6.2898</f>
        <v/>
      </c>
      <c r="C41" s="40">
        <f>'22TABLE - cubic meters per day'!C41*6.2898</f>
        <v/>
      </c>
      <c r="D41" s="40">
        <f>'22TABLE - cubic meters per day'!D41*6.2898</f>
        <v/>
      </c>
      <c r="E41" s="40">
        <f>'22TABLE - cubic meters per day'!E41*6.2898</f>
        <v/>
      </c>
      <c r="F41" s="40">
        <f>'22TABLE - cubic meters per day'!F41*6.2898</f>
        <v/>
      </c>
      <c r="G41" s="40">
        <f>'22TABLE - cubic meters per day'!G41*6.2898</f>
        <v/>
      </c>
      <c r="H41" s="40">
        <f>'22TABLE - cubic meters per day'!H41*6.2898</f>
        <v/>
      </c>
      <c r="I41" s="40">
        <f>'22TABLE - cubic meters per day'!I41*6.2898</f>
        <v/>
      </c>
      <c r="J41" s="40">
        <f>'22TABLE - cubic meters per day'!J41*6.2898</f>
        <v/>
      </c>
      <c r="K41" s="40">
        <f>'22TABLE - cubic meters per day'!K41*6.2898</f>
        <v/>
      </c>
      <c r="L41" s="40">
        <f>'22TABLE - cubic meters per day'!L41*6.2898</f>
        <v/>
      </c>
      <c r="M41" s="40">
        <f>'22TABLE - cubic meters per day'!M41*6.2898</f>
        <v/>
      </c>
      <c r="N41" s="40">
        <f>AVERAGE(B41:M41)</f>
        <v/>
      </c>
    </row>
    <row r="42" ht="18" customHeight="1">
      <c r="A42" s="17" t="inlineStr">
        <is>
          <t>AB NON-UPGRADED BITUMEN / BITUME NON VALORISÉ-AB2</t>
        </is>
      </c>
      <c r="B42" s="40">
        <f>'22TABLE - cubic meters per day'!B42*6.2898</f>
        <v/>
      </c>
      <c r="C42" s="40">
        <f>'22TABLE - cubic meters per day'!C42*6.2898</f>
        <v/>
      </c>
      <c r="D42" s="40">
        <f>'22TABLE - cubic meters per day'!D42*6.2898</f>
        <v/>
      </c>
      <c r="E42" s="40">
        <f>'22TABLE - cubic meters per day'!E42*6.2898</f>
        <v/>
      </c>
      <c r="F42" s="40">
        <f>'22TABLE - cubic meters per day'!F42*6.2898</f>
        <v/>
      </c>
      <c r="G42" s="40">
        <f>'22TABLE - cubic meters per day'!G42*6.2898</f>
        <v/>
      </c>
      <c r="H42" s="40">
        <f>'22TABLE - cubic meters per day'!H42*6.2898</f>
        <v/>
      </c>
      <c r="I42" s="40">
        <f>'22TABLE - cubic meters per day'!I42*6.2898</f>
        <v/>
      </c>
      <c r="J42" s="40">
        <f>'22TABLE - cubic meters per day'!J42*6.2898</f>
        <v/>
      </c>
      <c r="K42" s="40">
        <f>'22TABLE - cubic meters per day'!K42*6.2898</f>
        <v/>
      </c>
      <c r="L42" s="40">
        <f>'22TABLE - cubic meters per day'!L42*6.2898</f>
        <v/>
      </c>
      <c r="M42" s="40">
        <f>'22TABLE - cubic meters per day'!M42*6.2898</f>
        <v/>
      </c>
      <c r="N42" s="40">
        <f>AVERAGE(B42:M42)</f>
        <v/>
      </c>
    </row>
    <row r="43" ht="11.25" customHeight="1">
      <c r="A43" s="28" t="inlineStr">
        <is>
          <t>TOTAL HEAVY/LOURD</t>
        </is>
      </c>
      <c r="B43" s="41">
        <f>'22TABLE - cubic meters per day'!B43*6.2898</f>
        <v/>
      </c>
      <c r="C43" s="41">
        <f>'22TABLE - cubic meters per day'!C43*6.2898</f>
        <v/>
      </c>
      <c r="D43" s="41">
        <f>'22TABLE - cubic meters per day'!D43*6.2898</f>
        <v/>
      </c>
      <c r="E43" s="41">
        <f>'22TABLE - cubic meters per day'!E43*6.2898</f>
        <v/>
      </c>
      <c r="F43" s="41">
        <f>'22TABLE - cubic meters per day'!F43*6.2898</f>
        <v/>
      </c>
      <c r="G43" s="41">
        <f>'22TABLE - cubic meters per day'!G43*6.2898</f>
        <v/>
      </c>
      <c r="H43" s="41">
        <f>'22TABLE - cubic meters per day'!H43*6.2898</f>
        <v/>
      </c>
      <c r="I43" s="41">
        <f>'22TABLE - cubic meters per day'!I43*6.2898</f>
        <v/>
      </c>
      <c r="J43" s="41">
        <f>'22TABLE - cubic meters per day'!J43*6.2898</f>
        <v/>
      </c>
      <c r="K43" s="41">
        <f>'22TABLE - cubic meters per day'!K43*6.2898</f>
        <v/>
      </c>
      <c r="L43" s="41">
        <f>'22TABLE - cubic meters per day'!L43*6.2898</f>
        <v/>
      </c>
      <c r="M43" s="41">
        <f>'22TABLE - cubic meters per day'!M43*6.2898</f>
        <v/>
      </c>
      <c r="N43" s="41">
        <f>AVERAGE(B43:M43)</f>
        <v/>
      </c>
    </row>
    <row r="44" ht="22.5" customHeight="1">
      <c r="A44" s="16" t="inlineStr">
        <is>
          <t>TOTAL WESTERN CANADA/ OUEST CANADIEN</t>
        </is>
      </c>
      <c r="B44" s="38">
        <f>'22TABLE - cubic meters per day'!B44*6.2898</f>
        <v/>
      </c>
      <c r="C44" s="38">
        <f>'22TABLE - cubic meters per day'!C44*6.2898</f>
        <v/>
      </c>
      <c r="D44" s="38">
        <f>'22TABLE - cubic meters per day'!D44*6.2898</f>
        <v/>
      </c>
      <c r="E44" s="38">
        <f>'22TABLE - cubic meters per day'!E44*6.2898</f>
        <v/>
      </c>
      <c r="F44" s="38">
        <f>'22TABLE - cubic meters per day'!F44*6.2898</f>
        <v/>
      </c>
      <c r="G44" s="38">
        <f>'22TABLE - cubic meters per day'!G44*6.2898</f>
        <v/>
      </c>
      <c r="H44" s="38">
        <f>'22TABLE - cubic meters per day'!H44*6.2898</f>
        <v/>
      </c>
      <c r="I44" s="38">
        <f>'22TABLE - cubic meters per day'!I44*6.2898</f>
        <v/>
      </c>
      <c r="J44" s="38">
        <f>'22TABLE - cubic meters per day'!J44*6.2898</f>
        <v/>
      </c>
      <c r="K44" s="38">
        <f>'22TABLE - cubic meters per day'!K44*6.2898</f>
        <v/>
      </c>
      <c r="L44" s="38">
        <f>'22TABLE - cubic meters per day'!L44*6.2898</f>
        <v/>
      </c>
      <c r="M44" s="38">
        <f>'22TABLE - cubic meters per day'!M44*6.2898</f>
        <v/>
      </c>
      <c r="N44" s="38">
        <f>AVERAGE(B44:M44)</f>
        <v/>
      </c>
    </row>
    <row r="45" ht="23.25" customHeight="1" thickBot="1">
      <c r="A45" s="26" t="inlineStr">
        <is>
          <t>TOTAL EASTERN CANADA/
EST CANADIEN</t>
        </is>
      </c>
      <c r="B45" s="49">
        <f>'22TABLE - cubic meters per day'!B45*6.2898</f>
        <v/>
      </c>
      <c r="C45" s="49">
        <f>'22TABLE - cubic meters per day'!C45*6.2898</f>
        <v/>
      </c>
      <c r="D45" s="49">
        <f>'22TABLE - cubic meters per day'!D45*6.2898</f>
        <v/>
      </c>
      <c r="E45" s="49">
        <f>'22TABLE - cubic meters per day'!E45*6.2898</f>
        <v/>
      </c>
      <c r="F45" s="49">
        <f>'22TABLE - cubic meters per day'!F45*6.2898</f>
        <v/>
      </c>
      <c r="G45" s="49">
        <f>'22TABLE - cubic meters per day'!G45*6.2898</f>
        <v/>
      </c>
      <c r="H45" s="49">
        <f>'22TABLE - cubic meters per day'!H45*6.2898</f>
        <v/>
      </c>
      <c r="I45" s="49">
        <f>'22TABLE - cubic meters per day'!I45*6.2898</f>
        <v/>
      </c>
      <c r="J45" s="49">
        <f>'22TABLE - cubic meters per day'!J45*6.2898</f>
        <v/>
      </c>
      <c r="K45" s="49">
        <f>'22TABLE - cubic meters per day'!K45*6.2898</f>
        <v/>
      </c>
      <c r="L45" s="49">
        <f>'22TABLE - cubic meters per day'!L45*6.2898</f>
        <v/>
      </c>
      <c r="M45" s="49">
        <f>'22TABLE - cubic meters per day'!M45*6.2898</f>
        <v/>
      </c>
      <c r="N45" s="49">
        <f>AVERAGE(B45:M45)</f>
        <v/>
      </c>
    </row>
    <row r="46" ht="12" customHeight="1" thickBot="1">
      <c r="A46" s="25" t="inlineStr">
        <is>
          <t>TOTAL CANADA</t>
        </is>
      </c>
      <c r="B46" s="48">
        <f>SUM(B45,B44)</f>
        <v/>
      </c>
      <c r="C46" s="48">
        <f>SUM(C45,C44)</f>
        <v/>
      </c>
      <c r="D46" s="48">
        <f>SUM(D45,D44)</f>
        <v/>
      </c>
      <c r="E46" s="48">
        <f>SUM(E45,E44)</f>
        <v/>
      </c>
      <c r="F46" s="48">
        <f>SUM(F45,F44)</f>
        <v/>
      </c>
      <c r="G46" s="48">
        <f>SUM(G45,G44)</f>
        <v/>
      </c>
      <c r="H46" s="48">
        <f>SUM(H45,H44)</f>
        <v/>
      </c>
      <c r="I46" s="48">
        <f>SUM(I45,I44)</f>
        <v/>
      </c>
      <c r="J46" s="48">
        <f>SUM(J45,J44)</f>
        <v/>
      </c>
      <c r="K46" s="48">
        <f>SUM(K45,K44)</f>
        <v/>
      </c>
      <c r="L46" s="48">
        <f>SUM(L45,L44)</f>
        <v/>
      </c>
      <c r="M46" s="48">
        <f>SUM(M45,M44)</f>
        <v/>
      </c>
      <c r="N46" s="49">
        <f>AVERAGE(B46:M46)</f>
        <v/>
      </c>
    </row>
    <row r="48" ht="11.25" customHeight="1">
      <c r="A48" s="3" t="inlineStr">
        <is>
          <t>NOTES:</t>
        </is>
      </c>
    </row>
    <row r="49" ht="11.25" customHeight="1">
      <c r="A49" s="3" t="inlineStr">
        <is>
          <t>Figures in black print are actual production data from reporting agencies.</t>
        </is>
      </c>
    </row>
    <row r="50" ht="11.25" customHeight="1">
      <c r="A50" s="3" t="inlineStr">
        <is>
          <t>Forecasted values are no longer available in this publication. For the latest projections of crude oil and natural gas production in Canada please visit the CERs Energy Futures page.</t>
        </is>
      </c>
      <c r="P50" s="52" t="n"/>
    </row>
    <row r="51" ht="11.25" customHeight="1">
      <c r="A51" s="21" t="inlineStr">
        <is>
          <t>1 As per AER -ST3, includes in situ bitumen that is upgraded to SCO</t>
        </is>
      </c>
    </row>
    <row r="52" ht="11.25" customHeight="1">
      <c r="A52" s="22" t="inlineStr">
        <is>
          <t xml:space="preserve">2 As per AER -ST3, excludes in situ produced bitumen that is upgraded to SCO </t>
        </is>
      </c>
      <c r="S52" s="52" t="n"/>
    </row>
    <row r="53" ht="11.25" customHeight="1">
      <c r="A53" s="3" t="n"/>
    </row>
    <row r="54" ht="11.25" customHeight="1">
      <c r="A54" s="22" t="inlineStr">
        <is>
          <t>Les chiffres en noir représentent les données de production réelles obtenues auprès d'organismes présentant des rapports.</t>
        </is>
      </c>
    </row>
    <row r="55" ht="11.25" customHeight="1">
      <c r="A55" s="23" t="inlineStr">
        <is>
          <t>Les valeurs prévues ne sont plus disponibles dans cette publication. Pour connaître les dernières projections relatives à la production de pétrole brut et de gaz naturel au Canada, consultez la page principale d’Avenir énergétique du Canada</t>
        </is>
      </c>
    </row>
    <row r="56" ht="11.25" customHeight="1">
      <c r="A56" s="24" t="inlineStr">
        <is>
          <t>1 Comprend la production de pétrole brut synthétique et de distillats.</t>
        </is>
      </c>
    </row>
    <row r="57" ht="11.25" customHeight="1">
      <c r="A57" s="21" t="inlineStr">
        <is>
          <t>2 Bitume in situ, sauf les quantités transformées en pétrole brut synthétique par valorisation.</t>
        </is>
      </c>
    </row>
  </sheetData>
  <pageMargins left="0.7" right="0.7" top="0.75" bottom="0.75" header="0.3" footer="0.3"/>
  <pageSetup orientation="landscape" scale="95" fitToHeight="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U58"/>
  <sheetViews>
    <sheetView showOutlineSymbols="0" topLeftCell="A11" zoomScaleNormal="100" zoomScaleSheetLayoutView="100" workbookViewId="0">
      <selection activeCell="F27" sqref="F27"/>
    </sheetView>
  </sheetViews>
  <sheetFormatPr baseColWidth="8" defaultColWidth="9.33203125" defaultRowHeight="9.949999999999999" customHeight="1" outlineLevelRow="3"/>
  <cols>
    <col width="33.5" customWidth="1" style="1" min="1" max="1"/>
    <col outlineLevel="1" width="9.83203125" customWidth="1" style="2" min="2" max="12"/>
    <col outlineLevel="1" width="9.5" customWidth="1" style="2" min="13" max="13"/>
    <col width="13.83203125" customWidth="1" style="2" min="14" max="14"/>
    <col width="1.83203125" customWidth="1" style="1" min="15" max="15"/>
    <col width="9.33203125" customWidth="1" style="1" min="16" max="16384"/>
  </cols>
  <sheetData>
    <row r="1" ht="32.25" customHeight="1"/>
    <row r="2" ht="11.25" customHeight="1">
      <c r="A2" s="62" t="n">
        <v>44608</v>
      </c>
      <c r="H2" s="4" t="inlineStr">
        <is>
          <t>2021 ESTIMATED PRODUCTION OF CANADIAN CRUDE OIL AND EQUIVALENT  (m3/d)</t>
        </is>
      </c>
    </row>
    <row r="3" ht="10.5" customHeight="1">
      <c r="A3" s="6" t="n"/>
      <c r="H3" s="4" t="inlineStr">
        <is>
          <t>PRODUCTION ESTIMATIVE DE PÉTROLE BRUT ET D'ÉQUIVALENTS AU CANADA EN 2021 (M³/J)</t>
        </is>
      </c>
    </row>
    <row r="4" ht="11.25" customFormat="1" customHeight="1" s="7"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3" t="n">
        <v>2021</v>
      </c>
    </row>
    <row r="5" ht="11.25" customFormat="1" customHeight="1" s="7">
      <c r="B5" s="8" t="inlineStr">
        <is>
          <t>Jan/janv.</t>
        </is>
      </c>
      <c r="C5" s="8" t="inlineStr">
        <is>
          <t>Feb/fév.</t>
        </is>
      </c>
      <c r="D5" s="8" t="inlineStr">
        <is>
          <t>Mar/mars</t>
        </is>
      </c>
      <c r="E5" s="8" t="inlineStr">
        <is>
          <t>Apr/avr.</t>
        </is>
      </c>
      <c r="F5" s="8" t="inlineStr">
        <is>
          <t>May/mai</t>
        </is>
      </c>
      <c r="G5" s="8" t="inlineStr">
        <is>
          <t>June/juin</t>
        </is>
      </c>
      <c r="H5" s="8" t="inlineStr">
        <is>
          <t>July/juil.</t>
        </is>
      </c>
      <c r="I5" s="8" t="inlineStr">
        <is>
          <t>Aug/août</t>
        </is>
      </c>
      <c r="J5" s="8" t="inlineStr">
        <is>
          <t>Sep/sept.</t>
        </is>
      </c>
      <c r="K5" s="8" t="inlineStr">
        <is>
          <t>Oct/oct.</t>
        </is>
      </c>
      <c r="L5" s="8" t="inlineStr">
        <is>
          <t>Nov/nov.</t>
        </is>
      </c>
      <c r="M5" s="8" t="inlineStr">
        <is>
          <t>Dec/déc.</t>
        </is>
      </c>
      <c r="N5" s="8" t="inlineStr">
        <is>
          <t>Avg/moyenne</t>
        </is>
      </c>
    </row>
    <row r="6" ht="11.25" customFormat="1" customHeight="1" s="7">
      <c r="A6" s="9" t="inlineStr">
        <is>
          <t>CONV. LIGHT CRUDE OIL/</t>
        </is>
      </c>
      <c r="B6" s="2" t="inlineStr">
        <is>
          <t> </t>
        </is>
      </c>
      <c r="C6" s="2" t="inlineStr">
        <is>
          <t> </t>
        </is>
      </c>
      <c r="D6" s="2" t="inlineStr">
        <is>
          <t> </t>
        </is>
      </c>
      <c r="E6" s="2" t="inlineStr">
        <is>
          <t> </t>
        </is>
      </c>
      <c r="F6" s="2" t="inlineStr">
        <is>
          <t> </t>
        </is>
      </c>
      <c r="G6" s="2" t="inlineStr">
        <is>
          <t> </t>
        </is>
      </c>
      <c r="H6" s="2" t="inlineStr">
        <is>
          <t> </t>
        </is>
      </c>
      <c r="I6" s="2" t="inlineStr">
        <is>
          <t> </t>
        </is>
      </c>
      <c r="J6" s="2" t="inlineStr">
        <is>
          <t> </t>
        </is>
      </c>
      <c r="K6" s="2" t="inlineStr">
        <is>
          <t> </t>
        </is>
      </c>
      <c r="L6" s="2" t="inlineStr">
        <is>
          <t> </t>
        </is>
      </c>
      <c r="M6" s="2" t="inlineStr">
        <is>
          <t> </t>
        </is>
      </c>
      <c r="N6" s="2" t="n"/>
    </row>
    <row r="7" ht="11.25" customFormat="1" customHeight="1" s="7">
      <c r="A7" s="10" t="inlineStr">
        <is>
          <t>PÉTROLE BRUT LÉGER CLASS.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3" t="n"/>
    </row>
    <row r="8" outlineLevel="1" ht="11.25" customFormat="1" customHeight="1" s="12">
      <c r="A8" s="11" t="inlineStr">
        <is>
          <t>AB</t>
        </is>
      </c>
      <c r="B8" s="40" t="n">
        <v>49640.84173387097</v>
      </c>
      <c r="C8" s="40" t="n">
        <v>48013.76674107143</v>
      </c>
      <c r="D8" s="40" t="n">
        <v>51124.57862903226</v>
      </c>
      <c r="E8" s="40" t="n">
        <v>52106.32708333333</v>
      </c>
      <c r="F8" s="40" t="n">
        <v>50258.43850806452</v>
      </c>
      <c r="G8" s="40" t="n">
        <v>48955.76145833333</v>
      </c>
      <c r="H8" s="40" t="n">
        <v>50098.14717741936</v>
      </c>
      <c r="I8" s="40" t="n">
        <v>52145.50302419355</v>
      </c>
      <c r="J8" s="40" t="n">
        <v>52017.29895833333</v>
      </c>
      <c r="K8" s="40" t="n">
        <v>54262.06552419355</v>
      </c>
      <c r="L8" s="40" t="n">
        <v>55020.86875</v>
      </c>
      <c r="M8" s="40" t="n">
        <v>54193.20362903226</v>
      </c>
      <c r="N8" s="40">
        <f>AVERAGEIF(B8:M8,"&lt;&gt;0")</f>
        <v/>
      </c>
    </row>
    <row r="9" outlineLevel="1" ht="11.25" customFormat="1" customHeight="1" s="12">
      <c r="A9" s="11" t="inlineStr">
        <is>
          <t>BC</t>
        </is>
      </c>
      <c r="B9" s="40" t="n">
        <v>2074.996774193548</v>
      </c>
      <c r="C9" s="40" t="n">
        <v>1969.382142857143</v>
      </c>
      <c r="D9" s="40" t="n">
        <v>1989.093548387097</v>
      </c>
      <c r="E9" s="40" t="n">
        <v>1986.823333333333</v>
      </c>
      <c r="F9" s="40" t="n">
        <v>1928.812903225806</v>
      </c>
      <c r="G9" s="40" t="n">
        <v>1870.636666666667</v>
      </c>
      <c r="H9" s="40" t="n">
        <v>1591.135483870968</v>
      </c>
      <c r="I9" s="40" t="n">
        <v>1667.41935483871</v>
      </c>
      <c r="J9" s="40" t="n">
        <v>1742.78</v>
      </c>
      <c r="K9" s="40" t="n">
        <v>1884.529032258064</v>
      </c>
      <c r="L9" s="40" t="n">
        <v>1769.776666666667</v>
      </c>
      <c r="M9" s="40" t="n">
        <v>1775.541935483871</v>
      </c>
      <c r="N9" s="40">
        <f>AVERAGEIF(B9:M9,"&lt;&gt;0")</f>
        <v/>
      </c>
    </row>
    <row r="10" outlineLevel="1" ht="11.25" customFormat="1" customHeight="1" s="12">
      <c r="A10" s="11" t="inlineStr">
        <is>
          <t>SK</t>
        </is>
      </c>
      <c r="B10" s="40" t="n">
        <v>24672.93225806452</v>
      </c>
      <c r="C10" s="40" t="n">
        <v>24534.35357142857</v>
      </c>
      <c r="D10" s="40" t="n">
        <v>26390.1</v>
      </c>
      <c r="E10" s="40" t="n">
        <v>26073.68</v>
      </c>
      <c r="F10" s="40" t="n">
        <v>25160.0806451613</v>
      </c>
      <c r="G10" s="40" t="n">
        <v>24081.14333333333</v>
      </c>
      <c r="H10" s="40" t="n">
        <v>24044.62258064516</v>
      </c>
      <c r="I10" s="40" t="n">
        <v>24443.23225806452</v>
      </c>
      <c r="J10" s="40" t="n">
        <v>24732.04333333333</v>
      </c>
      <c r="K10" s="40" t="n">
        <v>25291.6064516129</v>
      </c>
      <c r="L10" s="40" t="n">
        <v>25288.56666666667</v>
      </c>
      <c r="M10" s="40" t="n">
        <v>24405.00967741936</v>
      </c>
      <c r="N10" s="40">
        <f>AVERAGEIF(B10:M10,"&lt;&gt;0")</f>
        <v/>
      </c>
    </row>
    <row r="11" outlineLevel="1" ht="11.25" customFormat="1" customHeight="1" s="12">
      <c r="A11" s="11" t="inlineStr">
        <is>
          <t>MB</t>
        </is>
      </c>
      <c r="B11" s="40" t="n">
        <v>5670.525806451608</v>
      </c>
      <c r="C11" s="40" t="n">
        <v>5268.857142857145</v>
      </c>
      <c r="D11" s="40" t="n">
        <v>6034.258064516126</v>
      </c>
      <c r="E11" s="40" t="n">
        <v>5978.376666666668</v>
      </c>
      <c r="F11" s="40" t="n">
        <v>5819.690322580644</v>
      </c>
      <c r="G11" s="40" t="n">
        <v>5736.156666666668</v>
      </c>
      <c r="H11" s="40" t="n">
        <v>5547.861290322584</v>
      </c>
      <c r="I11" s="40" t="n">
        <v>5608.161290322578</v>
      </c>
      <c r="J11" s="40" t="n">
        <v>6008.679999999998</v>
      </c>
      <c r="K11" s="40" t="n">
        <v>6063.022580645159</v>
      </c>
      <c r="L11" s="40" t="n">
        <v>6171.12</v>
      </c>
      <c r="M11" s="40" t="n">
        <v>6155.648387096774</v>
      </c>
      <c r="N11" s="40">
        <f>AVERAGEIF(B11:M11,"&lt;&gt;0")</f>
        <v/>
      </c>
    </row>
    <row r="12" outlineLevel="1" ht="11.25" customFormat="1" customHeight="1" s="12">
      <c r="A12" s="11" t="inlineStr">
        <is>
          <t>NWT/NT</t>
        </is>
      </c>
      <c r="B12" s="40" t="n">
        <v>989.2</v>
      </c>
      <c r="C12" s="40" t="n">
        <v>953.282142857143</v>
      </c>
      <c r="D12" s="40" t="n">
        <v>1009.390322580645</v>
      </c>
      <c r="E12" s="40" t="n">
        <v>1041.3</v>
      </c>
      <c r="F12" s="40" t="n">
        <v>1055.348387096774</v>
      </c>
      <c r="G12" s="40" t="n">
        <v>1025.293333333333</v>
      </c>
      <c r="H12" s="40" t="n">
        <v>250.1870967741935</v>
      </c>
      <c r="I12" s="40" t="n">
        <v>170.8096774193548</v>
      </c>
      <c r="J12" s="40" t="n">
        <v>1043.743333333333</v>
      </c>
      <c r="K12" s="40" t="n">
        <v>1084.232258064516</v>
      </c>
      <c r="L12" s="40" t="n">
        <v>1060.516666666667</v>
      </c>
      <c r="M12" s="40" t="n">
        <v>980.4806451612903</v>
      </c>
      <c r="N12" s="40">
        <f>AVERAGEIF(B12:M12,"&lt;&gt;0")</f>
        <v/>
      </c>
    </row>
    <row r="13" outlineLevel="1" ht="11.25" customFormat="1" customHeight="1" s="13">
      <c r="A13" s="11" t="inlineStr">
        <is>
          <t>NF/NL</t>
        </is>
      </c>
      <c r="B13" s="40" t="n">
        <v>21774.87096774194</v>
      </c>
      <c r="C13" s="40" t="n">
        <v>21187.85714285714</v>
      </c>
      <c r="D13" s="40" t="n">
        <v>20747.16129032258</v>
      </c>
      <c r="E13" s="40" t="n">
        <v>19470.46666666667</v>
      </c>
      <c r="F13" s="40" t="n">
        <v>20482.77419354839</v>
      </c>
      <c r="G13" s="40" t="n">
        <v>20750.6</v>
      </c>
      <c r="H13" s="40" t="n">
        <v>19240.90322580645</v>
      </c>
      <c r="I13" s="40" t="n">
        <v>19681.06451612903</v>
      </c>
      <c r="J13" s="40" t="n">
        <v>18223.3</v>
      </c>
      <c r="K13" s="40" t="n">
        <v>14689.03225806452</v>
      </c>
      <c r="L13" s="40" t="n">
        <v>15361.83333333333</v>
      </c>
      <c r="M13" s="40" t="n">
        <v>15694.51612903226</v>
      </c>
      <c r="N13" s="40">
        <f>AVERAGEIF(B13:M13,"&lt;&gt;0")</f>
        <v/>
      </c>
      <c r="P13" s="12" t="n"/>
      <c r="U13" s="12" t="n"/>
    </row>
    <row r="14" outlineLevel="1" ht="11.25" customFormat="1" customHeight="1" s="13">
      <c r="A14" s="11" t="inlineStr">
        <is>
          <t>NB</t>
        </is>
      </c>
      <c r="B14" s="40" t="n">
        <v>2.474193548387097</v>
      </c>
      <c r="C14" s="40" t="n">
        <v>1.596428571428572</v>
      </c>
      <c r="D14" s="40" t="n">
        <v>0.7032258064516129</v>
      </c>
      <c r="E14" s="40" t="n">
        <v>0.9466666666666667</v>
      </c>
      <c r="F14" s="40" t="n">
        <v>0.02903225806451613</v>
      </c>
      <c r="G14" s="40" t="n">
        <v>2.163333333333334</v>
      </c>
      <c r="H14" s="40" t="n">
        <v>0.6516129032258065</v>
      </c>
      <c r="I14" s="40" t="n">
        <v>2.012903225806451</v>
      </c>
      <c r="J14" s="40" t="n">
        <v>4.723333333333333</v>
      </c>
      <c r="K14" s="40" t="n">
        <v>3.174193548387097</v>
      </c>
      <c r="L14" s="40" t="n">
        <v>7.433333333333334</v>
      </c>
      <c r="M14" s="40" t="n">
        <v>3.9</v>
      </c>
      <c r="N14" s="40">
        <f>AVERAGEIF(B14:M14,"&lt;&gt;0")</f>
        <v/>
      </c>
      <c r="P14" s="12" t="n"/>
      <c r="U14" s="12" t="n"/>
    </row>
    <row r="15" outlineLevel="1" ht="11.25" customFormat="1" customHeight="1" s="13">
      <c r="A15" s="11" t="inlineStr">
        <is>
          <t>ON</t>
        </is>
      </c>
      <c r="B15" s="40" t="n">
        <v>82.2258064516129</v>
      </c>
      <c r="C15" s="40" t="n">
        <v>82.60714285714286</v>
      </c>
      <c r="D15" s="40" t="n">
        <v>80.06451612903226</v>
      </c>
      <c r="E15" s="40" t="n">
        <v>82.8</v>
      </c>
      <c r="F15" s="40" t="n">
        <v>82.61290322580645</v>
      </c>
      <c r="G15" s="40" t="n">
        <v>82.40000000000001</v>
      </c>
      <c r="H15" s="40" t="n">
        <v>83.03225806451613</v>
      </c>
      <c r="I15" s="40" t="n">
        <v>84.09677419354838</v>
      </c>
      <c r="J15" s="40" t="n">
        <v>83.46666666666667</v>
      </c>
      <c r="K15" s="40" t="n">
        <v>83.6774193548387</v>
      </c>
      <c r="L15" s="40" t="n">
        <v>83.16666666666667</v>
      </c>
      <c r="M15" s="40" t="n">
        <v>81.80645161290323</v>
      </c>
      <c r="N15" s="40">
        <f>AVERAGEIF(B15:M15,"&lt;&gt;0")</f>
        <v/>
      </c>
      <c r="P15" s="12" t="n"/>
      <c r="U15" s="12" t="n"/>
    </row>
    <row r="16" ht="11.25" customFormat="1" customHeight="1" s="12">
      <c r="A16" s="30" t="inlineStr">
        <is>
          <t>SUB TOTAL/SOUS-TOTAL</t>
        </is>
      </c>
      <c r="B16" s="41">
        <f>SUM(B8:B15)</f>
        <v/>
      </c>
      <c r="C16" s="41">
        <f>SUM(C8:C15)</f>
        <v/>
      </c>
      <c r="D16" s="41">
        <f>SUM(D8:D15)</f>
        <v/>
      </c>
      <c r="E16" s="41">
        <f>SUM(E8:E15)</f>
        <v/>
      </c>
      <c r="F16" s="41">
        <f>SUM(F8:F15)</f>
        <v/>
      </c>
      <c r="G16" s="41">
        <f>SUM(G8:G15)</f>
        <v/>
      </c>
      <c r="H16" s="41">
        <f>SUM(H8:H15)</f>
        <v/>
      </c>
      <c r="I16" s="41">
        <f>SUM(I8:I15)</f>
        <v/>
      </c>
      <c r="J16" s="41">
        <f>SUM(J8:J15)</f>
        <v/>
      </c>
      <c r="K16" s="41">
        <f>SUM(K8:K15)</f>
        <v/>
      </c>
      <c r="L16" s="41">
        <f>SUM(L8:L15)</f>
        <v/>
      </c>
      <c r="M16" s="41">
        <f>SUM(M8:M15)</f>
        <v/>
      </c>
      <c r="N16" s="41">
        <f>AVERAGEIF(B16:M16,"&lt;&gt;0")</f>
        <v/>
      </c>
    </row>
    <row r="17" ht="22.5" customFormat="1" customHeight="1" s="12">
      <c r="A17" s="9" t="inlineStr">
        <is>
          <t>AB UPGRADED BITUMEN/ BITUME VALORISÉ-AB1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</row>
    <row r="18" ht="11.25" customFormat="1" customHeight="1" s="12">
      <c r="A18" s="14" t="inlineStr">
        <is>
          <t>SUB TOTAL/SOUS-TOTAL</t>
        </is>
      </c>
      <c r="B18" s="40" t="n">
        <v>211528.1290322581</v>
      </c>
      <c r="C18" s="40" t="n">
        <v>204723.3571428571</v>
      </c>
      <c r="D18" s="40" t="n">
        <v>188685.3387096774</v>
      </c>
      <c r="E18" s="40" t="n">
        <v>132050.4</v>
      </c>
      <c r="F18" s="40" t="n">
        <v>168137.8387096774</v>
      </c>
      <c r="G18" s="40" t="n">
        <v>189456.85</v>
      </c>
      <c r="H18" s="40" t="n">
        <v>199077.5161290323</v>
      </c>
      <c r="I18" s="40" t="n">
        <v>174247.5806451613</v>
      </c>
      <c r="J18" s="40" t="n">
        <v>173631.8666666667</v>
      </c>
      <c r="K18" s="40" t="n">
        <v>209111.8870967742</v>
      </c>
      <c r="L18" s="40" t="n">
        <v>206193.0166666667</v>
      </c>
      <c r="M18" s="40" t="n">
        <v>195522.1774193548</v>
      </c>
      <c r="N18" s="40">
        <f>AVERAGEIF(B18:M18,"&lt;&gt;0")</f>
        <v/>
      </c>
    </row>
    <row r="19" ht="11.25" customFormat="1" customHeight="1" s="12">
      <c r="A19" s="3" t="inlineStr">
        <is>
          <t>C5+ / CONDENSATE/C5+/CONDENSATS</t>
        </is>
      </c>
      <c r="B19" s="40" t="n"/>
      <c r="C19" s="40" t="n"/>
      <c r="D19" s="40" t="n"/>
      <c r="E19" s="40" t="n"/>
      <c r="F19" s="40" t="n"/>
      <c r="G19" s="59" t="n"/>
      <c r="H19" s="40" t="n"/>
      <c r="I19" s="40" t="n"/>
      <c r="J19" s="40" t="n"/>
      <c r="K19" s="40" t="n"/>
      <c r="L19" s="40" t="n"/>
      <c r="M19" s="40" t="n"/>
      <c r="N19" s="47" t="n"/>
    </row>
    <row r="20" outlineLevel="1" ht="11.25" customFormat="1" customHeight="1" s="12">
      <c r="A20" s="11" t="inlineStr">
        <is>
          <t>AB</t>
        </is>
      </c>
      <c r="B20" s="40" t="n">
        <v>52729.2620967742</v>
      </c>
      <c r="C20" s="40" t="n">
        <v>51640.15625</v>
      </c>
      <c r="D20" s="40" t="n">
        <v>55623.24092741936</v>
      </c>
      <c r="E20" s="40" t="n">
        <v>56424.890625</v>
      </c>
      <c r="F20" s="40" t="n">
        <v>55111.04637096774</v>
      </c>
      <c r="G20" s="40" t="n">
        <v>52806.70729166667</v>
      </c>
      <c r="H20" s="40" t="n">
        <v>55287.36088709677</v>
      </c>
      <c r="I20" s="40" t="n">
        <v>55701.27116935484</v>
      </c>
      <c r="J20" s="40" t="n">
        <v>53866.28125</v>
      </c>
      <c r="K20" s="40" t="n">
        <v>55631.53528225807</v>
      </c>
      <c r="L20" s="40" t="n">
        <v>56177.53125</v>
      </c>
      <c r="M20" s="40" t="n">
        <v>53328.96875</v>
      </c>
      <c r="N20" s="40">
        <f>AVERAGEIF(B20:M20,"&lt;&gt;0")</f>
        <v/>
      </c>
    </row>
    <row r="21" outlineLevel="1" ht="11.25" customFormat="1" customHeight="1" s="12">
      <c r="A21" s="11" t="inlineStr">
        <is>
          <t>BC</t>
        </is>
      </c>
      <c r="B21" s="40" t="n">
        <v>15687.81290322581</v>
      </c>
      <c r="C21" s="40" t="n">
        <v>15612.59642857143</v>
      </c>
      <c r="D21" s="40" t="n">
        <v>15826.99032258065</v>
      </c>
      <c r="E21" s="40" t="n">
        <v>15912.19666666667</v>
      </c>
      <c r="F21" s="40" t="n">
        <v>16169.9064516129</v>
      </c>
      <c r="G21" s="40" t="n">
        <v>15756.01</v>
      </c>
      <c r="H21" s="40" t="n">
        <v>15544.81612903226</v>
      </c>
      <c r="I21" s="40" t="n">
        <v>15453.2</v>
      </c>
      <c r="J21" s="40" t="n">
        <v>15312.25666666667</v>
      </c>
      <c r="K21" s="40" t="n">
        <v>14745.28064516129</v>
      </c>
      <c r="L21" s="40" t="n">
        <v>17138.48666666666</v>
      </c>
      <c r="M21" s="40" t="n">
        <v>16908.86129032258</v>
      </c>
      <c r="N21" s="40">
        <f>AVERAGEIF(B21:M21,"&lt;&gt;0")</f>
        <v/>
      </c>
    </row>
    <row r="22" outlineLevel="1" ht="11.25" customFormat="1" customHeight="1" s="12">
      <c r="A22" s="11" t="inlineStr">
        <is>
          <t>SK</t>
        </is>
      </c>
      <c r="B22" s="40" t="n">
        <v>558.67</v>
      </c>
      <c r="C22" s="40" t="n">
        <v>558.67</v>
      </c>
      <c r="D22" s="40" t="n">
        <v>558.67</v>
      </c>
      <c r="E22" s="40" t="n">
        <v>558.67</v>
      </c>
      <c r="F22" s="40" t="n">
        <v>558.67</v>
      </c>
      <c r="G22" s="40" t="n">
        <v>558.67</v>
      </c>
      <c r="H22" s="40" t="n">
        <v>558.67</v>
      </c>
      <c r="I22" s="40" t="n">
        <v>558.67</v>
      </c>
      <c r="J22" s="40" t="n">
        <v>558.67</v>
      </c>
      <c r="K22" s="40" t="n">
        <v>558.67</v>
      </c>
      <c r="L22" s="40" t="n">
        <v>558.67</v>
      </c>
      <c r="M22" s="40" t="n">
        <v>558.67</v>
      </c>
      <c r="N22" s="40">
        <f>AVERAGEIF(B22:M22,"&lt;&gt;0")</f>
        <v/>
      </c>
    </row>
    <row r="23" ht="11.25" customFormat="1" customHeight="1" s="13">
      <c r="A23" s="14" t="inlineStr">
        <is>
          <t>SUB TOTAL/SOUS-TOTAL</t>
        </is>
      </c>
      <c r="B23" s="40">
        <f>SUM(B20:B22)</f>
        <v/>
      </c>
      <c r="C23" s="40">
        <f>SUM(C20:C22)</f>
        <v/>
      </c>
      <c r="D23" s="40">
        <f>SUM(D20:D22)</f>
        <v/>
      </c>
      <c r="E23" s="40">
        <f>SUM(E20:E22)</f>
        <v/>
      </c>
      <c r="F23" s="40">
        <f>SUM(F20:F22)</f>
        <v/>
      </c>
      <c r="G23" s="40">
        <f>SUM(G20:G22)</f>
        <v/>
      </c>
      <c r="H23" s="40">
        <f>SUM(H20:H22)</f>
        <v/>
      </c>
      <c r="I23" s="40">
        <f>SUM(I20:I22)</f>
        <v/>
      </c>
      <c r="J23" s="40">
        <f>SUM(J20:J22)</f>
        <v/>
      </c>
      <c r="K23" s="40">
        <f>SUM(K20:K22)</f>
        <v/>
      </c>
      <c r="L23" s="40">
        <f>SUM(L20:L22)</f>
        <v/>
      </c>
      <c r="M23" s="40">
        <f>SUM(M20:M22)</f>
        <v/>
      </c>
      <c r="N23" s="40">
        <f>AVERAGEIF(B23:M23,"&lt;&gt;0")</f>
        <v/>
      </c>
      <c r="P23" s="12" t="n"/>
    </row>
    <row r="24" ht="10.5" customFormat="1" customHeight="1" s="12">
      <c r="A24" s="16" t="inlineStr">
        <is>
          <t>TOTAL LIGHT/LÉGER</t>
        </is>
      </c>
      <c r="B24" s="41">
        <f>SUM(B23,B16,B18)</f>
        <v/>
      </c>
      <c r="C24" s="41">
        <f>SUM(C23,C16,C18)</f>
        <v/>
      </c>
      <c r="D24" s="41">
        <f>SUM(D23,D16,D18)</f>
        <v/>
      </c>
      <c r="E24" s="41">
        <f>SUM(E23,E16,E18)</f>
        <v/>
      </c>
      <c r="F24" s="41">
        <f>SUM(F23,F16,F18)</f>
        <v/>
      </c>
      <c r="G24" s="41">
        <f>SUM(G23,G16,G18)</f>
        <v/>
      </c>
      <c r="H24" s="41">
        <f>SUM(H23,H16,H18)</f>
        <v/>
      </c>
      <c r="I24" s="41">
        <f>SUM(I23,I16,I18)</f>
        <v/>
      </c>
      <c r="J24" s="41">
        <f>SUM(J23,J16,J18)</f>
        <v/>
      </c>
      <c r="K24" s="41">
        <f>SUM(K23,K16,K18)</f>
        <v/>
      </c>
      <c r="L24" s="41">
        <f>SUM(L23,L16,L18)</f>
        <v/>
      </c>
      <c r="M24" s="41">
        <f>SUM(M23,M16,M18)</f>
        <v/>
      </c>
      <c r="N24" s="41">
        <f>AVERAGEIF(B24:M24,"&lt;&gt;0")</f>
        <v/>
      </c>
    </row>
    <row r="25" outlineLevel="3" ht="10.5" customFormat="1" customHeight="1" s="12">
      <c r="A25" s="3" t="inlineStr">
        <is>
          <t>HEAVY CRUDE OIL/ PÉTROLE BRUT LOURD</t>
        </is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</row>
    <row r="26" outlineLevel="3" ht="10.5" customFormat="1" customHeight="1" s="13">
      <c r="A26" s="11" t="inlineStr">
        <is>
          <t>AB CONV./CLASS.-AB</t>
        </is>
      </c>
      <c r="B26" s="40" t="n">
        <v>16818.03578629032</v>
      </c>
      <c r="C26" s="40" t="n">
        <v>16648.16462053571</v>
      </c>
      <c r="D26" s="40" t="n">
        <v>17074.75806451613</v>
      </c>
      <c r="E26" s="40" t="n">
        <v>17798.84010416667</v>
      </c>
      <c r="F26" s="40" t="n">
        <v>17872.94455645161</v>
      </c>
      <c r="G26" s="40" t="n">
        <v>17794.00625</v>
      </c>
      <c r="H26" s="40" t="n">
        <v>18074.84879032258</v>
      </c>
      <c r="I26" s="40" t="n">
        <v>18466.67036290323</v>
      </c>
      <c r="J26" s="40" t="n">
        <v>18239.39010416666</v>
      </c>
      <c r="K26" s="40" t="n">
        <v>18464.20010080645</v>
      </c>
      <c r="L26" s="40" t="n">
        <v>18664.0296875</v>
      </c>
      <c r="M26" s="40" t="n">
        <v>18450.02268145161</v>
      </c>
      <c r="N26" s="40">
        <f>AVERAGEIF(B26:M26,"&lt;&gt;0")</f>
        <v/>
      </c>
      <c r="P26" s="12" t="n"/>
    </row>
    <row r="27" outlineLevel="3" ht="20.25" customFormat="1" customHeight="1" s="13">
      <c r="A27" s="17" t="inlineStr">
        <is>
          <t>AB NON-UPGRADED BITUMEN / BITUME NON VALORISÉ-AB2</t>
        </is>
      </c>
      <c r="B27" s="40" t="n">
        <v>304970.3225806452</v>
      </c>
      <c r="C27" s="40" t="n">
        <v>287935.4285714286</v>
      </c>
      <c r="D27" s="40" t="n">
        <v>308547.6451612903</v>
      </c>
      <c r="E27" s="40" t="n">
        <v>312446.7333333333</v>
      </c>
      <c r="F27" s="40" t="n">
        <v>283966.4193548387</v>
      </c>
      <c r="G27" s="40" t="n">
        <v>303523.1666666667</v>
      </c>
      <c r="H27" s="40" t="n">
        <v>302223.4516129032</v>
      </c>
      <c r="I27" s="40" t="n">
        <v>315969.2258064516</v>
      </c>
      <c r="J27" s="40" t="n">
        <v>307296.0333333333</v>
      </c>
      <c r="K27" s="40" t="n">
        <v>316066.7419354839</v>
      </c>
      <c r="L27" s="40" t="n">
        <v>319923.7333333333</v>
      </c>
      <c r="M27" s="40" t="n">
        <v>300681.8709677419</v>
      </c>
      <c r="N27" s="40">
        <f>AVERAGEIF(B27:M27,"&lt;&gt;0")</f>
        <v/>
      </c>
      <c r="P27" s="12" t="n"/>
    </row>
    <row r="28" outlineLevel="2" ht="10.5" customFormat="1" customHeight="1" s="12">
      <c r="A28" s="14" t="inlineStr">
        <is>
          <t>AB SUB TOTAL/SOUS-TOTAL -AB</t>
        </is>
      </c>
      <c r="B28" s="40">
        <f>SUM(B26:B27)</f>
        <v/>
      </c>
      <c r="C28" s="40">
        <f>SUM(C26:C27)</f>
        <v/>
      </c>
      <c r="D28" s="40">
        <f>SUM(D26:D27)</f>
        <v/>
      </c>
      <c r="E28" s="40">
        <f>SUM(E26:E27)</f>
        <v/>
      </c>
      <c r="F28" s="40">
        <f>SUM(F26:F27)</f>
        <v/>
      </c>
      <c r="G28" s="40">
        <f>SUM(G26:G27)</f>
        <v/>
      </c>
      <c r="H28" s="40">
        <f>SUM(H26:H27)</f>
        <v/>
      </c>
      <c r="I28" s="40">
        <f>SUM(I26:I27)</f>
        <v/>
      </c>
      <c r="J28" s="40">
        <f>SUM(J26:J27)</f>
        <v/>
      </c>
      <c r="K28" s="40">
        <f>SUM(K26:K27)</f>
        <v/>
      </c>
      <c r="L28" s="40">
        <f>SUM(L26:L27)</f>
        <v/>
      </c>
      <c r="M28" s="40">
        <f>SUM(M26:M27)</f>
        <v/>
      </c>
      <c r="N28" s="40">
        <f>AVERAGEIF(B28:M28,"&lt;&gt;0")</f>
        <v/>
      </c>
    </row>
    <row r="29" outlineLevel="2" ht="10.5" customFormat="1" customHeight="1" s="13">
      <c r="A29" s="11" t="inlineStr">
        <is>
          <t>SK CONV./CLASS.-SK</t>
        </is>
      </c>
      <c r="B29" s="40" t="n">
        <v>43777.92903225806</v>
      </c>
      <c r="C29" s="40" t="n">
        <v>43470.30357142857</v>
      </c>
      <c r="D29" s="40" t="n">
        <v>45355.55161290322</v>
      </c>
      <c r="E29" s="40" t="n">
        <v>45718.21666666667</v>
      </c>
      <c r="F29" s="40" t="n">
        <v>45375.53225806452</v>
      </c>
      <c r="G29" s="40" t="n">
        <v>45313.62</v>
      </c>
      <c r="H29" s="60" t="n">
        <v>45927.72580645161</v>
      </c>
      <c r="I29" s="60" t="n">
        <v>46161.21612903226</v>
      </c>
      <c r="J29" s="60" t="n">
        <v>46052.78666666667</v>
      </c>
      <c r="K29" s="60" t="n">
        <v>46674.74193548388</v>
      </c>
      <c r="L29" s="60" t="n">
        <v>46621.06</v>
      </c>
      <c r="M29" s="40" t="n">
        <v>46597.32580645162</v>
      </c>
      <c r="N29" s="40">
        <f>AVERAGEIF(B29:M29,"&lt;&gt;0")</f>
        <v/>
      </c>
      <c r="P29" s="12" t="n"/>
    </row>
    <row r="30" outlineLevel="2" ht="10.5" customFormat="1" customHeight="1" s="13">
      <c r="A30" s="11" t="inlineStr">
        <is>
          <t>NL CONV</t>
        </is>
      </c>
      <c r="B30" s="40" t="n">
        <v>24040.09677419355</v>
      </c>
      <c r="C30" s="40" t="n">
        <v>19015.53571428571</v>
      </c>
      <c r="D30" s="40" t="n">
        <v>24335</v>
      </c>
      <c r="E30" s="40" t="n">
        <v>22509.76666666667</v>
      </c>
      <c r="F30" s="40" t="n">
        <v>21621.48387096774</v>
      </c>
      <c r="G30" s="40" t="n">
        <v>25177.03333333333</v>
      </c>
      <c r="H30" s="40" t="n">
        <v>23752.90322580645</v>
      </c>
      <c r="I30" s="60" t="n">
        <v>21208.8064516129</v>
      </c>
      <c r="J30" s="60" t="n">
        <v>20477.73333333333</v>
      </c>
      <c r="K30" s="60" t="n">
        <v>20882.09677419355</v>
      </c>
      <c r="L30" s="60" t="n">
        <v>19877.8</v>
      </c>
      <c r="M30" s="60" t="n">
        <v>21111.90322580645</v>
      </c>
      <c r="N30" s="40">
        <f>AVERAGE(B30:M30)</f>
        <v/>
      </c>
      <c r="P30" s="12" t="n"/>
    </row>
    <row r="31" outlineLevel="1" ht="12" customFormat="1" customHeight="1" s="12" thickBot="1">
      <c r="A31" s="27" t="inlineStr">
        <is>
          <t>TOTAL HEAVY/LOURD3</t>
        </is>
      </c>
      <c r="B31" s="39">
        <f>SUM(B28:B30)</f>
        <v/>
      </c>
      <c r="C31" s="39">
        <f>SUM(C28:C30)</f>
        <v/>
      </c>
      <c r="D31" s="39">
        <f>SUM(D28:D30)</f>
        <v/>
      </c>
      <c r="E31" s="39">
        <f>SUM(E28:E30)</f>
        <v/>
      </c>
      <c r="F31" s="39">
        <f>SUM(F28:F30)</f>
        <v/>
      </c>
      <c r="G31" s="39">
        <f>SUM(G28:G30)</f>
        <v/>
      </c>
      <c r="H31" s="39">
        <f>SUM(H28:H30)</f>
        <v/>
      </c>
      <c r="I31" s="39">
        <f>SUM(I28:I30)</f>
        <v/>
      </c>
      <c r="J31" s="39">
        <f>SUM(J28:J30)</f>
        <v/>
      </c>
      <c r="K31" s="39">
        <f>SUM(K28:K30)</f>
        <v/>
      </c>
      <c r="L31" s="39">
        <f>SUM(L28:L30)</f>
        <v/>
      </c>
      <c r="M31" s="39">
        <f>SUM(M28:M30)</f>
        <v/>
      </c>
      <c r="N31" s="39">
        <f>AVERAGE(B31:M31)</f>
        <v/>
      </c>
    </row>
    <row r="32" outlineLevel="1" ht="10.5" customFormat="1" customHeight="1" s="12" thickBot="1">
      <c r="A32" s="27" t="inlineStr">
        <is>
          <t>TOTAL PRODUCTION</t>
        </is>
      </c>
      <c r="B32" s="39">
        <f>SUM(B31,B24)</f>
        <v/>
      </c>
      <c r="C32" s="39">
        <f>SUM(C31,C24)</f>
        <v/>
      </c>
      <c r="D32" s="39">
        <f>SUM(D31,D24)</f>
        <v/>
      </c>
      <c r="E32" s="39">
        <f>SUM(E31,E24)</f>
        <v/>
      </c>
      <c r="F32" s="39">
        <f>SUM(F31,F24)</f>
        <v/>
      </c>
      <c r="G32" s="39">
        <f>SUM(G31,G24)</f>
        <v/>
      </c>
      <c r="H32" s="39">
        <f>SUM(H31,H24)</f>
        <v/>
      </c>
      <c r="I32" s="39">
        <f>SUM(I31,I24)</f>
        <v/>
      </c>
      <c r="J32" s="39">
        <f>SUM(J31,J24)</f>
        <v/>
      </c>
      <c r="K32" s="39">
        <f>SUM(K31,K24)</f>
        <v/>
      </c>
      <c r="L32" s="39">
        <f>SUM(L31,L24)</f>
        <v/>
      </c>
      <c r="M32" s="39">
        <f>SUM(M31,M24)</f>
        <v/>
      </c>
      <c r="N32" s="39">
        <f>AVERAGE(B32:M32)</f>
        <v/>
      </c>
    </row>
    <row r="33" outlineLevel="1" ht="11.25" customHeight="1">
      <c r="A33" s="8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P33" s="12" t="n"/>
    </row>
    <row r="34" outlineLevel="1" ht="11.25" customHeight="1">
      <c r="A34" s="8" t="n"/>
      <c r="B34" s="36" t="n"/>
      <c r="C34" s="36" t="n"/>
      <c r="D34" s="36" t="n"/>
      <c r="E34" s="36" t="n"/>
      <c r="F34" s="36" t="n"/>
      <c r="G34" s="36" t="n"/>
      <c r="H34" s="35" t="n"/>
      <c r="I34" s="36" t="n"/>
      <c r="J34" s="36" t="n"/>
      <c r="K34" s="36" t="n"/>
      <c r="L34" s="36" t="n"/>
      <c r="M34" s="36" t="n"/>
      <c r="N34" s="22" t="n"/>
      <c r="P34" s="12" t="n"/>
    </row>
    <row r="35" outlineLevel="1" ht="11.25" customHeight="1">
      <c r="A35" s="8" t="n"/>
      <c r="B35" s="36" t="n"/>
      <c r="C35" s="36" t="n"/>
      <c r="D35" s="36" t="n"/>
      <c r="E35" s="1" t="n"/>
      <c r="F35" s="36" t="n"/>
      <c r="G35" s="36" t="n"/>
      <c r="H35" s="35" t="inlineStr">
        <is>
          <t>ESTIMATED PRODUCTION BY REGION</t>
        </is>
      </c>
      <c r="I35" s="1" t="n"/>
      <c r="J35" s="36" t="n"/>
      <c r="K35" s="36" t="n"/>
      <c r="L35" s="36" t="n"/>
      <c r="M35" s="36" t="n"/>
      <c r="N35" s="22" t="n"/>
      <c r="P35" s="12" t="n"/>
    </row>
    <row r="36" outlineLevel="1" ht="33.75" customHeight="1">
      <c r="A36" s="18" t="inlineStr">
        <is>
          <t xml:space="preserve">WESTERN CANADA/OUEST CANADIEN
</t>
        </is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20" t="n"/>
      <c r="P36" s="12" t="n"/>
    </row>
    <row r="37" ht="11.25" customFormat="1" customHeight="1" s="7">
      <c r="A37" s="19" t="inlineStr">
        <is>
          <t>CONV. LIGHT/LÉGER CLASS.</t>
        </is>
      </c>
      <c r="B37" s="40">
        <f>SUM(B8:B12,)</f>
        <v/>
      </c>
      <c r="C37" s="40">
        <f>SUM(C8:C12,)</f>
        <v/>
      </c>
      <c r="D37" s="40">
        <f>SUM(D8:D12,)</f>
        <v/>
      </c>
      <c r="E37" s="40">
        <f>SUM(E8:E12,)</f>
        <v/>
      </c>
      <c r="F37" s="40">
        <f>SUM(F8:F12,)</f>
        <v/>
      </c>
      <c r="G37" s="40">
        <f>SUM(G8:G12,)</f>
        <v/>
      </c>
      <c r="H37" s="40">
        <f>SUM(H8:H12,)</f>
        <v/>
      </c>
      <c r="I37" s="40">
        <f>SUM(I8:I12,)</f>
        <v/>
      </c>
      <c r="J37" s="40">
        <f>SUM(J8:J12,)</f>
        <v/>
      </c>
      <c r="K37" s="40">
        <f>SUM(K8:K12,)</f>
        <v/>
      </c>
      <c r="L37" s="40">
        <f>SUM(L8:L12,)</f>
        <v/>
      </c>
      <c r="M37" s="40">
        <f>SUM(M8:M12,)</f>
        <v/>
      </c>
      <c r="N37" s="40" t="n">
        <v>85019.01008561644</v>
      </c>
      <c r="P37" s="12" t="n"/>
    </row>
    <row r="38" ht="19.5" customFormat="1" customHeight="1" s="20">
      <c r="A38" s="17" t="inlineStr">
        <is>
          <t>AB UPGRADED BITUMEN/ BITUME VALORISÉ-AB 1</t>
        </is>
      </c>
      <c r="B38" s="40">
        <f>B18</f>
        <v/>
      </c>
      <c r="C38" s="40">
        <f>C18</f>
        <v/>
      </c>
      <c r="D38" s="40">
        <f>D18</f>
        <v/>
      </c>
      <c r="E38" s="40">
        <f>E18</f>
        <v/>
      </c>
      <c r="F38" s="40">
        <f>F18</f>
        <v/>
      </c>
      <c r="G38" s="40">
        <f>G18</f>
        <v/>
      </c>
      <c r="H38" s="40">
        <f>H18</f>
        <v/>
      </c>
      <c r="I38" s="40">
        <f>I18</f>
        <v/>
      </c>
      <c r="J38" s="40">
        <f>J18</f>
        <v/>
      </c>
      <c r="K38" s="40">
        <f>K18</f>
        <v/>
      </c>
      <c r="L38" s="40">
        <f>L18</f>
        <v/>
      </c>
      <c r="M38" s="40">
        <f>M18</f>
        <v/>
      </c>
      <c r="N38" s="40" t="n">
        <v>187692.7191780822</v>
      </c>
      <c r="P38" s="12" t="n"/>
    </row>
    <row r="39" outlineLevel="1" ht="11.25" customFormat="1" customHeight="1" s="12">
      <c r="A39" s="14" t="inlineStr">
        <is>
          <t>PENTANES PLUS</t>
        </is>
      </c>
      <c r="B39" s="40">
        <f>B23</f>
        <v/>
      </c>
      <c r="C39" s="40">
        <f>C23</f>
        <v/>
      </c>
      <c r="D39" s="40">
        <f>D23</f>
        <v/>
      </c>
      <c r="E39" s="40">
        <f>E23</f>
        <v/>
      </c>
      <c r="F39" s="40">
        <f>F23</f>
        <v/>
      </c>
      <c r="G39" s="40">
        <f>G23</f>
        <v/>
      </c>
      <c r="H39" s="40">
        <f>H23</f>
        <v/>
      </c>
      <c r="I39" s="40">
        <f>I23</f>
        <v/>
      </c>
      <c r="J39" s="40">
        <f>J23</f>
        <v/>
      </c>
      <c r="K39" s="40">
        <f>K23</f>
        <v/>
      </c>
      <c r="L39" s="40">
        <f>L23</f>
        <v/>
      </c>
      <c r="M39" s="40">
        <f>M23</f>
        <v/>
      </c>
      <c r="N39" s="40" t="n">
        <v>70945.36599315068</v>
      </c>
    </row>
    <row r="40" outlineLevel="1" ht="11.25" customFormat="1" customHeight="1" s="12">
      <c r="A40" s="28" t="inlineStr">
        <is>
          <t>TOTAL LIGHT/LÉGER</t>
        </is>
      </c>
      <c r="B40" s="41">
        <f>SUM(B37:B39)</f>
        <v/>
      </c>
      <c r="C40" s="41">
        <f>SUM(C37:C39)</f>
        <v/>
      </c>
      <c r="D40" s="41">
        <f>SUM(D37:D39)</f>
        <v/>
      </c>
      <c r="E40" s="41">
        <f>SUM(E37:E39)</f>
        <v/>
      </c>
      <c r="F40" s="41">
        <f>SUM(F37:F39)</f>
        <v/>
      </c>
      <c r="G40" s="41">
        <f>SUM(G37:G39)</f>
        <v/>
      </c>
      <c r="H40" s="41">
        <f>SUM(H37:H39)</f>
        <v/>
      </c>
      <c r="I40" s="41">
        <f>SUM(I37:I39)</f>
        <v/>
      </c>
      <c r="J40" s="41">
        <f>SUM(J37:J39)</f>
        <v/>
      </c>
      <c r="K40" s="41">
        <f>SUM(K37:K39)</f>
        <v/>
      </c>
      <c r="L40" s="41">
        <f>SUM(L37:L39)</f>
        <v/>
      </c>
      <c r="M40" s="41">
        <f>SUM(M37:M39)</f>
        <v/>
      </c>
      <c r="N40" s="41" t="n">
        <v>343657.0952568493</v>
      </c>
    </row>
    <row r="41" outlineLevel="1" ht="10.5" customFormat="1" customHeight="1" s="12">
      <c r="A41" s="19" t="inlineStr">
        <is>
          <t xml:space="preserve">CONV. HEAVY/LOURD CLASS. </t>
        </is>
      </c>
      <c r="B41" s="40">
        <f>SUM(B26,B29)</f>
        <v/>
      </c>
      <c r="C41" s="40">
        <f>SUM(C26,C29)</f>
        <v/>
      </c>
      <c r="D41" s="40">
        <f>SUM(D26,D29)</f>
        <v/>
      </c>
      <c r="E41" s="40">
        <f>SUM(E26,E29)</f>
        <v/>
      </c>
      <c r="F41" s="40">
        <f>SUM(F26,F29)</f>
        <v/>
      </c>
      <c r="G41" s="40">
        <f>SUM(G26,G29)</f>
        <v/>
      </c>
      <c r="H41" s="40">
        <f>SUM(H26,H29)</f>
        <v/>
      </c>
      <c r="I41" s="40">
        <f>SUM(I26,I29)</f>
        <v/>
      </c>
      <c r="J41" s="40">
        <f>SUM(J26,J29)</f>
        <v/>
      </c>
      <c r="K41" s="40">
        <f>SUM(K26,K29)</f>
        <v/>
      </c>
      <c r="L41" s="40">
        <f>SUM(L26,L29)</f>
        <v/>
      </c>
      <c r="M41" s="40">
        <f>SUM(M26,M29)</f>
        <v/>
      </c>
      <c r="N41" s="40" t="n">
        <v>63471.81420376714</v>
      </c>
    </row>
    <row r="42" outlineLevel="1" ht="18" customFormat="1" customHeight="1" s="12">
      <c r="A42" s="17" t="inlineStr">
        <is>
          <t>AB NON-UPGRADED BITUMEN / BITUME NON VALORISÉ-AB2</t>
        </is>
      </c>
      <c r="B42" s="40">
        <f>B27</f>
        <v/>
      </c>
      <c r="C42" s="40">
        <f>C27</f>
        <v/>
      </c>
      <c r="D42" s="40">
        <f>D27</f>
        <v/>
      </c>
      <c r="E42" s="40">
        <f>E27</f>
        <v/>
      </c>
      <c r="F42" s="40">
        <f>F27</f>
        <v/>
      </c>
      <c r="G42" s="40">
        <f>G27</f>
        <v/>
      </c>
      <c r="H42" s="40">
        <f>H27</f>
        <v/>
      </c>
      <c r="I42" s="40">
        <f>I27</f>
        <v/>
      </c>
      <c r="J42" s="40">
        <f>J27</f>
        <v/>
      </c>
      <c r="K42" s="40">
        <f>K27</f>
        <v/>
      </c>
      <c r="L42" s="40">
        <f>L27</f>
        <v/>
      </c>
      <c r="M42" s="40">
        <f>M27</f>
        <v/>
      </c>
      <c r="N42" s="40" t="n">
        <v>305378.295890411</v>
      </c>
    </row>
    <row r="43" outlineLevel="1" ht="11.25" customFormat="1" customHeight="1" s="12">
      <c r="A43" s="28" t="inlineStr">
        <is>
          <t>TOTAL HEAVY/LOURD</t>
        </is>
      </c>
      <c r="B43" s="41">
        <f>SUM(B41:B42)</f>
        <v/>
      </c>
      <c r="C43" s="41">
        <f>SUM(C41:C42)</f>
        <v/>
      </c>
      <c r="D43" s="41">
        <f>SUM(D41:D42)</f>
        <v/>
      </c>
      <c r="E43" s="41">
        <f>SUM(E41:E42)</f>
        <v/>
      </c>
      <c r="F43" s="41">
        <f>SUM(F41:F42)</f>
        <v/>
      </c>
      <c r="G43" s="41">
        <f>SUM(G41:G42)</f>
        <v/>
      </c>
      <c r="H43" s="41">
        <f>SUM(H41:H42)</f>
        <v/>
      </c>
      <c r="I43" s="41">
        <f>SUM(I41:I42)</f>
        <v/>
      </c>
      <c r="J43" s="41">
        <f>SUM(J41:J42)</f>
        <v/>
      </c>
      <c r="K43" s="41">
        <f>SUM(K41:K42)</f>
        <v/>
      </c>
      <c r="L43" s="41">
        <f>SUM(L41:L42)</f>
        <v/>
      </c>
      <c r="M43" s="41">
        <f>SUM(M41:M42)</f>
        <v/>
      </c>
      <c r="N43" s="41" t="n">
        <v>368850.1100941781</v>
      </c>
    </row>
    <row r="44" outlineLevel="1" ht="21" customFormat="1" customHeight="1" s="12">
      <c r="A44" s="16" t="inlineStr">
        <is>
          <t>TOTAL WESTERN CANADA/ OUEST CANADIEN</t>
        </is>
      </c>
      <c r="B44" s="38">
        <f>SUM(B43,B40)</f>
        <v/>
      </c>
      <c r="C44" s="38">
        <f>SUM(C43,C40)</f>
        <v/>
      </c>
      <c r="D44" s="38">
        <f>SUM(D43,D40)</f>
        <v/>
      </c>
      <c r="E44" s="38">
        <f>SUM(E43,E40)</f>
        <v/>
      </c>
      <c r="F44" s="38">
        <f>SUM(F43,F40)</f>
        <v/>
      </c>
      <c r="G44" s="38">
        <f>SUM(G43,G40)</f>
        <v/>
      </c>
      <c r="H44" s="38">
        <f>SUM(H43,H40)</f>
        <v/>
      </c>
      <c r="I44" s="38">
        <f>SUM(I43,I40)</f>
        <v/>
      </c>
      <c r="J44" s="38">
        <f>SUM(J43,J40)</f>
        <v/>
      </c>
      <c r="K44" s="38">
        <f>SUM(K43,K40)</f>
        <v/>
      </c>
      <c r="L44" s="38">
        <f>SUM(L43,L40)</f>
        <v/>
      </c>
      <c r="M44" s="38">
        <f>SUM(M43,M40)</f>
        <v/>
      </c>
      <c r="N44" s="38" t="n">
        <v>712507.2053510274</v>
      </c>
    </row>
    <row r="45" outlineLevel="1" ht="23.25" customFormat="1" customHeight="1" s="12" thickBot="1">
      <c r="A45" s="26" t="inlineStr">
        <is>
          <t>TOTAL EASTERN CANADA/
EST CANADIEN</t>
        </is>
      </c>
      <c r="B45" s="39">
        <f>SUM(B13:B15,B30)</f>
        <v/>
      </c>
      <c r="C45" s="39">
        <f>SUM(C13:C15,C30)</f>
        <v/>
      </c>
      <c r="D45" s="39">
        <f>SUM(D13:D15,D30)</f>
        <v/>
      </c>
      <c r="E45" s="39">
        <f>SUM(E13:E15,E30)</f>
        <v/>
      </c>
      <c r="F45" s="39">
        <f>SUM(F13:F15,F30)</f>
        <v/>
      </c>
      <c r="G45" s="39">
        <f>SUM(G13:G15,G30)</f>
        <v/>
      </c>
      <c r="H45" s="39">
        <f>SUM(H13:H15,H30)</f>
        <v/>
      </c>
      <c r="I45" s="39">
        <f>SUM(I13:I15,I30)</f>
        <v/>
      </c>
      <c r="J45" s="39">
        <f>SUM(J13:J15,J30)</f>
        <v/>
      </c>
      <c r="K45" s="39">
        <f>SUM(K13:K15,K30)</f>
        <v/>
      </c>
      <c r="L45" s="39">
        <f>SUM(L13:L15,L30)</f>
        <v/>
      </c>
      <c r="M45" s="39">
        <f>SUM(M13:M15,M30)</f>
        <v/>
      </c>
      <c r="N45" s="49" t="n">
        <v>41039.36164383562</v>
      </c>
    </row>
    <row r="46" outlineLevel="1" ht="12" customFormat="1" customHeight="1" s="12" thickBot="1">
      <c r="A46" s="25" t="inlineStr">
        <is>
          <t>TOTAL CANADA</t>
        </is>
      </c>
      <c r="B46" s="48">
        <f>SUM(B45,B44)</f>
        <v/>
      </c>
      <c r="C46" s="48">
        <f>SUM(C45,C44)</f>
        <v/>
      </c>
      <c r="D46" s="48">
        <f>SUM(D45,D44)</f>
        <v/>
      </c>
      <c r="E46" s="48">
        <f>SUM(E45,E44)</f>
        <v/>
      </c>
      <c r="F46" s="48">
        <f>SUM(F45,F44)</f>
        <v/>
      </c>
      <c r="G46" s="48">
        <f>SUM(G45,G44)</f>
        <v/>
      </c>
      <c r="H46" s="48">
        <f>SUM(H45,H44)</f>
        <v/>
      </c>
      <c r="I46" s="48">
        <f>SUM(I45,I44)</f>
        <v/>
      </c>
      <c r="J46" s="48">
        <f>SUM(J45,J44)</f>
        <v/>
      </c>
      <c r="K46" s="48">
        <f>SUM(K45,K44)</f>
        <v/>
      </c>
      <c r="L46" s="48">
        <f>SUM(L45,L44)</f>
        <v/>
      </c>
      <c r="M46" s="48">
        <f>SUM(M45,M44)</f>
        <v/>
      </c>
      <c r="N46" s="48" t="n">
        <v>753546.566994863</v>
      </c>
    </row>
    <row r="47" outlineLevel="1" ht="11.25" customFormat="1" customHeight="1" s="12">
      <c r="A47" s="3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 outlineLevel="1" ht="11.25" customFormat="1" customHeight="1" s="12">
      <c r="A48" s="3" t="inlineStr">
        <is>
          <t>NOTES: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 outlineLevel="1" ht="10.5" customFormat="1" customHeight="1" s="12">
      <c r="A49" s="3" t="inlineStr">
        <is>
          <t>Figures in black print are actual production data from reporting agencies.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 outlineLevel="1" ht="11.25" customFormat="1" customHeight="1" s="13">
      <c r="A50" s="3" t="inlineStr">
        <is>
          <t>Forecasted values are no longer available in this publication. For the latest projections of crude oil and natural gas production in Canada please visit the CERs Energy Futures page.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 outlineLevel="1" ht="11.25" customFormat="1" customHeight="1" s="13">
      <c r="A51" s="21" t="inlineStr">
        <is>
          <t>1 As per AER -ST3, includes in situ bitumen that is upgraded to SCO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 ht="11.25" customFormat="1" customHeight="1" s="12">
      <c r="A52" s="22" t="inlineStr">
        <is>
          <t xml:space="preserve">2 As per AER -ST3, excludes in situ produced bitumen that is upgraded to SCO 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 ht="11.25" customFormat="1" customHeight="1" s="12">
      <c r="A53" s="3" t="n"/>
      <c r="B53" s="2" t="n"/>
      <c r="C53" s="2" t="n"/>
      <c r="D53" s="2" t="n"/>
      <c r="E53" s="2" t="n"/>
      <c r="F53" s="2" t="n"/>
      <c r="G53" s="7" t="n"/>
      <c r="H53" s="2" t="n"/>
      <c r="I53" s="2" t="n"/>
      <c r="J53" s="2" t="n"/>
      <c r="K53" s="2" t="n"/>
      <c r="L53" s="2" t="n"/>
      <c r="M53" s="2" t="n"/>
      <c r="N53" s="2" t="n"/>
    </row>
    <row r="54" ht="11.25" customFormat="1" customHeight="1" s="12">
      <c r="A54" s="22" t="inlineStr">
        <is>
          <t>Les chiffres en noir représentent les données de production réelles obtenues auprès d'organismes présentant des rapports.</t>
        </is>
      </c>
      <c r="B54" s="2" t="n"/>
      <c r="C54" s="2" t="n"/>
      <c r="D54" s="2" t="n"/>
      <c r="E54" s="2" t="n"/>
      <c r="F54" s="2" t="n"/>
      <c r="G54" s="7" t="n"/>
      <c r="H54" s="2" t="n"/>
      <c r="I54" s="2" t="n"/>
      <c r="J54" s="2" t="n"/>
      <c r="K54" s="2" t="n"/>
      <c r="L54" s="2" t="n"/>
      <c r="M54" s="2" t="n"/>
      <c r="N54" s="2" t="n"/>
    </row>
    <row r="55" ht="11.25" customFormat="1" customHeight="1" s="12">
      <c r="A55" s="23" t="inlineStr">
        <is>
          <t>Les valeurs prévues ne sont plus disponibles dans cette publication. Pour connaître les dernières projections relatives à la production de pétrole brut et de gaz naturel au Canada, consultez la page principale d’Avenir énergétique du Canada</t>
        </is>
      </c>
      <c r="B55" s="2" t="n"/>
      <c r="C55" s="2" t="n"/>
      <c r="D55" s="2" t="n"/>
      <c r="E55" s="2" t="n"/>
      <c r="F55" s="2" t="n"/>
      <c r="G55" s="7" t="n"/>
      <c r="H55" s="2" t="n"/>
      <c r="I55" s="2" t="n"/>
      <c r="J55" s="2" t="n"/>
      <c r="K55" s="2" t="n"/>
      <c r="L55" s="2" t="n"/>
      <c r="M55" s="2" t="n"/>
      <c r="N55" s="2" t="n"/>
    </row>
    <row r="56" ht="11.25" customHeight="1">
      <c r="A56" s="24" t="inlineStr">
        <is>
          <t>1 Comprend la production de pétrole brut synthétique et de distillats.</t>
        </is>
      </c>
    </row>
    <row r="57" ht="11.25" customFormat="1" customHeight="1" s="13">
      <c r="A57" s="21" t="inlineStr">
        <is>
          <t>2 Bitume in situ, sauf les quantités transformées en pétrole brut synthétique par valorisation.</t>
        </is>
      </c>
      <c r="B57" s="2" t="n"/>
      <c r="C57" s="2" t="n"/>
      <c r="D57" s="2" t="n"/>
      <c r="E57" s="2" t="n"/>
      <c r="F57" s="2" t="n"/>
      <c r="G57" s="7" t="n"/>
      <c r="H57" s="2" t="n"/>
      <c r="I57" s="2" t="n"/>
      <c r="J57" s="2" t="n"/>
      <c r="K57" s="2" t="n"/>
      <c r="L57" s="2" t="n"/>
      <c r="M57" s="2" t="n"/>
      <c r="N57" s="2" t="n"/>
    </row>
    <row r="58" ht="9.949999999999999" customHeight="1">
      <c r="A58" s="3" t="n"/>
    </row>
    <row r="1087" ht="10.5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6C6"/>
  <printOptions horizontalCentered="1" verticalCentered="1"/>
  <pageMargins left="0.24" right="0.22" top="0.37" bottom="0.42" header="0.25" footer="0.17"/>
  <pageSetup orientation="landscape" scale="95" fitToHeight="2"/>
  <headerFooter alignWithMargins="0">
    <oddHeader/>
    <oddFooter>&amp;RNEB/ RP:  &amp;D</oddFooter>
    <evenHeader/>
    <evenFooter/>
    <firstHeader/>
    <firstFooter/>
  </headerFooter>
  <rowBreaks count="1" manualBreakCount="1">
    <brk id="34" min="0" max="45" man="1"/>
  </rowBreaks>
  <colBreaks count="1" manualBreakCount="1">
    <brk id="15" min="0" max="59" man="1"/>
  </col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2:U57"/>
  <sheetViews>
    <sheetView workbookViewId="0">
      <selection activeCell="N8" sqref="N8"/>
    </sheetView>
  </sheetViews>
  <sheetFormatPr baseColWidth="8" defaultRowHeight="10.5"/>
  <cols>
    <col width="33.5" customWidth="1" min="1" max="1"/>
    <col width="9.6640625" bestFit="1" customWidth="1" min="2" max="13"/>
    <col width="14" bestFit="1" customWidth="1" min="14" max="14"/>
    <col width="11.1640625" bestFit="1" customWidth="1" min="20" max="20"/>
  </cols>
  <sheetData>
    <row r="1" ht="30" customHeight="1"/>
    <row r="2" ht="11.25" customHeight="1">
      <c r="A2" s="62">
        <f>'21TABLE - cubic meters per day'!A2</f>
        <v/>
      </c>
      <c r="H2" s="4" t="inlineStr">
        <is>
          <t>2021 ESTIMATED PRODUCTION OF CANADIAN CRUDE OIL AND EQUIVALENT  (b/d)</t>
        </is>
      </c>
    </row>
    <row r="3" ht="11.25" customHeight="1">
      <c r="H3" s="4" t="inlineStr">
        <is>
          <t>PRODUCTION ESTIMATIVE DE PÉTROLE BRUT ET D'ÉQUIVALENTS AU CANADA EN 2021 (b/j)</t>
        </is>
      </c>
    </row>
    <row r="4" ht="11.25" customHeight="1">
      <c r="A4" s="7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>
        <f>'21TABLE - cubic meters per day'!N4</f>
        <v/>
      </c>
    </row>
    <row r="5" ht="11.25" customHeight="1">
      <c r="A5" s="9" t="n"/>
      <c r="B5" s="7" t="inlineStr">
        <is>
          <t>Jan/janv.</t>
        </is>
      </c>
      <c r="C5" s="7" t="inlineStr">
        <is>
          <t>Feb/fév.</t>
        </is>
      </c>
      <c r="D5" s="7" t="inlineStr">
        <is>
          <t>Mar/mars</t>
        </is>
      </c>
      <c r="E5" s="7" t="inlineStr">
        <is>
          <t>Apr/avr.</t>
        </is>
      </c>
      <c r="F5" s="7" t="inlineStr">
        <is>
          <t>May/mai</t>
        </is>
      </c>
      <c r="G5" s="7" t="inlineStr">
        <is>
          <t>June/juin</t>
        </is>
      </c>
      <c r="H5" s="7" t="inlineStr">
        <is>
          <t>July/juil.</t>
        </is>
      </c>
      <c r="I5" s="7" t="inlineStr">
        <is>
          <t>Aug/août</t>
        </is>
      </c>
      <c r="J5" s="7" t="inlineStr">
        <is>
          <t>Sep/sept.</t>
        </is>
      </c>
      <c r="K5" s="7" t="inlineStr">
        <is>
          <t>Oct/oct.</t>
        </is>
      </c>
      <c r="L5" s="7" t="inlineStr">
        <is>
          <t>Nov/nov.</t>
        </is>
      </c>
      <c r="M5" s="7" t="inlineStr">
        <is>
          <t>Dec/déc.</t>
        </is>
      </c>
      <c r="N5" s="7" t="inlineStr">
        <is>
          <t>Avg/moyenne</t>
        </is>
      </c>
    </row>
    <row r="6" ht="11.25" customHeight="1">
      <c r="A6" s="9" t="inlineStr">
        <is>
          <t>CONV. LIGHT CRUDE OIL/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3" t="n"/>
    </row>
    <row r="7" ht="11.25" customHeight="1">
      <c r="A7" s="10" t="inlineStr">
        <is>
          <t>PÉTROLE BRUT LÉGER CLASS.</t>
        </is>
      </c>
      <c r="B7" s="32" t="n"/>
      <c r="C7" s="32" t="n"/>
      <c r="D7" s="34" t="n"/>
      <c r="E7" s="34" t="n"/>
      <c r="F7" s="29" t="n"/>
      <c r="G7" s="29" t="n"/>
      <c r="H7" s="29" t="n"/>
      <c r="I7" s="29" t="n"/>
      <c r="J7" s="29" t="n"/>
      <c r="K7" s="29" t="n"/>
      <c r="L7" s="29" t="n"/>
      <c r="M7" s="29" t="n"/>
      <c r="N7" s="29" t="n"/>
    </row>
    <row r="8" ht="11.25" customHeight="1">
      <c r="A8" s="11" t="inlineStr">
        <is>
          <t>AB</t>
        </is>
      </c>
      <c r="B8" s="40">
        <f>'21TABLE - cubic meters per day'!B8*6.2898</f>
        <v/>
      </c>
      <c r="C8" s="40">
        <f>'21TABLE - cubic meters per day'!C8*6.2898</f>
        <v/>
      </c>
      <c r="D8" s="40">
        <f>'21TABLE - cubic meters per day'!D8*6.2898</f>
        <v/>
      </c>
      <c r="E8" s="40">
        <f>'21TABLE - cubic meters per day'!E8*6.2898</f>
        <v/>
      </c>
      <c r="F8" s="40">
        <f>'21TABLE - cubic meters per day'!F8*6.2898</f>
        <v/>
      </c>
      <c r="G8" s="40">
        <f>'21TABLE - cubic meters per day'!G8*6.2898</f>
        <v/>
      </c>
      <c r="H8" s="40">
        <f>'21TABLE - cubic meters per day'!H8*6.2898</f>
        <v/>
      </c>
      <c r="I8" s="40">
        <f>'21TABLE - cubic meters per day'!I8*6.2898</f>
        <v/>
      </c>
      <c r="J8" s="40">
        <f>'21TABLE - cubic meters per day'!J8*6.2898</f>
        <v/>
      </c>
      <c r="K8" s="40">
        <f>'21TABLE - cubic meters per day'!K8*6.2898</f>
        <v/>
      </c>
      <c r="L8" s="40">
        <f>'21TABLE - cubic meters per day'!L8*6.2898</f>
        <v/>
      </c>
      <c r="M8" s="40">
        <f>'21TABLE - cubic meters per day'!M8*6.2898</f>
        <v/>
      </c>
      <c r="N8" s="40">
        <f>AVERAGE(B8:M8)</f>
        <v/>
      </c>
    </row>
    <row r="9" ht="11.25" customHeight="1">
      <c r="A9" s="11" t="inlineStr">
        <is>
          <t>BC</t>
        </is>
      </c>
      <c r="B9" s="40">
        <f>'21TABLE - cubic meters per day'!B9*6.2898</f>
        <v/>
      </c>
      <c r="C9" s="40">
        <f>'21TABLE - cubic meters per day'!C9*6.2898</f>
        <v/>
      </c>
      <c r="D9" s="40">
        <f>'21TABLE - cubic meters per day'!D9*6.2898</f>
        <v/>
      </c>
      <c r="E9" s="40">
        <f>'21TABLE - cubic meters per day'!E9*6.2898</f>
        <v/>
      </c>
      <c r="F9" s="40">
        <f>'21TABLE - cubic meters per day'!F9*6.2898</f>
        <v/>
      </c>
      <c r="G9" s="40">
        <f>'21TABLE - cubic meters per day'!G9*6.2898</f>
        <v/>
      </c>
      <c r="H9" s="40">
        <f>'21TABLE - cubic meters per day'!H9*6.2898</f>
        <v/>
      </c>
      <c r="I9" s="40">
        <f>'21TABLE - cubic meters per day'!I9*6.2898</f>
        <v/>
      </c>
      <c r="J9" s="40">
        <f>'21TABLE - cubic meters per day'!J9*6.2898</f>
        <v/>
      </c>
      <c r="K9" s="40">
        <f>'21TABLE - cubic meters per day'!K9*6.2898</f>
        <v/>
      </c>
      <c r="L9" s="40">
        <f>'21TABLE - cubic meters per day'!L9*6.2898</f>
        <v/>
      </c>
      <c r="M9" s="40">
        <f>'21TABLE - cubic meters per day'!M9*6.2898</f>
        <v/>
      </c>
      <c r="N9" s="40">
        <f>AVERAGE(B9:M9)</f>
        <v/>
      </c>
    </row>
    <row r="10" ht="11.25" customHeight="1">
      <c r="A10" s="11" t="inlineStr">
        <is>
          <t>SK</t>
        </is>
      </c>
      <c r="B10" s="40">
        <f>'21TABLE - cubic meters per day'!B10*6.2898</f>
        <v/>
      </c>
      <c r="C10" s="40">
        <f>'21TABLE - cubic meters per day'!C10*6.2898</f>
        <v/>
      </c>
      <c r="D10" s="40">
        <f>'21TABLE - cubic meters per day'!D10*6.2898</f>
        <v/>
      </c>
      <c r="E10" s="40">
        <f>'21TABLE - cubic meters per day'!E10*6.2898</f>
        <v/>
      </c>
      <c r="F10" s="40">
        <f>'21TABLE - cubic meters per day'!F10*6.2898</f>
        <v/>
      </c>
      <c r="G10" s="40">
        <f>'21TABLE - cubic meters per day'!G10*6.2898</f>
        <v/>
      </c>
      <c r="H10" s="40">
        <f>'21TABLE - cubic meters per day'!H10*6.2898</f>
        <v/>
      </c>
      <c r="I10" s="40">
        <f>'21TABLE - cubic meters per day'!I10*6.2898</f>
        <v/>
      </c>
      <c r="J10" s="40">
        <f>'21TABLE - cubic meters per day'!J10*6.2898</f>
        <v/>
      </c>
      <c r="K10" s="40">
        <f>'21TABLE - cubic meters per day'!K10*6.2898</f>
        <v/>
      </c>
      <c r="L10" s="40">
        <f>'21TABLE - cubic meters per day'!L10*6.2898</f>
        <v/>
      </c>
      <c r="M10" s="40">
        <f>'21TABLE - cubic meters per day'!M10*6.2898</f>
        <v/>
      </c>
      <c r="N10" s="40">
        <f>AVERAGE(B10:M10)</f>
        <v/>
      </c>
    </row>
    <row r="11" ht="11.25" customHeight="1">
      <c r="A11" s="11" t="inlineStr">
        <is>
          <t>MB</t>
        </is>
      </c>
      <c r="B11" s="40">
        <f>'21TABLE - cubic meters per day'!B11*6.2898</f>
        <v/>
      </c>
      <c r="C11" s="40">
        <f>'21TABLE - cubic meters per day'!C11*6.2898</f>
        <v/>
      </c>
      <c r="D11" s="40">
        <f>'21TABLE - cubic meters per day'!D11*6.2898</f>
        <v/>
      </c>
      <c r="E11" s="40">
        <f>'21TABLE - cubic meters per day'!E11*6.2898</f>
        <v/>
      </c>
      <c r="F11" s="40">
        <f>'21TABLE - cubic meters per day'!F11*6.2898</f>
        <v/>
      </c>
      <c r="G11" s="40">
        <f>'21TABLE - cubic meters per day'!G11*6.2898</f>
        <v/>
      </c>
      <c r="H11" s="40">
        <f>'21TABLE - cubic meters per day'!H11*6.2898</f>
        <v/>
      </c>
      <c r="I11" s="40">
        <f>'21TABLE - cubic meters per day'!I11*6.2898</f>
        <v/>
      </c>
      <c r="J11" s="40">
        <f>'21TABLE - cubic meters per day'!J11*6.2898</f>
        <v/>
      </c>
      <c r="K11" s="40">
        <f>'21TABLE - cubic meters per day'!K11*6.2898</f>
        <v/>
      </c>
      <c r="L11" s="40">
        <f>'21TABLE - cubic meters per day'!L11*6.2898</f>
        <v/>
      </c>
      <c r="M11" s="40">
        <f>'21TABLE - cubic meters per day'!M11*6.2898</f>
        <v/>
      </c>
      <c r="N11" s="40">
        <f>AVERAGE(B11:M11)</f>
        <v/>
      </c>
    </row>
    <row r="12" ht="11.25" customHeight="1">
      <c r="A12" s="11" t="inlineStr">
        <is>
          <t>NWT/NT</t>
        </is>
      </c>
      <c r="B12" s="40">
        <f>'21TABLE - cubic meters per day'!B12*6.2898</f>
        <v/>
      </c>
      <c r="C12" s="40">
        <f>'21TABLE - cubic meters per day'!C12*6.2898</f>
        <v/>
      </c>
      <c r="D12" s="40">
        <f>'21TABLE - cubic meters per day'!D12*6.2898</f>
        <v/>
      </c>
      <c r="E12" s="40">
        <f>'21TABLE - cubic meters per day'!E12*6.2898</f>
        <v/>
      </c>
      <c r="F12" s="40">
        <f>'21TABLE - cubic meters per day'!F12*6.2898</f>
        <v/>
      </c>
      <c r="G12" s="40">
        <f>'21TABLE - cubic meters per day'!G12*6.2898</f>
        <v/>
      </c>
      <c r="H12" s="40">
        <f>'21TABLE - cubic meters per day'!H12*6.2898</f>
        <v/>
      </c>
      <c r="I12" s="40">
        <f>'21TABLE - cubic meters per day'!I12*6.2898</f>
        <v/>
      </c>
      <c r="J12" s="40">
        <f>'21TABLE - cubic meters per day'!J12*6.2898</f>
        <v/>
      </c>
      <c r="K12" s="40">
        <f>'21TABLE - cubic meters per day'!K12*6.2898</f>
        <v/>
      </c>
      <c r="L12" s="40">
        <f>'21TABLE - cubic meters per day'!L12*6.2898</f>
        <v/>
      </c>
      <c r="M12" s="40">
        <f>'21TABLE - cubic meters per day'!M12*6.2898</f>
        <v/>
      </c>
      <c r="N12" s="40">
        <f>AVERAGE(B12:M12)</f>
        <v/>
      </c>
    </row>
    <row r="13" ht="11.25" customHeight="1">
      <c r="A13" s="11" t="inlineStr">
        <is>
          <t>NF/NL</t>
        </is>
      </c>
      <c r="B13" s="40">
        <f>'21TABLE - cubic meters per day'!B13*6.2898</f>
        <v/>
      </c>
      <c r="C13" s="40">
        <f>'21TABLE - cubic meters per day'!C13*6.2898</f>
        <v/>
      </c>
      <c r="D13" s="40">
        <f>'21TABLE - cubic meters per day'!D13*6.2898</f>
        <v/>
      </c>
      <c r="E13" s="40">
        <f>'21TABLE - cubic meters per day'!E13*6.2898</f>
        <v/>
      </c>
      <c r="F13" s="40">
        <f>'21TABLE - cubic meters per day'!F13*6.2898</f>
        <v/>
      </c>
      <c r="G13" s="40">
        <f>'21TABLE - cubic meters per day'!G13*6.2898</f>
        <v/>
      </c>
      <c r="H13" s="40">
        <f>'21TABLE - cubic meters per day'!H13*6.2898</f>
        <v/>
      </c>
      <c r="I13" s="40">
        <f>'21TABLE - cubic meters per day'!I13*6.2898</f>
        <v/>
      </c>
      <c r="J13" s="40">
        <f>'21TABLE - cubic meters per day'!J13*6.2898</f>
        <v/>
      </c>
      <c r="K13" s="40">
        <f>'21TABLE - cubic meters per day'!K13*6.2898</f>
        <v/>
      </c>
      <c r="L13" s="40">
        <f>'21TABLE - cubic meters per day'!L13*6.2898</f>
        <v/>
      </c>
      <c r="M13" s="40">
        <f>'21TABLE - cubic meters per day'!M13*6.2898</f>
        <v/>
      </c>
      <c r="N13" s="40">
        <f>AVERAGE(B13:M13)</f>
        <v/>
      </c>
    </row>
    <row r="14" ht="11.25" customHeight="1">
      <c r="A14" s="11" t="inlineStr">
        <is>
          <t>NB</t>
        </is>
      </c>
      <c r="B14" s="40">
        <f>'21TABLE - cubic meters per day'!B14*6.2898</f>
        <v/>
      </c>
      <c r="C14" s="40">
        <f>'21TABLE - cubic meters per day'!C14*6.2898</f>
        <v/>
      </c>
      <c r="D14" s="40">
        <f>'21TABLE - cubic meters per day'!D14*6.2898</f>
        <v/>
      </c>
      <c r="E14" s="40">
        <f>'21TABLE - cubic meters per day'!E14*6.2898</f>
        <v/>
      </c>
      <c r="F14" s="40">
        <f>'21TABLE - cubic meters per day'!F14*6.2898</f>
        <v/>
      </c>
      <c r="G14" s="40">
        <f>'21TABLE - cubic meters per day'!G14*6.2898</f>
        <v/>
      </c>
      <c r="H14" s="40">
        <f>'21TABLE - cubic meters per day'!H14*6.2898</f>
        <v/>
      </c>
      <c r="I14" s="40">
        <f>'21TABLE - cubic meters per day'!I14*6.2898</f>
        <v/>
      </c>
      <c r="J14" s="40">
        <f>'21TABLE - cubic meters per day'!J14*6.2898</f>
        <v/>
      </c>
      <c r="K14" s="40">
        <f>'21TABLE - cubic meters per day'!K14*6.2898</f>
        <v/>
      </c>
      <c r="L14" s="40">
        <f>'21TABLE - cubic meters per day'!L14*6.2898</f>
        <v/>
      </c>
      <c r="M14" s="40">
        <f>'21TABLE - cubic meters per day'!M14*6.2898</f>
        <v/>
      </c>
      <c r="N14" s="40">
        <f>AVERAGE(B14:M14)</f>
        <v/>
      </c>
    </row>
    <row r="15" ht="11.25" customHeight="1">
      <c r="A15" s="11" t="inlineStr">
        <is>
          <t>ON</t>
        </is>
      </c>
      <c r="B15" s="40">
        <f>'21TABLE - cubic meters per day'!B15*6.2898</f>
        <v/>
      </c>
      <c r="C15" s="40">
        <f>'21TABLE - cubic meters per day'!C15*6.2898</f>
        <v/>
      </c>
      <c r="D15" s="40">
        <f>'21TABLE - cubic meters per day'!D15*6.2898</f>
        <v/>
      </c>
      <c r="E15" s="40">
        <f>'21TABLE - cubic meters per day'!E15*6.2898</f>
        <v/>
      </c>
      <c r="F15" s="40">
        <f>'21TABLE - cubic meters per day'!F15*6.2898</f>
        <v/>
      </c>
      <c r="G15" s="40">
        <f>'21TABLE - cubic meters per day'!G15*6.2898</f>
        <v/>
      </c>
      <c r="H15" s="40">
        <f>'21TABLE - cubic meters per day'!H15*6.2898</f>
        <v/>
      </c>
      <c r="I15" s="40">
        <f>'21TABLE - cubic meters per day'!I15*6.2898</f>
        <v/>
      </c>
      <c r="J15" s="40">
        <f>'21TABLE - cubic meters per day'!J15*6.2898</f>
        <v/>
      </c>
      <c r="K15" s="40">
        <f>'21TABLE - cubic meters per day'!K15*6.2898</f>
        <v/>
      </c>
      <c r="L15" s="40">
        <f>'21TABLE - cubic meters per day'!L15*6.2898</f>
        <v/>
      </c>
      <c r="M15" s="40">
        <f>'21TABLE - cubic meters per day'!M15*6.2898</f>
        <v/>
      </c>
      <c r="N15" s="40">
        <f>AVERAGE(B15:M15)</f>
        <v/>
      </c>
    </row>
    <row r="16" ht="11.25" customHeight="1">
      <c r="A16" s="30" t="inlineStr">
        <is>
          <t>SUB TOTAL/SOUS-TOTAL</t>
        </is>
      </c>
      <c r="B16" s="41">
        <f>'21TABLE - cubic meters per day'!B16*6.2898</f>
        <v/>
      </c>
      <c r="C16" s="41">
        <f>'21TABLE - cubic meters per day'!C16*6.2898</f>
        <v/>
      </c>
      <c r="D16" s="41">
        <f>'21TABLE - cubic meters per day'!D16*6.2898</f>
        <v/>
      </c>
      <c r="E16" s="41">
        <f>'21TABLE - cubic meters per day'!E16*6.2898</f>
        <v/>
      </c>
      <c r="F16" s="41">
        <f>'21TABLE - cubic meters per day'!F16*6.2898</f>
        <v/>
      </c>
      <c r="G16" s="41">
        <f>'21TABLE - cubic meters per day'!G16*6.2898</f>
        <v/>
      </c>
      <c r="H16" s="41">
        <f>'21TABLE - cubic meters per day'!H16*6.2898</f>
        <v/>
      </c>
      <c r="I16" s="41">
        <f>'21TABLE - cubic meters per day'!I16*6.2898</f>
        <v/>
      </c>
      <c r="J16" s="41">
        <f>'21TABLE - cubic meters per day'!J16*6.2898</f>
        <v/>
      </c>
      <c r="K16" s="41">
        <f>'21TABLE - cubic meters per day'!K16*6.2898</f>
        <v/>
      </c>
      <c r="L16" s="41">
        <f>'21TABLE - cubic meters per day'!L16*6.2898</f>
        <v/>
      </c>
      <c r="M16" s="41">
        <f>'21TABLE - cubic meters per day'!M16*6.2898</f>
        <v/>
      </c>
      <c r="N16" s="41">
        <f>AVERAGE(B16:M16)</f>
        <v/>
      </c>
    </row>
    <row r="17" ht="22.5" customHeight="1">
      <c r="A17" s="9" t="inlineStr">
        <is>
          <t>AB UPGRADED BITUMEN/ BITUME VALORISÉ-AB1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</row>
    <row r="18" ht="11.25" customHeight="1">
      <c r="A18" s="14" t="inlineStr">
        <is>
          <t>SUB TOTAL/SOUS-TOTAL</t>
        </is>
      </c>
      <c r="B18" s="40">
        <f>'21TABLE - cubic meters per day'!B18*6.2898</f>
        <v/>
      </c>
      <c r="C18" s="40">
        <f>'21TABLE - cubic meters per day'!C18*6.2898</f>
        <v/>
      </c>
      <c r="D18" s="40">
        <f>'21TABLE - cubic meters per day'!D18*6.2898</f>
        <v/>
      </c>
      <c r="E18" s="40">
        <f>'21TABLE - cubic meters per day'!E18*6.2898</f>
        <v/>
      </c>
      <c r="F18" s="40">
        <f>'21TABLE - cubic meters per day'!F18*6.2898</f>
        <v/>
      </c>
      <c r="G18" s="40">
        <f>'21TABLE - cubic meters per day'!G18*6.2898</f>
        <v/>
      </c>
      <c r="H18" s="40">
        <f>'21TABLE - cubic meters per day'!H18*6.2898</f>
        <v/>
      </c>
      <c r="I18" s="40">
        <f>'21TABLE - cubic meters per day'!I18*6.2898</f>
        <v/>
      </c>
      <c r="J18" s="40">
        <f>'21TABLE - cubic meters per day'!J18*6.2898</f>
        <v/>
      </c>
      <c r="K18" s="40">
        <f>'21TABLE - cubic meters per day'!K18*6.2898</f>
        <v/>
      </c>
      <c r="L18" s="40">
        <f>'21TABLE - cubic meters per day'!L18*6.2898</f>
        <v/>
      </c>
      <c r="M18" s="40">
        <f>'21TABLE - cubic meters per day'!M18*6.2898</f>
        <v/>
      </c>
      <c r="N18" s="40">
        <f>AVERAGE(B18:M18)</f>
        <v/>
      </c>
      <c r="T18" s="31" t="n"/>
    </row>
    <row r="19" ht="11.25" customHeight="1">
      <c r="A19" s="3" t="inlineStr">
        <is>
          <t>C5+ / CONDENSATE/C5+/CONDENSATS</t>
        </is>
      </c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7" t="n"/>
      <c r="T19" s="31" t="n"/>
      <c r="U19" s="31" t="n"/>
    </row>
    <row r="20" ht="11.25" customHeight="1">
      <c r="A20" s="11" t="inlineStr">
        <is>
          <t>AB</t>
        </is>
      </c>
      <c r="B20" s="40">
        <f>'21TABLE - cubic meters per day'!B20*6.2898</f>
        <v/>
      </c>
      <c r="C20" s="40">
        <f>'21TABLE - cubic meters per day'!C20*6.2898</f>
        <v/>
      </c>
      <c r="D20" s="40">
        <f>'21TABLE - cubic meters per day'!D20*6.2898</f>
        <v/>
      </c>
      <c r="E20" s="40">
        <f>'21TABLE - cubic meters per day'!E20*6.2898</f>
        <v/>
      </c>
      <c r="F20" s="40">
        <f>'21TABLE - cubic meters per day'!F20*6.2898</f>
        <v/>
      </c>
      <c r="G20" s="40">
        <f>'21TABLE - cubic meters per day'!G20*6.2898</f>
        <v/>
      </c>
      <c r="H20" s="40">
        <f>'21TABLE - cubic meters per day'!H20*6.2898</f>
        <v/>
      </c>
      <c r="I20" s="40">
        <f>'21TABLE - cubic meters per day'!I20*6.2898</f>
        <v/>
      </c>
      <c r="J20" s="40">
        <f>'21TABLE - cubic meters per day'!J20*6.2898</f>
        <v/>
      </c>
      <c r="K20" s="40">
        <f>'21TABLE - cubic meters per day'!K20*6.2898</f>
        <v/>
      </c>
      <c r="L20" s="40">
        <f>'21TABLE - cubic meters per day'!L20*6.2898</f>
        <v/>
      </c>
      <c r="M20" s="40">
        <f>'21TABLE - cubic meters per day'!M20*6.2898</f>
        <v/>
      </c>
      <c r="N20" s="40">
        <f>AVERAGE(B20:M20)</f>
        <v/>
      </c>
    </row>
    <row r="21" ht="11.25" customHeight="1">
      <c r="A21" s="11" t="inlineStr">
        <is>
          <t>BC</t>
        </is>
      </c>
      <c r="B21" s="40">
        <f>'21TABLE - cubic meters per day'!B21*6.2898</f>
        <v/>
      </c>
      <c r="C21" s="40">
        <f>'21TABLE - cubic meters per day'!C21*6.2898</f>
        <v/>
      </c>
      <c r="D21" s="40">
        <f>'21TABLE - cubic meters per day'!D21*6.2898</f>
        <v/>
      </c>
      <c r="E21" s="40">
        <f>'21TABLE - cubic meters per day'!E21*6.2898</f>
        <v/>
      </c>
      <c r="F21" s="40">
        <f>'21TABLE - cubic meters per day'!F21*6.2898</f>
        <v/>
      </c>
      <c r="G21" s="40">
        <f>'21TABLE - cubic meters per day'!G21*6.2898</f>
        <v/>
      </c>
      <c r="H21" s="40">
        <f>'21TABLE - cubic meters per day'!H21*6.2898</f>
        <v/>
      </c>
      <c r="I21" s="40">
        <f>'21TABLE - cubic meters per day'!I21*6.2898</f>
        <v/>
      </c>
      <c r="J21" s="40">
        <f>'21TABLE - cubic meters per day'!J21*6.2898</f>
        <v/>
      </c>
      <c r="K21" s="40">
        <f>'21TABLE - cubic meters per day'!K21*6.2898</f>
        <v/>
      </c>
      <c r="L21" s="40">
        <f>'21TABLE - cubic meters per day'!L21*6.2898</f>
        <v/>
      </c>
      <c r="M21" s="40">
        <f>'21TABLE - cubic meters per day'!M21*6.2898</f>
        <v/>
      </c>
      <c r="N21" s="40">
        <f>AVERAGE(B21:M21)</f>
        <v/>
      </c>
    </row>
    <row r="22" ht="11.25" customHeight="1">
      <c r="A22" s="11" t="inlineStr">
        <is>
          <t>SK2</t>
        </is>
      </c>
      <c r="B22" s="40">
        <f>'21TABLE - cubic meters per day'!B22*6.2898</f>
        <v/>
      </c>
      <c r="C22" s="40">
        <f>'21TABLE - cubic meters per day'!C22*6.2898</f>
        <v/>
      </c>
      <c r="D22" s="40">
        <f>'21TABLE - cubic meters per day'!D22*6.2898</f>
        <v/>
      </c>
      <c r="E22" s="40">
        <f>'21TABLE - cubic meters per day'!E22*6.2898</f>
        <v/>
      </c>
      <c r="F22" s="40">
        <f>'21TABLE - cubic meters per day'!F22*6.2898</f>
        <v/>
      </c>
      <c r="G22" s="40">
        <f>'21TABLE - cubic meters per day'!G22*6.2898</f>
        <v/>
      </c>
      <c r="H22" s="40">
        <f>'21TABLE - cubic meters per day'!H22*6.2898</f>
        <v/>
      </c>
      <c r="I22" s="40">
        <f>'21TABLE - cubic meters per day'!I22*6.2898</f>
        <v/>
      </c>
      <c r="J22" s="40">
        <f>'21TABLE - cubic meters per day'!J22*6.2898</f>
        <v/>
      </c>
      <c r="K22" s="40">
        <f>'21TABLE - cubic meters per day'!K22*6.2898</f>
        <v/>
      </c>
      <c r="L22" s="40">
        <f>'21TABLE - cubic meters per day'!L22*6.2898</f>
        <v/>
      </c>
      <c r="M22" s="40">
        <f>'21TABLE - cubic meters per day'!M22*6.2898</f>
        <v/>
      </c>
      <c r="N22" s="40">
        <f>AVERAGE(B22:M22)</f>
        <v/>
      </c>
    </row>
    <row r="23" ht="11.25" customHeight="1">
      <c r="A23" s="14" t="inlineStr">
        <is>
          <t>SUB TOTAL/SOUS-TOTAL</t>
        </is>
      </c>
      <c r="B23" s="40">
        <f>SUM(B20:B22)</f>
        <v/>
      </c>
      <c r="C23" s="40">
        <f>SUM(C20:C22)</f>
        <v/>
      </c>
      <c r="D23" s="40">
        <f>SUM(D20:D22)</f>
        <v/>
      </c>
      <c r="E23" s="40">
        <f>SUM(E20:E22)</f>
        <v/>
      </c>
      <c r="F23" s="40">
        <f>SUM(F20:F22)</f>
        <v/>
      </c>
      <c r="G23" s="40">
        <f>SUM(G20:G22)</f>
        <v/>
      </c>
      <c r="H23" s="40">
        <f>SUM(H20:H22)</f>
        <v/>
      </c>
      <c r="I23" s="40">
        <f>SUM(I20:I22)</f>
        <v/>
      </c>
      <c r="J23" s="40">
        <f>SUM(J20:J22)</f>
        <v/>
      </c>
      <c r="K23" s="40">
        <f>SUM(K20:K22)</f>
        <v/>
      </c>
      <c r="L23" s="40">
        <f>SUM(L20:L22)</f>
        <v/>
      </c>
      <c r="M23" s="40">
        <f>SUM(M20:M22)</f>
        <v/>
      </c>
      <c r="N23" s="40">
        <f>AVERAGE(B23:M23)</f>
        <v/>
      </c>
    </row>
    <row r="24" ht="11.25" customHeight="1">
      <c r="A24" s="16" t="inlineStr">
        <is>
          <t>TOTAL LIGHT/LÉGER</t>
        </is>
      </c>
      <c r="B24" s="41">
        <f>'21TABLE - cubic meters per day'!B24*6.2898</f>
        <v/>
      </c>
      <c r="C24" s="41">
        <f>'21TABLE - cubic meters per day'!C24*6.2898</f>
        <v/>
      </c>
      <c r="D24" s="41">
        <f>'21TABLE - cubic meters per day'!D24*6.2898</f>
        <v/>
      </c>
      <c r="E24" s="41">
        <f>'21TABLE - cubic meters per day'!E24*6.2898</f>
        <v/>
      </c>
      <c r="F24" s="41">
        <f>'21TABLE - cubic meters per day'!F24*6.2898</f>
        <v/>
      </c>
      <c r="G24" s="41">
        <f>'21TABLE - cubic meters per day'!G24*6.2898</f>
        <v/>
      </c>
      <c r="H24" s="41">
        <f>'21TABLE - cubic meters per day'!H24*6.2898</f>
        <v/>
      </c>
      <c r="I24" s="41">
        <f>'21TABLE - cubic meters per day'!I24*6.2898</f>
        <v/>
      </c>
      <c r="J24" s="41">
        <f>'21TABLE - cubic meters per day'!J24*6.2898</f>
        <v/>
      </c>
      <c r="K24" s="41">
        <f>'21TABLE - cubic meters per day'!K24*6.2898</f>
        <v/>
      </c>
      <c r="L24" s="41">
        <f>'21TABLE - cubic meters per day'!L24*6.2898</f>
        <v/>
      </c>
      <c r="M24" s="41">
        <f>'21TABLE - cubic meters per day'!M24*6.2898</f>
        <v/>
      </c>
      <c r="N24" s="41">
        <f>'21TABLE - cubic meters per day'!N24*6.2898</f>
        <v/>
      </c>
    </row>
    <row r="25" ht="11.25" customHeight="1">
      <c r="A25" s="3" t="inlineStr">
        <is>
          <t>HEAVY CRUDE OIL/ PÉTROLE BRUT LOURD</t>
        </is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</row>
    <row r="26" ht="11.25" customHeight="1">
      <c r="A26" s="11" t="inlineStr">
        <is>
          <t>AB CONV./CLASS.-AB</t>
        </is>
      </c>
      <c r="B26" s="40">
        <f>'21TABLE - cubic meters per day'!B26*6.2898</f>
        <v/>
      </c>
      <c r="C26" s="40">
        <f>'21TABLE - cubic meters per day'!C26*6.2898</f>
        <v/>
      </c>
      <c r="D26" s="40">
        <f>'21TABLE - cubic meters per day'!D26*6.2898</f>
        <v/>
      </c>
      <c r="E26" s="40">
        <f>'21TABLE - cubic meters per day'!E26*6.2898</f>
        <v/>
      </c>
      <c r="F26" s="40">
        <f>'21TABLE - cubic meters per day'!F26*6.2898</f>
        <v/>
      </c>
      <c r="G26" s="40">
        <f>'21TABLE - cubic meters per day'!G26*6.2898</f>
        <v/>
      </c>
      <c r="H26" s="40">
        <f>'21TABLE - cubic meters per day'!H26*6.2898</f>
        <v/>
      </c>
      <c r="I26" s="40">
        <f>'21TABLE - cubic meters per day'!I26*6.2898</f>
        <v/>
      </c>
      <c r="J26" s="40">
        <f>'21TABLE - cubic meters per day'!J26*6.2898</f>
        <v/>
      </c>
      <c r="K26" s="40">
        <f>'21TABLE - cubic meters per day'!K26*6.2898</f>
        <v/>
      </c>
      <c r="L26" s="40">
        <f>'21TABLE - cubic meters per day'!L26*6.2898</f>
        <v/>
      </c>
      <c r="M26" s="40">
        <f>'21TABLE - cubic meters per day'!M26*6.2898</f>
        <v/>
      </c>
      <c r="N26" s="40">
        <f>AVERAGE(B26:M26)</f>
        <v/>
      </c>
    </row>
    <row r="27" ht="18" customHeight="1">
      <c r="A27" s="17" t="inlineStr">
        <is>
          <t>AB NON-UPGRADED BITUMEN / BITUME NON VALORISÉ-AB2</t>
        </is>
      </c>
      <c r="B27" s="40">
        <f>'21TABLE - cubic meters per day'!B27*6.2898</f>
        <v/>
      </c>
      <c r="C27" s="40">
        <f>'21TABLE - cubic meters per day'!C27*6.2898</f>
        <v/>
      </c>
      <c r="D27" s="40">
        <f>'21TABLE - cubic meters per day'!D27*6.2898</f>
        <v/>
      </c>
      <c r="E27" s="40">
        <f>'21TABLE - cubic meters per day'!E27*6.2898</f>
        <v/>
      </c>
      <c r="F27" s="40">
        <f>'21TABLE - cubic meters per day'!F27*6.2898</f>
        <v/>
      </c>
      <c r="G27" s="40">
        <f>'21TABLE - cubic meters per day'!G27*6.2898</f>
        <v/>
      </c>
      <c r="H27" s="40">
        <f>'21TABLE - cubic meters per day'!H27*6.2898</f>
        <v/>
      </c>
      <c r="I27" s="40">
        <f>'21TABLE - cubic meters per day'!I27*6.2898</f>
        <v/>
      </c>
      <c r="J27" s="40">
        <f>'21TABLE - cubic meters per day'!J27*6.2898</f>
        <v/>
      </c>
      <c r="K27" s="40">
        <f>'21TABLE - cubic meters per day'!K27*6.2898</f>
        <v/>
      </c>
      <c r="L27" s="40">
        <f>'21TABLE - cubic meters per day'!L27*6.2898</f>
        <v/>
      </c>
      <c r="M27" s="40">
        <f>'21TABLE - cubic meters per day'!M27*6.2898</f>
        <v/>
      </c>
      <c r="N27" s="40">
        <f>AVERAGE(B27:M27)</f>
        <v/>
      </c>
    </row>
    <row r="28" ht="11.25" customHeight="1">
      <c r="A28" s="14" t="inlineStr">
        <is>
          <t>AB SUB TOTAL/SOUS-TOTAL -AB</t>
        </is>
      </c>
      <c r="B28" s="40">
        <f>SUM(B26:B27)</f>
        <v/>
      </c>
      <c r="C28" s="40">
        <f>SUM(C26:C27)</f>
        <v/>
      </c>
      <c r="D28" s="40">
        <f>SUM(D26:D27)</f>
        <v/>
      </c>
      <c r="E28" s="40">
        <f>SUM(E26:E27)</f>
        <v/>
      </c>
      <c r="F28" s="40">
        <f>SUM(F26:F27)</f>
        <v/>
      </c>
      <c r="G28" s="40">
        <f>SUM(G26:G27)</f>
        <v/>
      </c>
      <c r="H28" s="40">
        <f>SUM(H26:H27)</f>
        <v/>
      </c>
      <c r="I28" s="40">
        <f>SUM(I26:I27)</f>
        <v/>
      </c>
      <c r="J28" s="40">
        <f>SUM(J26:J27)</f>
        <v/>
      </c>
      <c r="K28" s="40">
        <f>SUM(K26:K27)</f>
        <v/>
      </c>
      <c r="L28" s="40">
        <f>SUM(L26:L27)</f>
        <v/>
      </c>
      <c r="M28" s="40">
        <f>SUM(M26:M27)</f>
        <v/>
      </c>
      <c r="N28" s="40">
        <f>AVERAGE(B28:M28)</f>
        <v/>
      </c>
    </row>
    <row r="29" ht="11.25" customHeight="1">
      <c r="A29" s="11" t="inlineStr">
        <is>
          <t>SK CONV./CLASS.-SK</t>
        </is>
      </c>
      <c r="B29" s="40">
        <f>'21TABLE - cubic meters per day'!B29*6.2898</f>
        <v/>
      </c>
      <c r="C29" s="40">
        <f>'21TABLE - cubic meters per day'!C29*6.2898</f>
        <v/>
      </c>
      <c r="D29" s="40">
        <f>'21TABLE - cubic meters per day'!D29*6.2898</f>
        <v/>
      </c>
      <c r="E29" s="40">
        <f>'21TABLE - cubic meters per day'!E29*6.2898</f>
        <v/>
      </c>
      <c r="F29" s="40">
        <f>'21TABLE - cubic meters per day'!F29*6.2898</f>
        <v/>
      </c>
      <c r="G29" s="40">
        <f>'21TABLE - cubic meters per day'!G29*6.2898</f>
        <v/>
      </c>
      <c r="H29" s="40">
        <f>'21TABLE - cubic meters per day'!H29*6.2898</f>
        <v/>
      </c>
      <c r="I29" s="40">
        <f>'21TABLE - cubic meters per day'!I29*6.2898</f>
        <v/>
      </c>
      <c r="J29" s="40">
        <f>'21TABLE - cubic meters per day'!J29*6.2898</f>
        <v/>
      </c>
      <c r="K29" s="40">
        <f>'21TABLE - cubic meters per day'!K29*6.2898</f>
        <v/>
      </c>
      <c r="L29" s="40">
        <f>'21TABLE - cubic meters per day'!L29*6.2898</f>
        <v/>
      </c>
      <c r="M29" s="40">
        <f>'21TABLE - cubic meters per day'!M29*6.2898</f>
        <v/>
      </c>
      <c r="N29" s="40">
        <f>AVERAGE(B29:M29)</f>
        <v/>
      </c>
    </row>
    <row r="30" ht="11.25" customHeight="1">
      <c r="A30" s="11" t="inlineStr">
        <is>
          <t>NL CONV</t>
        </is>
      </c>
      <c r="B30" s="40">
        <f>'21TABLE - cubic meters per day'!B30*6.2898</f>
        <v/>
      </c>
      <c r="C30" s="40">
        <f>'21TABLE - cubic meters per day'!C30*6.2898</f>
        <v/>
      </c>
      <c r="D30" s="40">
        <f>'21TABLE - cubic meters per day'!D30*6.2898</f>
        <v/>
      </c>
      <c r="E30" s="40">
        <f>'21TABLE - cubic meters per day'!E30*6.2898</f>
        <v/>
      </c>
      <c r="F30" s="40">
        <f>'21TABLE - cubic meters per day'!F30*6.2898</f>
        <v/>
      </c>
      <c r="G30" s="40">
        <f>'21TABLE - cubic meters per day'!G30*6.2898</f>
        <v/>
      </c>
      <c r="H30" s="40">
        <f>'21TABLE - cubic meters per day'!H30*6.2898</f>
        <v/>
      </c>
      <c r="I30" s="40">
        <f>'21TABLE - cubic meters per day'!I30*6.2898</f>
        <v/>
      </c>
      <c r="J30" s="40">
        <f>'21TABLE - cubic meters per day'!J30*6.2898</f>
        <v/>
      </c>
      <c r="K30" s="40">
        <f>'21TABLE - cubic meters per day'!K30*6.2898</f>
        <v/>
      </c>
      <c r="L30" s="40">
        <f>'21TABLE - cubic meters per day'!L30*6.2898</f>
        <v/>
      </c>
      <c r="M30" s="40">
        <f>'21TABLE - cubic meters per day'!M30*6.2898</f>
        <v/>
      </c>
      <c r="N30" s="40">
        <f>AVERAGE(B30:M30)</f>
        <v/>
      </c>
      <c r="T30" s="52" t="n"/>
    </row>
    <row r="31" ht="12" customHeight="1" thickBot="1">
      <c r="A31" s="27" t="inlineStr">
        <is>
          <t>TOTAL HEAVY/LOURD3</t>
        </is>
      </c>
      <c r="B31" s="39">
        <f>SUM(B28:B30)</f>
        <v/>
      </c>
      <c r="C31" s="39">
        <f>SUM(C28:C30)</f>
        <v/>
      </c>
      <c r="D31" s="39">
        <f>SUM(D28:D30)</f>
        <v/>
      </c>
      <c r="E31" s="39">
        <f>SUM(E28:E30)</f>
        <v/>
      </c>
      <c r="F31" s="39">
        <f>SUM(F28:F30)</f>
        <v/>
      </c>
      <c r="G31" s="39">
        <f>SUM(G28:G30)</f>
        <v/>
      </c>
      <c r="H31" s="39">
        <f>SUM(H28:H30)</f>
        <v/>
      </c>
      <c r="I31" s="39">
        <f>SUM(I28:I30)</f>
        <v/>
      </c>
      <c r="J31" s="39">
        <f>SUM(J28:J30)</f>
        <v/>
      </c>
      <c r="K31" s="39">
        <f>SUM(K28:K30)</f>
        <v/>
      </c>
      <c r="L31" s="39">
        <f>SUM(L28:L30)</f>
        <v/>
      </c>
      <c r="M31" s="39">
        <f>SUM(M28:M30)</f>
        <v/>
      </c>
      <c r="N31" s="39">
        <f>AVERAGE(B31:M31)</f>
        <v/>
      </c>
    </row>
    <row r="32" ht="12" customHeight="1" thickBot="1">
      <c r="A32" s="27" t="inlineStr">
        <is>
          <t>TOTAL PRODUCTION</t>
        </is>
      </c>
      <c r="B32" s="39">
        <f>'21TABLE - cubic meters per day'!B46*6.2898</f>
        <v/>
      </c>
      <c r="C32" s="39">
        <f>'21TABLE - cubic meters per day'!C46*6.2898</f>
        <v/>
      </c>
      <c r="D32" s="39">
        <f>'21TABLE - cubic meters per day'!D46*6.2898</f>
        <v/>
      </c>
      <c r="E32" s="39">
        <f>'21TABLE - cubic meters per day'!E46*6.2898</f>
        <v/>
      </c>
      <c r="F32" s="39">
        <f>'21TABLE - cubic meters per day'!F46*6.2898</f>
        <v/>
      </c>
      <c r="G32" s="39">
        <f>'21TABLE - cubic meters per day'!G46*6.2898</f>
        <v/>
      </c>
      <c r="H32" s="39">
        <f>'21TABLE - cubic meters per day'!H46*6.2898</f>
        <v/>
      </c>
      <c r="I32" s="39">
        <f>'21TABLE - cubic meters per day'!I46*6.2898</f>
        <v/>
      </c>
      <c r="J32" s="39">
        <f>'21TABLE - cubic meters per day'!J46*6.2898</f>
        <v/>
      </c>
      <c r="K32" s="39">
        <f>'21TABLE - cubic meters per day'!K46*6.2898</f>
        <v/>
      </c>
      <c r="L32" s="39">
        <f>'21TABLE - cubic meters per day'!L46*6.2898</f>
        <v/>
      </c>
      <c r="M32" s="39">
        <f>'21TABLE - cubic meters per day'!M46*6.2898</f>
        <v/>
      </c>
      <c r="N32" s="39">
        <f>'21TABLE - cubic meters per day'!N46*6.2898</f>
        <v/>
      </c>
    </row>
    <row r="33" ht="11.25" customHeight="1">
      <c r="A33" s="8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</row>
    <row r="34" ht="11.25" customHeight="1">
      <c r="A34" s="8" t="n"/>
      <c r="B34" s="36" t="n"/>
      <c r="C34" s="36" t="n"/>
      <c r="D34" s="36" t="n"/>
      <c r="E34" s="36" t="n"/>
      <c r="F34" s="36" t="n"/>
      <c r="G34" s="36" t="n"/>
      <c r="H34" s="35" t="n"/>
      <c r="I34" s="36" t="n"/>
      <c r="J34" s="36" t="n"/>
      <c r="K34" s="36" t="n"/>
      <c r="L34" s="36" t="n"/>
      <c r="M34" s="36" t="n"/>
      <c r="N34" s="22" t="n"/>
    </row>
    <row r="35" ht="11.25" customHeight="1">
      <c r="A35" s="8" t="n"/>
      <c r="B35" s="36" t="n"/>
      <c r="C35" s="36" t="n"/>
      <c r="D35" s="36" t="n"/>
      <c r="E35" s="1" t="n"/>
      <c r="F35" s="36" t="n"/>
      <c r="G35" s="36" t="n"/>
      <c r="H35" s="35" t="inlineStr">
        <is>
          <t>ESTIMATED PRODUCTION BY REGION</t>
        </is>
      </c>
      <c r="I35" s="1" t="n"/>
      <c r="J35" s="36" t="n"/>
      <c r="K35" s="36" t="n"/>
      <c r="L35" s="36" t="n"/>
      <c r="M35" s="36" t="n"/>
      <c r="N35" s="22" t="n"/>
    </row>
    <row r="36" ht="33.75" customHeight="1">
      <c r="A36" s="18" t="inlineStr">
        <is>
          <t xml:space="preserve">WESTERN CANADA/OUEST CANADIEN
</t>
        </is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20" t="n"/>
    </row>
    <row r="37" ht="11.25" customHeight="1">
      <c r="A37" s="19" t="inlineStr">
        <is>
          <t>CONV. LIGHT/LÉGER CLASS.</t>
        </is>
      </c>
      <c r="B37" s="40">
        <f>'21TABLE - cubic meters per day'!B37*6.2898</f>
        <v/>
      </c>
      <c r="C37" s="40">
        <f>'21TABLE - cubic meters per day'!C37*6.2898</f>
        <v/>
      </c>
      <c r="D37" s="40">
        <f>'21TABLE - cubic meters per day'!D37*6.2898</f>
        <v/>
      </c>
      <c r="E37" s="40">
        <f>'21TABLE - cubic meters per day'!E37*6.2898</f>
        <v/>
      </c>
      <c r="F37" s="40">
        <f>'21TABLE - cubic meters per day'!F37*6.2898</f>
        <v/>
      </c>
      <c r="G37" s="40">
        <f>'21TABLE - cubic meters per day'!G37*6.2898</f>
        <v/>
      </c>
      <c r="H37" s="40">
        <f>'21TABLE - cubic meters per day'!H37*6.2898</f>
        <v/>
      </c>
      <c r="I37" s="40">
        <f>'21TABLE - cubic meters per day'!I37*6.2898</f>
        <v/>
      </c>
      <c r="J37" s="40">
        <f>'21TABLE - cubic meters per day'!J37*6.2898</f>
        <v/>
      </c>
      <c r="K37" s="40">
        <f>'21TABLE - cubic meters per day'!K37*6.2898</f>
        <v/>
      </c>
      <c r="L37" s="40">
        <f>'21TABLE - cubic meters per day'!L37*6.2898</f>
        <v/>
      </c>
      <c r="M37" s="40">
        <f>'21TABLE - cubic meters per day'!M37*6.2898</f>
        <v/>
      </c>
      <c r="N37" s="40">
        <f>AVERAGE(B37:M37)</f>
        <v/>
      </c>
    </row>
    <row r="38" ht="17.25" customHeight="1">
      <c r="A38" s="17" t="inlineStr">
        <is>
          <t>AB UPGRADED BITUMEN/ BITUME VALORISÉ-AB 1</t>
        </is>
      </c>
      <c r="B38" s="40">
        <f>'21TABLE - cubic meters per day'!B38*6.2898</f>
        <v/>
      </c>
      <c r="C38" s="40">
        <f>'21TABLE - cubic meters per day'!C38*6.2898</f>
        <v/>
      </c>
      <c r="D38" s="40">
        <f>'21TABLE - cubic meters per day'!D38*6.2898</f>
        <v/>
      </c>
      <c r="E38" s="40">
        <f>'21TABLE - cubic meters per day'!E38*6.2898</f>
        <v/>
      </c>
      <c r="F38" s="40">
        <f>'21TABLE - cubic meters per day'!F38*6.2898</f>
        <v/>
      </c>
      <c r="G38" s="40">
        <f>'21TABLE - cubic meters per day'!G38*6.2898</f>
        <v/>
      </c>
      <c r="H38" s="40">
        <f>'21TABLE - cubic meters per day'!H38*6.2898</f>
        <v/>
      </c>
      <c r="I38" s="40">
        <f>'21TABLE - cubic meters per day'!I38*6.2898</f>
        <v/>
      </c>
      <c r="J38" s="40">
        <f>'21TABLE - cubic meters per day'!J38*6.2898</f>
        <v/>
      </c>
      <c r="K38" s="40">
        <f>'21TABLE - cubic meters per day'!K38*6.2898</f>
        <v/>
      </c>
      <c r="L38" s="40">
        <f>'21TABLE - cubic meters per day'!L38*6.2898</f>
        <v/>
      </c>
      <c r="M38" s="40">
        <f>'21TABLE - cubic meters per day'!M38*6.2898</f>
        <v/>
      </c>
      <c r="N38" s="40">
        <f>AVERAGE(B38:M38)</f>
        <v/>
      </c>
    </row>
    <row r="39" ht="11.25" customHeight="1">
      <c r="A39" s="14" t="inlineStr">
        <is>
          <t>PENTANES PLUS</t>
        </is>
      </c>
      <c r="B39" s="40">
        <f>'21TABLE - cubic meters per day'!B39*6.2898</f>
        <v/>
      </c>
      <c r="C39" s="40">
        <f>'21TABLE - cubic meters per day'!C39*6.2898</f>
        <v/>
      </c>
      <c r="D39" s="40">
        <f>'21TABLE - cubic meters per day'!D39*6.2898</f>
        <v/>
      </c>
      <c r="E39" s="40">
        <f>'21TABLE - cubic meters per day'!E39*6.2898</f>
        <v/>
      </c>
      <c r="F39" s="40">
        <f>'21TABLE - cubic meters per day'!F39*6.2898</f>
        <v/>
      </c>
      <c r="G39" s="40">
        <f>'21TABLE - cubic meters per day'!G39*6.2898</f>
        <v/>
      </c>
      <c r="H39" s="40">
        <f>'21TABLE - cubic meters per day'!H39*6.2898</f>
        <v/>
      </c>
      <c r="I39" s="40">
        <f>'21TABLE - cubic meters per day'!I39*6.2898</f>
        <v/>
      </c>
      <c r="J39" s="40">
        <f>'21TABLE - cubic meters per day'!J39*6.2898</f>
        <v/>
      </c>
      <c r="K39" s="40">
        <f>'21TABLE - cubic meters per day'!K39*6.2898</f>
        <v/>
      </c>
      <c r="L39" s="40">
        <f>'21TABLE - cubic meters per day'!L39*6.2898</f>
        <v/>
      </c>
      <c r="M39" s="40">
        <f>'21TABLE - cubic meters per day'!M39*6.2898</f>
        <v/>
      </c>
      <c r="N39" s="40">
        <f>AVERAGE(B39:M39)</f>
        <v/>
      </c>
    </row>
    <row r="40" ht="11.25" customHeight="1">
      <c r="A40" s="28" t="inlineStr">
        <is>
          <t>TOTAL LIGHT/LÉGER</t>
        </is>
      </c>
      <c r="B40" s="41">
        <f>'21TABLE - cubic meters per day'!B40*6.2898</f>
        <v/>
      </c>
      <c r="C40" s="41">
        <f>'21TABLE - cubic meters per day'!C40*6.2898</f>
        <v/>
      </c>
      <c r="D40" s="41">
        <f>'21TABLE - cubic meters per day'!D40*6.2898</f>
        <v/>
      </c>
      <c r="E40" s="41">
        <f>'21TABLE - cubic meters per day'!E40*6.2898</f>
        <v/>
      </c>
      <c r="F40" s="41">
        <f>'21TABLE - cubic meters per day'!F40*6.2898</f>
        <v/>
      </c>
      <c r="G40" s="41">
        <f>'21TABLE - cubic meters per day'!G40*6.2898</f>
        <v/>
      </c>
      <c r="H40" s="41">
        <f>'21TABLE - cubic meters per day'!H40*6.2898</f>
        <v/>
      </c>
      <c r="I40" s="41">
        <f>'21TABLE - cubic meters per day'!I40*6.2898</f>
        <v/>
      </c>
      <c r="J40" s="41">
        <f>'21TABLE - cubic meters per day'!J40*6.2898</f>
        <v/>
      </c>
      <c r="K40" s="41">
        <f>'21TABLE - cubic meters per day'!K40*6.2898</f>
        <v/>
      </c>
      <c r="L40" s="41">
        <f>'21TABLE - cubic meters per day'!L40*6.2898</f>
        <v/>
      </c>
      <c r="M40" s="41">
        <f>'21TABLE - cubic meters per day'!M40*6.2898</f>
        <v/>
      </c>
      <c r="N40" s="41">
        <f>AVERAGE(B40:M40)</f>
        <v/>
      </c>
    </row>
    <row r="41" ht="11.25" customHeight="1">
      <c r="A41" s="19" t="inlineStr">
        <is>
          <t xml:space="preserve">CONV. HEAVY/LOURD CLASS. </t>
        </is>
      </c>
      <c r="B41" s="40">
        <f>'21TABLE - cubic meters per day'!B41*6.2898</f>
        <v/>
      </c>
      <c r="C41" s="40">
        <f>'21TABLE - cubic meters per day'!C41*6.2898</f>
        <v/>
      </c>
      <c r="D41" s="40">
        <f>'21TABLE - cubic meters per day'!D41*6.2898</f>
        <v/>
      </c>
      <c r="E41" s="40">
        <f>'21TABLE - cubic meters per day'!E41*6.2898</f>
        <v/>
      </c>
      <c r="F41" s="40">
        <f>'21TABLE - cubic meters per day'!F41*6.2898</f>
        <v/>
      </c>
      <c r="G41" s="40">
        <f>'21TABLE - cubic meters per day'!G41*6.2898</f>
        <v/>
      </c>
      <c r="H41" s="40">
        <f>'21TABLE - cubic meters per day'!H41*6.2898</f>
        <v/>
      </c>
      <c r="I41" s="40">
        <f>'21TABLE - cubic meters per day'!I41*6.2898</f>
        <v/>
      </c>
      <c r="J41" s="40">
        <f>'21TABLE - cubic meters per day'!J41*6.2898</f>
        <v/>
      </c>
      <c r="K41" s="40">
        <f>'21TABLE - cubic meters per day'!K41*6.2898</f>
        <v/>
      </c>
      <c r="L41" s="40">
        <f>'21TABLE - cubic meters per day'!L41*6.2898</f>
        <v/>
      </c>
      <c r="M41" s="40">
        <f>'21TABLE - cubic meters per day'!M41*6.2898</f>
        <v/>
      </c>
      <c r="N41" s="40">
        <f>AVERAGE(B41:M41)</f>
        <v/>
      </c>
    </row>
    <row r="42" ht="18" customHeight="1">
      <c r="A42" s="17" t="inlineStr">
        <is>
          <t>AB NON-UPGRADED BITUMEN / BITUME NON VALORISÉ-AB2</t>
        </is>
      </c>
      <c r="B42" s="40">
        <f>'21TABLE - cubic meters per day'!B42*6.2898</f>
        <v/>
      </c>
      <c r="C42" s="40">
        <f>'21TABLE - cubic meters per day'!C42*6.2898</f>
        <v/>
      </c>
      <c r="D42" s="40">
        <f>'21TABLE - cubic meters per day'!D42*6.2898</f>
        <v/>
      </c>
      <c r="E42" s="40">
        <f>'21TABLE - cubic meters per day'!E42*6.2898</f>
        <v/>
      </c>
      <c r="F42" s="40">
        <f>'21TABLE - cubic meters per day'!F42*6.2898</f>
        <v/>
      </c>
      <c r="G42" s="40">
        <f>'21TABLE - cubic meters per day'!G42*6.2898</f>
        <v/>
      </c>
      <c r="H42" s="40">
        <f>'21TABLE - cubic meters per day'!H42*6.2898</f>
        <v/>
      </c>
      <c r="I42" s="40">
        <f>'21TABLE - cubic meters per day'!I42*6.2898</f>
        <v/>
      </c>
      <c r="J42" s="40">
        <f>'21TABLE - cubic meters per day'!J42*6.2898</f>
        <v/>
      </c>
      <c r="K42" s="40">
        <f>'21TABLE - cubic meters per day'!K42*6.2898</f>
        <v/>
      </c>
      <c r="L42" s="40">
        <f>'21TABLE - cubic meters per day'!L42*6.2898</f>
        <v/>
      </c>
      <c r="M42" s="40">
        <f>'21TABLE - cubic meters per day'!M42*6.2898</f>
        <v/>
      </c>
      <c r="N42" s="40">
        <f>AVERAGE(B42:M42)</f>
        <v/>
      </c>
    </row>
    <row r="43" ht="11.25" customHeight="1">
      <c r="A43" s="28" t="inlineStr">
        <is>
          <t>TOTAL HEAVY/LOURD</t>
        </is>
      </c>
      <c r="B43" s="41">
        <f>'21TABLE - cubic meters per day'!B43*6.2898</f>
        <v/>
      </c>
      <c r="C43" s="41">
        <f>'21TABLE - cubic meters per day'!C43*6.2898</f>
        <v/>
      </c>
      <c r="D43" s="41">
        <f>'21TABLE - cubic meters per day'!D43*6.2898</f>
        <v/>
      </c>
      <c r="E43" s="41">
        <f>'21TABLE - cubic meters per day'!E43*6.2898</f>
        <v/>
      </c>
      <c r="F43" s="41">
        <f>'21TABLE - cubic meters per day'!F43*6.2898</f>
        <v/>
      </c>
      <c r="G43" s="41">
        <f>'21TABLE - cubic meters per day'!G43*6.2898</f>
        <v/>
      </c>
      <c r="H43" s="41">
        <f>'21TABLE - cubic meters per day'!H43*6.2898</f>
        <v/>
      </c>
      <c r="I43" s="41">
        <f>'21TABLE - cubic meters per day'!I43*6.2898</f>
        <v/>
      </c>
      <c r="J43" s="41">
        <f>'21TABLE - cubic meters per day'!J43*6.2898</f>
        <v/>
      </c>
      <c r="K43" s="41">
        <f>'21TABLE - cubic meters per day'!K43*6.2898</f>
        <v/>
      </c>
      <c r="L43" s="41">
        <f>'21TABLE - cubic meters per day'!L43*6.2898</f>
        <v/>
      </c>
      <c r="M43" s="41">
        <f>'21TABLE - cubic meters per day'!M43*6.2898</f>
        <v/>
      </c>
      <c r="N43" s="41">
        <f>AVERAGE(B43:M43)</f>
        <v/>
      </c>
    </row>
    <row r="44" ht="22.5" customHeight="1">
      <c r="A44" s="16" t="inlineStr">
        <is>
          <t>TOTAL WESTERN CANADA/ OUEST CANADIEN</t>
        </is>
      </c>
      <c r="B44" s="38">
        <f>'21TABLE - cubic meters per day'!B44*6.2898</f>
        <v/>
      </c>
      <c r="C44" s="38">
        <f>'21TABLE - cubic meters per day'!C44*6.2898</f>
        <v/>
      </c>
      <c r="D44" s="38">
        <f>'21TABLE - cubic meters per day'!D44*6.2898</f>
        <v/>
      </c>
      <c r="E44" s="38">
        <f>'21TABLE - cubic meters per day'!E44*6.2898</f>
        <v/>
      </c>
      <c r="F44" s="38">
        <f>'21TABLE - cubic meters per day'!F44*6.2898</f>
        <v/>
      </c>
      <c r="G44" s="38">
        <f>'21TABLE - cubic meters per day'!G44*6.2898</f>
        <v/>
      </c>
      <c r="H44" s="38">
        <f>'21TABLE - cubic meters per day'!H44*6.2898</f>
        <v/>
      </c>
      <c r="I44" s="38">
        <f>'21TABLE - cubic meters per day'!I44*6.2898</f>
        <v/>
      </c>
      <c r="J44" s="38">
        <f>'21TABLE - cubic meters per day'!J44*6.2898</f>
        <v/>
      </c>
      <c r="K44" s="38">
        <f>'21TABLE - cubic meters per day'!K44*6.2898</f>
        <v/>
      </c>
      <c r="L44" s="38">
        <f>'21TABLE - cubic meters per day'!L44*6.2898</f>
        <v/>
      </c>
      <c r="M44" s="38">
        <f>'21TABLE - cubic meters per day'!M44*6.2898</f>
        <v/>
      </c>
      <c r="N44" s="38">
        <f>AVERAGE(B44:M44)</f>
        <v/>
      </c>
    </row>
    <row r="45" ht="23.25" customHeight="1" thickBot="1">
      <c r="A45" s="26" t="inlineStr">
        <is>
          <t>TOTAL EASTERN CANADA/
EST CANADIEN</t>
        </is>
      </c>
      <c r="B45" s="49">
        <f>'21TABLE - cubic meters per day'!B45*6.2898</f>
        <v/>
      </c>
      <c r="C45" s="49">
        <f>'21TABLE - cubic meters per day'!C45*6.2898</f>
        <v/>
      </c>
      <c r="D45" s="49">
        <f>'21TABLE - cubic meters per day'!D45*6.2898</f>
        <v/>
      </c>
      <c r="E45" s="49">
        <f>'21TABLE - cubic meters per day'!E45*6.2898</f>
        <v/>
      </c>
      <c r="F45" s="49">
        <f>'21TABLE - cubic meters per day'!F45*6.2898</f>
        <v/>
      </c>
      <c r="G45" s="49">
        <f>'21TABLE - cubic meters per day'!G45*6.2898</f>
        <v/>
      </c>
      <c r="H45" s="49">
        <f>'21TABLE - cubic meters per day'!H45*6.2898</f>
        <v/>
      </c>
      <c r="I45" s="49">
        <f>'21TABLE - cubic meters per day'!I45*6.2898</f>
        <v/>
      </c>
      <c r="J45" s="49">
        <f>'21TABLE - cubic meters per day'!J45*6.2898</f>
        <v/>
      </c>
      <c r="K45" s="49">
        <f>'21TABLE - cubic meters per day'!K45*6.2898</f>
        <v/>
      </c>
      <c r="L45" s="49">
        <f>'21TABLE - cubic meters per day'!L45*6.2898</f>
        <v/>
      </c>
      <c r="M45" s="49">
        <f>'21TABLE - cubic meters per day'!M45*6.2898</f>
        <v/>
      </c>
      <c r="N45" s="49">
        <f>AVERAGE(B45:M45)</f>
        <v/>
      </c>
    </row>
    <row r="46" ht="12" customHeight="1" thickBot="1">
      <c r="A46" s="25" t="inlineStr">
        <is>
          <t>TOTAL CANADA</t>
        </is>
      </c>
      <c r="B46" s="48">
        <f>'21TABLE - cubic meters per day'!B46*6.2898</f>
        <v/>
      </c>
      <c r="C46" s="48">
        <f>'21TABLE - cubic meters per day'!C46*6.2898</f>
        <v/>
      </c>
      <c r="D46" s="48">
        <f>'21TABLE - cubic meters per day'!D46*6.2898</f>
        <v/>
      </c>
      <c r="E46" s="48">
        <f>'21TABLE - cubic meters per day'!E46*6.2898</f>
        <v/>
      </c>
      <c r="F46" s="48">
        <f>'21TABLE - cubic meters per day'!F46*6.2898</f>
        <v/>
      </c>
      <c r="G46" s="48">
        <f>'21TABLE - cubic meters per day'!G46*6.2898</f>
        <v/>
      </c>
      <c r="H46" s="48">
        <f>'21TABLE - cubic meters per day'!H46*6.2898</f>
        <v/>
      </c>
      <c r="I46" s="48">
        <f>'21TABLE - cubic meters per day'!I46*6.2898</f>
        <v/>
      </c>
      <c r="J46" s="48">
        <f>'21TABLE - cubic meters per day'!J46*6.2898</f>
        <v/>
      </c>
      <c r="K46" s="48">
        <f>'21TABLE - cubic meters per day'!K46*6.2898</f>
        <v/>
      </c>
      <c r="L46" s="48">
        <f>'21TABLE - cubic meters per day'!L46*6.2898</f>
        <v/>
      </c>
      <c r="M46" s="48">
        <f>'21TABLE - cubic meters per day'!M46*6.2898</f>
        <v/>
      </c>
      <c r="N46" s="48">
        <f>AVERAGE(B46:M46)</f>
        <v/>
      </c>
    </row>
    <row r="48" ht="11.25" customHeight="1">
      <c r="A48" s="3" t="inlineStr">
        <is>
          <t>NOTES:</t>
        </is>
      </c>
    </row>
    <row r="49" ht="11.25" customHeight="1">
      <c r="A49" s="3" t="inlineStr">
        <is>
          <t>Figures in black print are actual production data from reporting agencies.</t>
        </is>
      </c>
    </row>
    <row r="50" ht="11.25" customHeight="1">
      <c r="A50" s="3" t="inlineStr">
        <is>
          <t>Forecasted values are no longer available in this publication. For the latest projections of crude oil and natural gas production in Canada please visit the CERs Energy Futures page.</t>
        </is>
      </c>
    </row>
    <row r="51" ht="11.25" customHeight="1">
      <c r="A51" s="21" t="inlineStr">
        <is>
          <t>1 As per AER -ST3, includes in situ bitumen that is upgraded to SCO</t>
        </is>
      </c>
    </row>
    <row r="52" ht="11.25" customHeight="1">
      <c r="A52" s="22" t="inlineStr">
        <is>
          <t xml:space="preserve">2 As per AER -ST3, excludes in situ produced bitumen that is upgraded to SCO </t>
        </is>
      </c>
    </row>
    <row r="53" ht="11.25" customHeight="1">
      <c r="A53" s="3" t="n"/>
    </row>
    <row r="54" ht="11.25" customHeight="1">
      <c r="A54" s="22" t="inlineStr">
        <is>
          <t>Les chiffres en noir représentent les données de production réelles obtenues auprès d'organismes présentant des rapports.</t>
        </is>
      </c>
    </row>
    <row r="55" ht="11.25" customHeight="1">
      <c r="A55" s="23" t="inlineStr">
        <is>
          <t>Les valeurs prévues ne sont plus disponibles dans cette publication. Pour connaître les dernières projections relatives à la production de pétrole brut et de gaz naturel au Canada, consultez la page principale d’Avenir énergétique du Canada</t>
        </is>
      </c>
    </row>
    <row r="56" ht="11.25" customHeight="1">
      <c r="A56" s="24" t="inlineStr">
        <is>
          <t>1 Comprend la production de pétrole brut synthétique et de distillats.</t>
        </is>
      </c>
    </row>
    <row r="57" ht="11.25" customHeight="1">
      <c r="A57" s="21" t="inlineStr">
        <is>
          <t>2 Bitume in situ, sauf les quantités transformées en pétrole brut synthétique par valorisation.</t>
        </is>
      </c>
    </row>
  </sheetData>
  <pageMargins left="0.7" right="0.7" top="0.75" bottom="0.75" header="0.3" footer="0.3"/>
  <pageSetup orientation="landscape" scale="95" fitToHeight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pane xSplit="1" ySplit="1" topLeftCell="B279" activePane="bottomRight" state="frozen"/>
      <selection pane="topRight" activeCell="A1" sqref="A1"/>
      <selection pane="bottomLeft" activeCell="A1" sqref="A1"/>
      <selection pane="bottomRight" activeCell="G309" sqref="G309"/>
    </sheetView>
  </sheetViews>
  <sheetFormatPr baseColWidth="8" defaultRowHeight="10.5"/>
  <cols>
    <col width="7.5" bestFit="1" customWidth="1" min="1" max="1"/>
    <col width="7.83203125" bestFit="1" customWidth="1" min="2" max="2"/>
    <col width="9.1640625" bestFit="1" customWidth="1" min="3" max="3"/>
    <col width="4.1640625" bestFit="1" customWidth="1" min="4" max="4"/>
    <col width="3.6640625" bestFit="1" customWidth="1" min="5" max="5"/>
    <col width="5.6640625" bestFit="1" customWidth="1" min="6" max="7"/>
    <col width="7.5" bestFit="1" customWidth="1" min="8" max="8"/>
    <col width="8.83203125" bestFit="1" customWidth="1" min="9" max="9"/>
    <col width="12" bestFit="1" customWidth="1" min="10" max="10"/>
    <col width="13.5" bestFit="1" customWidth="1" min="11" max="11"/>
    <col width="11.6640625" bestFit="1" customWidth="1" min="12" max="12"/>
    <col width="16" bestFit="1" customWidth="1" min="13" max="13"/>
    <col width="7.83203125" bestFit="1" customWidth="1" min="14" max="14"/>
    <col width="7.6640625" bestFit="1" customWidth="1" min="15" max="15"/>
    <col width="7.83203125" bestFit="1" customWidth="1" min="16" max="17"/>
    <col width="7.6640625" bestFit="1" customWidth="1" min="18" max="18"/>
    <col width="11.83203125" bestFit="1" customWidth="1" min="19" max="19"/>
    <col width="18.33203125" bestFit="1" customWidth="1" min="21" max="22"/>
    <col width="11.1640625" bestFit="1" customWidth="1" min="24" max="24"/>
    <col width="11" customWidth="1" min="25" max="25"/>
    <col width="13" customWidth="1" min="27" max="27"/>
  </cols>
  <sheetData>
    <row r="1" ht="12" customHeight="1">
      <c r="A1" s="42" t="inlineStr">
        <is>
          <t>Month</t>
        </is>
      </c>
      <c r="B1" s="43" t="inlineStr">
        <is>
          <t>NL Light</t>
        </is>
      </c>
      <c r="C1" s="43" t="inlineStr">
        <is>
          <t>NL Heavy</t>
        </is>
      </c>
      <c r="D1" s="43" t="inlineStr">
        <is>
          <t>ON</t>
        </is>
      </c>
      <c r="E1" s="43" t="inlineStr">
        <is>
          <t>NB</t>
        </is>
      </c>
      <c r="F1" s="43" t="inlineStr">
        <is>
          <t>MB</t>
        </is>
      </c>
      <c r="G1" s="43" t="inlineStr">
        <is>
          <t>NWT</t>
        </is>
      </c>
      <c r="H1" s="43" t="inlineStr">
        <is>
          <t>SK light</t>
        </is>
      </c>
      <c r="I1" s="43" t="inlineStr">
        <is>
          <t>SK heavy</t>
        </is>
      </c>
      <c r="J1" s="43" t="inlineStr">
        <is>
          <t>AB conv light</t>
        </is>
      </c>
      <c r="K1" s="43" t="inlineStr">
        <is>
          <t>AB conv heavy</t>
        </is>
      </c>
      <c r="L1" s="43" t="inlineStr">
        <is>
          <t>AB upgraded</t>
        </is>
      </c>
      <c r="M1" s="43" t="inlineStr">
        <is>
          <t xml:space="preserve">AB non-upgraded </t>
        </is>
      </c>
      <c r="N1" s="43" t="inlineStr">
        <is>
          <t>BC Light</t>
        </is>
      </c>
      <c r="O1" s="43" t="inlineStr">
        <is>
          <t>BC cond</t>
        </is>
      </c>
      <c r="P1" s="43" t="inlineStr">
        <is>
          <t>AB cond</t>
        </is>
      </c>
      <c r="Q1" s="43" t="inlineStr">
        <is>
          <t>NS cond</t>
        </is>
      </c>
      <c r="R1" s="43" t="inlineStr">
        <is>
          <t>SK cond</t>
        </is>
      </c>
      <c r="S1" s="43" t="inlineStr">
        <is>
          <t>Canada Total</t>
        </is>
      </c>
      <c r="U1" s="43" t="inlineStr">
        <is>
          <t>Raw Mined Bitumen</t>
        </is>
      </c>
      <c r="V1" s="43" t="inlineStr">
        <is>
          <t>Raw In Situ Bitumen</t>
        </is>
      </c>
    </row>
    <row r="2" ht="12" customHeight="1">
      <c r="A2" s="44" t="n">
        <v>36526</v>
      </c>
      <c r="B2" s="45" t="n">
        <v>24479.79032258064</v>
      </c>
      <c r="C2" s="45" t="n">
        <v>0</v>
      </c>
      <c r="D2" s="45" t="n">
        <v>605.6615483870968</v>
      </c>
      <c r="E2" s="45" t="n">
        <v>0</v>
      </c>
      <c r="F2" s="45" t="n">
        <v>1674.903225806452</v>
      </c>
      <c r="G2" s="45" t="n">
        <v>4171.558064516129</v>
      </c>
      <c r="H2" s="45" t="n">
        <v>14878.91290322581</v>
      </c>
      <c r="I2" s="45" t="n">
        <v>48706.02258064517</v>
      </c>
      <c r="J2" s="45" t="n">
        <v>82738.39999999999</v>
      </c>
      <c r="K2" s="45" t="n">
        <v>37355.24193548387</v>
      </c>
      <c r="L2" s="45" t="n">
        <v>52598.22580645161</v>
      </c>
      <c r="M2" s="45" t="n">
        <v>41990.41935483871</v>
      </c>
      <c r="N2" s="45" t="n">
        <v>6327.163993548386</v>
      </c>
      <c r="O2" s="45" t="n">
        <v>1429.742458064516</v>
      </c>
      <c r="P2" s="45" t="n">
        <v>24277.8935483871</v>
      </c>
      <c r="Q2" s="45" t="n">
        <v>15.74064516129032</v>
      </c>
      <c r="R2" s="45" t="n">
        <v>100</v>
      </c>
      <c r="S2" s="45" t="n">
        <v>341349.6763870968</v>
      </c>
      <c r="T2" s="50" t="n"/>
      <c r="U2" s="45" t="n">
        <v>0</v>
      </c>
      <c r="V2" s="45" t="n">
        <v>41956</v>
      </c>
    </row>
    <row r="3" ht="12" customHeight="1">
      <c r="A3" s="44" t="n">
        <v>36557</v>
      </c>
      <c r="B3" s="45" t="n">
        <v>22559.39310344828</v>
      </c>
      <c r="C3" s="45" t="n">
        <v>0</v>
      </c>
      <c r="D3" s="45" t="n">
        <v>619.4994137931035</v>
      </c>
      <c r="E3" s="45" t="n">
        <v>0</v>
      </c>
      <c r="F3" s="45" t="n">
        <v>1713.579310344828</v>
      </c>
      <c r="G3" s="45" t="n">
        <v>4197.706896551724</v>
      </c>
      <c r="H3" s="45" t="n">
        <v>15150.62413793103</v>
      </c>
      <c r="I3" s="45" t="n">
        <v>50325.49655172414</v>
      </c>
      <c r="J3" s="45" t="n">
        <v>83654.94827586207</v>
      </c>
      <c r="K3" s="45" t="n">
        <v>37516.63793103449</v>
      </c>
      <c r="L3" s="45" t="n">
        <v>51505.62068965517</v>
      </c>
      <c r="M3" s="45" t="n">
        <v>42643.00000003448</v>
      </c>
      <c r="N3" s="45" t="n">
        <v>6510.666786206896</v>
      </c>
      <c r="O3" s="45" t="n">
        <v>1596.174593103448</v>
      </c>
      <c r="P3" s="45" t="n">
        <v>24817.26206896552</v>
      </c>
      <c r="Q3" s="45" t="n">
        <v>653.3037931034484</v>
      </c>
      <c r="R3" s="45" t="n">
        <v>100</v>
      </c>
      <c r="S3" s="45" t="n">
        <v>343563.9135517586</v>
      </c>
      <c r="T3" s="50" t="n"/>
      <c r="U3" s="45" t="n">
        <v>0</v>
      </c>
      <c r="V3" s="45" t="n">
        <v>42643</v>
      </c>
    </row>
    <row r="4" ht="12" customHeight="1">
      <c r="A4" s="44" t="n">
        <v>36586</v>
      </c>
      <c r="B4" s="45" t="n">
        <v>24255.3064516129</v>
      </c>
      <c r="C4" s="45" t="n">
        <v>0</v>
      </c>
      <c r="D4" s="45" t="n">
        <v>660.9029999999999</v>
      </c>
      <c r="E4" s="45" t="n">
        <v>0</v>
      </c>
      <c r="F4" s="45" t="n">
        <v>1754.645161290323</v>
      </c>
      <c r="G4" s="45" t="n">
        <v>4172.56129032258</v>
      </c>
      <c r="H4" s="45" t="n">
        <v>15224.00967741936</v>
      </c>
      <c r="I4" s="45" t="n">
        <v>50772.43870967742</v>
      </c>
      <c r="J4" s="45" t="n">
        <v>82885.8</v>
      </c>
      <c r="K4" s="45" t="n">
        <v>37597.77419354839</v>
      </c>
      <c r="L4" s="45" t="n">
        <v>37045.93548387097</v>
      </c>
      <c r="M4" s="45" t="n">
        <v>42821.00000032258</v>
      </c>
      <c r="N4" s="45" t="n">
        <v>6654.732387096774</v>
      </c>
      <c r="O4" s="45" t="n">
        <v>1551.006322580645</v>
      </c>
      <c r="P4" s="45" t="n">
        <v>24339.37741935484</v>
      </c>
      <c r="Q4" s="45" t="n">
        <v>917.528064516129</v>
      </c>
      <c r="R4" s="45" t="n">
        <v>100</v>
      </c>
      <c r="S4" s="45" t="n">
        <v>330753.0181616129</v>
      </c>
      <c r="T4" s="50" t="n"/>
      <c r="U4" s="45" t="n">
        <v>0</v>
      </c>
      <c r="V4" s="45" t="n">
        <v>42821</v>
      </c>
    </row>
    <row r="5" ht="12" customHeight="1">
      <c r="A5" s="44" t="n">
        <v>36617</v>
      </c>
      <c r="B5" s="45" t="n">
        <v>22406.69666666667</v>
      </c>
      <c r="C5" s="45" t="n">
        <v>0</v>
      </c>
      <c r="D5" s="45" t="n">
        <v>634.6386</v>
      </c>
      <c r="E5" s="45" t="n">
        <v>0</v>
      </c>
      <c r="F5" s="45" t="n">
        <v>1694.556666666667</v>
      </c>
      <c r="G5" s="45" t="n">
        <v>4135.253333333333</v>
      </c>
      <c r="H5" s="45" t="n">
        <v>14832.39666666667</v>
      </c>
      <c r="I5" s="45" t="n">
        <v>49058.04333333333</v>
      </c>
      <c r="J5" s="45" t="n">
        <v>82899.97</v>
      </c>
      <c r="K5" s="45" t="n">
        <v>37488.48333333333</v>
      </c>
      <c r="L5" s="45" t="n">
        <v>48841.03333333334</v>
      </c>
      <c r="M5" s="45" t="n">
        <v>44952.266667</v>
      </c>
      <c r="N5" s="45" t="n">
        <v>6887.17056</v>
      </c>
      <c r="O5" s="45" t="n">
        <v>1715.68944</v>
      </c>
      <c r="P5" s="45" t="n">
        <v>23408.76666666667</v>
      </c>
      <c r="Q5" s="45" t="n">
        <v>1114.946</v>
      </c>
      <c r="R5" s="45" t="n">
        <v>100</v>
      </c>
      <c r="S5" s="45" t="n">
        <v>340169.911267</v>
      </c>
      <c r="T5" s="50" t="n"/>
      <c r="U5" s="45" t="n">
        <v>0</v>
      </c>
      <c r="V5" s="45" t="n">
        <v>44889</v>
      </c>
    </row>
    <row r="6" ht="12" customHeight="1">
      <c r="A6" s="44" t="n">
        <v>36647</v>
      </c>
      <c r="B6" s="45" t="n">
        <v>26930.25483870968</v>
      </c>
      <c r="C6" s="45" t="n">
        <v>0</v>
      </c>
      <c r="D6" s="45" t="n">
        <v>673.796064516129</v>
      </c>
      <c r="E6" s="45" t="n">
        <v>0</v>
      </c>
      <c r="F6" s="45" t="n">
        <v>1662.429032258065</v>
      </c>
      <c r="G6" s="45" t="n">
        <v>3985.029032258064</v>
      </c>
      <c r="H6" s="45" t="n">
        <v>14662.78387096774</v>
      </c>
      <c r="I6" s="45" t="n">
        <v>50035.89032258065</v>
      </c>
      <c r="J6" s="45" t="n">
        <v>78479.93870967742</v>
      </c>
      <c r="K6" s="45" t="n">
        <v>37083.07419354839</v>
      </c>
      <c r="L6" s="45" t="n">
        <v>55782.35483870968</v>
      </c>
      <c r="M6" s="45" t="n">
        <v>45423.00000032258</v>
      </c>
      <c r="N6" s="45" t="n">
        <v>6840.372280645161</v>
      </c>
      <c r="O6" s="45" t="n">
        <v>1816.324493548387</v>
      </c>
      <c r="P6" s="45" t="n">
        <v>22929.3064516129</v>
      </c>
      <c r="Q6" s="45" t="n">
        <v>1060.917096774194</v>
      </c>
      <c r="R6" s="45" t="n">
        <v>100</v>
      </c>
      <c r="S6" s="45" t="n">
        <v>347465.471226129</v>
      </c>
      <c r="T6" s="50" t="n"/>
      <c r="U6" s="45" t="n">
        <v>0</v>
      </c>
      <c r="V6" s="45" t="n">
        <v>45423</v>
      </c>
    </row>
    <row r="7" ht="12" customHeight="1">
      <c r="A7" s="44" t="n">
        <v>36678</v>
      </c>
      <c r="B7" s="45" t="n">
        <v>22511.19</v>
      </c>
      <c r="C7" s="45" t="n">
        <v>0</v>
      </c>
      <c r="D7" s="45" t="n">
        <v>670.8201333333333</v>
      </c>
      <c r="E7" s="45" t="n">
        <v>0</v>
      </c>
      <c r="F7" s="45" t="n">
        <v>1648.31</v>
      </c>
      <c r="G7" s="45" t="n">
        <v>3300.99</v>
      </c>
      <c r="H7" s="45" t="n">
        <v>14938.13333333334</v>
      </c>
      <c r="I7" s="45" t="n">
        <v>50783.81666666667</v>
      </c>
      <c r="J7" s="45" t="n">
        <v>80397.53666666667</v>
      </c>
      <c r="K7" s="45" t="n">
        <v>36901.53666666667</v>
      </c>
      <c r="L7" s="45" t="n">
        <v>56926.1</v>
      </c>
      <c r="M7" s="45" t="n">
        <v>46610.00000033333</v>
      </c>
      <c r="N7" s="45" t="n">
        <v>6720.30428</v>
      </c>
      <c r="O7" s="45" t="n">
        <v>1788.51572</v>
      </c>
      <c r="P7" s="45" t="n">
        <v>22494.04666666667</v>
      </c>
      <c r="Q7" s="45" t="n">
        <v>1127.348666666667</v>
      </c>
      <c r="R7" s="45" t="n">
        <v>100</v>
      </c>
      <c r="S7" s="45" t="n">
        <v>346918.6488003334</v>
      </c>
      <c r="T7" s="50" t="n"/>
      <c r="U7" s="45" t="n">
        <v>0</v>
      </c>
      <c r="V7" s="45" t="n">
        <v>46610</v>
      </c>
    </row>
    <row r="8" ht="12" customHeight="1">
      <c r="A8" s="44" t="n">
        <v>36708</v>
      </c>
      <c r="B8" s="45" t="n">
        <v>23673.61935483871</v>
      </c>
      <c r="C8" s="45" t="n">
        <v>0</v>
      </c>
      <c r="D8" s="45" t="n">
        <v>630.0451612903227</v>
      </c>
      <c r="E8" s="45" t="n">
        <v>0</v>
      </c>
      <c r="F8" s="45" t="n">
        <v>1632.216129032258</v>
      </c>
      <c r="G8" s="45" t="n">
        <v>3946.732258064516</v>
      </c>
      <c r="H8" s="45" t="n">
        <v>15150.87096774194</v>
      </c>
      <c r="I8" s="45" t="n">
        <v>51272.9</v>
      </c>
      <c r="J8" s="45" t="n">
        <v>80564.99354838709</v>
      </c>
      <c r="K8" s="45" t="n">
        <v>37176.7935483871</v>
      </c>
      <c r="L8" s="45" t="n">
        <v>49185.87096774193</v>
      </c>
      <c r="M8" s="45" t="n">
        <v>45801.00000032258</v>
      </c>
      <c r="N8" s="45" t="n">
        <v>6819.387512903226</v>
      </c>
      <c r="O8" s="45" t="n">
        <v>1786.009261290322</v>
      </c>
      <c r="P8" s="45" t="n">
        <v>22993.6870967742</v>
      </c>
      <c r="Q8" s="45" t="n">
        <v>1226.381935483871</v>
      </c>
      <c r="R8" s="45" t="n">
        <v>100</v>
      </c>
      <c r="S8" s="45" t="n">
        <v>341960.5077422581</v>
      </c>
      <c r="T8" s="50" t="n"/>
      <c r="U8" s="45" t="n">
        <v>0</v>
      </c>
      <c r="V8" s="45" t="n">
        <v>45801</v>
      </c>
    </row>
    <row r="9" ht="12" customHeight="1">
      <c r="A9" s="44" t="n">
        <v>36739</v>
      </c>
      <c r="B9" s="45" t="n">
        <v>15013.31290322581</v>
      </c>
      <c r="C9" s="45" t="n">
        <v>0</v>
      </c>
      <c r="D9" s="45" t="n">
        <v>652.4144516129032</v>
      </c>
      <c r="E9" s="45" t="n">
        <v>0</v>
      </c>
      <c r="F9" s="45" t="n">
        <v>1620.396774193548</v>
      </c>
      <c r="G9" s="45" t="n">
        <v>3724.7</v>
      </c>
      <c r="H9" s="45" t="n">
        <v>15037.40322580645</v>
      </c>
      <c r="I9" s="45" t="n">
        <v>51900.35806451613</v>
      </c>
      <c r="J9" s="45" t="n">
        <v>80816.49354838709</v>
      </c>
      <c r="K9" s="45" t="n">
        <v>37997.22258064516</v>
      </c>
      <c r="L9" s="45" t="n">
        <v>53814.45161290323</v>
      </c>
      <c r="M9" s="45" t="n">
        <v>53393.93548387097</v>
      </c>
      <c r="N9" s="45" t="n">
        <v>5880.19469032258</v>
      </c>
      <c r="O9" s="45" t="n">
        <v>1714.827890322581</v>
      </c>
      <c r="P9" s="45" t="n">
        <v>23017.98064516129</v>
      </c>
      <c r="Q9" s="45" t="n">
        <v>1204.758709677419</v>
      </c>
      <c r="R9" s="45" t="n">
        <v>100</v>
      </c>
      <c r="S9" s="45" t="n">
        <v>345888.4505806452</v>
      </c>
      <c r="T9" s="50" t="n"/>
      <c r="U9" s="45" t="n">
        <v>0</v>
      </c>
      <c r="V9" s="45" t="n">
        <v>46125</v>
      </c>
    </row>
    <row r="10" ht="12" customHeight="1">
      <c r="A10" s="44" t="n">
        <v>36770</v>
      </c>
      <c r="B10" s="45" t="n">
        <v>24700.27</v>
      </c>
      <c r="C10" s="45" t="n">
        <v>0</v>
      </c>
      <c r="D10" s="45" t="n">
        <v>673.3449333333334</v>
      </c>
      <c r="E10" s="45" t="n">
        <v>0</v>
      </c>
      <c r="F10" s="45" t="n">
        <v>1669.61</v>
      </c>
      <c r="G10" s="45" t="n">
        <v>3799.796666666667</v>
      </c>
      <c r="H10" s="45" t="n">
        <v>14919.33</v>
      </c>
      <c r="I10" s="45" t="n">
        <v>52053.87</v>
      </c>
      <c r="J10" s="45" t="n">
        <v>79725.31</v>
      </c>
      <c r="K10" s="45" t="n">
        <v>38440.27</v>
      </c>
      <c r="L10" s="45" t="n">
        <v>51011.03333333333</v>
      </c>
      <c r="M10" s="45" t="n">
        <v>50480.9</v>
      </c>
      <c r="N10" s="45" t="n">
        <v>6431.630573333333</v>
      </c>
      <c r="O10" s="45" t="n">
        <v>1777.819426666667</v>
      </c>
      <c r="P10" s="45" t="n">
        <v>20946.09333333333</v>
      </c>
      <c r="Q10" s="45" t="n">
        <v>1157.77</v>
      </c>
      <c r="R10" s="45" t="n">
        <v>100</v>
      </c>
      <c r="S10" s="45" t="n">
        <v>347887.0482666667</v>
      </c>
      <c r="T10" s="50" t="n"/>
      <c r="U10" s="45" t="n">
        <v>0</v>
      </c>
      <c r="V10" s="45" t="n">
        <v>45904</v>
      </c>
    </row>
    <row r="11" ht="12" customHeight="1">
      <c r="A11" s="44" t="n">
        <v>36800</v>
      </c>
      <c r="B11" s="45" t="n">
        <v>24371.8</v>
      </c>
      <c r="C11" s="45" t="n">
        <v>0</v>
      </c>
      <c r="D11" s="45" t="n">
        <v>598.6037419354839</v>
      </c>
      <c r="E11" s="45" t="n">
        <v>0</v>
      </c>
      <c r="F11" s="45" t="n">
        <v>1772.103225806452</v>
      </c>
      <c r="G11" s="45" t="n">
        <v>3813.458064516129</v>
      </c>
      <c r="H11" s="45" t="n">
        <v>14946.03225806452</v>
      </c>
      <c r="I11" s="45" t="n">
        <v>53425.73548387097</v>
      </c>
      <c r="J11" s="45" t="n">
        <v>80607.15806451613</v>
      </c>
      <c r="K11" s="45" t="n">
        <v>38935.84838709678</v>
      </c>
      <c r="L11" s="45" t="n">
        <v>40577.70967741936</v>
      </c>
      <c r="M11" s="45" t="n">
        <v>47505.74193548387</v>
      </c>
      <c r="N11" s="45" t="n">
        <v>6865.849858064516</v>
      </c>
      <c r="O11" s="45" t="n">
        <v>1788.895303225807</v>
      </c>
      <c r="P11" s="45" t="n">
        <v>22288.75161290323</v>
      </c>
      <c r="Q11" s="45" t="n">
        <v>1162.800322580645</v>
      </c>
      <c r="R11" s="45" t="n">
        <v>100</v>
      </c>
      <c r="S11" s="45" t="n">
        <v>338760.4879354838</v>
      </c>
      <c r="T11" s="50" t="n"/>
      <c r="U11" s="45" t="n">
        <v>0</v>
      </c>
      <c r="V11" s="45" t="n">
        <v>46449</v>
      </c>
    </row>
    <row r="12" ht="12" customHeight="1">
      <c r="A12" s="44" t="n">
        <v>36831</v>
      </c>
      <c r="B12" s="45" t="n">
        <v>21369.31333333334</v>
      </c>
      <c r="C12" s="45" t="n">
        <v>0</v>
      </c>
      <c r="D12" s="45" t="n">
        <v>592.7280666666667</v>
      </c>
      <c r="E12" s="45" t="n">
        <v>0</v>
      </c>
      <c r="F12" s="45" t="n">
        <v>1784.713333333333</v>
      </c>
      <c r="G12" s="45" t="n">
        <v>3878.89</v>
      </c>
      <c r="H12" s="45" t="n">
        <v>14723.99</v>
      </c>
      <c r="I12" s="45" t="n">
        <v>53362.21</v>
      </c>
      <c r="J12" s="45" t="n">
        <v>80659.81666666667</v>
      </c>
      <c r="K12" s="45" t="n">
        <v>38530.21666666667</v>
      </c>
      <c r="L12" s="45" t="n">
        <v>51415.76666666666</v>
      </c>
      <c r="M12" s="45" t="n">
        <v>49708.00000033333</v>
      </c>
      <c r="N12" s="45" t="n">
        <v>7377.737599999999</v>
      </c>
      <c r="O12" s="45" t="n">
        <v>1820.0624</v>
      </c>
      <c r="P12" s="45" t="n">
        <v>22971.92666666667</v>
      </c>
      <c r="Q12" s="45" t="n">
        <v>1288.504666666667</v>
      </c>
      <c r="R12" s="45" t="n">
        <v>100</v>
      </c>
      <c r="S12" s="45" t="n">
        <v>349583.876067</v>
      </c>
      <c r="T12" s="50" t="n"/>
      <c r="U12" s="45" t="n">
        <v>0</v>
      </c>
      <c r="V12" s="45" t="n">
        <v>49708</v>
      </c>
    </row>
    <row r="13" ht="12" customHeight="1">
      <c r="A13" s="44" t="n">
        <v>36861</v>
      </c>
      <c r="B13" s="45" t="n">
        <v>22902.62903225806</v>
      </c>
      <c r="C13" s="45" t="n">
        <v>0</v>
      </c>
      <c r="D13" s="45" t="n">
        <v>568.8387096774194</v>
      </c>
      <c r="E13" s="45" t="n">
        <v>0</v>
      </c>
      <c r="F13" s="45" t="n">
        <v>1737.290322580645</v>
      </c>
      <c r="G13" s="45" t="n">
        <v>3898.61935483871</v>
      </c>
      <c r="H13" s="45" t="n">
        <v>14706.65806451613</v>
      </c>
      <c r="I13" s="45" t="n">
        <v>53297.45161290323</v>
      </c>
      <c r="J13" s="45" t="n">
        <v>79876.52580645161</v>
      </c>
      <c r="K13" s="45" t="n">
        <v>38161.79032258064</v>
      </c>
      <c r="L13" s="45" t="n">
        <v>52012.19354838709</v>
      </c>
      <c r="M13" s="45" t="n">
        <v>53136.83870967742</v>
      </c>
      <c r="N13" s="45" t="n">
        <v>6680.110451612903</v>
      </c>
      <c r="O13" s="45" t="n">
        <v>1737.166967741935</v>
      </c>
      <c r="P13" s="45" t="n">
        <v>21076.46774193548</v>
      </c>
      <c r="Q13" s="45" t="n">
        <v>1201.119032258065</v>
      </c>
      <c r="R13" s="45" t="n">
        <v>100</v>
      </c>
      <c r="S13" s="45" t="n">
        <v>351093.6996774193</v>
      </c>
      <c r="T13" s="50" t="n"/>
      <c r="U13" s="45" t="n">
        <v>0</v>
      </c>
      <c r="V13" s="45" t="n">
        <v>50501</v>
      </c>
    </row>
    <row r="14" ht="12" customHeight="1">
      <c r="A14" s="44" t="n">
        <v>36892</v>
      </c>
      <c r="B14" s="45" t="n">
        <v>21058.56774193548</v>
      </c>
      <c r="C14" s="45" t="n">
        <v>0</v>
      </c>
      <c r="D14" s="45" t="n">
        <v>624.2631612903226</v>
      </c>
      <c r="E14" s="45" t="n">
        <v>0</v>
      </c>
      <c r="F14" s="45" t="n">
        <v>1765.738709677419</v>
      </c>
      <c r="G14" s="45" t="n">
        <v>3914.354838709678</v>
      </c>
      <c r="H14" s="45" t="n">
        <v>14865.54193548387</v>
      </c>
      <c r="I14" s="45" t="n">
        <v>52945.85483870967</v>
      </c>
      <c r="J14" s="45" t="n">
        <v>79825.80645161291</v>
      </c>
      <c r="K14" s="45" t="n">
        <v>38683.87096774193</v>
      </c>
      <c r="L14" s="45" t="n">
        <v>52422.70967741936</v>
      </c>
      <c r="M14" s="45" t="n">
        <v>48869.48387096774</v>
      </c>
      <c r="N14" s="45" t="n">
        <v>7294.995458064516</v>
      </c>
      <c r="O14" s="45" t="n">
        <v>1878.746477419355</v>
      </c>
      <c r="P14" s="45" t="n">
        <v>23519.35483870968</v>
      </c>
      <c r="Q14" s="45" t="n">
        <v>1227.468064516129</v>
      </c>
      <c r="R14" s="45" t="n">
        <v>100</v>
      </c>
      <c r="S14" s="45" t="n">
        <v>348996.7570322581</v>
      </c>
      <c r="T14" s="50" t="n"/>
      <c r="U14" s="45" t="n">
        <v>0</v>
      </c>
      <c r="V14" s="45" t="n">
        <v>48491</v>
      </c>
    </row>
    <row r="15" ht="12" customHeight="1">
      <c r="A15" s="44" t="n">
        <v>36923</v>
      </c>
      <c r="B15" s="45" t="n">
        <v>23228.98928571428</v>
      </c>
      <c r="C15" s="45" t="n">
        <v>0</v>
      </c>
      <c r="D15" s="45" t="n">
        <v>641.9621071428571</v>
      </c>
      <c r="E15" s="45" t="n">
        <v>0</v>
      </c>
      <c r="F15" s="45" t="n">
        <v>1755.410714285714</v>
      </c>
      <c r="G15" s="45" t="n">
        <v>4068.946428571428</v>
      </c>
      <c r="H15" s="45" t="n">
        <v>14901.72142857143</v>
      </c>
      <c r="I15" s="45" t="n">
        <v>52945.86428571428</v>
      </c>
      <c r="J15" s="45" t="n">
        <v>78982.14285714286</v>
      </c>
      <c r="K15" s="45" t="n">
        <v>38446.42857142857</v>
      </c>
      <c r="L15" s="45" t="n">
        <v>57296.46428571429</v>
      </c>
      <c r="M15" s="45" t="n">
        <v>47060.17857142857</v>
      </c>
      <c r="N15" s="45" t="n">
        <v>7333.329185714286</v>
      </c>
      <c r="O15" s="45" t="n">
        <v>1876.695814285714</v>
      </c>
      <c r="P15" s="45" t="n">
        <v>23414.28571428571</v>
      </c>
      <c r="Q15" s="45" t="n">
        <v>1336.727142857143</v>
      </c>
      <c r="R15" s="45" t="n">
        <v>100</v>
      </c>
      <c r="S15" s="45" t="n">
        <v>353389.1463928572</v>
      </c>
      <c r="T15" s="50" t="n"/>
      <c r="U15" s="45" t="n">
        <v>0</v>
      </c>
      <c r="V15" s="45" t="n">
        <v>46750</v>
      </c>
    </row>
    <row r="16" ht="12" customHeight="1">
      <c r="A16" s="44" t="n">
        <v>36951</v>
      </c>
      <c r="B16" s="45" t="n">
        <v>22347.02580645161</v>
      </c>
      <c r="C16" s="45" t="n">
        <v>0</v>
      </c>
      <c r="D16" s="45" t="n">
        <v>685.7290967741935</v>
      </c>
      <c r="E16" s="45" t="n">
        <v>0</v>
      </c>
      <c r="F16" s="45" t="n">
        <v>1788.838709677419</v>
      </c>
      <c r="G16" s="45" t="n">
        <v>3903.564516129032</v>
      </c>
      <c r="H16" s="45" t="n">
        <v>15016.29677419355</v>
      </c>
      <c r="I16" s="45" t="n">
        <v>52744.1129032258</v>
      </c>
      <c r="J16" s="45" t="n">
        <v>79480.64516129032</v>
      </c>
      <c r="K16" s="45" t="n">
        <v>38609.67741935484</v>
      </c>
      <c r="L16" s="45" t="n">
        <v>57033.96774193548</v>
      </c>
      <c r="M16" s="45" t="n">
        <v>49399.25806451613</v>
      </c>
      <c r="N16" s="45" t="n">
        <v>7515.555096774193</v>
      </c>
      <c r="O16" s="45" t="n">
        <v>1847.580387096774</v>
      </c>
      <c r="P16" s="45" t="n">
        <v>22254.83870967742</v>
      </c>
      <c r="Q16" s="45" t="n">
        <v>1424.298064516129</v>
      </c>
      <c r="R16" s="45" t="n">
        <v>100</v>
      </c>
      <c r="S16" s="45" t="n">
        <v>354151.3884516129</v>
      </c>
      <c r="T16" s="50" t="n"/>
      <c r="U16" s="45" t="n">
        <v>0</v>
      </c>
      <c r="V16" s="45" t="n">
        <v>49317</v>
      </c>
    </row>
    <row r="17" ht="12" customHeight="1">
      <c r="A17" s="44" t="n">
        <v>36982</v>
      </c>
      <c r="B17" s="45" t="n">
        <v>22315</v>
      </c>
      <c r="C17" s="45" t="n">
        <v>0</v>
      </c>
      <c r="D17" s="45" t="n">
        <v>639.1022666666667</v>
      </c>
      <c r="E17" s="45" t="n">
        <v>0</v>
      </c>
      <c r="F17" s="45" t="n">
        <v>1715.18</v>
      </c>
      <c r="G17" s="45" t="n">
        <v>3974.856666666667</v>
      </c>
      <c r="H17" s="45" t="n">
        <v>14209.55</v>
      </c>
      <c r="I17" s="45" t="n">
        <v>50998.28666666667</v>
      </c>
      <c r="J17" s="45" t="n">
        <v>78663.33333333333</v>
      </c>
      <c r="K17" s="45" t="n">
        <v>37960</v>
      </c>
      <c r="L17" s="45" t="n">
        <v>47983.8</v>
      </c>
      <c r="M17" s="45" t="n">
        <v>47674.03333333333</v>
      </c>
      <c r="N17" s="45" t="n">
        <v>7314.6144</v>
      </c>
      <c r="O17" s="45" t="n">
        <v>1850.968933333333</v>
      </c>
      <c r="P17" s="45" t="n">
        <v>20743.33333333333</v>
      </c>
      <c r="Q17" s="45" t="n">
        <v>1338.392333333333</v>
      </c>
      <c r="R17" s="45" t="n">
        <v>100</v>
      </c>
      <c r="S17" s="45" t="n">
        <v>337480.4512666666</v>
      </c>
      <c r="T17" s="50" t="n"/>
      <c r="U17" s="45" t="n">
        <v>0</v>
      </c>
      <c r="V17" s="45" t="n">
        <v>47607</v>
      </c>
    </row>
    <row r="18" ht="12" customHeight="1">
      <c r="A18" s="44" t="n">
        <v>37012</v>
      </c>
      <c r="B18" s="45" t="n">
        <v>22649.88387096774</v>
      </c>
      <c r="C18" s="45" t="n">
        <v>0</v>
      </c>
      <c r="D18" s="45" t="n">
        <v>707.8632258064515</v>
      </c>
      <c r="E18" s="45" t="n">
        <v>0</v>
      </c>
      <c r="F18" s="45" t="n">
        <v>1687.38064516129</v>
      </c>
      <c r="G18" s="45" t="n">
        <v>3910.38064516129</v>
      </c>
      <c r="H18" s="45" t="n">
        <v>14259.60322580645</v>
      </c>
      <c r="I18" s="45" t="n">
        <v>51946.46774193548</v>
      </c>
      <c r="J18" s="45" t="n">
        <v>76248.3870967742</v>
      </c>
      <c r="K18" s="45" t="n">
        <v>38070.96774193548</v>
      </c>
      <c r="L18" s="45" t="n">
        <v>56927.35483870968</v>
      </c>
      <c r="M18" s="45" t="n">
        <v>50474.83870967742</v>
      </c>
      <c r="N18" s="45" t="n">
        <v>7130.730274193548</v>
      </c>
      <c r="O18" s="45" t="n">
        <v>1991.614887096774</v>
      </c>
      <c r="P18" s="45" t="n">
        <v>24093.54838709677</v>
      </c>
      <c r="Q18" s="45" t="n">
        <v>1511.851935483871</v>
      </c>
      <c r="R18" s="45" t="n">
        <v>100</v>
      </c>
      <c r="S18" s="45" t="n">
        <v>351710.8732258065</v>
      </c>
      <c r="T18" s="50" t="n"/>
      <c r="U18" s="45" t="n">
        <v>0</v>
      </c>
      <c r="V18" s="45" t="n">
        <v>50385</v>
      </c>
    </row>
    <row r="19" ht="12" customHeight="1">
      <c r="A19" s="44" t="n">
        <v>37043</v>
      </c>
      <c r="B19" s="45" t="n">
        <v>21988.20333333333</v>
      </c>
      <c r="C19" s="45" t="n">
        <v>0</v>
      </c>
      <c r="D19" s="45" t="n">
        <v>684.2121333333333</v>
      </c>
      <c r="E19" s="45" t="n">
        <v>0</v>
      </c>
      <c r="F19" s="45" t="n">
        <v>1682.996666666667</v>
      </c>
      <c r="G19" s="45" t="n">
        <v>3765.173333333333</v>
      </c>
      <c r="H19" s="45" t="n">
        <v>14430.82</v>
      </c>
      <c r="I19" s="45" t="n">
        <v>51810.95</v>
      </c>
      <c r="J19" s="45" t="n">
        <v>75996.66666666667</v>
      </c>
      <c r="K19" s="45" t="n">
        <v>37666.66666666666</v>
      </c>
      <c r="L19" s="45" t="n">
        <v>45863.43333333333</v>
      </c>
      <c r="M19" s="45" t="n">
        <v>51036</v>
      </c>
      <c r="N19" s="45" t="n">
        <v>6898.271119999999</v>
      </c>
      <c r="O19" s="45" t="n">
        <v>1763.28888</v>
      </c>
      <c r="P19" s="45" t="n">
        <v>22196.66666666667</v>
      </c>
      <c r="Q19" s="45" t="n">
        <v>1445.215333333333</v>
      </c>
      <c r="R19" s="45" t="n">
        <v>100</v>
      </c>
      <c r="S19" s="45" t="n">
        <v>337328.5641333333</v>
      </c>
      <c r="T19" s="50" t="n"/>
      <c r="U19" s="45" t="n">
        <v>0</v>
      </c>
      <c r="V19" s="45" t="n">
        <v>51036</v>
      </c>
    </row>
    <row r="20" ht="12" customHeight="1">
      <c r="A20" s="44" t="n">
        <v>37073</v>
      </c>
      <c r="B20" s="45" t="n">
        <v>22235.91935483871</v>
      </c>
      <c r="C20" s="45" t="n">
        <v>0</v>
      </c>
      <c r="D20" s="45" t="n">
        <v>654.5354838709677</v>
      </c>
      <c r="E20" s="45" t="n">
        <v>0</v>
      </c>
      <c r="F20" s="45" t="n">
        <v>1691.158064516129</v>
      </c>
      <c r="G20" s="45" t="n">
        <v>3954.722580645161</v>
      </c>
      <c r="H20" s="45" t="n">
        <v>14650.58064516129</v>
      </c>
      <c r="I20" s="45" t="n">
        <v>52378.18387096774</v>
      </c>
      <c r="J20" s="45" t="n">
        <v>75064.51612903226</v>
      </c>
      <c r="K20" s="45" t="n">
        <v>38193.54838709677</v>
      </c>
      <c r="L20" s="45" t="n">
        <v>54685.54838709677</v>
      </c>
      <c r="M20" s="45" t="n">
        <v>48645.06451612903</v>
      </c>
      <c r="N20" s="45" t="n">
        <v>7028.562580645161</v>
      </c>
      <c r="O20" s="45" t="n">
        <v>1727.792258064516</v>
      </c>
      <c r="P20" s="45" t="n">
        <v>18270.96774193548</v>
      </c>
      <c r="Q20" s="45" t="n">
        <v>1531.704193548387</v>
      </c>
      <c r="R20" s="45" t="n">
        <v>100</v>
      </c>
      <c r="S20" s="45" t="n">
        <v>340812.8041935484</v>
      </c>
      <c r="T20" s="50" t="n"/>
      <c r="U20" s="45" t="n">
        <v>0</v>
      </c>
      <c r="V20" s="45" t="n">
        <v>48539</v>
      </c>
    </row>
    <row r="21" ht="12" customHeight="1">
      <c r="A21" s="44" t="n">
        <v>37104</v>
      </c>
      <c r="B21" s="45" t="n">
        <v>21039.23548387097</v>
      </c>
      <c r="C21" s="45" t="n">
        <v>0</v>
      </c>
      <c r="D21" s="45" t="n">
        <v>777.4493870967742</v>
      </c>
      <c r="E21" s="45" t="n">
        <v>0</v>
      </c>
      <c r="F21" s="45" t="n">
        <v>1757.925806451613</v>
      </c>
      <c r="G21" s="45" t="n">
        <v>3755.429032258065</v>
      </c>
      <c r="H21" s="45" t="n">
        <v>14892.58387096774</v>
      </c>
      <c r="I21" s="45" t="n">
        <v>53544.49032258065</v>
      </c>
      <c r="J21" s="45" t="n">
        <v>74419.35483870968</v>
      </c>
      <c r="K21" s="45" t="n">
        <v>38661.29032258064</v>
      </c>
      <c r="L21" s="45" t="n">
        <v>55833.70967741936</v>
      </c>
      <c r="M21" s="45" t="n">
        <v>47322.48387096774</v>
      </c>
      <c r="N21" s="45" t="n">
        <v>6416.16929032258</v>
      </c>
      <c r="O21" s="45" t="n">
        <v>1713.201677419355</v>
      </c>
      <c r="P21" s="45" t="n">
        <v>19032.25806451613</v>
      </c>
      <c r="Q21" s="45" t="n">
        <v>1801.673548387097</v>
      </c>
      <c r="R21" s="45" t="n">
        <v>100</v>
      </c>
      <c r="S21" s="45" t="n">
        <v>341067.2551935484</v>
      </c>
      <c r="T21" s="50" t="n"/>
      <c r="U21" s="45" t="n">
        <v>0</v>
      </c>
      <c r="V21" s="45" t="n">
        <v>47138</v>
      </c>
    </row>
    <row r="22" ht="12" customHeight="1">
      <c r="A22" s="44" t="n">
        <v>37135</v>
      </c>
      <c r="B22" s="45" t="n">
        <v>23565.17666666667</v>
      </c>
      <c r="C22" s="45" t="n">
        <v>0</v>
      </c>
      <c r="D22" s="45" t="n">
        <v>690.2714666666667</v>
      </c>
      <c r="E22" s="45" t="n">
        <v>0</v>
      </c>
      <c r="F22" s="45" t="n">
        <v>1817.296666666667</v>
      </c>
      <c r="G22" s="45" t="n">
        <v>3755.583333333333</v>
      </c>
      <c r="H22" s="45" t="n">
        <v>14925.45666666667</v>
      </c>
      <c r="I22" s="45" t="n">
        <v>54026.88</v>
      </c>
      <c r="J22" s="45" t="n">
        <v>74050</v>
      </c>
      <c r="K22" s="45" t="n">
        <v>37880</v>
      </c>
      <c r="L22" s="45" t="n">
        <v>45722.46666666667</v>
      </c>
      <c r="M22" s="45" t="n">
        <v>46556.56666666667</v>
      </c>
      <c r="N22" s="45" t="n">
        <v>6993.6</v>
      </c>
      <c r="O22" s="45" t="n">
        <v>1684.566666666667</v>
      </c>
      <c r="P22" s="45" t="n">
        <v>19246.66666666667</v>
      </c>
      <c r="Q22" s="45" t="n">
        <v>1723.85</v>
      </c>
      <c r="R22" s="45" t="n">
        <v>100</v>
      </c>
      <c r="S22" s="45" t="n">
        <v>332738.3814666666</v>
      </c>
      <c r="T22" s="50" t="n"/>
      <c r="U22" s="45" t="n">
        <v>0</v>
      </c>
      <c r="V22" s="45" t="n">
        <v>46500</v>
      </c>
    </row>
    <row r="23" ht="12" customHeight="1">
      <c r="A23" s="44" t="n">
        <v>37165</v>
      </c>
      <c r="B23" s="45" t="n">
        <v>28196.75806451613</v>
      </c>
      <c r="C23" s="45" t="n">
        <v>0</v>
      </c>
      <c r="D23" s="45" t="n">
        <v>734.983870967742</v>
      </c>
      <c r="E23" s="45" t="n">
        <v>0</v>
      </c>
      <c r="F23" s="45" t="n">
        <v>1841.609677419355</v>
      </c>
      <c r="G23" s="45" t="n">
        <v>3973.461290322581</v>
      </c>
      <c r="H23" s="45" t="n">
        <v>15217.40967741935</v>
      </c>
      <c r="I23" s="45" t="n">
        <v>54134.02258064517</v>
      </c>
      <c r="J23" s="45" t="n">
        <v>74638.70967741935</v>
      </c>
      <c r="K23" s="45" t="n">
        <v>37974.1935483871</v>
      </c>
      <c r="L23" s="45" t="n">
        <v>51843.54838709677</v>
      </c>
      <c r="M23" s="45" t="n">
        <v>47242.35483870967</v>
      </c>
      <c r="N23" s="45" t="n">
        <v>7062.472258064516</v>
      </c>
      <c r="O23" s="45" t="n">
        <v>1757.14064516129</v>
      </c>
      <c r="P23" s="45" t="n">
        <v>22064.51612903226</v>
      </c>
      <c r="Q23" s="45" t="n">
        <v>1733.759677419355</v>
      </c>
      <c r="R23" s="45" t="n">
        <v>100</v>
      </c>
      <c r="S23" s="45" t="n">
        <v>348514.9403225806</v>
      </c>
      <c r="T23" s="50" t="n"/>
      <c r="U23" s="45" t="n">
        <v>0</v>
      </c>
      <c r="V23" s="45" t="n">
        <v>47241</v>
      </c>
    </row>
    <row r="24" ht="12" customHeight="1">
      <c r="A24" s="44" t="n">
        <v>37196</v>
      </c>
      <c r="B24" s="45" t="n">
        <v>27657.64</v>
      </c>
      <c r="C24" s="45" t="n">
        <v>0</v>
      </c>
      <c r="D24" s="45" t="n">
        <v>672.77</v>
      </c>
      <c r="E24" s="45" t="n">
        <v>0</v>
      </c>
      <c r="F24" s="45" t="n">
        <v>1824.223333333333</v>
      </c>
      <c r="G24" s="45" t="n">
        <v>4157.756666666666</v>
      </c>
      <c r="H24" s="45" t="n">
        <v>15144.69666666667</v>
      </c>
      <c r="I24" s="45" t="n">
        <v>53884.97</v>
      </c>
      <c r="J24" s="45" t="n">
        <v>74620</v>
      </c>
      <c r="K24" s="45" t="n">
        <v>37900</v>
      </c>
      <c r="L24" s="45" t="n">
        <v>62272.3</v>
      </c>
      <c r="M24" s="45" t="n">
        <v>46169.7</v>
      </c>
      <c r="N24" s="45" t="n">
        <v>6824.576</v>
      </c>
      <c r="O24" s="45" t="n">
        <v>1708.857333333333</v>
      </c>
      <c r="P24" s="45" t="n">
        <v>20393.33333333333</v>
      </c>
      <c r="Q24" s="45" t="n">
        <v>1750.613</v>
      </c>
      <c r="R24" s="45" t="n">
        <v>100</v>
      </c>
      <c r="S24" s="45" t="n">
        <v>355081.4363333334</v>
      </c>
      <c r="T24" s="50" t="n"/>
      <c r="U24" s="45" t="n">
        <v>0</v>
      </c>
      <c r="V24" s="45" t="n">
        <v>45949</v>
      </c>
    </row>
    <row r="25" ht="12" customHeight="1">
      <c r="A25" s="44" t="n">
        <v>37226</v>
      </c>
      <c r="B25" s="45" t="n">
        <v>27472.22903225806</v>
      </c>
      <c r="C25" s="45" t="n">
        <v>0</v>
      </c>
      <c r="D25" s="45" t="n">
        <v>634.9709677419354</v>
      </c>
      <c r="E25" s="45" t="n">
        <v>0</v>
      </c>
      <c r="F25" s="45" t="n">
        <v>1805.935483870968</v>
      </c>
      <c r="G25" s="45" t="n">
        <v>3964.416129032258</v>
      </c>
      <c r="H25" s="45" t="n">
        <v>15419.10322580645</v>
      </c>
      <c r="I25" s="45" t="n">
        <v>53249.19032258065</v>
      </c>
      <c r="J25" s="45" t="n">
        <v>73722.58064516129</v>
      </c>
      <c r="K25" s="45" t="n">
        <v>36577.41935483871</v>
      </c>
      <c r="L25" s="45" t="n">
        <v>69033.41935483871</v>
      </c>
      <c r="M25" s="45" t="n">
        <v>45333</v>
      </c>
      <c r="N25" s="45" t="n">
        <v>6705.847741935483</v>
      </c>
      <c r="O25" s="45" t="n">
        <v>1656.410322580645</v>
      </c>
      <c r="P25" s="45" t="n">
        <v>18429.03225806452</v>
      </c>
      <c r="Q25" s="45" t="n">
        <v>1873.737096774194</v>
      </c>
      <c r="R25" s="45" t="n">
        <v>100</v>
      </c>
      <c r="S25" s="45" t="n">
        <v>355977.2919354839</v>
      </c>
      <c r="T25" s="50" t="n"/>
      <c r="U25" s="45" t="n">
        <v>0</v>
      </c>
      <c r="V25" s="45" t="n">
        <v>45119</v>
      </c>
    </row>
    <row r="26" ht="12" customHeight="1">
      <c r="A26" s="44" t="n">
        <v>37257</v>
      </c>
      <c r="B26" s="45" t="n">
        <v>30355.25806451613</v>
      </c>
      <c r="C26" s="45" t="n">
        <v>0</v>
      </c>
      <c r="D26" s="45" t="n">
        <v>650.5064516129032</v>
      </c>
      <c r="E26" s="45" t="n">
        <v>0</v>
      </c>
      <c r="F26" s="45" t="n">
        <v>1774.212903225806</v>
      </c>
      <c r="G26" s="45" t="n">
        <v>3823</v>
      </c>
      <c r="H26" s="45" t="n">
        <v>15030.04516129032</v>
      </c>
      <c r="I26" s="45" t="n">
        <v>52031.55483870968</v>
      </c>
      <c r="J26" s="45" t="n">
        <v>72516.12903225806</v>
      </c>
      <c r="K26" s="45" t="n">
        <v>35438.70967741936</v>
      </c>
      <c r="L26" s="45" t="n">
        <v>65261.54838709677</v>
      </c>
      <c r="M26" s="45" t="n">
        <v>44331.12903225807</v>
      </c>
      <c r="N26" s="45" t="n">
        <v>6444.325161290322</v>
      </c>
      <c r="O26" s="45" t="n">
        <v>1619.449032258065</v>
      </c>
      <c r="P26" s="45" t="n">
        <v>20548.38709677419</v>
      </c>
      <c r="Q26" s="45" t="n">
        <v>1710.037741935484</v>
      </c>
      <c r="R26" s="45" t="n">
        <v>100</v>
      </c>
      <c r="S26" s="45" t="n">
        <v>351634.2925806451</v>
      </c>
      <c r="T26" s="50" t="n"/>
      <c r="U26" s="45" t="n">
        <v>0</v>
      </c>
      <c r="V26" s="45" t="n">
        <v>43534.54516129033</v>
      </c>
    </row>
    <row r="27" ht="12" customHeight="1">
      <c r="A27" s="44" t="n">
        <v>37288</v>
      </c>
      <c r="B27" s="45" t="n">
        <v>42096.82142857143</v>
      </c>
      <c r="C27" s="45" t="n">
        <v>0</v>
      </c>
      <c r="D27" s="45" t="n">
        <v>640.9178571428572</v>
      </c>
      <c r="E27" s="45" t="n">
        <v>0</v>
      </c>
      <c r="F27" s="45" t="n">
        <v>1758.625</v>
      </c>
      <c r="G27" s="45" t="n">
        <v>3861.064285714286</v>
      </c>
      <c r="H27" s="45" t="n">
        <v>14842.60357142857</v>
      </c>
      <c r="I27" s="45" t="n">
        <v>52224.29642857142</v>
      </c>
      <c r="J27" s="45" t="n">
        <v>72925</v>
      </c>
      <c r="K27" s="45" t="n">
        <v>35489.28571428572</v>
      </c>
      <c r="L27" s="45" t="n">
        <v>70144.85714285714</v>
      </c>
      <c r="M27" s="45" t="n">
        <v>45391.85714285714</v>
      </c>
      <c r="N27" s="45" t="n">
        <v>6719.931428571428</v>
      </c>
      <c r="O27" s="45" t="n">
        <v>1675.032857142857</v>
      </c>
      <c r="P27" s="45" t="n">
        <v>23760.71428571429</v>
      </c>
      <c r="Q27" s="45" t="n">
        <v>1715.685</v>
      </c>
      <c r="R27" s="45" t="n">
        <v>100</v>
      </c>
      <c r="S27" s="45" t="n">
        <v>373346.6921428571</v>
      </c>
      <c r="T27" s="50" t="n"/>
      <c r="U27" s="45" t="n">
        <v>0</v>
      </c>
      <c r="V27" s="45" t="n">
        <v>43337.62499999999</v>
      </c>
    </row>
    <row r="28" ht="12" customHeight="1">
      <c r="A28" s="44" t="n">
        <v>37316</v>
      </c>
      <c r="B28" s="45" t="n">
        <v>42711.74193548387</v>
      </c>
      <c r="C28" s="45" t="n">
        <v>0</v>
      </c>
      <c r="D28" s="45" t="n">
        <v>629.9354838709677</v>
      </c>
      <c r="E28" s="45" t="n">
        <v>0</v>
      </c>
      <c r="F28" s="45" t="n">
        <v>1844.796774193548</v>
      </c>
      <c r="G28" s="45" t="n">
        <v>3946.387096774194</v>
      </c>
      <c r="H28" s="45" t="n">
        <v>14662.01290322581</v>
      </c>
      <c r="I28" s="45" t="n">
        <v>52860.15806451613</v>
      </c>
      <c r="J28" s="45" t="n">
        <v>72141.93548387097</v>
      </c>
      <c r="K28" s="45" t="n">
        <v>35577.41935483871</v>
      </c>
      <c r="L28" s="45" t="n">
        <v>64454.19354838709</v>
      </c>
      <c r="M28" s="45" t="n">
        <v>45577.29032258064</v>
      </c>
      <c r="N28" s="45" t="n">
        <v>6923.891612903225</v>
      </c>
      <c r="O28" s="45" t="n">
        <v>1666.334193548387</v>
      </c>
      <c r="P28" s="45" t="n">
        <v>21358.06451612903</v>
      </c>
      <c r="Q28" s="45" t="n">
        <v>1788.129677419355</v>
      </c>
      <c r="R28" s="45" t="n">
        <v>100</v>
      </c>
      <c r="S28" s="45" t="n">
        <v>366242.2909677419</v>
      </c>
      <c r="T28" s="50" t="n"/>
      <c r="U28" s="45" t="n">
        <v>0</v>
      </c>
      <c r="V28" s="45" t="n">
        <v>45403.34838709678</v>
      </c>
    </row>
    <row r="29" ht="12" customHeight="1">
      <c r="A29" s="44" t="n">
        <v>37347</v>
      </c>
      <c r="B29" s="45" t="n">
        <v>49227</v>
      </c>
      <c r="C29" s="45" t="n">
        <v>0</v>
      </c>
      <c r="D29" s="45" t="n">
        <v>675.0473333333333</v>
      </c>
      <c r="E29" s="45" t="n">
        <v>0</v>
      </c>
      <c r="F29" s="45" t="n">
        <v>1813.046666666667</v>
      </c>
      <c r="G29" s="45" t="n">
        <v>3926.16</v>
      </c>
      <c r="H29" s="45" t="n">
        <v>14006.18666666667</v>
      </c>
      <c r="I29" s="45" t="n">
        <v>52524.34666666667</v>
      </c>
      <c r="J29" s="45" t="n">
        <v>71303.33333333333</v>
      </c>
      <c r="K29" s="45" t="n">
        <v>35613.33333333334</v>
      </c>
      <c r="L29" s="45" t="n">
        <v>67218.3</v>
      </c>
      <c r="M29" s="45" t="n">
        <v>46315.6</v>
      </c>
      <c r="N29" s="45" t="n">
        <v>6861.728</v>
      </c>
      <c r="O29" s="45" t="n">
        <v>1720.505333333334</v>
      </c>
      <c r="P29" s="45" t="n">
        <v>21006.66666666667</v>
      </c>
      <c r="Q29" s="45" t="n">
        <v>1681.633333333333</v>
      </c>
      <c r="R29" s="45" t="n">
        <v>100</v>
      </c>
      <c r="S29" s="45" t="n">
        <v>373992.8873333334</v>
      </c>
      <c r="T29" s="50" t="n"/>
      <c r="U29" s="45" t="n">
        <v>0</v>
      </c>
      <c r="V29" s="45" t="n">
        <v>46317.37666666666</v>
      </c>
    </row>
    <row r="30" ht="12" customHeight="1">
      <c r="A30" s="44" t="n">
        <v>37377</v>
      </c>
      <c r="B30" s="45" t="n">
        <v>48371.41935483871</v>
      </c>
      <c r="C30" s="45" t="n">
        <v>0</v>
      </c>
      <c r="D30" s="45" t="n">
        <v>653.258064516129</v>
      </c>
      <c r="E30" s="45" t="n">
        <v>0</v>
      </c>
      <c r="F30" s="45" t="n">
        <v>1734.267741935484</v>
      </c>
      <c r="G30" s="45" t="n">
        <v>3839.454838709677</v>
      </c>
      <c r="H30" s="45" t="n">
        <v>13570.10322580645</v>
      </c>
      <c r="I30" s="45" t="n">
        <v>52479.33548387096</v>
      </c>
      <c r="J30" s="45" t="n">
        <v>69222.58064516129</v>
      </c>
      <c r="K30" s="45" t="n">
        <v>35361.29032258064</v>
      </c>
      <c r="L30" s="45" t="n">
        <v>58683.09677419355</v>
      </c>
      <c r="M30" s="45" t="n">
        <v>46442.06451612903</v>
      </c>
      <c r="N30" s="45" t="n">
        <v>6726.689032258064</v>
      </c>
      <c r="O30" s="45" t="n">
        <v>1684.988387096774</v>
      </c>
      <c r="P30" s="45" t="n">
        <v>20280.64516129032</v>
      </c>
      <c r="Q30" s="45" t="n">
        <v>1489.092580645161</v>
      </c>
      <c r="R30" s="45" t="n">
        <v>100</v>
      </c>
      <c r="S30" s="45" t="n">
        <v>360638.2861290323</v>
      </c>
      <c r="T30" s="50" t="n"/>
      <c r="U30" s="45" t="n">
        <v>0</v>
      </c>
      <c r="V30" s="45" t="n">
        <v>46716.23548387097</v>
      </c>
    </row>
    <row r="31" ht="12" customHeight="1">
      <c r="A31" s="44" t="n">
        <v>37408</v>
      </c>
      <c r="B31" s="45" t="n">
        <v>48900.36666666667</v>
      </c>
      <c r="C31" s="45" t="n">
        <v>0</v>
      </c>
      <c r="D31" s="45" t="n">
        <v>583.8</v>
      </c>
      <c r="E31" s="45" t="n">
        <v>0</v>
      </c>
      <c r="F31" s="45" t="n">
        <v>1717.66</v>
      </c>
      <c r="G31" s="45" t="n">
        <v>3762.576666666667</v>
      </c>
      <c r="H31" s="45" t="n">
        <v>13312.16666666667</v>
      </c>
      <c r="I31" s="45" t="n">
        <v>51404.78</v>
      </c>
      <c r="J31" s="45" t="n">
        <v>68893.33333333333</v>
      </c>
      <c r="K31" s="45" t="n">
        <v>35230</v>
      </c>
      <c r="L31" s="45" t="n">
        <v>59031.93333333333</v>
      </c>
      <c r="M31" s="45" t="n">
        <v>47309.53333333333</v>
      </c>
      <c r="N31" s="45" t="n">
        <v>6694.848</v>
      </c>
      <c r="O31" s="45" t="n">
        <v>1674.518666666667</v>
      </c>
      <c r="P31" s="45" t="n">
        <v>18516.66666666667</v>
      </c>
      <c r="Q31" s="45" t="n">
        <v>1613.551</v>
      </c>
      <c r="R31" s="45" t="n">
        <v>100</v>
      </c>
      <c r="S31" s="45" t="n">
        <v>358745.7343333333</v>
      </c>
      <c r="T31" s="50" t="n"/>
      <c r="U31" s="45" t="n">
        <v>0</v>
      </c>
      <c r="V31" s="45" t="n">
        <v>47986.88</v>
      </c>
    </row>
    <row r="32" ht="12" customHeight="1">
      <c r="A32" s="44" t="n">
        <v>37438</v>
      </c>
      <c r="B32" s="45" t="n">
        <v>50718.64516129033</v>
      </c>
      <c r="C32" s="45" t="n">
        <v>0</v>
      </c>
      <c r="D32" s="45" t="n">
        <v>625</v>
      </c>
      <c r="E32" s="45" t="n">
        <v>0</v>
      </c>
      <c r="F32" s="45" t="n">
        <v>1732.445161290323</v>
      </c>
      <c r="G32" s="45" t="n">
        <v>3740.525806451613</v>
      </c>
      <c r="H32" s="45" t="n">
        <v>13631.64193548387</v>
      </c>
      <c r="I32" s="45" t="n">
        <v>51764.61935483872</v>
      </c>
      <c r="J32" s="45" t="n">
        <v>69629.03225806452</v>
      </c>
      <c r="K32" s="45" t="n">
        <v>35293.54838709677</v>
      </c>
      <c r="L32" s="45" t="n">
        <v>69020.32258064515</v>
      </c>
      <c r="M32" s="45" t="n">
        <v>47969.64516129033</v>
      </c>
      <c r="N32" s="45" t="n">
        <v>6567.576774193548</v>
      </c>
      <c r="O32" s="45" t="n">
        <v>1535.132903225807</v>
      </c>
      <c r="P32" s="45" t="n">
        <v>19551.61290322581</v>
      </c>
      <c r="Q32" s="45" t="n">
        <v>1721.933225806452</v>
      </c>
      <c r="R32" s="45" t="n">
        <v>100</v>
      </c>
      <c r="S32" s="45" t="n">
        <v>373601.6816129032</v>
      </c>
      <c r="T32" s="50" t="n"/>
      <c r="U32" s="45" t="n">
        <v>0</v>
      </c>
      <c r="V32" s="45" t="n">
        <v>48759.66129032258</v>
      </c>
    </row>
    <row r="33" ht="12" customHeight="1">
      <c r="A33" s="44" t="n">
        <v>37469</v>
      </c>
      <c r="B33" s="45" t="n">
        <v>36085.09677419355</v>
      </c>
      <c r="C33" s="45" t="n">
        <v>0</v>
      </c>
      <c r="D33" s="45" t="n">
        <v>569.7258064516129</v>
      </c>
      <c r="E33" s="45" t="n">
        <v>0</v>
      </c>
      <c r="F33" s="45" t="n">
        <v>1730.6</v>
      </c>
      <c r="G33" s="45" t="n">
        <v>3747.058064516129</v>
      </c>
      <c r="H33" s="45" t="n">
        <v>13754.38387096774</v>
      </c>
      <c r="I33" s="45" t="n">
        <v>53111.63225806452</v>
      </c>
      <c r="J33" s="45" t="n">
        <v>69277.41935483871</v>
      </c>
      <c r="K33" s="45" t="n">
        <v>35480.64516129033</v>
      </c>
      <c r="L33" s="45" t="n">
        <v>76449.67741935485</v>
      </c>
      <c r="M33" s="45" t="n">
        <v>48786.00001</v>
      </c>
      <c r="N33" s="45" t="n">
        <v>6532.985806451613</v>
      </c>
      <c r="O33" s="45" t="n">
        <v>1431.530322580645</v>
      </c>
      <c r="P33" s="45" t="n">
        <v>18674.1935483871</v>
      </c>
      <c r="Q33" s="45" t="n">
        <v>1752.875483870968</v>
      </c>
      <c r="R33" s="45" t="n">
        <v>100</v>
      </c>
      <c r="S33" s="45" t="n">
        <v>367483.8238809678</v>
      </c>
      <c r="T33" s="50" t="n"/>
      <c r="U33" s="45" t="n">
        <v>0</v>
      </c>
      <c r="V33" s="45" t="n">
        <v>49788.08709677419</v>
      </c>
    </row>
    <row r="34" ht="12" customHeight="1">
      <c r="A34" s="44" t="n">
        <v>37500</v>
      </c>
      <c r="B34" s="45" t="n">
        <v>33002.13333333333</v>
      </c>
      <c r="C34" s="45" t="n">
        <v>0</v>
      </c>
      <c r="D34" s="45" t="n">
        <v>690.27</v>
      </c>
      <c r="E34" s="45" t="n">
        <v>0</v>
      </c>
      <c r="F34" s="45" t="n">
        <v>1795.883333333333</v>
      </c>
      <c r="G34" s="45" t="n">
        <v>3658.78</v>
      </c>
      <c r="H34" s="45" t="n">
        <v>13726.72666666667</v>
      </c>
      <c r="I34" s="45" t="n">
        <v>52696.70333333333</v>
      </c>
      <c r="J34" s="45" t="n">
        <v>67823.33333333333</v>
      </c>
      <c r="K34" s="45" t="n">
        <v>35440</v>
      </c>
      <c r="L34" s="45" t="n">
        <v>75005.76666666666</v>
      </c>
      <c r="M34" s="45" t="n">
        <v>49868.00001</v>
      </c>
      <c r="N34" s="45" t="n">
        <v>6664.896</v>
      </c>
      <c r="O34" s="45" t="n">
        <v>1618.337333333333</v>
      </c>
      <c r="P34" s="45" t="n">
        <v>21623.33333333333</v>
      </c>
      <c r="Q34" s="45" t="n">
        <v>1716.680333333333</v>
      </c>
      <c r="R34" s="45" t="n">
        <v>100</v>
      </c>
      <c r="S34" s="45" t="n">
        <v>365430.8436766666</v>
      </c>
      <c r="T34" s="50" t="n"/>
      <c r="U34" s="45" t="n">
        <v>0</v>
      </c>
      <c r="V34" s="45" t="n">
        <v>50198.02</v>
      </c>
    </row>
    <row r="35" ht="12" customHeight="1">
      <c r="A35" s="44" t="n">
        <v>37530</v>
      </c>
      <c r="B35" s="45" t="n">
        <v>53209.03225806452</v>
      </c>
      <c r="C35" s="45" t="n">
        <v>0</v>
      </c>
      <c r="D35" s="45" t="n">
        <v>548.3612903225807</v>
      </c>
      <c r="E35" s="45" t="n">
        <v>0</v>
      </c>
      <c r="F35" s="45" t="n">
        <v>1822.183870967742</v>
      </c>
      <c r="G35" s="45" t="n">
        <v>3696.587096774193</v>
      </c>
      <c r="H35" s="45" t="n">
        <v>13897.43870967742</v>
      </c>
      <c r="I35" s="45" t="n">
        <v>53087.36129032259</v>
      </c>
      <c r="J35" s="45" t="n">
        <v>68148.3870967742</v>
      </c>
      <c r="K35" s="45" t="n">
        <v>34258.06451612903</v>
      </c>
      <c r="L35" s="45" t="n">
        <v>75018.09677419355</v>
      </c>
      <c r="M35" s="45" t="n">
        <v>48739.00001</v>
      </c>
      <c r="N35" s="45" t="n">
        <v>6935.504516129032</v>
      </c>
      <c r="O35" s="45" t="n">
        <v>1730.366451612903</v>
      </c>
      <c r="P35" s="45" t="n">
        <v>19612.90322580645</v>
      </c>
      <c r="Q35" s="45" t="n">
        <v>1483.86</v>
      </c>
      <c r="R35" s="45" t="n">
        <v>100</v>
      </c>
      <c r="S35" s="45" t="n">
        <v>382287.1471067742</v>
      </c>
      <c r="T35" s="50" t="n"/>
      <c r="U35" s="45" t="n">
        <v>0</v>
      </c>
      <c r="V35" s="45" t="n">
        <v>48834.63548387095</v>
      </c>
    </row>
    <row r="36" ht="12" customHeight="1">
      <c r="A36" s="44" t="n">
        <v>37561</v>
      </c>
      <c r="B36" s="45" t="n">
        <v>56749.4</v>
      </c>
      <c r="C36" s="45" t="n">
        <v>0</v>
      </c>
      <c r="D36" s="45" t="n">
        <v>498.8866666666667</v>
      </c>
      <c r="E36" s="45" t="n">
        <v>0</v>
      </c>
      <c r="F36" s="45" t="n">
        <v>1835.666666666667</v>
      </c>
      <c r="G36" s="45" t="n">
        <v>3653.99</v>
      </c>
      <c r="H36" s="45" t="n">
        <v>14132.57666666667</v>
      </c>
      <c r="I36" s="45" t="n">
        <v>54455.73333333333</v>
      </c>
      <c r="J36" s="45" t="n">
        <v>67470</v>
      </c>
      <c r="K36" s="45" t="n">
        <v>35356.66666666666</v>
      </c>
      <c r="L36" s="45" t="n">
        <v>72223.10000000001</v>
      </c>
      <c r="M36" s="45" t="n">
        <v>50708.7</v>
      </c>
      <c r="N36" s="45" t="n">
        <v>6465.921666666666</v>
      </c>
      <c r="O36" s="45" t="n">
        <v>1739.145</v>
      </c>
      <c r="P36" s="45" t="n">
        <v>19020</v>
      </c>
      <c r="Q36" s="45" t="n">
        <v>1931.492</v>
      </c>
      <c r="R36" s="45" t="n">
        <v>100</v>
      </c>
      <c r="S36" s="45" t="n">
        <v>386341.2786666668</v>
      </c>
      <c r="T36" s="50" t="n"/>
      <c r="U36" s="45" t="n">
        <v>0</v>
      </c>
      <c r="V36" s="45" t="n">
        <v>50697.10333333334</v>
      </c>
    </row>
    <row r="37" ht="12" customHeight="1">
      <c r="A37" s="44" t="n">
        <v>37591</v>
      </c>
      <c r="B37" s="45" t="n">
        <v>53795.48387096774</v>
      </c>
      <c r="C37" s="45" t="n">
        <v>0</v>
      </c>
      <c r="D37" s="45" t="n">
        <v>530.8387096774194</v>
      </c>
      <c r="E37" s="45" t="n">
        <v>0</v>
      </c>
      <c r="F37" s="45" t="n">
        <v>1834.516129032258</v>
      </c>
      <c r="G37" s="45" t="n">
        <v>3569.6</v>
      </c>
      <c r="H37" s="45" t="n">
        <v>14332.43225806451</v>
      </c>
      <c r="I37" s="45" t="n">
        <v>54722.28064516129</v>
      </c>
      <c r="J37" s="45" t="n">
        <v>67006.45161290323</v>
      </c>
      <c r="K37" s="45" t="n">
        <v>33593.54838709677</v>
      </c>
      <c r="L37" s="45" t="n">
        <v>76927.87096774194</v>
      </c>
      <c r="M37" s="45" t="n">
        <v>50808.6129032258</v>
      </c>
      <c r="N37" s="45" t="n">
        <v>6331.106451612903</v>
      </c>
      <c r="O37" s="45" t="n">
        <v>1694.151612903226</v>
      </c>
      <c r="P37" s="45" t="n">
        <v>21535.48387096774</v>
      </c>
      <c r="Q37" s="45" t="n">
        <v>2080.263870967742</v>
      </c>
      <c r="R37" s="45" t="n">
        <v>100</v>
      </c>
      <c r="S37" s="45" t="n">
        <v>388862.6412903226</v>
      </c>
      <c r="T37" s="50" t="n"/>
      <c r="U37" s="45" t="n">
        <v>0</v>
      </c>
      <c r="V37" s="45" t="n">
        <v>50116.38064516128</v>
      </c>
    </row>
    <row r="38" ht="12" customHeight="1">
      <c r="A38" s="44" t="n">
        <v>37622</v>
      </c>
      <c r="B38" s="45" t="n">
        <v>52659.58064516129</v>
      </c>
      <c r="C38" s="45" t="n">
        <v>0</v>
      </c>
      <c r="D38" s="45" t="n">
        <v>583.9193548387096</v>
      </c>
      <c r="E38" s="45" t="n">
        <v>0</v>
      </c>
      <c r="F38" s="45" t="n">
        <v>1792.416129032258</v>
      </c>
      <c r="G38" s="45" t="n">
        <v>3505.2</v>
      </c>
      <c r="H38" s="45" t="n">
        <v>14349.22580645161</v>
      </c>
      <c r="I38" s="45" t="n">
        <v>51798.51612903226</v>
      </c>
      <c r="J38" s="45" t="n">
        <v>67432.11612903226</v>
      </c>
      <c r="K38" s="45" t="n">
        <v>34808.60322580645</v>
      </c>
      <c r="L38" s="45" t="n">
        <v>66514.77419354839</v>
      </c>
      <c r="M38" s="45" t="n">
        <v>52149</v>
      </c>
      <c r="N38" s="45" t="n">
        <v>6655.783704173066</v>
      </c>
      <c r="O38" s="45" t="n">
        <v>1713.869677419355</v>
      </c>
      <c r="P38" s="45" t="n">
        <v>20457.38927291347</v>
      </c>
      <c r="Q38" s="45" t="n">
        <v>1641.077419354839</v>
      </c>
      <c r="R38" s="45" t="n">
        <v>85</v>
      </c>
      <c r="S38" s="45" t="n">
        <v>376146.4716867639</v>
      </c>
      <c r="T38" s="50" t="n"/>
      <c r="U38" s="45" t="n">
        <v>0</v>
      </c>
      <c r="V38" s="45" t="n">
        <v>52284.63870967741</v>
      </c>
    </row>
    <row r="39" ht="12" customHeight="1">
      <c r="A39" s="44" t="n">
        <v>37653</v>
      </c>
      <c r="B39" s="45" t="n">
        <v>45517.92857142857</v>
      </c>
      <c r="C39" s="45" t="n">
        <v>0</v>
      </c>
      <c r="D39" s="45" t="n">
        <v>591.9</v>
      </c>
      <c r="E39" s="45" t="n">
        <v>0</v>
      </c>
      <c r="F39" s="45" t="n">
        <v>1778.05</v>
      </c>
      <c r="G39" s="45" t="n">
        <v>3458.860714285714</v>
      </c>
      <c r="H39" s="45" t="n">
        <v>14400.08571428571</v>
      </c>
      <c r="I39" s="45" t="n">
        <v>52655.36428571428</v>
      </c>
      <c r="J39" s="45" t="n">
        <v>68264.76785714286</v>
      </c>
      <c r="K39" s="45" t="n">
        <v>34687.55</v>
      </c>
      <c r="L39" s="45" t="n">
        <v>67736.35714285713</v>
      </c>
      <c r="M39" s="45" t="n">
        <v>53192</v>
      </c>
      <c r="N39" s="45" t="n">
        <v>7043.22695047619</v>
      </c>
      <c r="O39" s="45" t="n">
        <v>1760.339285714286</v>
      </c>
      <c r="P39" s="45" t="n">
        <v>20360.41538658474</v>
      </c>
      <c r="Q39" s="45" t="n">
        <v>1377.480357142857</v>
      </c>
      <c r="R39" s="45" t="n">
        <v>85</v>
      </c>
      <c r="S39" s="45" t="n">
        <v>372909.3262656323</v>
      </c>
      <c r="T39" s="50" t="n"/>
      <c r="U39" s="45" t="n">
        <v>0</v>
      </c>
      <c r="V39" s="45" t="n">
        <v>53457.18214285713</v>
      </c>
    </row>
    <row r="40" ht="12" customHeight="1">
      <c r="A40" s="44" t="n">
        <v>37681</v>
      </c>
      <c r="B40" s="45" t="n">
        <v>57992.09677419355</v>
      </c>
      <c r="C40" s="45" t="n">
        <v>0</v>
      </c>
      <c r="D40" s="45" t="n">
        <v>560.258064516129</v>
      </c>
      <c r="E40" s="45" t="n">
        <v>0</v>
      </c>
      <c r="F40" s="45" t="n">
        <v>1763.154838709678</v>
      </c>
      <c r="G40" s="45" t="n">
        <v>3554.387096774194</v>
      </c>
      <c r="H40" s="45" t="n">
        <v>14099.73870967742</v>
      </c>
      <c r="I40" s="45" t="n">
        <v>51993.10967741935</v>
      </c>
      <c r="J40" s="45" t="n">
        <v>67324.14516129032</v>
      </c>
      <c r="K40" s="45" t="n">
        <v>34227.5129032258</v>
      </c>
      <c r="L40" s="45" t="n">
        <v>58111.90322580645</v>
      </c>
      <c r="M40" s="45" t="n">
        <v>53907</v>
      </c>
      <c r="N40" s="45" t="n">
        <v>6921.796129032258</v>
      </c>
      <c r="O40" s="45" t="n">
        <v>1749.429677419355</v>
      </c>
      <c r="P40" s="45" t="n">
        <v>21870.01612903226</v>
      </c>
      <c r="Q40" s="45" t="n">
        <v>1518.893548387097</v>
      </c>
      <c r="R40" s="45" t="n">
        <v>85</v>
      </c>
      <c r="S40" s="45" t="n">
        <v>375678.4419354839</v>
      </c>
      <c r="T40" s="50" t="n"/>
      <c r="U40" s="45" t="n">
        <v>0</v>
      </c>
      <c r="V40" s="45" t="n">
        <v>54107.50967741937</v>
      </c>
    </row>
    <row r="41" ht="12" customHeight="1">
      <c r="A41" s="44" t="n">
        <v>37712</v>
      </c>
      <c r="B41" s="45" t="n">
        <v>52313</v>
      </c>
      <c r="C41" s="45" t="n">
        <v>0</v>
      </c>
      <c r="D41" s="45" t="n">
        <v>595.4133333333334</v>
      </c>
      <c r="E41" s="45" t="n">
        <v>0</v>
      </c>
      <c r="F41" s="45" t="n">
        <v>1687.75</v>
      </c>
      <c r="G41" s="45" t="n">
        <v>3497.913333333333</v>
      </c>
      <c r="H41" s="45" t="n">
        <v>13624.53333333333</v>
      </c>
      <c r="I41" s="45" t="n">
        <v>50286.46666666667</v>
      </c>
      <c r="J41" s="45" t="n">
        <v>66495.15666666666</v>
      </c>
      <c r="K41" s="45" t="n">
        <v>34058.70666666667</v>
      </c>
      <c r="L41" s="45" t="n">
        <v>62461.33333333334</v>
      </c>
      <c r="M41" s="45" t="n">
        <v>53198</v>
      </c>
      <c r="N41" s="45" t="n">
        <v>7342.527999999999</v>
      </c>
      <c r="O41" s="45" t="n">
        <v>1817.405333333333</v>
      </c>
      <c r="P41" s="45" t="n">
        <v>21683.50666666667</v>
      </c>
      <c r="Q41" s="45" t="n">
        <v>1664.635333333333</v>
      </c>
      <c r="R41" s="45" t="n">
        <v>85</v>
      </c>
      <c r="S41" s="45" t="n">
        <v>370811.3486666667</v>
      </c>
      <c r="T41" s="50" t="n"/>
      <c r="U41" s="45" t="n">
        <v>0</v>
      </c>
      <c r="V41" s="45" t="n">
        <v>53261.30333333334</v>
      </c>
    </row>
    <row r="42" ht="12" customHeight="1">
      <c r="A42" s="44" t="n">
        <v>37742</v>
      </c>
      <c r="B42" s="45" t="n">
        <v>55089.8064516129</v>
      </c>
      <c r="C42" s="45" t="n">
        <v>0</v>
      </c>
      <c r="D42" s="45" t="n">
        <v>570.8193548387097</v>
      </c>
      <c r="E42" s="45" t="n">
        <v>0</v>
      </c>
      <c r="F42" s="45" t="n">
        <v>1725.548387096774</v>
      </c>
      <c r="G42" s="45" t="n">
        <v>3387.745161290323</v>
      </c>
      <c r="H42" s="45" t="n">
        <v>13462.19677419355</v>
      </c>
      <c r="I42" s="45" t="n">
        <v>51445.12580645161</v>
      </c>
      <c r="J42" s="45" t="n">
        <v>65570.7935483871</v>
      </c>
      <c r="K42" s="45" t="n">
        <v>33304.13225806451</v>
      </c>
      <c r="L42" s="45" t="n">
        <v>73416.93548387097</v>
      </c>
      <c r="M42" s="45" t="n">
        <v>55155</v>
      </c>
      <c r="N42" s="45" t="n">
        <v>6795.927096774193</v>
      </c>
      <c r="O42" s="45" t="n">
        <v>1652.395483870968</v>
      </c>
      <c r="P42" s="45" t="n">
        <v>20756.21935483871</v>
      </c>
      <c r="Q42" s="45" t="n">
        <v>1668.493870967742</v>
      </c>
      <c r="R42" s="45" t="n">
        <v>85</v>
      </c>
      <c r="S42" s="45" t="n">
        <v>384086.1390322581</v>
      </c>
      <c r="T42" s="50" t="n"/>
      <c r="U42" s="45" t="n">
        <v>0</v>
      </c>
      <c r="V42" s="45" t="n">
        <v>55408.24838709677</v>
      </c>
    </row>
    <row r="43" ht="12" customHeight="1">
      <c r="A43" s="44" t="n">
        <v>37773</v>
      </c>
      <c r="B43" s="45" t="n">
        <v>62579.36666666667</v>
      </c>
      <c r="C43" s="45" t="n">
        <v>0</v>
      </c>
      <c r="D43" s="45" t="n">
        <v>548.96</v>
      </c>
      <c r="E43" s="45" t="n">
        <v>0</v>
      </c>
      <c r="F43" s="45" t="n">
        <v>1706.803333333333</v>
      </c>
      <c r="G43" s="45" t="n">
        <v>3626.376666666667</v>
      </c>
      <c r="H43" s="45" t="n">
        <v>13509.91</v>
      </c>
      <c r="I43" s="45" t="n">
        <v>51788.90666666666</v>
      </c>
      <c r="J43" s="45" t="n">
        <v>65197.38</v>
      </c>
      <c r="K43" s="45" t="n">
        <v>33306.25666666667</v>
      </c>
      <c r="L43" s="45" t="n">
        <v>80081.8</v>
      </c>
      <c r="M43" s="45" t="n">
        <v>55902</v>
      </c>
      <c r="N43" s="45" t="n">
        <v>6937.137333333333</v>
      </c>
      <c r="O43" s="45" t="n">
        <v>1718.262666666667</v>
      </c>
      <c r="P43" s="45" t="n">
        <v>20408.01</v>
      </c>
      <c r="Q43" s="45" t="n">
        <v>1558.65</v>
      </c>
      <c r="R43" s="45" t="n">
        <v>85</v>
      </c>
      <c r="S43" s="45" t="n">
        <v>398954.82</v>
      </c>
      <c r="T43" s="50" t="n"/>
      <c r="U43" s="45" t="n">
        <v>0</v>
      </c>
      <c r="V43" s="45" t="n">
        <v>56265.31333333333</v>
      </c>
    </row>
    <row r="44" ht="12" customHeight="1">
      <c r="A44" s="44" t="n">
        <v>37803</v>
      </c>
      <c r="B44" s="45" t="n">
        <v>58087.45161290323</v>
      </c>
      <c r="C44" s="45" t="n">
        <v>0</v>
      </c>
      <c r="D44" s="45" t="n">
        <v>533.0225806451613</v>
      </c>
      <c r="E44" s="45" t="n">
        <v>0</v>
      </c>
      <c r="F44" s="45" t="n">
        <v>1688.951612903226</v>
      </c>
      <c r="G44" s="45" t="n">
        <v>3445.66129032258</v>
      </c>
      <c r="H44" s="45" t="n">
        <v>13866.42903225806</v>
      </c>
      <c r="I44" s="45" t="n">
        <v>52555.27741935484</v>
      </c>
      <c r="J44" s="45" t="n">
        <v>64195.52903225806</v>
      </c>
      <c r="K44" s="45" t="n">
        <v>33809.29032258064</v>
      </c>
      <c r="L44" s="45" t="n">
        <v>96303.48387096774</v>
      </c>
      <c r="M44" s="45" t="n">
        <v>55612</v>
      </c>
      <c r="N44" s="45" t="n">
        <v>6876.949032258064</v>
      </c>
      <c r="O44" s="45" t="n">
        <v>1714.76064516129</v>
      </c>
      <c r="P44" s="45" t="n">
        <v>21539.38709677419</v>
      </c>
      <c r="Q44" s="45" t="n">
        <v>1557.48064516129</v>
      </c>
      <c r="R44" s="45" t="n">
        <v>85</v>
      </c>
      <c r="S44" s="45" t="n">
        <v>411870.6741935484</v>
      </c>
      <c r="T44" s="50" t="n"/>
      <c r="U44" s="45" t="n">
        <v>0</v>
      </c>
      <c r="V44" s="45" t="n">
        <v>56257.1870967742</v>
      </c>
    </row>
    <row r="45" ht="12" customHeight="1">
      <c r="A45" s="44" t="n">
        <v>37834</v>
      </c>
      <c r="B45" s="45" t="n">
        <v>45012.09677419355</v>
      </c>
      <c r="C45" s="45" t="n">
        <v>0</v>
      </c>
      <c r="D45" s="45" t="n">
        <v>496.2774193548387</v>
      </c>
      <c r="E45" s="45" t="n">
        <v>0</v>
      </c>
      <c r="F45" s="45" t="n">
        <v>1701.203225806452</v>
      </c>
      <c r="G45" s="45" t="n">
        <v>3608.851612903225</v>
      </c>
      <c r="H45" s="45" t="n">
        <v>13563.52258064516</v>
      </c>
      <c r="I45" s="45" t="n">
        <v>53147.2129032258</v>
      </c>
      <c r="J45" s="45" t="n">
        <v>65116.13548387097</v>
      </c>
      <c r="K45" s="45" t="n">
        <v>33527.08387096774</v>
      </c>
      <c r="L45" s="45" t="n">
        <v>89660.45161290323</v>
      </c>
      <c r="M45" s="45" t="n">
        <v>55976</v>
      </c>
      <c r="N45" s="45" t="n">
        <v>6697.448451612902</v>
      </c>
      <c r="O45" s="45" t="n">
        <v>1698.399935483871</v>
      </c>
      <c r="P45" s="45" t="n">
        <v>21095.9064516129</v>
      </c>
      <c r="Q45" s="45" t="n">
        <v>1366.712903225806</v>
      </c>
      <c r="R45" s="45" t="n">
        <v>85</v>
      </c>
      <c r="S45" s="45" t="n">
        <v>392752.3032258064</v>
      </c>
      <c r="T45" s="50" t="n"/>
      <c r="U45" s="45" t="n">
        <v>0</v>
      </c>
      <c r="V45" s="45" t="n">
        <v>56874.25161290323</v>
      </c>
    </row>
    <row r="46" ht="12" customHeight="1">
      <c r="A46" s="44" t="n">
        <v>37865</v>
      </c>
      <c r="B46" s="45" t="n">
        <v>51607.83333333334</v>
      </c>
      <c r="C46" s="45" t="n">
        <v>0</v>
      </c>
      <c r="D46" s="45" t="n">
        <v>499.8566666666667</v>
      </c>
      <c r="E46" s="45" t="n">
        <v>0</v>
      </c>
      <c r="F46" s="45" t="n">
        <v>1710.503333333333</v>
      </c>
      <c r="G46" s="45" t="n">
        <v>3529.96</v>
      </c>
      <c r="H46" s="45" t="n">
        <v>13907.44333333333</v>
      </c>
      <c r="I46" s="45" t="n">
        <v>53124.31</v>
      </c>
      <c r="J46" s="45" t="n">
        <v>63923.95333333334</v>
      </c>
      <c r="K46" s="45" t="n">
        <v>34677.98666666666</v>
      </c>
      <c r="L46" s="45" t="n">
        <v>88265.03333333333</v>
      </c>
      <c r="M46" s="45" t="n">
        <v>55688</v>
      </c>
      <c r="N46" s="45" t="n">
        <v>7041.477333333333</v>
      </c>
      <c r="O46" s="45" t="n">
        <v>1764.956</v>
      </c>
      <c r="P46" s="45" t="n">
        <v>18369.31</v>
      </c>
      <c r="Q46" s="45" t="n">
        <v>1405.983333333333</v>
      </c>
      <c r="R46" s="45" t="n">
        <v>85</v>
      </c>
      <c r="S46" s="45" t="n">
        <v>395601.6066666667</v>
      </c>
      <c r="T46" s="50" t="n"/>
      <c r="U46" s="45" t="n">
        <v>0</v>
      </c>
      <c r="V46" s="45" t="n">
        <v>56338.76</v>
      </c>
    </row>
    <row r="47" ht="12" customHeight="1">
      <c r="A47" s="44" t="n">
        <v>37895</v>
      </c>
      <c r="B47" s="45" t="n">
        <v>54815.77419354839</v>
      </c>
      <c r="C47" s="45" t="n">
        <v>0</v>
      </c>
      <c r="D47" s="45" t="n">
        <v>480.8354838709677</v>
      </c>
      <c r="E47" s="45" t="n">
        <v>0</v>
      </c>
      <c r="F47" s="45" t="n">
        <v>1737.274193548387</v>
      </c>
      <c r="G47" s="45" t="n">
        <v>3459.425806451613</v>
      </c>
      <c r="H47" s="45" t="n">
        <v>13721.93225806451</v>
      </c>
      <c r="I47" s="45" t="n">
        <v>54000.79032258064</v>
      </c>
      <c r="J47" s="45" t="n">
        <v>65593.25806451614</v>
      </c>
      <c r="K47" s="45" t="n">
        <v>33559.34193548387</v>
      </c>
      <c r="L47" s="45" t="n">
        <v>86711.5806451613</v>
      </c>
      <c r="M47" s="45" t="n">
        <v>56310</v>
      </c>
      <c r="N47" s="45" t="n">
        <v>6910.576774193548</v>
      </c>
      <c r="O47" s="45" t="n">
        <v>1706.455483870968</v>
      </c>
      <c r="P47" s="45" t="n">
        <v>21942.54193548387</v>
      </c>
      <c r="Q47" s="45" t="n">
        <v>1378.690322580645</v>
      </c>
      <c r="R47" s="45" t="n">
        <v>85</v>
      </c>
      <c r="S47" s="45" t="n">
        <v>402413.4774193548</v>
      </c>
      <c r="T47" s="50" t="n"/>
      <c r="U47" s="45" t="n">
        <v>0</v>
      </c>
      <c r="V47" s="45" t="n">
        <v>56356.8870967742</v>
      </c>
    </row>
    <row r="48" ht="12" customHeight="1">
      <c r="A48" s="44" t="n">
        <v>37926</v>
      </c>
      <c r="B48" s="45" t="n">
        <v>55062.86666666667</v>
      </c>
      <c r="C48" s="45" t="n">
        <v>0</v>
      </c>
      <c r="D48" s="45" t="n">
        <v>447.4333333333333</v>
      </c>
      <c r="E48" s="45" t="n">
        <v>0</v>
      </c>
      <c r="F48" s="45" t="n">
        <v>1752.196666666667</v>
      </c>
      <c r="G48" s="45" t="n">
        <v>3596.183333333333</v>
      </c>
      <c r="H48" s="45" t="n">
        <v>14144.76333333333</v>
      </c>
      <c r="I48" s="45" t="n">
        <v>53832.58366666666</v>
      </c>
      <c r="J48" s="45" t="n">
        <v>64906.67</v>
      </c>
      <c r="K48" s="45" t="n">
        <v>33876.86666666667</v>
      </c>
      <c r="L48" s="45" t="n">
        <v>85283.73333333334</v>
      </c>
      <c r="M48" s="45" t="n">
        <v>57468</v>
      </c>
      <c r="N48" s="45" t="n">
        <v>7006.258666666666</v>
      </c>
      <c r="O48" s="45" t="n">
        <v>1842.974666666667</v>
      </c>
      <c r="P48" s="45" t="n">
        <v>21511.56</v>
      </c>
      <c r="Q48" s="45" t="n">
        <v>1378.096666666667</v>
      </c>
      <c r="R48" s="45" t="n">
        <v>85</v>
      </c>
      <c r="S48" s="45" t="n">
        <v>402195.187</v>
      </c>
      <c r="T48" s="50" t="n"/>
      <c r="U48" s="45" t="n">
        <v>0</v>
      </c>
      <c r="V48" s="45" t="n">
        <v>57462.15333333334</v>
      </c>
    </row>
    <row r="49" ht="12" customHeight="1">
      <c r="A49" s="44" t="n">
        <v>37956</v>
      </c>
      <c r="B49" s="45" t="n">
        <v>51445.90322580645</v>
      </c>
      <c r="C49" s="45" t="n">
        <v>0</v>
      </c>
      <c r="D49" s="45" t="n">
        <v>456.3903225806451</v>
      </c>
      <c r="E49" s="45" t="n">
        <v>0</v>
      </c>
      <c r="F49" s="45" t="n">
        <v>1762.183870967742</v>
      </c>
      <c r="G49" s="45" t="n">
        <v>3515.145161290322</v>
      </c>
      <c r="H49" s="45" t="n">
        <v>14314.55806451613</v>
      </c>
      <c r="I49" s="45" t="n">
        <v>55153.52903225806</v>
      </c>
      <c r="J49" s="45" t="n">
        <v>65709.07741935484</v>
      </c>
      <c r="K49" s="45" t="n">
        <v>34587.12903225807</v>
      </c>
      <c r="L49" s="45" t="n">
        <v>98993.19354838709</v>
      </c>
      <c r="M49" s="45" t="n">
        <v>57879</v>
      </c>
      <c r="N49" s="45" t="n">
        <v>6757.72064516129</v>
      </c>
      <c r="O49" s="45" t="n">
        <v>1769.214838709677</v>
      </c>
      <c r="P49" s="45" t="n">
        <v>21923.9935483871</v>
      </c>
      <c r="Q49" s="45" t="n">
        <v>1527.98064516129</v>
      </c>
      <c r="R49" s="45" t="n">
        <v>85</v>
      </c>
      <c r="S49" s="45" t="n">
        <v>415880.0193548387</v>
      </c>
      <c r="T49" s="50" t="n"/>
      <c r="U49" s="45" t="n">
        <v>0</v>
      </c>
      <c r="V49" s="45" t="n">
        <v>57894.94516129033</v>
      </c>
    </row>
    <row r="50" ht="12" customHeight="1">
      <c r="A50" s="44" t="n">
        <v>37987</v>
      </c>
      <c r="B50" s="45" t="n">
        <v>49921.45161290323</v>
      </c>
      <c r="C50" s="45" t="n">
        <v>0</v>
      </c>
      <c r="D50" s="45" t="n">
        <v>411.8612903225807</v>
      </c>
      <c r="E50" s="45" t="n">
        <v>0</v>
      </c>
      <c r="F50" s="45" t="n">
        <v>1712.354838709677</v>
      </c>
      <c r="G50" s="45" t="n">
        <v>3472.803225806451</v>
      </c>
      <c r="H50" s="45" t="n">
        <v>13788.25806451613</v>
      </c>
      <c r="I50" s="45" t="n">
        <v>52439.59032258065</v>
      </c>
      <c r="J50" s="45" t="n">
        <v>62981.67096774193</v>
      </c>
      <c r="K50" s="45" t="n">
        <v>33393.76774193549</v>
      </c>
      <c r="L50" s="45" t="n">
        <v>94700.03225806452</v>
      </c>
      <c r="M50" s="45" t="n">
        <v>56520</v>
      </c>
      <c r="N50" s="45" t="n">
        <v>6583.410193548387</v>
      </c>
      <c r="O50" s="45" t="n">
        <v>1843.580129032258</v>
      </c>
      <c r="P50" s="45" t="n">
        <v>21475.23548387097</v>
      </c>
      <c r="Q50" s="45" t="n">
        <v>1456.854838709677</v>
      </c>
      <c r="R50" s="45" t="n">
        <v>85</v>
      </c>
      <c r="S50" s="45" t="n">
        <v>400785.8709677419</v>
      </c>
      <c r="T50" s="50" t="n"/>
      <c r="U50" s="45" t="n">
        <v>0</v>
      </c>
      <c r="V50" s="45" t="n">
        <v>56556.34193548388</v>
      </c>
    </row>
    <row r="51" ht="12" customHeight="1">
      <c r="A51" s="44" t="n">
        <v>38018</v>
      </c>
      <c r="B51" s="45" t="n">
        <v>58213.8275862069</v>
      </c>
      <c r="C51" s="45" t="n">
        <v>0</v>
      </c>
      <c r="D51" s="45" t="n">
        <v>452.65</v>
      </c>
      <c r="E51" s="45" t="n">
        <v>0</v>
      </c>
      <c r="F51" s="45" t="n">
        <v>1749.014285714286</v>
      </c>
      <c r="G51" s="45" t="n">
        <v>3405.46551724138</v>
      </c>
      <c r="H51" s="45" t="n">
        <v>14420.925</v>
      </c>
      <c r="I51" s="45" t="n">
        <v>54944.67857142857</v>
      </c>
      <c r="J51" s="45" t="n">
        <v>66159.30714285714</v>
      </c>
      <c r="K51" s="45" t="n">
        <v>34571.525</v>
      </c>
      <c r="L51" s="45" t="n">
        <v>96912.39285714286</v>
      </c>
      <c r="M51" s="45" t="n">
        <v>56246</v>
      </c>
      <c r="N51" s="45" t="n">
        <v>6915.962</v>
      </c>
      <c r="O51" s="45" t="n">
        <v>1948.180857142857</v>
      </c>
      <c r="P51" s="45" t="n">
        <v>22650.31428571429</v>
      </c>
      <c r="Q51" s="45" t="n">
        <v>1403.755172413793</v>
      </c>
      <c r="R51" s="45" t="n">
        <v>85</v>
      </c>
      <c r="S51" s="45" t="n">
        <v>420078.998275862</v>
      </c>
      <c r="T51" s="50" t="n"/>
      <c r="U51" s="45" t="n">
        <v>0</v>
      </c>
      <c r="V51" s="45" t="n">
        <v>56270.77931034483</v>
      </c>
    </row>
    <row r="52" ht="12" customHeight="1">
      <c r="A52" s="44" t="n">
        <v>38047</v>
      </c>
      <c r="B52" s="45" t="n">
        <v>52135.64516129033</v>
      </c>
      <c r="C52" s="45" t="n">
        <v>0</v>
      </c>
      <c r="D52" s="45" t="n">
        <v>483.2258064516129</v>
      </c>
      <c r="E52" s="45" t="n">
        <v>0</v>
      </c>
      <c r="F52" s="45" t="n">
        <v>1746.222580645161</v>
      </c>
      <c r="G52" s="45" t="n">
        <v>3287.241935483871</v>
      </c>
      <c r="H52" s="45" t="n">
        <v>14076.3935483871</v>
      </c>
      <c r="I52" s="45" t="n">
        <v>53226.25806451613</v>
      </c>
      <c r="J52" s="45" t="n">
        <v>64454.76774193549</v>
      </c>
      <c r="K52" s="45" t="n">
        <v>33353.38064516129</v>
      </c>
      <c r="L52" s="45" t="n">
        <v>97991.90322580645</v>
      </c>
      <c r="M52" s="45" t="n">
        <v>58090</v>
      </c>
      <c r="N52" s="45" t="n">
        <v>6658.369419354839</v>
      </c>
      <c r="O52" s="45" t="n">
        <v>1886.856387096774</v>
      </c>
      <c r="P52" s="45" t="n">
        <v>22233.56129032258</v>
      </c>
      <c r="Q52" s="45" t="n">
        <v>1450.367741935484</v>
      </c>
      <c r="R52" s="45" t="n">
        <v>85</v>
      </c>
      <c r="S52" s="45" t="n">
        <v>411159.193548387</v>
      </c>
      <c r="T52" s="50" t="n"/>
      <c r="U52" s="45" t="n">
        <v>0</v>
      </c>
      <c r="V52" s="45" t="n">
        <v>58159.44516129031</v>
      </c>
    </row>
    <row r="53" ht="12" customHeight="1">
      <c r="A53" s="44" t="n">
        <v>38078</v>
      </c>
      <c r="B53" s="45" t="n">
        <v>49547.9</v>
      </c>
      <c r="C53" s="45" t="n">
        <v>0</v>
      </c>
      <c r="D53" s="45" t="n">
        <v>435.04</v>
      </c>
      <c r="E53" s="45" t="n">
        <v>0</v>
      </c>
      <c r="F53" s="45" t="n">
        <v>1719.213333333333</v>
      </c>
      <c r="G53" s="45" t="n">
        <v>3459.17</v>
      </c>
      <c r="H53" s="45" t="n">
        <v>13760.77</v>
      </c>
      <c r="I53" s="45" t="n">
        <v>52623.08666666667</v>
      </c>
      <c r="J53" s="45" t="n">
        <v>63921.28</v>
      </c>
      <c r="K53" s="45" t="n">
        <v>33260.15</v>
      </c>
      <c r="L53" s="45" t="n">
        <v>84819.7</v>
      </c>
      <c r="M53" s="45" t="n">
        <v>58217</v>
      </c>
      <c r="N53" s="45" t="n">
        <v>6761.5952</v>
      </c>
      <c r="O53" s="45" t="n">
        <v>1898.9348</v>
      </c>
      <c r="P53" s="45" t="n">
        <v>20784.04</v>
      </c>
      <c r="Q53" s="45" t="n">
        <v>1354.6</v>
      </c>
      <c r="R53" s="45" t="n">
        <v>85</v>
      </c>
      <c r="S53" s="45" t="n">
        <v>392647.4799999999</v>
      </c>
      <c r="T53" s="50" t="n"/>
      <c r="U53" s="45" t="n">
        <v>0</v>
      </c>
      <c r="V53" s="45" t="n">
        <v>58339.48333333334</v>
      </c>
    </row>
    <row r="54" ht="12" customHeight="1">
      <c r="A54" s="44" t="n">
        <v>38108</v>
      </c>
      <c r="B54" s="45" t="n">
        <v>54293.41935483871</v>
      </c>
      <c r="C54" s="45" t="n">
        <v>0</v>
      </c>
      <c r="D54" s="45" t="n">
        <v>421.5129032258064</v>
      </c>
      <c r="E54" s="45" t="n">
        <v>0</v>
      </c>
      <c r="F54" s="45" t="n">
        <v>1680.996774193548</v>
      </c>
      <c r="G54" s="45" t="n">
        <v>3507.28064516129</v>
      </c>
      <c r="H54" s="45" t="n">
        <v>13272.56451612903</v>
      </c>
      <c r="I54" s="45" t="n">
        <v>51933.82903225807</v>
      </c>
      <c r="J54" s="45" t="n">
        <v>63071.22903225807</v>
      </c>
      <c r="K54" s="45" t="n">
        <v>32612.27419354839</v>
      </c>
      <c r="L54" s="45" t="n">
        <v>100294.6774193548</v>
      </c>
      <c r="M54" s="45" t="n">
        <v>57055.6</v>
      </c>
      <c r="N54" s="45" t="n">
        <v>6020.396903225806</v>
      </c>
      <c r="O54" s="45" t="n">
        <v>1879.09664516129</v>
      </c>
      <c r="P54" s="45" t="n">
        <v>19856.75161290322</v>
      </c>
      <c r="Q54" s="45" t="n">
        <v>1273.212903225806</v>
      </c>
      <c r="R54" s="45" t="n">
        <v>85</v>
      </c>
      <c r="S54" s="45" t="n">
        <v>407257.8419354839</v>
      </c>
      <c r="T54" s="50" t="n"/>
      <c r="U54" s="45" t="n">
        <v>0</v>
      </c>
      <c r="V54" s="45" t="n">
        <v>57218.3</v>
      </c>
    </row>
    <row r="55" ht="12" customHeight="1">
      <c r="A55" s="44" t="n">
        <v>38139</v>
      </c>
      <c r="B55" s="45" t="n">
        <v>58786.73333333333</v>
      </c>
      <c r="C55" s="45" t="n">
        <v>0</v>
      </c>
      <c r="D55" s="45" t="n">
        <v>465.6666666666667</v>
      </c>
      <c r="E55" s="45" t="n">
        <v>0</v>
      </c>
      <c r="F55" s="45" t="n">
        <v>1651.196666666667</v>
      </c>
      <c r="G55" s="45" t="n">
        <v>3408.613333333333</v>
      </c>
      <c r="H55" s="45" t="n">
        <v>13207.96666666667</v>
      </c>
      <c r="I55" s="45" t="n">
        <v>52402.52</v>
      </c>
      <c r="J55" s="45" t="n">
        <v>62438.70666666667</v>
      </c>
      <c r="K55" s="45" t="n">
        <v>32562.86</v>
      </c>
      <c r="L55" s="45" t="n">
        <v>90961.83333333333</v>
      </c>
      <c r="M55" s="45" t="n">
        <v>59635.6</v>
      </c>
      <c r="N55" s="45" t="n">
        <v>5965.623466666668</v>
      </c>
      <c r="O55" s="45" t="n">
        <v>1876.206533333333</v>
      </c>
      <c r="P55" s="45" t="n">
        <v>20418.9</v>
      </c>
      <c r="Q55" s="45" t="n">
        <v>1264.926666666667</v>
      </c>
      <c r="R55" s="45" t="n">
        <v>85</v>
      </c>
      <c r="S55" s="45" t="n">
        <v>405132.3533333333</v>
      </c>
      <c r="T55" s="50" t="n"/>
      <c r="U55" s="45" t="n">
        <v>0</v>
      </c>
      <c r="V55" s="45" t="n">
        <v>59693.93</v>
      </c>
    </row>
    <row r="56" ht="12" customHeight="1">
      <c r="A56" s="44" t="n">
        <v>38169</v>
      </c>
      <c r="B56" s="45" t="n">
        <v>54703.96774193548</v>
      </c>
      <c r="C56" s="45" t="n">
        <v>0</v>
      </c>
      <c r="D56" s="45" t="n">
        <v>432.8387096774193</v>
      </c>
      <c r="E56" s="45" t="n">
        <v>0</v>
      </c>
      <c r="F56" s="45" t="n">
        <v>1663.132258064516</v>
      </c>
      <c r="G56" s="45" t="n">
        <v>3381.964516129032</v>
      </c>
      <c r="H56" s="45" t="n">
        <v>13492.33548387097</v>
      </c>
      <c r="I56" s="45" t="n">
        <v>52350.24516129032</v>
      </c>
      <c r="J56" s="45" t="n">
        <v>61280.36451612903</v>
      </c>
      <c r="K56" s="45" t="n">
        <v>32656.58709677419</v>
      </c>
      <c r="L56" s="45" t="n">
        <v>94682.70967741936</v>
      </c>
      <c r="M56" s="45" t="n">
        <v>61814</v>
      </c>
      <c r="N56" s="45" t="n">
        <v>5794.842580645161</v>
      </c>
      <c r="O56" s="45" t="n">
        <v>1734.092903225807</v>
      </c>
      <c r="P56" s="45" t="n">
        <v>20943.77741935484</v>
      </c>
      <c r="Q56" s="45" t="n">
        <v>1127.451612903226</v>
      </c>
      <c r="R56" s="45" t="n">
        <v>85</v>
      </c>
      <c r="S56" s="45" t="n">
        <v>406143.3096774193</v>
      </c>
      <c r="T56" s="50" t="n"/>
      <c r="U56" s="45" t="n">
        <v>0</v>
      </c>
      <c r="V56" s="45" t="n">
        <v>61848.36774193547</v>
      </c>
    </row>
    <row r="57" ht="12" customHeight="1">
      <c r="A57" s="44" t="n">
        <v>38200</v>
      </c>
      <c r="B57" s="45" t="n">
        <v>42891.22580645161</v>
      </c>
      <c r="C57" s="45" t="n">
        <v>0</v>
      </c>
      <c r="D57" s="45" t="n">
        <v>392.3548387096774</v>
      </c>
      <c r="E57" s="45" t="n">
        <v>0</v>
      </c>
      <c r="F57" s="45" t="n">
        <v>1676.567741935484</v>
      </c>
      <c r="G57" s="45" t="n">
        <v>3212.206451612903</v>
      </c>
      <c r="H57" s="45" t="n">
        <v>13743.15806451613</v>
      </c>
      <c r="I57" s="45" t="n">
        <v>53155.95806451613</v>
      </c>
      <c r="J57" s="45" t="n">
        <v>62133.67741935484</v>
      </c>
      <c r="K57" s="45" t="n">
        <v>32924.55161290323</v>
      </c>
      <c r="L57" s="45" t="n">
        <v>109558.3548387097</v>
      </c>
      <c r="M57" s="45" t="n">
        <v>61956</v>
      </c>
      <c r="N57" s="45" t="n">
        <v>5971.571612903226</v>
      </c>
      <c r="O57" s="45" t="n">
        <v>1796.525161290323</v>
      </c>
      <c r="P57" s="45" t="n">
        <v>20374.83870967742</v>
      </c>
      <c r="Q57" s="45" t="n">
        <v>1187.732258064516</v>
      </c>
      <c r="R57" s="45" t="n">
        <v>85</v>
      </c>
      <c r="S57" s="45" t="n">
        <v>411059.7225806451</v>
      </c>
      <c r="T57" s="50" t="n"/>
      <c r="U57" s="45" t="n">
        <v>0</v>
      </c>
      <c r="V57" s="45" t="n">
        <v>61952.26129032257</v>
      </c>
    </row>
    <row r="58" ht="12" customHeight="1">
      <c r="A58" s="44" t="n">
        <v>38231</v>
      </c>
      <c r="B58" s="45" t="n">
        <v>43130.4</v>
      </c>
      <c r="C58" s="45" t="n">
        <v>0</v>
      </c>
      <c r="D58" s="45" t="n">
        <v>400.2</v>
      </c>
      <c r="E58" s="45" t="n">
        <v>0</v>
      </c>
      <c r="F58" s="45" t="n">
        <v>1709.983333333333</v>
      </c>
      <c r="G58" s="45" t="n">
        <v>3387.46</v>
      </c>
      <c r="H58" s="45" t="n">
        <v>14012.12</v>
      </c>
      <c r="I58" s="45" t="n">
        <v>53785.56</v>
      </c>
      <c r="J58" s="45" t="n">
        <v>60148.64333333333</v>
      </c>
      <c r="K58" s="45" t="n">
        <v>33053.16666666666</v>
      </c>
      <c r="L58" s="45" t="n">
        <v>100187.0333333333</v>
      </c>
      <c r="M58" s="45" t="n">
        <v>61805</v>
      </c>
      <c r="N58" s="45" t="n">
        <v>5652.418666666667</v>
      </c>
      <c r="O58" s="45" t="n">
        <v>1777.714666666667</v>
      </c>
      <c r="P58" s="45" t="n">
        <v>21039.65666666667</v>
      </c>
      <c r="Q58" s="45" t="n">
        <v>1192.52</v>
      </c>
      <c r="R58" s="45" t="n">
        <v>85</v>
      </c>
      <c r="S58" s="45" t="n">
        <v>401366.8766666666</v>
      </c>
      <c r="T58" s="50" t="n"/>
      <c r="U58" s="45" t="n">
        <v>0</v>
      </c>
      <c r="V58" s="45" t="n">
        <v>61800.44333333334</v>
      </c>
    </row>
    <row r="59" ht="12" customHeight="1">
      <c r="A59" s="44" t="n">
        <v>38261</v>
      </c>
      <c r="B59" s="45" t="n">
        <v>49154.90322580645</v>
      </c>
      <c r="C59" s="45" t="n">
        <v>0</v>
      </c>
      <c r="D59" s="45" t="n">
        <v>398.741935483871</v>
      </c>
      <c r="E59" s="45" t="n">
        <v>0</v>
      </c>
      <c r="F59" s="45" t="n">
        <v>1828.025806451613</v>
      </c>
      <c r="G59" s="45" t="n">
        <v>3350.764516129032</v>
      </c>
      <c r="H59" s="45" t="n">
        <v>14099.22903225806</v>
      </c>
      <c r="I59" s="45" t="n">
        <v>54178.25806451613</v>
      </c>
      <c r="J59" s="45" t="n">
        <v>60968.84838709678</v>
      </c>
      <c r="K59" s="45" t="n">
        <v>32979</v>
      </c>
      <c r="L59" s="45" t="n">
        <v>83350.90322580645</v>
      </c>
      <c r="M59" s="45" t="n">
        <v>67414</v>
      </c>
      <c r="N59" s="45" t="n">
        <v>5754.421935483871</v>
      </c>
      <c r="O59" s="45" t="n">
        <v>1794.90064516129</v>
      </c>
      <c r="P59" s="45" t="n">
        <v>21168.33548387097</v>
      </c>
      <c r="Q59" s="45" t="n">
        <v>1059.322580645161</v>
      </c>
      <c r="R59" s="45" t="n">
        <v>85</v>
      </c>
      <c r="S59" s="45" t="n">
        <v>397584.6548387097</v>
      </c>
      <c r="T59" s="50" t="n"/>
      <c r="U59" s="45" t="n">
        <v>0</v>
      </c>
      <c r="V59" s="45" t="n">
        <v>67407.30645161291</v>
      </c>
    </row>
    <row r="60" ht="12" customHeight="1">
      <c r="A60" s="44" t="n">
        <v>38292</v>
      </c>
      <c r="B60" s="45" t="n">
        <v>47491.26666666667</v>
      </c>
      <c r="C60" s="45" t="n">
        <v>0</v>
      </c>
      <c r="D60" s="45" t="n">
        <v>439.3</v>
      </c>
      <c r="E60" s="45" t="n">
        <v>0</v>
      </c>
      <c r="F60" s="45" t="n">
        <v>1918.066666666667</v>
      </c>
      <c r="G60" s="45" t="n">
        <v>3336.436666666667</v>
      </c>
      <c r="H60" s="45" t="n">
        <v>14352.65</v>
      </c>
      <c r="I60" s="45" t="n">
        <v>55386.86666666667</v>
      </c>
      <c r="J60" s="45" t="n">
        <v>61778.46666666667</v>
      </c>
      <c r="K60" s="45" t="n">
        <v>33239.93333333333</v>
      </c>
      <c r="L60" s="45" t="n">
        <v>89461.83333333333</v>
      </c>
      <c r="M60" s="45" t="n">
        <v>69114</v>
      </c>
      <c r="N60" s="45" t="n">
        <v>6041.18</v>
      </c>
      <c r="O60" s="45" t="n">
        <v>1895.62</v>
      </c>
      <c r="P60" s="45" t="n">
        <v>21752.40666666667</v>
      </c>
      <c r="Q60" s="45" t="n">
        <v>1024.313333333333</v>
      </c>
      <c r="R60" s="45" t="n">
        <v>85</v>
      </c>
      <c r="S60" s="45" t="n">
        <v>407317.34</v>
      </c>
      <c r="T60" s="50" t="n"/>
      <c r="U60" s="45" t="n">
        <v>0</v>
      </c>
      <c r="V60" s="45" t="n">
        <v>69118.98</v>
      </c>
    </row>
    <row r="61" ht="12" customHeight="1">
      <c r="A61" s="44" t="n">
        <v>38322</v>
      </c>
      <c r="B61" s="45" t="n">
        <v>38568.6129032258</v>
      </c>
      <c r="C61" s="45" t="n">
        <v>0</v>
      </c>
      <c r="D61" s="45" t="n">
        <v>382.7096774193548</v>
      </c>
      <c r="E61" s="45" t="n">
        <v>0</v>
      </c>
      <c r="F61" s="45" t="n">
        <v>1901.390322580645</v>
      </c>
      <c r="G61" s="45" t="n">
        <v>3296.470967741936</v>
      </c>
      <c r="H61" s="45" t="n">
        <v>14418.79677419355</v>
      </c>
      <c r="I61" s="45" t="n">
        <v>54533.05483870968</v>
      </c>
      <c r="J61" s="45" t="n">
        <v>61154.96774193548</v>
      </c>
      <c r="K61" s="45" t="n">
        <v>32390.96774193548</v>
      </c>
      <c r="L61" s="45" t="n">
        <v>84636.12903225806</v>
      </c>
      <c r="M61" s="45" t="n">
        <v>67795</v>
      </c>
      <c r="N61" s="45" t="n">
        <v>5249.074838709678</v>
      </c>
      <c r="O61" s="45" t="n">
        <v>1761.634838709678</v>
      </c>
      <c r="P61" s="45" t="n">
        <v>21709.06451612903</v>
      </c>
      <c r="Q61" s="45" t="n">
        <v>1395.051612903226</v>
      </c>
      <c r="R61" s="45" t="n">
        <v>85</v>
      </c>
      <c r="S61" s="45" t="n">
        <v>389277.9258064516</v>
      </c>
      <c r="T61" s="50" t="n"/>
      <c r="U61" s="45" t="n">
        <v>0</v>
      </c>
      <c r="V61" s="45" t="n">
        <v>67794.60322580645</v>
      </c>
    </row>
    <row r="62" ht="12" customHeight="1">
      <c r="A62" s="44" t="n">
        <v>38353</v>
      </c>
      <c r="B62" s="45" t="n">
        <v>55424.93548387097</v>
      </c>
      <c r="C62" s="45" t="n">
        <v>0</v>
      </c>
      <c r="D62" s="45" t="n">
        <v>433</v>
      </c>
      <c r="E62" s="45" t="n">
        <v>0</v>
      </c>
      <c r="F62" s="45" t="n">
        <v>1896.367741935484</v>
      </c>
      <c r="G62" s="45" t="n">
        <v>3241.277419354839</v>
      </c>
      <c r="H62" s="45" t="n">
        <v>14189.21612903226</v>
      </c>
      <c r="I62" s="45" t="n">
        <v>53128.96774193548</v>
      </c>
      <c r="J62" s="45" t="n">
        <v>59712.90322580645</v>
      </c>
      <c r="K62" s="45" t="n">
        <v>32315.77419354839</v>
      </c>
      <c r="L62" s="45" t="n">
        <v>61679</v>
      </c>
      <c r="M62" s="45" t="n">
        <v>66553</v>
      </c>
      <c r="N62" s="45" t="n">
        <v>4742.01935483871</v>
      </c>
      <c r="O62" s="45" t="n">
        <v>1241.587096774193</v>
      </c>
      <c r="P62" s="45" t="n">
        <v>21223.85483870968</v>
      </c>
      <c r="Q62" s="45" t="n">
        <v>1541.91935483871</v>
      </c>
      <c r="R62" s="45" t="n">
        <v>85</v>
      </c>
      <c r="S62" s="45" t="n">
        <v>377408.8225806452</v>
      </c>
      <c r="T62" s="50" t="n"/>
      <c r="U62" s="45" t="n">
        <v>0</v>
      </c>
      <c r="V62" s="45" t="n">
        <v>66379</v>
      </c>
    </row>
    <row r="63" ht="12" customHeight="1">
      <c r="A63" s="44" t="n">
        <v>38384</v>
      </c>
      <c r="B63" s="45" t="n">
        <v>50827.42857142857</v>
      </c>
      <c r="C63" s="45" t="n">
        <v>0</v>
      </c>
      <c r="D63" s="45" t="n">
        <v>426.8571428571428</v>
      </c>
      <c r="E63" s="45" t="n">
        <v>0</v>
      </c>
      <c r="F63" s="45" t="n">
        <v>1961.007142857143</v>
      </c>
      <c r="G63" s="45" t="n">
        <v>3112.703571428571</v>
      </c>
      <c r="H63" s="45" t="n">
        <v>14655.8</v>
      </c>
      <c r="I63" s="45" t="n">
        <v>54152.21785714286</v>
      </c>
      <c r="J63" s="45" t="n">
        <v>61152.76428571429</v>
      </c>
      <c r="K63" s="45" t="n">
        <v>32784.38214285714</v>
      </c>
      <c r="L63" s="45" t="n">
        <v>70535.89999999999</v>
      </c>
      <c r="M63" s="45" t="n">
        <v>67591</v>
      </c>
      <c r="N63" s="45" t="n">
        <v>4866.010714285714</v>
      </c>
      <c r="O63" s="45" t="n">
        <v>1321.95</v>
      </c>
      <c r="P63" s="45" t="n">
        <v>21472.40714285714</v>
      </c>
      <c r="Q63" s="45" t="n">
        <v>1841.825</v>
      </c>
      <c r="R63" s="45" t="n">
        <v>85</v>
      </c>
      <c r="S63" s="45" t="n">
        <v>386787.2535714286</v>
      </c>
      <c r="T63" s="50" t="n"/>
      <c r="U63" s="45" t="n">
        <v>0</v>
      </c>
      <c r="V63" s="45" t="n">
        <v>67406</v>
      </c>
    </row>
    <row r="64" ht="12" customHeight="1">
      <c r="A64" s="44" t="n">
        <v>38412</v>
      </c>
      <c r="B64" s="45" t="n">
        <v>43423.74193548387</v>
      </c>
      <c r="C64" s="45" t="n">
        <v>0</v>
      </c>
      <c r="D64" s="45" t="n">
        <v>408.6451612903226</v>
      </c>
      <c r="E64" s="45" t="n">
        <v>0</v>
      </c>
      <c r="F64" s="45" t="n">
        <v>2051.467741935484</v>
      </c>
      <c r="G64" s="45" t="n">
        <v>3233.354838709678</v>
      </c>
      <c r="H64" s="45" t="n">
        <v>14727.24193548387</v>
      </c>
      <c r="I64" s="45" t="n">
        <v>53244.20322580644</v>
      </c>
      <c r="J64" s="45" t="n">
        <v>60442.47096774194</v>
      </c>
      <c r="K64" s="45" t="n">
        <v>32120.71935483871</v>
      </c>
      <c r="L64" s="45" t="n">
        <v>66358.5</v>
      </c>
      <c r="M64" s="45" t="n">
        <v>68314</v>
      </c>
      <c r="N64" s="45" t="n">
        <v>4717.212903225806</v>
      </c>
      <c r="O64" s="45" t="n">
        <v>1172.612903225806</v>
      </c>
      <c r="P64" s="45" t="n">
        <v>21967.09677419355</v>
      </c>
      <c r="Q64" s="45" t="n">
        <v>1800.222580645161</v>
      </c>
      <c r="R64" s="45" t="n">
        <v>85</v>
      </c>
      <c r="S64" s="45" t="n">
        <v>374066.4903225807</v>
      </c>
      <c r="T64" s="50" t="n"/>
      <c r="U64" s="45" t="n">
        <v>0</v>
      </c>
      <c r="V64" s="45" t="n">
        <v>68174</v>
      </c>
    </row>
    <row r="65" ht="12" customHeight="1">
      <c r="A65" s="44" t="n">
        <v>38443</v>
      </c>
      <c r="B65" s="45" t="n">
        <v>48945.13333333333</v>
      </c>
      <c r="C65" s="45" t="n">
        <v>0</v>
      </c>
      <c r="D65" s="45" t="n">
        <v>413.3333333333333</v>
      </c>
      <c r="E65" s="45" t="n">
        <v>0</v>
      </c>
      <c r="F65" s="45" t="n">
        <v>1834.8</v>
      </c>
      <c r="G65" s="45" t="n">
        <v>3216.053333333334</v>
      </c>
      <c r="H65" s="45" t="n">
        <v>14110.82</v>
      </c>
      <c r="I65" s="45" t="n">
        <v>49606.26333333333</v>
      </c>
      <c r="J65" s="45" t="n">
        <v>59607.86666666667</v>
      </c>
      <c r="K65" s="45" t="n">
        <v>31234.67</v>
      </c>
      <c r="L65" s="45" t="n">
        <v>78677.5</v>
      </c>
      <c r="M65" s="45" t="n">
        <v>65584</v>
      </c>
      <c r="N65" s="45" t="n">
        <v>4568.033333333334</v>
      </c>
      <c r="O65" s="45" t="n">
        <v>1560.813333333333</v>
      </c>
      <c r="P65" s="45" t="n">
        <v>21837.01666666667</v>
      </c>
      <c r="Q65" s="45" t="n">
        <v>1860.436666666667</v>
      </c>
      <c r="R65" s="45" t="n">
        <v>85</v>
      </c>
      <c r="S65" s="45" t="n">
        <v>383141.74</v>
      </c>
      <c r="T65" s="50" t="n"/>
      <c r="U65" s="45" t="n">
        <v>0</v>
      </c>
      <c r="V65" s="45" t="n">
        <v>65462</v>
      </c>
    </row>
    <row r="66" ht="12" customHeight="1">
      <c r="A66" s="44" t="n">
        <v>38473</v>
      </c>
      <c r="B66" s="45" t="n">
        <v>51931.3870967742</v>
      </c>
      <c r="C66" s="45" t="n">
        <v>0</v>
      </c>
      <c r="D66" s="45" t="n">
        <v>390.4290322580645</v>
      </c>
      <c r="E66" s="45" t="n">
        <v>0</v>
      </c>
      <c r="F66" s="45" t="n">
        <v>1817.754838709677</v>
      </c>
      <c r="G66" s="45" t="n">
        <v>3124.187096774194</v>
      </c>
      <c r="H66" s="45" t="n">
        <v>14261.75806451613</v>
      </c>
      <c r="I66" s="45" t="n">
        <v>51294.86451612903</v>
      </c>
      <c r="J66" s="45" t="n">
        <v>57599.42580645161</v>
      </c>
      <c r="K66" s="45" t="n">
        <v>31209.13548387097</v>
      </c>
      <c r="L66" s="45" t="n">
        <v>84267</v>
      </c>
      <c r="M66" s="45" t="n">
        <v>66361</v>
      </c>
      <c r="N66" s="45" t="n">
        <v>4673.112903225807</v>
      </c>
      <c r="O66" s="45" t="n">
        <v>1580.709677419355</v>
      </c>
      <c r="P66" s="45" t="n">
        <v>20643.3</v>
      </c>
      <c r="Q66" s="45" t="n">
        <v>1690.764516129032</v>
      </c>
      <c r="R66" s="45" t="n">
        <v>85</v>
      </c>
      <c r="S66" s="45" t="n">
        <v>390929.8290322581</v>
      </c>
      <c r="T66" s="50" t="n"/>
      <c r="U66" s="45" t="n">
        <v>0</v>
      </c>
      <c r="V66" s="45" t="n">
        <v>66251</v>
      </c>
    </row>
    <row r="67" ht="12" customHeight="1">
      <c r="A67" s="44" t="n">
        <v>38504</v>
      </c>
      <c r="B67" s="45" t="n">
        <v>47161.46666666667</v>
      </c>
      <c r="C67" s="45" t="n">
        <v>0</v>
      </c>
      <c r="D67" s="45" t="n">
        <v>397.17</v>
      </c>
      <c r="E67" s="45" t="n">
        <v>0</v>
      </c>
      <c r="F67" s="45" t="n">
        <v>1684.826666666667</v>
      </c>
      <c r="G67" s="45" t="n">
        <v>3042.943333333334</v>
      </c>
      <c r="H67" s="45" t="n">
        <v>14077.94</v>
      </c>
      <c r="I67" s="45" t="n">
        <v>49903.32666666666</v>
      </c>
      <c r="J67" s="45" t="n">
        <v>57053.33333333334</v>
      </c>
      <c r="K67" s="45" t="n">
        <v>30306.16666666667</v>
      </c>
      <c r="L67" s="45" t="n">
        <v>87591</v>
      </c>
      <c r="M67" s="45" t="n">
        <v>67115</v>
      </c>
      <c r="N67" s="45" t="n">
        <v>4701.933333333333</v>
      </c>
      <c r="O67" s="45" t="n">
        <v>1372.9</v>
      </c>
      <c r="P67" s="45" t="n">
        <v>20765.03333333333</v>
      </c>
      <c r="Q67" s="45" t="n">
        <v>1942.25</v>
      </c>
      <c r="R67" s="45" t="n">
        <v>85</v>
      </c>
      <c r="S67" s="45" t="n">
        <v>387200.29</v>
      </c>
      <c r="T67" s="50" t="n"/>
      <c r="U67" s="45" t="n">
        <v>0</v>
      </c>
      <c r="V67" s="45" t="n">
        <v>66926</v>
      </c>
    </row>
    <row r="68" ht="12" customHeight="1">
      <c r="A68" s="44" t="n">
        <v>38534</v>
      </c>
      <c r="B68" s="45" t="n">
        <v>49871.6129032258</v>
      </c>
      <c r="C68" s="45" t="n">
        <v>0</v>
      </c>
      <c r="D68" s="45" t="n">
        <v>358.4032258064516</v>
      </c>
      <c r="E68" s="45" t="n">
        <v>0</v>
      </c>
      <c r="F68" s="45" t="n">
        <v>1828.741935483871</v>
      </c>
      <c r="G68" s="45" t="n">
        <v>1691.670967741936</v>
      </c>
      <c r="H68" s="45" t="n">
        <v>14053.77419354839</v>
      </c>
      <c r="I68" s="45" t="n">
        <v>51552.17419354838</v>
      </c>
      <c r="J68" s="45" t="n">
        <v>58489.3870967742</v>
      </c>
      <c r="K68" s="45" t="n">
        <v>30381.61290322581</v>
      </c>
      <c r="L68" s="45" t="n">
        <v>81125</v>
      </c>
      <c r="M68" s="45" t="n">
        <v>70773.83870967742</v>
      </c>
      <c r="N68" s="45" t="n">
        <v>4670.322580645161</v>
      </c>
      <c r="O68" s="45" t="n">
        <v>1457.416129032258</v>
      </c>
      <c r="P68" s="45" t="n">
        <v>20586.16129032258</v>
      </c>
      <c r="Q68" s="45" t="n">
        <v>2090.951612903226</v>
      </c>
      <c r="R68" s="45" t="n">
        <v>85</v>
      </c>
      <c r="S68" s="45" t="n">
        <v>389016.0677419355</v>
      </c>
      <c r="T68" s="50" t="n"/>
      <c r="U68" s="45" t="n">
        <v>0</v>
      </c>
      <c r="V68" s="45" t="n">
        <v>70579</v>
      </c>
    </row>
    <row r="69" ht="12" customHeight="1">
      <c r="A69" s="44" t="n">
        <v>38565</v>
      </c>
      <c r="B69" s="45" t="n">
        <v>46192.93548387097</v>
      </c>
      <c r="C69" s="45" t="n">
        <v>0</v>
      </c>
      <c r="D69" s="45" t="n">
        <v>388.9290322580645</v>
      </c>
      <c r="E69" s="45" t="n">
        <v>0</v>
      </c>
      <c r="F69" s="45" t="n">
        <v>2283.709677419355</v>
      </c>
      <c r="G69" s="45" t="n">
        <v>3073.193548387097</v>
      </c>
      <c r="H69" s="45" t="n">
        <v>14296.01612903226</v>
      </c>
      <c r="I69" s="45" t="n">
        <v>51389.86451612903</v>
      </c>
      <c r="J69" s="45" t="n">
        <v>58938.70967741936</v>
      </c>
      <c r="K69" s="45" t="n">
        <v>30583.8064516129</v>
      </c>
      <c r="L69" s="45" t="n">
        <v>85160</v>
      </c>
      <c r="M69" s="45" t="n">
        <v>71457.29032258065</v>
      </c>
      <c r="N69" s="45" t="n">
        <v>4688.322580645161</v>
      </c>
      <c r="O69" s="45" t="n">
        <v>1557.016129032258</v>
      </c>
      <c r="P69" s="45" t="n">
        <v>21168.83870967742</v>
      </c>
      <c r="Q69" s="45" t="n">
        <v>2408.248387096774</v>
      </c>
      <c r="R69" s="45" t="n">
        <v>85</v>
      </c>
      <c r="S69" s="45" t="n">
        <v>393671.8806451613</v>
      </c>
      <c r="T69" s="50" t="n"/>
      <c r="U69" s="45" t="n">
        <v>0</v>
      </c>
      <c r="V69" s="45" t="n">
        <v>70479</v>
      </c>
    </row>
    <row r="70" ht="12" customHeight="1">
      <c r="A70" s="44" t="n">
        <v>38596</v>
      </c>
      <c r="B70" s="45" t="n">
        <v>30944.73333333333</v>
      </c>
      <c r="C70" s="45" t="n">
        <v>0</v>
      </c>
      <c r="D70" s="45" t="n">
        <v>367.2</v>
      </c>
      <c r="E70" s="45" t="n">
        <v>0</v>
      </c>
      <c r="F70" s="45" t="n">
        <v>2516.023333333333</v>
      </c>
      <c r="G70" s="45" t="n">
        <v>2974.386666666667</v>
      </c>
      <c r="H70" s="45" t="n">
        <v>14406.90333333333</v>
      </c>
      <c r="I70" s="45" t="n">
        <v>51825.6</v>
      </c>
      <c r="J70" s="45" t="n">
        <v>60274.22666666667</v>
      </c>
      <c r="K70" s="45" t="n">
        <v>30688.48</v>
      </c>
      <c r="L70" s="45" t="n">
        <v>86013</v>
      </c>
      <c r="M70" s="45" t="n">
        <v>69303.98666666666</v>
      </c>
      <c r="N70" s="45" t="n">
        <v>4440.09</v>
      </c>
      <c r="O70" s="45" t="n">
        <v>1548.833333333333</v>
      </c>
      <c r="P70" s="45" t="n">
        <v>21893.52</v>
      </c>
      <c r="Q70" s="45" t="n">
        <v>2363.236666666667</v>
      </c>
      <c r="R70" s="45" t="n">
        <v>85</v>
      </c>
      <c r="S70" s="45" t="n">
        <v>379645.2200000001</v>
      </c>
      <c r="T70" s="50" t="n"/>
      <c r="U70" s="45" t="n">
        <v>0</v>
      </c>
      <c r="V70" s="45" t="n">
        <v>69224</v>
      </c>
    </row>
    <row r="71" ht="12" customHeight="1">
      <c r="A71" s="44" t="n">
        <v>38626</v>
      </c>
      <c r="B71" s="45" t="n">
        <v>42506.8064516129</v>
      </c>
      <c r="C71" s="45" t="n">
        <v>0</v>
      </c>
      <c r="D71" s="45" t="n">
        <v>338.5806451612903</v>
      </c>
      <c r="E71" s="45" t="n">
        <v>0</v>
      </c>
      <c r="F71" s="45" t="n">
        <v>2612.645161290322</v>
      </c>
      <c r="G71" s="45" t="n">
        <v>2969.903225806452</v>
      </c>
      <c r="H71" s="45" t="n">
        <v>14525.74193548387</v>
      </c>
      <c r="I71" s="45" t="n">
        <v>51386.85483870967</v>
      </c>
      <c r="J71" s="45" t="n">
        <v>60932.36451612903</v>
      </c>
      <c r="K71" s="45" t="n">
        <v>30253.30967741935</v>
      </c>
      <c r="L71" s="45" t="n">
        <v>101578</v>
      </c>
      <c r="M71" s="45" t="n">
        <v>70578</v>
      </c>
      <c r="N71" s="45" t="n">
        <v>4569.503225806452</v>
      </c>
      <c r="O71" s="45" t="n">
        <v>1580.903225806452</v>
      </c>
      <c r="P71" s="45" t="n">
        <v>21425.03870967742</v>
      </c>
      <c r="Q71" s="45" t="n">
        <v>2343.409677419355</v>
      </c>
      <c r="R71" s="45" t="n">
        <v>85</v>
      </c>
      <c r="S71" s="45" t="n">
        <v>407686.0612903226</v>
      </c>
      <c r="T71" s="50" t="n"/>
      <c r="U71" s="45" t="n">
        <v>0</v>
      </c>
      <c r="V71" s="45" t="n">
        <v>72528</v>
      </c>
    </row>
    <row r="72" ht="12" customHeight="1">
      <c r="A72" s="44" t="n">
        <v>38657</v>
      </c>
      <c r="B72" s="45" t="n">
        <v>54736.9</v>
      </c>
      <c r="C72" s="45" t="n">
        <v>0</v>
      </c>
      <c r="D72" s="45" t="n">
        <v>348.9</v>
      </c>
      <c r="E72" s="45" t="n">
        <v>0</v>
      </c>
      <c r="F72" s="45" t="n">
        <v>2952.1</v>
      </c>
      <c r="G72" s="45" t="n">
        <v>3090.176666666667</v>
      </c>
      <c r="H72" s="45" t="n">
        <v>14680.43</v>
      </c>
      <c r="I72" s="45" t="n">
        <v>55371.67333333334</v>
      </c>
      <c r="J72" s="45" t="n">
        <v>61159.1</v>
      </c>
      <c r="K72" s="45" t="n">
        <v>30426.42666666667</v>
      </c>
      <c r="L72" s="45" t="n">
        <v>105800</v>
      </c>
      <c r="M72" s="45" t="n">
        <v>71489</v>
      </c>
      <c r="N72" s="45" t="n">
        <v>4566.9</v>
      </c>
      <c r="O72" s="45" t="n">
        <v>1478.023333333333</v>
      </c>
      <c r="P72" s="45" t="n">
        <v>20954.11666666666</v>
      </c>
      <c r="Q72" s="45" t="n">
        <v>2380.15</v>
      </c>
      <c r="R72" s="45" t="n">
        <v>85</v>
      </c>
      <c r="S72" s="45" t="n">
        <v>429518.8966666667</v>
      </c>
      <c r="T72" s="50" t="n"/>
      <c r="U72" s="45" t="n">
        <v>0</v>
      </c>
      <c r="V72" s="45" t="n">
        <v>75388</v>
      </c>
    </row>
    <row r="73" ht="12" customHeight="1">
      <c r="A73" s="44" t="n">
        <v>38687</v>
      </c>
      <c r="B73" s="45" t="n">
        <v>59474.3870967742</v>
      </c>
      <c r="C73" s="45" t="n">
        <v>0</v>
      </c>
      <c r="D73" s="45" t="n">
        <v>342.6774193548387</v>
      </c>
      <c r="E73" s="45" t="n">
        <v>0</v>
      </c>
      <c r="F73" s="45" t="n">
        <v>3002.377419354839</v>
      </c>
      <c r="G73" s="45" t="n">
        <v>3085.335483870967</v>
      </c>
      <c r="H73" s="45" t="n">
        <v>14980.1</v>
      </c>
      <c r="I73" s="45" t="n">
        <v>53585.49032258065</v>
      </c>
      <c r="J73" s="45" t="n">
        <v>61454.5129032258</v>
      </c>
      <c r="K73" s="45" t="n">
        <v>30508.2064516129</v>
      </c>
      <c r="L73" s="45" t="n">
        <v>110866</v>
      </c>
      <c r="M73" s="45" t="n">
        <v>72953</v>
      </c>
      <c r="N73" s="45" t="n">
        <v>4537.516129032259</v>
      </c>
      <c r="O73" s="45" t="n">
        <v>1493.935483870968</v>
      </c>
      <c r="P73" s="45" t="n">
        <v>21881.95483870968</v>
      </c>
      <c r="Q73" s="45" t="n">
        <v>2381.812903225806</v>
      </c>
      <c r="R73" s="45" t="n">
        <v>85</v>
      </c>
      <c r="S73" s="45" t="n">
        <v>440632.3064516129</v>
      </c>
      <c r="T73" s="50" t="n"/>
      <c r="U73" s="45" t="n">
        <v>0</v>
      </c>
      <c r="V73" s="45" t="n">
        <v>77186</v>
      </c>
    </row>
    <row r="74" ht="12" customHeight="1">
      <c r="A74" s="44" t="n">
        <v>38718</v>
      </c>
      <c r="B74" s="45" t="n">
        <v>48873.54838709677</v>
      </c>
      <c r="C74" s="45" t="n">
        <v>0</v>
      </c>
      <c r="D74" s="45" t="n">
        <v>335.881064516129</v>
      </c>
      <c r="E74" s="45" t="n">
        <v>0</v>
      </c>
      <c r="F74" s="45" t="n">
        <v>3190.206451612903</v>
      </c>
      <c r="G74" s="45" t="n">
        <v>3026.532258064516</v>
      </c>
      <c r="H74" s="45" t="n">
        <v>15251.52258064516</v>
      </c>
      <c r="I74" s="45" t="n">
        <v>54411.2870967742</v>
      </c>
      <c r="J74" s="45" t="n">
        <v>58927.12903225807</v>
      </c>
      <c r="K74" s="45" t="n">
        <v>31237.41935483871</v>
      </c>
      <c r="L74" s="45" t="n">
        <v>109166.9185867896</v>
      </c>
      <c r="M74" s="45" t="n">
        <v>71196.62258064515</v>
      </c>
      <c r="N74" s="45" t="n">
        <v>4487.203225806451</v>
      </c>
      <c r="O74" s="45" t="n">
        <v>1437.583870967742</v>
      </c>
      <c r="P74" s="45" t="n">
        <v>22206.96774193548</v>
      </c>
      <c r="Q74" s="45" t="n">
        <v>2359.593548387097</v>
      </c>
      <c r="R74" s="45" t="n">
        <v>100</v>
      </c>
      <c r="S74" s="45" t="n">
        <v>426208.4157803379</v>
      </c>
      <c r="T74" s="50" t="n"/>
      <c r="U74" s="45" t="n">
        <v>0</v>
      </c>
      <c r="V74" s="45" t="n">
        <v>75091.89999999999</v>
      </c>
    </row>
    <row r="75" ht="12" customHeight="1">
      <c r="A75" s="44" t="n">
        <v>38749</v>
      </c>
      <c r="B75" s="45" t="n">
        <v>49182.75</v>
      </c>
      <c r="C75" s="45" t="n">
        <v>0</v>
      </c>
      <c r="D75" s="45" t="n">
        <v>363.3704642857143</v>
      </c>
      <c r="E75" s="45" t="n">
        <v>0</v>
      </c>
      <c r="F75" s="45" t="n">
        <v>3359.839285714286</v>
      </c>
      <c r="G75" s="45" t="n">
        <v>2918.078571428571</v>
      </c>
      <c r="H75" s="45" t="n">
        <v>15114.81785714286</v>
      </c>
      <c r="I75" s="45" t="n">
        <v>54504.78571428572</v>
      </c>
      <c r="J75" s="45" t="n">
        <v>58810.15357142857</v>
      </c>
      <c r="K75" s="45" t="n">
        <v>30850.68214285714</v>
      </c>
      <c r="L75" s="45" t="n">
        <v>93479.98015873015</v>
      </c>
      <c r="M75" s="45" t="n">
        <v>70979.63571428572</v>
      </c>
      <c r="N75" s="45" t="n">
        <v>4581.892857142857</v>
      </c>
      <c r="O75" s="45" t="n">
        <v>1439.357142857143</v>
      </c>
      <c r="P75" s="45" t="n">
        <v>22904.41785714286</v>
      </c>
      <c r="Q75" s="45" t="n">
        <v>2329.021428571429</v>
      </c>
      <c r="R75" s="45" t="n">
        <v>100</v>
      </c>
      <c r="S75" s="45" t="n">
        <v>410918.782765873</v>
      </c>
      <c r="T75" s="50" t="n"/>
      <c r="U75" s="45" t="n">
        <v>0</v>
      </c>
      <c r="V75" s="45" t="n">
        <v>74043.89999999999</v>
      </c>
    </row>
    <row r="76" ht="12" customHeight="1">
      <c r="A76" s="44" t="n">
        <v>38777</v>
      </c>
      <c r="B76" s="45" t="n">
        <v>53732.32258064516</v>
      </c>
      <c r="C76" s="45" t="n">
        <v>0</v>
      </c>
      <c r="D76" s="45" t="n">
        <v>383.3001935483871</v>
      </c>
      <c r="E76" s="45" t="n">
        <v>0</v>
      </c>
      <c r="F76" s="45" t="n">
        <v>3494.435483870968</v>
      </c>
      <c r="G76" s="45" t="n">
        <v>3016.609677419355</v>
      </c>
      <c r="H76" s="45" t="n">
        <v>15270</v>
      </c>
      <c r="I76" s="45" t="n">
        <v>53799.39677419356</v>
      </c>
      <c r="J76" s="45" t="n">
        <v>58776.06774193548</v>
      </c>
      <c r="K76" s="45" t="n">
        <v>30225.83870967742</v>
      </c>
      <c r="L76" s="45" t="n">
        <v>82062.3870967742</v>
      </c>
      <c r="M76" s="45" t="n">
        <v>71250.51935483872</v>
      </c>
      <c r="N76" s="45" t="n">
        <v>4415.870967741936</v>
      </c>
      <c r="O76" s="45" t="n">
        <v>1449.629032258065</v>
      </c>
      <c r="P76" s="45" t="n">
        <v>22312.66451612903</v>
      </c>
      <c r="Q76" s="45" t="n">
        <v>1857.061290322581</v>
      </c>
      <c r="R76" s="45" t="n">
        <v>100</v>
      </c>
      <c r="S76" s="45" t="n">
        <v>402146.1034193548</v>
      </c>
      <c r="T76" s="50" t="n"/>
      <c r="U76" s="45" t="n">
        <v>0</v>
      </c>
      <c r="V76" s="45" t="n">
        <v>75921</v>
      </c>
    </row>
    <row r="77" ht="12" customHeight="1">
      <c r="A77" s="44" t="n">
        <v>38808</v>
      </c>
      <c r="B77" s="45" t="n">
        <v>47534.26666666667</v>
      </c>
      <c r="C77" s="45" t="n">
        <v>0</v>
      </c>
      <c r="D77" s="45" t="n">
        <v>334.8988666666667</v>
      </c>
      <c r="E77" s="45" t="n">
        <v>0</v>
      </c>
      <c r="F77" s="45" t="n">
        <v>3130.25</v>
      </c>
      <c r="G77" s="45" t="n">
        <v>3016.463333333333</v>
      </c>
      <c r="H77" s="45" t="n">
        <v>14276.75</v>
      </c>
      <c r="I77" s="45" t="n">
        <v>51518.26</v>
      </c>
      <c r="J77" s="45" t="n">
        <v>57810.82666666667</v>
      </c>
      <c r="K77" s="45" t="n">
        <v>29274.43333333333</v>
      </c>
      <c r="L77" s="45" t="n">
        <v>104222.2746031746</v>
      </c>
      <c r="M77" s="45" t="n">
        <v>73928.55</v>
      </c>
      <c r="N77" s="45" t="n">
        <v>4429.086666666667</v>
      </c>
      <c r="O77" s="45" t="n">
        <v>1485.786666666667</v>
      </c>
      <c r="P77" s="45" t="n">
        <v>22577.07</v>
      </c>
      <c r="Q77" s="45" t="n">
        <v>1582.116666666667</v>
      </c>
      <c r="R77" s="45" t="n">
        <v>100</v>
      </c>
      <c r="S77" s="45" t="n">
        <v>415221.0334698412</v>
      </c>
      <c r="T77" s="50" t="n"/>
      <c r="U77" s="45" t="n">
        <v>0</v>
      </c>
      <c r="V77" s="45" t="n">
        <v>77517.2</v>
      </c>
    </row>
    <row r="78" ht="12" customHeight="1">
      <c r="A78" s="44" t="n">
        <v>38838</v>
      </c>
      <c r="B78" s="45" t="n">
        <v>41771.51612903226</v>
      </c>
      <c r="C78" s="45" t="n">
        <v>0</v>
      </c>
      <c r="D78" s="45" t="n">
        <v>390.5763548387097</v>
      </c>
      <c r="E78" s="45" t="n">
        <v>0</v>
      </c>
      <c r="F78" s="45" t="n">
        <v>3226.187096774194</v>
      </c>
      <c r="G78" s="45" t="n">
        <v>2973.341935483871</v>
      </c>
      <c r="H78" s="45" t="n">
        <v>14209.5935483871</v>
      </c>
      <c r="I78" s="45" t="n">
        <v>50505.93548387097</v>
      </c>
      <c r="J78" s="45" t="n">
        <v>56096.30967741935</v>
      </c>
      <c r="K78" s="45" t="n">
        <v>28757.84193548387</v>
      </c>
      <c r="L78" s="45" t="n">
        <v>90237.64618535586</v>
      </c>
      <c r="M78" s="45" t="n">
        <v>72246.36451612903</v>
      </c>
      <c r="N78" s="45" t="n">
        <v>4610.245161290322</v>
      </c>
      <c r="O78" s="45" t="n">
        <v>1475.470967741936</v>
      </c>
      <c r="P78" s="45" t="n">
        <v>21810.99032258064</v>
      </c>
      <c r="Q78" s="45" t="n">
        <v>1605.258064516129</v>
      </c>
      <c r="R78" s="45" t="n">
        <v>100</v>
      </c>
      <c r="S78" s="45" t="n">
        <v>390017.2773789042</v>
      </c>
      <c r="T78" s="50" t="n"/>
      <c r="U78" s="45" t="n">
        <v>0</v>
      </c>
      <c r="V78" s="45" t="n">
        <v>75865</v>
      </c>
    </row>
    <row r="79" ht="12" customHeight="1">
      <c r="A79" s="44" t="n">
        <v>38869</v>
      </c>
      <c r="B79" s="45" t="n">
        <v>43749.76666666667</v>
      </c>
      <c r="C79" s="45" t="n">
        <v>0</v>
      </c>
      <c r="D79" s="45" t="n">
        <v>380.0994</v>
      </c>
      <c r="E79" s="45" t="n">
        <v>0</v>
      </c>
      <c r="F79" s="45" t="n">
        <v>3252.433333333333</v>
      </c>
      <c r="G79" s="45" t="n">
        <v>3010.17</v>
      </c>
      <c r="H79" s="45" t="n">
        <v>14406.88</v>
      </c>
      <c r="I79" s="45" t="n">
        <v>51353.43666666667</v>
      </c>
      <c r="J79" s="45" t="n">
        <v>54657.83666666667</v>
      </c>
      <c r="K79" s="45" t="n">
        <v>28392.41</v>
      </c>
      <c r="L79" s="45" t="n">
        <v>80377.50793650793</v>
      </c>
      <c r="M79" s="45" t="n">
        <v>76590.58</v>
      </c>
      <c r="N79" s="45" t="n">
        <v>4622.556666666667</v>
      </c>
      <c r="O79" s="45" t="n">
        <v>1459.236666666667</v>
      </c>
      <c r="P79" s="45" t="n">
        <v>21069.03666666667</v>
      </c>
      <c r="Q79" s="45" t="n">
        <v>1713.593333333333</v>
      </c>
      <c r="R79" s="45" t="n">
        <v>100</v>
      </c>
      <c r="S79" s="45" t="n">
        <v>385135.5440031746</v>
      </c>
      <c r="T79" s="50" t="n"/>
      <c r="U79" s="45" t="n">
        <v>0</v>
      </c>
      <c r="V79" s="45" t="n">
        <v>81348</v>
      </c>
    </row>
    <row r="80" ht="12" customHeight="1">
      <c r="A80" s="44" t="n">
        <v>38899</v>
      </c>
      <c r="B80" s="45" t="n">
        <v>47518.54838709677</v>
      </c>
      <c r="C80" s="45" t="n">
        <v>0</v>
      </c>
      <c r="D80" s="45" t="n">
        <v>325.8983548387097</v>
      </c>
      <c r="E80" s="45" t="n">
        <v>0</v>
      </c>
      <c r="F80" s="45" t="n">
        <v>3346.177419354839</v>
      </c>
      <c r="G80" s="45" t="n">
        <v>3011.654838709678</v>
      </c>
      <c r="H80" s="45" t="n">
        <v>14737.06451612903</v>
      </c>
      <c r="I80" s="45" t="n">
        <v>52637.62580645162</v>
      </c>
      <c r="J80" s="45" t="n">
        <v>56188.93225806452</v>
      </c>
      <c r="K80" s="45" t="n">
        <v>28601.23548387097</v>
      </c>
      <c r="L80" s="45" t="n">
        <v>96649.31848438299</v>
      </c>
      <c r="M80" s="45" t="n">
        <v>75915.22258064516</v>
      </c>
      <c r="N80" s="45" t="n">
        <v>4474.983870967741</v>
      </c>
      <c r="O80" s="45" t="n">
        <v>1407.929032258065</v>
      </c>
      <c r="P80" s="45" t="n">
        <v>21840.08387096774</v>
      </c>
      <c r="Q80" s="45" t="n">
        <v>2320.167741935484</v>
      </c>
      <c r="R80" s="45" t="n">
        <v>100</v>
      </c>
      <c r="S80" s="45" t="n">
        <v>409074.8426456733</v>
      </c>
      <c r="T80" s="50" t="n"/>
      <c r="U80" s="45" t="n">
        <v>0</v>
      </c>
      <c r="V80" s="45" t="n">
        <v>80996.7</v>
      </c>
    </row>
    <row r="81" ht="12" customHeight="1">
      <c r="A81" s="44" t="n">
        <v>38930</v>
      </c>
      <c r="B81" s="45" t="n">
        <v>38509.87096774193</v>
      </c>
      <c r="C81" s="45" t="n">
        <v>0</v>
      </c>
      <c r="D81" s="45" t="n">
        <v>372.9372580645161</v>
      </c>
      <c r="E81" s="45" t="n">
        <v>0</v>
      </c>
      <c r="F81" s="45" t="n">
        <v>3480.816129032258</v>
      </c>
      <c r="G81" s="45" t="n">
        <v>3045.88064516129</v>
      </c>
      <c r="H81" s="45" t="n">
        <v>15015.58387096774</v>
      </c>
      <c r="I81" s="45" t="n">
        <v>53330.78709677419</v>
      </c>
      <c r="J81" s="45" t="n">
        <v>57118.22580645161</v>
      </c>
      <c r="K81" s="45" t="n">
        <v>28849.11935483871</v>
      </c>
      <c r="L81" s="45" t="n">
        <v>113617.4326676907</v>
      </c>
      <c r="M81" s="45" t="n">
        <v>76602.10967741936</v>
      </c>
      <c r="N81" s="45" t="n">
        <v>4534.274193548387</v>
      </c>
      <c r="O81" s="45" t="n">
        <v>1568.361290322581</v>
      </c>
      <c r="P81" s="45" t="n">
        <v>21279</v>
      </c>
      <c r="Q81" s="45" t="n">
        <v>2182.183870967742</v>
      </c>
      <c r="R81" s="45" t="n">
        <v>100</v>
      </c>
      <c r="S81" s="45" t="n">
        <v>419606.582828981</v>
      </c>
      <c r="T81" s="50" t="n"/>
      <c r="U81" s="45" t="n">
        <v>0</v>
      </c>
      <c r="V81" s="45" t="n">
        <v>79525.8</v>
      </c>
    </row>
    <row r="82" ht="12" customHeight="1">
      <c r="A82" s="44" t="n">
        <v>38961</v>
      </c>
      <c r="B82" s="45" t="n">
        <v>43905.93333333333</v>
      </c>
      <c r="C82" s="45" t="n">
        <v>0</v>
      </c>
      <c r="D82" s="45" t="n">
        <v>316.0294666666667</v>
      </c>
      <c r="E82" s="45" t="n">
        <v>0</v>
      </c>
      <c r="F82" s="45" t="n">
        <v>3484.546666666667</v>
      </c>
      <c r="G82" s="45" t="n">
        <v>2996.75</v>
      </c>
      <c r="H82" s="45" t="n">
        <v>15499.15</v>
      </c>
      <c r="I82" s="45" t="n">
        <v>52233.93666666667</v>
      </c>
      <c r="J82" s="45" t="n">
        <v>56184.53333333333</v>
      </c>
      <c r="K82" s="45" t="n">
        <v>28683.98</v>
      </c>
      <c r="L82" s="45" t="n">
        <v>116769.5761904762</v>
      </c>
      <c r="M82" s="45" t="n">
        <v>76741.83666666667</v>
      </c>
      <c r="N82" s="45" t="n">
        <v>4870.05</v>
      </c>
      <c r="O82" s="45" t="n">
        <v>1440.306666666667</v>
      </c>
      <c r="P82" s="45" t="n">
        <v>21869.57</v>
      </c>
      <c r="Q82" s="45" t="n">
        <v>1713.843333333333</v>
      </c>
      <c r="R82" s="45" t="n">
        <v>100</v>
      </c>
      <c r="S82" s="45" t="n">
        <v>426810.0423238095</v>
      </c>
      <c r="T82" s="50" t="n"/>
      <c r="U82" s="45" t="n">
        <v>0</v>
      </c>
      <c r="V82" s="45" t="n">
        <v>80789.39999999999</v>
      </c>
    </row>
    <row r="83" ht="12" customHeight="1">
      <c r="A83" s="44" t="n">
        <v>38991</v>
      </c>
      <c r="B83" s="45" t="n">
        <v>44381.48387096774</v>
      </c>
      <c r="C83" s="45" t="n">
        <v>0</v>
      </c>
      <c r="D83" s="45" t="n">
        <v>314.5109677419355</v>
      </c>
      <c r="E83" s="45" t="n">
        <v>0</v>
      </c>
      <c r="F83" s="45" t="n">
        <v>3545.506451612903</v>
      </c>
      <c r="G83" s="45" t="n">
        <v>2506.587096774193</v>
      </c>
      <c r="H83" s="45" t="n">
        <v>16139.57419354839</v>
      </c>
      <c r="I83" s="45" t="n">
        <v>53726.91935483871</v>
      </c>
      <c r="J83" s="45" t="n">
        <v>57396.35161290322</v>
      </c>
      <c r="K83" s="45" t="n">
        <v>29045.3935483871</v>
      </c>
      <c r="L83" s="45" t="n">
        <v>123354.2800819252</v>
      </c>
      <c r="M83" s="45" t="n">
        <v>73831.92903225806</v>
      </c>
      <c r="N83" s="45" t="n">
        <v>4411.490322580646</v>
      </c>
      <c r="O83" s="45" t="n">
        <v>1433.212903225806</v>
      </c>
      <c r="P83" s="45" t="n">
        <v>22796.08064516129</v>
      </c>
      <c r="Q83" s="45" t="n">
        <v>2049.893548387097</v>
      </c>
      <c r="R83" s="45" t="n">
        <v>100</v>
      </c>
      <c r="S83" s="45" t="n">
        <v>435033.2136303122</v>
      </c>
      <c r="T83" s="50" t="n"/>
      <c r="U83" s="45" t="n">
        <v>0</v>
      </c>
      <c r="V83" s="45" t="n">
        <v>77822.60000000001</v>
      </c>
    </row>
    <row r="84" ht="12" customHeight="1">
      <c r="A84" s="44" t="n">
        <v>39022</v>
      </c>
      <c r="B84" s="45" t="n">
        <v>54694.23333333333</v>
      </c>
      <c r="C84" s="45" t="n">
        <v>0</v>
      </c>
      <c r="D84" s="45" t="n">
        <v>306.4636666666667</v>
      </c>
      <c r="E84" s="45" t="n">
        <v>0</v>
      </c>
      <c r="F84" s="45" t="n">
        <v>3539.02</v>
      </c>
      <c r="G84" s="45" t="n">
        <v>2955.62</v>
      </c>
      <c r="H84" s="45" t="n">
        <v>16304.27666666667</v>
      </c>
      <c r="I84" s="45" t="n">
        <v>52460.62</v>
      </c>
      <c r="J84" s="45" t="n">
        <v>56185.07</v>
      </c>
      <c r="K84" s="45" t="n">
        <v>28040.12333333333</v>
      </c>
      <c r="L84" s="45" t="n">
        <v>116139.1206349206</v>
      </c>
      <c r="M84" s="45" t="n">
        <v>78152.97</v>
      </c>
      <c r="N84" s="45" t="n">
        <v>4248.12</v>
      </c>
      <c r="O84" s="45" t="n">
        <v>1377.08</v>
      </c>
      <c r="P84" s="45" t="n">
        <v>22098.25666666666</v>
      </c>
      <c r="Q84" s="45" t="n">
        <v>1662.773333333333</v>
      </c>
      <c r="R84" s="45" t="n">
        <v>100</v>
      </c>
      <c r="S84" s="45" t="n">
        <v>438263.7476349206</v>
      </c>
      <c r="T84" s="50" t="n"/>
      <c r="U84" s="45" t="n">
        <v>0</v>
      </c>
      <c r="V84" s="45" t="n">
        <v>82062.39999999999</v>
      </c>
    </row>
    <row r="85" ht="12" customHeight="1">
      <c r="A85" s="44" t="n">
        <v>39052</v>
      </c>
      <c r="B85" s="45" t="n">
        <v>65501.67741935484</v>
      </c>
      <c r="C85" s="45" t="n">
        <v>0</v>
      </c>
      <c r="D85" s="45" t="n">
        <v>287.5502903225806</v>
      </c>
      <c r="E85" s="45" t="n">
        <v>0</v>
      </c>
      <c r="F85" s="45" t="n">
        <v>3728.522580645161</v>
      </c>
      <c r="G85" s="45" t="n">
        <v>3117.790322580645</v>
      </c>
      <c r="H85" s="45" t="n">
        <v>16520.09032258064</v>
      </c>
      <c r="I85" s="45" t="n">
        <v>53397.15483870968</v>
      </c>
      <c r="J85" s="45" t="n">
        <v>57726.10967741935</v>
      </c>
      <c r="K85" s="45" t="n">
        <v>28022.10322580645</v>
      </c>
      <c r="L85" s="45" t="n">
        <v>111778.6205837174</v>
      </c>
      <c r="M85" s="45" t="n">
        <v>75455.50322580646</v>
      </c>
      <c r="N85" s="45" t="n">
        <v>4393.825806451613</v>
      </c>
      <c r="O85" s="45" t="n">
        <v>1369.148387096774</v>
      </c>
      <c r="P85" s="45" t="n">
        <v>22845.56774193549</v>
      </c>
      <c r="Q85" s="45" t="n">
        <v>1585.829032258064</v>
      </c>
      <c r="R85" s="45" t="n">
        <v>100</v>
      </c>
      <c r="S85" s="45" t="n">
        <v>445829.4934546851</v>
      </c>
      <c r="T85" s="50" t="n"/>
      <c r="U85" s="45" t="n">
        <v>0</v>
      </c>
      <c r="V85" s="45" t="n">
        <v>80770.3</v>
      </c>
    </row>
    <row r="86" ht="12" customHeight="1">
      <c r="A86" s="44" t="n">
        <v>39083</v>
      </c>
      <c r="B86" s="45" t="n">
        <v>56237.09677419355</v>
      </c>
      <c r="C86" s="45" t="n">
        <v>0</v>
      </c>
      <c r="D86" s="45" t="n">
        <v>284.0400967741936</v>
      </c>
      <c r="E86" s="45" t="n">
        <v>0</v>
      </c>
      <c r="F86" s="45" t="n">
        <v>3672.670967741936</v>
      </c>
      <c r="G86" s="45" t="n">
        <v>2955.364516129032</v>
      </c>
      <c r="H86" s="45" t="n">
        <v>16319.77419354839</v>
      </c>
      <c r="I86" s="45" t="n">
        <v>51029.94838709677</v>
      </c>
      <c r="J86" s="45" t="n">
        <v>56783.33225806452</v>
      </c>
      <c r="K86" s="45" t="n">
        <v>28778.17096774194</v>
      </c>
      <c r="L86" s="45" t="n">
        <v>100498.3783922171</v>
      </c>
      <c r="M86" s="45" t="n">
        <v>75280.26774193547</v>
      </c>
      <c r="N86" s="45" t="n">
        <v>4226.835483870967</v>
      </c>
      <c r="O86" s="45" t="n">
        <v>1376.316129032258</v>
      </c>
      <c r="P86" s="45" t="n">
        <v>22608.35483870968</v>
      </c>
      <c r="Q86" s="45" t="n">
        <v>1757.032258064516</v>
      </c>
      <c r="R86" s="45" t="n">
        <v>90</v>
      </c>
      <c r="S86" s="45" t="n">
        <v>421897.5830051203</v>
      </c>
      <c r="T86" s="50" t="n"/>
      <c r="U86" s="45" t="n">
        <v>0</v>
      </c>
      <c r="V86" s="45" t="n">
        <v>79346.5</v>
      </c>
    </row>
    <row r="87" ht="12" customHeight="1">
      <c r="A87" s="44" t="n">
        <v>39114</v>
      </c>
      <c r="B87" s="45" t="n">
        <v>51255.96428571428</v>
      </c>
      <c r="C87" s="45" t="n">
        <v>0</v>
      </c>
      <c r="D87" s="45" t="n">
        <v>298.8706071428572</v>
      </c>
      <c r="E87" s="45" t="n">
        <v>2.035714285714286</v>
      </c>
      <c r="F87" s="45" t="n">
        <v>3653.346428571429</v>
      </c>
      <c r="G87" s="45" t="n">
        <v>2986.903571428571</v>
      </c>
      <c r="H87" s="45" t="n">
        <v>16152.58571428571</v>
      </c>
      <c r="I87" s="45" t="n">
        <v>51443.21428571428</v>
      </c>
      <c r="J87" s="45" t="n">
        <v>56942.90357142857</v>
      </c>
      <c r="K87" s="45" t="n">
        <v>28770.78928571428</v>
      </c>
      <c r="L87" s="45" t="n">
        <v>111547.123015873</v>
      </c>
      <c r="M87" s="45" t="n">
        <v>77142.52857142857</v>
      </c>
      <c r="N87" s="45" t="n">
        <v>4258.667857142857</v>
      </c>
      <c r="O87" s="45" t="n">
        <v>1442.782142857143</v>
      </c>
      <c r="P87" s="45" t="n">
        <v>22729.09285714286</v>
      </c>
      <c r="Q87" s="45" t="n">
        <v>1821.728571428572</v>
      </c>
      <c r="R87" s="45" t="n">
        <v>90</v>
      </c>
      <c r="S87" s="45" t="n">
        <v>430538.5364801587</v>
      </c>
      <c r="T87" s="50" t="n"/>
      <c r="U87" s="45" t="n">
        <v>0</v>
      </c>
      <c r="V87" s="45" t="n">
        <v>80200.8</v>
      </c>
    </row>
    <row r="88" ht="12" customHeight="1">
      <c r="A88" s="44" t="n">
        <v>39142</v>
      </c>
      <c r="B88" s="45" t="n">
        <v>61303.96774193548</v>
      </c>
      <c r="C88" s="45" t="n">
        <v>0</v>
      </c>
      <c r="D88" s="45" t="n">
        <v>329.5271290322581</v>
      </c>
      <c r="E88" s="45" t="n">
        <v>3.148387096774193</v>
      </c>
      <c r="F88" s="45" t="n">
        <v>3675.774193548387</v>
      </c>
      <c r="G88" s="45" t="n">
        <v>2848.864516129032</v>
      </c>
      <c r="H88" s="45" t="n">
        <v>16291.55483870968</v>
      </c>
      <c r="I88" s="45" t="n">
        <v>52806.07419354839</v>
      </c>
      <c r="J88" s="45" t="n">
        <v>56265.19677419355</v>
      </c>
      <c r="K88" s="45" t="n">
        <v>28966.71935483871</v>
      </c>
      <c r="L88" s="45" t="n">
        <v>123934.6722990271</v>
      </c>
      <c r="M88" s="45" t="n">
        <v>75745.21612903227</v>
      </c>
      <c r="N88" s="45" t="n">
        <v>4289.525806451613</v>
      </c>
      <c r="O88" s="45" t="n">
        <v>1431.787096774194</v>
      </c>
      <c r="P88" s="45" t="n">
        <v>23099.93225806452</v>
      </c>
      <c r="Q88" s="45" t="n">
        <v>1821.716129032258</v>
      </c>
      <c r="R88" s="45" t="n">
        <v>90</v>
      </c>
      <c r="S88" s="45" t="n">
        <v>452903.6768474142</v>
      </c>
      <c r="T88" s="50" t="n"/>
      <c r="U88" s="45" t="n">
        <v>0</v>
      </c>
      <c r="V88" s="45" t="n">
        <v>81625.60000000001</v>
      </c>
    </row>
    <row r="89" ht="12" customHeight="1">
      <c r="A89" s="44" t="n">
        <v>39173</v>
      </c>
      <c r="B89" s="45" t="n">
        <v>68055.83333333333</v>
      </c>
      <c r="C89" s="45" t="n">
        <v>0</v>
      </c>
      <c r="D89" s="45" t="n">
        <v>317.5745666666666</v>
      </c>
      <c r="E89" s="45" t="n">
        <v>4.106666666666666</v>
      </c>
      <c r="F89" s="45" t="n">
        <v>3550.51</v>
      </c>
      <c r="G89" s="45" t="n">
        <v>2849.04</v>
      </c>
      <c r="H89" s="45" t="n">
        <v>15832.23</v>
      </c>
      <c r="I89" s="45" t="n">
        <v>50710.79333333333</v>
      </c>
      <c r="J89" s="45" t="n">
        <v>55279.05666666666</v>
      </c>
      <c r="K89" s="45" t="n">
        <v>28362.49666666667</v>
      </c>
      <c r="L89" s="45" t="n">
        <v>107884.2523809524</v>
      </c>
      <c r="M89" s="45" t="n">
        <v>72086.62666666666</v>
      </c>
      <c r="N89" s="45" t="n">
        <v>4096.376666666667</v>
      </c>
      <c r="O89" s="45" t="n">
        <v>1448.67</v>
      </c>
      <c r="P89" s="45" t="n">
        <v>22799.60333333334</v>
      </c>
      <c r="Q89" s="45" t="n">
        <v>1996.78</v>
      </c>
      <c r="R89" s="45" t="n">
        <v>90</v>
      </c>
      <c r="S89" s="45" t="n">
        <v>435363.9502809524</v>
      </c>
      <c r="T89" s="50" t="n"/>
      <c r="U89" s="45" t="n">
        <v>0</v>
      </c>
      <c r="V89" s="45" t="n">
        <v>79759</v>
      </c>
    </row>
    <row r="90" ht="12" customHeight="1">
      <c r="A90" s="44" t="n">
        <v>39203</v>
      </c>
      <c r="B90" s="45" t="n">
        <v>67836.77419354839</v>
      </c>
      <c r="C90" s="45" t="n">
        <v>0</v>
      </c>
      <c r="D90" s="45" t="n">
        <v>322.7138064516129</v>
      </c>
      <c r="E90" s="45" t="n">
        <v>3.641935483870968</v>
      </c>
      <c r="F90" s="45" t="n">
        <v>3419.467741935484</v>
      </c>
      <c r="G90" s="45" t="n">
        <v>2783.445161290323</v>
      </c>
      <c r="H90" s="45" t="n">
        <v>15541.11612903226</v>
      </c>
      <c r="I90" s="45" t="n">
        <v>50857.97419354839</v>
      </c>
      <c r="J90" s="45" t="n">
        <v>54252.24516129032</v>
      </c>
      <c r="K90" s="45" t="n">
        <v>28055.16451612903</v>
      </c>
      <c r="L90" s="45" t="n">
        <v>97908.08090117767</v>
      </c>
      <c r="M90" s="45" t="n">
        <v>75657.68064516129</v>
      </c>
      <c r="N90" s="45" t="n">
        <v>3773.374193548387</v>
      </c>
      <c r="O90" s="45" t="n">
        <v>1286.822580645161</v>
      </c>
      <c r="P90" s="45" t="n">
        <v>22637.90322580645</v>
      </c>
      <c r="Q90" s="45" t="n">
        <v>2191.896774193548</v>
      </c>
      <c r="R90" s="45" t="n">
        <v>90</v>
      </c>
      <c r="S90" s="45" t="n">
        <v>426618.3011592422</v>
      </c>
      <c r="T90" s="50" t="n"/>
      <c r="U90" s="45" t="n">
        <v>0</v>
      </c>
      <c r="V90" s="45" t="n">
        <v>82157.2</v>
      </c>
    </row>
    <row r="91" ht="12" customHeight="1">
      <c r="A91" s="44" t="n">
        <v>39234</v>
      </c>
      <c r="B91" s="45" t="n">
        <v>59938.8</v>
      </c>
      <c r="C91" s="45" t="n">
        <v>0</v>
      </c>
      <c r="D91" s="45" t="n">
        <v>340.4275666666666</v>
      </c>
      <c r="E91" s="45" t="n">
        <v>3.926666666666667</v>
      </c>
      <c r="F91" s="45" t="n">
        <v>3312.916666666667</v>
      </c>
      <c r="G91" s="45" t="n">
        <v>2796.933333333333</v>
      </c>
      <c r="H91" s="45" t="n">
        <v>15686.07666666667</v>
      </c>
      <c r="I91" s="45" t="n">
        <v>50503.70666666667</v>
      </c>
      <c r="J91" s="45" t="n">
        <v>53202.83</v>
      </c>
      <c r="K91" s="45" t="n">
        <v>27842.85</v>
      </c>
      <c r="L91" s="45" t="n">
        <v>89496.9761904762</v>
      </c>
      <c r="M91" s="45" t="n">
        <v>81812.88333333333</v>
      </c>
      <c r="N91" s="45" t="n">
        <v>4311.026666666667</v>
      </c>
      <c r="O91" s="45" t="n">
        <v>1396.686666666667</v>
      </c>
      <c r="P91" s="45" t="n">
        <v>21768.5</v>
      </c>
      <c r="Q91" s="45" t="n">
        <v>1949.626666666667</v>
      </c>
      <c r="R91" s="45" t="n">
        <v>90</v>
      </c>
      <c r="S91" s="45" t="n">
        <v>414454.1670904761</v>
      </c>
      <c r="T91" s="50" t="n"/>
      <c r="U91" s="45" t="n">
        <v>0</v>
      </c>
      <c r="V91" s="45" t="n">
        <v>84900.2</v>
      </c>
    </row>
    <row r="92" ht="12" customHeight="1">
      <c r="A92" s="44" t="n">
        <v>39264</v>
      </c>
      <c r="B92" s="45" t="n">
        <v>57508.03225806452</v>
      </c>
      <c r="C92" s="45" t="n">
        <v>0</v>
      </c>
      <c r="D92" s="45" t="n">
        <v>304.5276774193549</v>
      </c>
      <c r="E92" s="45" t="n">
        <v>4.551612903225807</v>
      </c>
      <c r="F92" s="45" t="n">
        <v>3292.629032258064</v>
      </c>
      <c r="G92" s="45" t="n">
        <v>2828.587096774193</v>
      </c>
      <c r="H92" s="45" t="n">
        <v>16157.08064516129</v>
      </c>
      <c r="I92" s="45" t="n">
        <v>50918.50967741936</v>
      </c>
      <c r="J92" s="45" t="n">
        <v>53443.87096774193</v>
      </c>
      <c r="K92" s="45" t="n">
        <v>28033.35483870968</v>
      </c>
      <c r="L92" s="45" t="n">
        <v>105298.3425499232</v>
      </c>
      <c r="M92" s="45" t="n">
        <v>82897.15161290324</v>
      </c>
      <c r="N92" s="45" t="n">
        <v>4105.722580645162</v>
      </c>
      <c r="O92" s="45" t="n">
        <v>1348.851612903226</v>
      </c>
      <c r="P92" s="45" t="n">
        <v>22245.16129032258</v>
      </c>
      <c r="Q92" s="45" t="n">
        <v>1829.358064516129</v>
      </c>
      <c r="R92" s="45" t="n">
        <v>90</v>
      </c>
      <c r="S92" s="45" t="n">
        <v>430305.7315176652</v>
      </c>
      <c r="T92" s="50" t="n"/>
      <c r="U92" s="45" t="n">
        <v>0</v>
      </c>
      <c r="V92" s="45" t="n">
        <v>85834</v>
      </c>
    </row>
    <row r="93" ht="12" customHeight="1">
      <c r="A93" s="44" t="n">
        <v>39295</v>
      </c>
      <c r="B93" s="45" t="n">
        <v>64899.09677419355</v>
      </c>
      <c r="C93" s="45" t="n">
        <v>0</v>
      </c>
      <c r="D93" s="45" t="n">
        <v>322.600870967742</v>
      </c>
      <c r="E93" s="45" t="n">
        <v>3.309677419354839</v>
      </c>
      <c r="F93" s="45" t="n">
        <v>3397.906451612903</v>
      </c>
      <c r="G93" s="45" t="n">
        <v>2616.812903225806</v>
      </c>
      <c r="H93" s="45" t="n">
        <v>16857.9</v>
      </c>
      <c r="I93" s="45" t="n">
        <v>51113.42258064516</v>
      </c>
      <c r="J93" s="45" t="n">
        <v>54535.5</v>
      </c>
      <c r="K93" s="45" t="n">
        <v>28196.61290322581</v>
      </c>
      <c r="L93" s="45" t="n">
        <v>129975.8274449565</v>
      </c>
      <c r="M93" s="45" t="n">
        <v>84961.4870967742</v>
      </c>
      <c r="N93" s="45" t="n">
        <v>3933.141935483871</v>
      </c>
      <c r="O93" s="45" t="n">
        <v>1265.770967741935</v>
      </c>
      <c r="P93" s="45" t="n">
        <v>21800.18709677419</v>
      </c>
      <c r="Q93" s="45" t="n">
        <v>2074.058064516129</v>
      </c>
      <c r="R93" s="45" t="n">
        <v>90</v>
      </c>
      <c r="S93" s="45" t="n">
        <v>466043.6347675371</v>
      </c>
      <c r="T93" s="50" t="n"/>
      <c r="U93" s="45" t="n">
        <v>0</v>
      </c>
      <c r="V93" s="45" t="n">
        <v>89442.2</v>
      </c>
    </row>
    <row r="94" ht="12" customHeight="1">
      <c r="A94" s="44" t="n">
        <v>39326</v>
      </c>
      <c r="B94" s="45" t="n">
        <v>57881.1</v>
      </c>
      <c r="C94" s="45" t="n">
        <v>0</v>
      </c>
      <c r="D94" s="45" t="n">
        <v>276.4757666666666</v>
      </c>
      <c r="E94" s="45" t="n">
        <v>3.43</v>
      </c>
      <c r="F94" s="45" t="n">
        <v>3439.803333333334</v>
      </c>
      <c r="G94" s="45" t="n">
        <v>2662.436666666667</v>
      </c>
      <c r="H94" s="45" t="n">
        <v>17473.04333333333</v>
      </c>
      <c r="I94" s="45" t="n">
        <v>51634.12333333332</v>
      </c>
      <c r="J94" s="45" t="n">
        <v>54317.72</v>
      </c>
      <c r="K94" s="45" t="n">
        <v>28457.43666666666</v>
      </c>
      <c r="L94" s="45" t="n">
        <v>116826.8380952381</v>
      </c>
      <c r="M94" s="45" t="n">
        <v>83191.52</v>
      </c>
      <c r="N94" s="45" t="n">
        <v>3970.49</v>
      </c>
      <c r="O94" s="45" t="n">
        <v>1091.496666666667</v>
      </c>
      <c r="P94" s="45" t="n">
        <v>20889.76</v>
      </c>
      <c r="Q94" s="45" t="n">
        <v>2118.316666666667</v>
      </c>
      <c r="R94" s="45" t="n">
        <v>90</v>
      </c>
      <c r="S94" s="45" t="n">
        <v>444323.9905285714</v>
      </c>
      <c r="T94" s="50" t="n"/>
      <c r="U94" s="45" t="n">
        <v>0</v>
      </c>
      <c r="V94" s="45" t="n">
        <v>89111.10000000001</v>
      </c>
    </row>
    <row r="95" ht="12" customHeight="1">
      <c r="A95" s="44" t="n">
        <v>39356</v>
      </c>
      <c r="B95" s="45" t="n">
        <v>54148.54838709677</v>
      </c>
      <c r="C95" s="45" t="n">
        <v>0</v>
      </c>
      <c r="D95" s="45" t="n">
        <v>286.6467419354839</v>
      </c>
      <c r="E95" s="45" t="n">
        <v>4.435483870967742</v>
      </c>
      <c r="F95" s="45" t="n">
        <v>3533.396774193548</v>
      </c>
      <c r="G95" s="45" t="n">
        <v>2674.958064516129</v>
      </c>
      <c r="H95" s="45" t="n">
        <v>17876.87419354838</v>
      </c>
      <c r="I95" s="45" t="n">
        <v>51045.56451612903</v>
      </c>
      <c r="J95" s="45" t="n">
        <v>55105.06451612903</v>
      </c>
      <c r="K95" s="45" t="n">
        <v>28387.80322580645</v>
      </c>
      <c r="L95" s="45" t="n">
        <v>112788.9293394777</v>
      </c>
      <c r="M95" s="45" t="n">
        <v>84430.00967741935</v>
      </c>
      <c r="N95" s="45" t="n">
        <v>3920.196774193549</v>
      </c>
      <c r="O95" s="45" t="n">
        <v>1113.622580645161</v>
      </c>
      <c r="P95" s="45" t="n">
        <v>22364.07419354839</v>
      </c>
      <c r="Q95" s="45" t="n">
        <v>1494.938709677419</v>
      </c>
      <c r="R95" s="45" t="n">
        <v>90</v>
      </c>
      <c r="S95" s="45" t="n">
        <v>439265.0631781874</v>
      </c>
      <c r="T95" s="50" t="n"/>
      <c r="U95" s="45" t="n">
        <v>0</v>
      </c>
      <c r="V95" s="45" t="n">
        <v>89441.89999999999</v>
      </c>
    </row>
    <row r="96" ht="12" customHeight="1">
      <c r="A96" s="44" t="n">
        <v>39387</v>
      </c>
      <c r="B96" s="45" t="n">
        <v>55743.4</v>
      </c>
      <c r="C96" s="45" t="n">
        <v>0</v>
      </c>
      <c r="D96" s="45" t="n">
        <v>276.8345666666667</v>
      </c>
      <c r="E96" s="45" t="n">
        <v>4.943333333333333</v>
      </c>
      <c r="F96" s="45" t="n">
        <v>3710.686666666667</v>
      </c>
      <c r="G96" s="45" t="n">
        <v>2801.61</v>
      </c>
      <c r="H96" s="45" t="n">
        <v>19015.84333333333</v>
      </c>
      <c r="I96" s="45" t="n">
        <v>50463.21666666667</v>
      </c>
      <c r="J96" s="45" t="n">
        <v>55392.03</v>
      </c>
      <c r="K96" s="45" t="n">
        <v>28020.85666666667</v>
      </c>
      <c r="L96" s="45" t="n">
        <v>107277.4634920635</v>
      </c>
      <c r="M96" s="45" t="n">
        <v>85855.97333333334</v>
      </c>
      <c r="N96" s="45" t="n">
        <v>3823.966666666667</v>
      </c>
      <c r="O96" s="45" t="n">
        <v>1123.656666666667</v>
      </c>
      <c r="P96" s="45" t="n">
        <v>23127.42333333334</v>
      </c>
      <c r="Q96" s="45" t="n">
        <v>1767.41</v>
      </c>
      <c r="R96" s="45" t="n">
        <v>90</v>
      </c>
      <c r="S96" s="45" t="n">
        <v>438495.3147253968</v>
      </c>
      <c r="T96" s="50" t="n"/>
      <c r="U96" s="45" t="n">
        <v>0</v>
      </c>
      <c r="V96" s="45" t="n">
        <v>91585</v>
      </c>
    </row>
    <row r="97" ht="12" customHeight="1">
      <c r="A97" s="44" t="n">
        <v>39417</v>
      </c>
      <c r="B97" s="45" t="n">
        <v>47640.51612903226</v>
      </c>
      <c r="C97" s="45" t="n">
        <v>0</v>
      </c>
      <c r="D97" s="45" t="n">
        <v>248.2069677419355</v>
      </c>
      <c r="E97" s="45" t="n">
        <v>3.664516129032258</v>
      </c>
      <c r="F97" s="45" t="n">
        <v>3719.022580645161</v>
      </c>
      <c r="G97" s="45" t="n">
        <v>2691.145161290322</v>
      </c>
      <c r="H97" s="45" t="n">
        <v>19685.15806451613</v>
      </c>
      <c r="I97" s="45" t="n">
        <v>50235.87096774193</v>
      </c>
      <c r="J97" s="45" t="n">
        <v>55501.12903225807</v>
      </c>
      <c r="K97" s="45" t="n">
        <v>27569.01612903226</v>
      </c>
      <c r="L97" s="45" t="n">
        <v>96202.40962621609</v>
      </c>
      <c r="M97" s="45" t="n">
        <v>84128.84516129033</v>
      </c>
      <c r="N97" s="45" t="n">
        <v>3831.003225806452</v>
      </c>
      <c r="O97" s="45" t="n">
        <v>1146.316129032258</v>
      </c>
      <c r="P97" s="45" t="n">
        <v>22643.00645161291</v>
      </c>
      <c r="Q97" s="45" t="n">
        <v>1806.916129032258</v>
      </c>
      <c r="R97" s="45" t="n">
        <v>90</v>
      </c>
      <c r="S97" s="45" t="n">
        <v>417142.2262713774</v>
      </c>
      <c r="T97" s="50" t="n"/>
      <c r="U97" s="45" t="n">
        <v>0</v>
      </c>
      <c r="V97" s="45" t="n">
        <v>88893.3</v>
      </c>
    </row>
    <row r="98" ht="12" customHeight="1">
      <c r="A98" s="44" t="n">
        <v>39448</v>
      </c>
      <c r="B98" s="45" t="n">
        <v>47846.25806451613</v>
      </c>
      <c r="C98" s="45" t="n">
        <v>0</v>
      </c>
      <c r="D98" s="45" t="n">
        <v>276</v>
      </c>
      <c r="E98" s="45" t="n">
        <v>3.545161290322581</v>
      </c>
      <c r="F98" s="45" t="n">
        <v>3786</v>
      </c>
      <c r="G98" s="45" t="n">
        <v>2642.048387096774</v>
      </c>
      <c r="H98" s="45" t="n">
        <v>19444</v>
      </c>
      <c r="I98" s="45" t="n">
        <v>49452</v>
      </c>
      <c r="J98" s="45" t="n">
        <v>56078</v>
      </c>
      <c r="K98" s="45" t="n">
        <v>25190</v>
      </c>
      <c r="L98" s="45" t="n">
        <v>106966</v>
      </c>
      <c r="M98" s="45" t="n">
        <v>83068</v>
      </c>
      <c r="N98" s="45" t="n">
        <v>3800</v>
      </c>
      <c r="O98" s="45" t="n">
        <v>1108</v>
      </c>
      <c r="P98" s="45" t="n">
        <v>22196</v>
      </c>
      <c r="Q98" s="45" t="n">
        <v>1969.790322580645</v>
      </c>
      <c r="R98" s="45" t="n">
        <v>87</v>
      </c>
      <c r="S98" s="45" t="n">
        <v>423912.6419354839</v>
      </c>
      <c r="T98" s="50" t="n"/>
      <c r="U98" s="45" t="n">
        <v>114594.2258064516</v>
      </c>
      <c r="V98" s="45" t="n">
        <v>86593.76774193546</v>
      </c>
    </row>
    <row r="99" ht="12" customHeight="1">
      <c r="A99" s="44" t="n">
        <v>39479</v>
      </c>
      <c r="B99" s="45" t="n">
        <v>55770.10344827586</v>
      </c>
      <c r="C99" s="45" t="n">
        <v>0</v>
      </c>
      <c r="D99" s="45" t="n">
        <v>285</v>
      </c>
      <c r="E99" s="45" t="n">
        <v>5.048275862068966</v>
      </c>
      <c r="F99" s="45" t="n">
        <v>3768</v>
      </c>
      <c r="G99" s="45" t="n">
        <v>2688.079310344828</v>
      </c>
      <c r="H99" s="45" t="n">
        <v>19674</v>
      </c>
      <c r="I99" s="45" t="n">
        <v>48982</v>
      </c>
      <c r="J99" s="45" t="n">
        <v>56184</v>
      </c>
      <c r="K99" s="45" t="n">
        <v>25073</v>
      </c>
      <c r="L99" s="45" t="n">
        <v>100131</v>
      </c>
      <c r="M99" s="45" t="n">
        <v>83814</v>
      </c>
      <c r="N99" s="45" t="n">
        <v>3801</v>
      </c>
      <c r="O99" s="45" t="n">
        <v>1039</v>
      </c>
      <c r="P99" s="45" t="n">
        <v>22177</v>
      </c>
      <c r="Q99" s="45" t="n">
        <v>1888.934482758621</v>
      </c>
      <c r="R99" s="45" t="n">
        <v>83</v>
      </c>
      <c r="S99" s="45" t="n">
        <v>425363.1655172414</v>
      </c>
      <c r="T99" s="50" t="n"/>
      <c r="U99" s="45" t="n">
        <v>111226.8275862069</v>
      </c>
      <c r="V99" s="45" t="n">
        <v>86360.6724137931</v>
      </c>
    </row>
    <row r="100" ht="12" customHeight="1">
      <c r="A100" s="44" t="n">
        <v>39508</v>
      </c>
      <c r="B100" s="45" t="n">
        <v>60285.58064516129</v>
      </c>
      <c r="C100" s="45" t="n">
        <v>0</v>
      </c>
      <c r="D100" s="45" t="n">
        <v>284</v>
      </c>
      <c r="E100" s="45" t="n">
        <v>3.703225806451613</v>
      </c>
      <c r="F100" s="45" t="n">
        <v>3829</v>
      </c>
      <c r="G100" s="45" t="n">
        <v>2650.329032258064</v>
      </c>
      <c r="H100" s="45" t="n">
        <v>20412</v>
      </c>
      <c r="I100" s="45" t="n">
        <v>50017</v>
      </c>
      <c r="J100" s="45" t="n">
        <v>58176</v>
      </c>
      <c r="K100" s="45" t="n">
        <v>25534</v>
      </c>
      <c r="L100" s="45" t="n">
        <v>101164</v>
      </c>
      <c r="M100" s="45" t="n">
        <v>87296</v>
      </c>
      <c r="N100" s="45" t="n">
        <v>3957</v>
      </c>
      <c r="O100" s="45" t="n">
        <v>1076</v>
      </c>
      <c r="P100" s="45" t="n">
        <v>22259</v>
      </c>
      <c r="Q100" s="45" t="n">
        <v>2044.925806451613</v>
      </c>
      <c r="R100" s="45" t="n">
        <v>85</v>
      </c>
      <c r="S100" s="45" t="n">
        <v>439073.5387096774</v>
      </c>
      <c r="T100" s="50" t="n"/>
      <c r="U100" s="45" t="n">
        <v>113050.8709677419</v>
      </c>
      <c r="V100" s="45" t="n">
        <v>91785.50967741937</v>
      </c>
    </row>
    <row r="101" ht="12" customHeight="1">
      <c r="A101" s="44" t="n">
        <v>39539</v>
      </c>
      <c r="B101" s="45" t="n">
        <v>56262.66666666666</v>
      </c>
      <c r="C101" s="45" t="n">
        <v>0</v>
      </c>
      <c r="D101" s="45" t="n">
        <v>294</v>
      </c>
      <c r="E101" s="45" t="n">
        <v>3.246666666666667</v>
      </c>
      <c r="F101" s="45" t="n">
        <v>3775</v>
      </c>
      <c r="G101" s="45" t="n">
        <v>2676.713333333333</v>
      </c>
      <c r="H101" s="45" t="n">
        <v>19828</v>
      </c>
      <c r="I101" s="45" t="n">
        <v>47829</v>
      </c>
      <c r="J101" s="45" t="n">
        <v>56761</v>
      </c>
      <c r="K101" s="45" t="n">
        <v>25348</v>
      </c>
      <c r="L101" s="45" t="n">
        <v>97668</v>
      </c>
      <c r="M101" s="45" t="n">
        <v>81107</v>
      </c>
      <c r="N101" s="45" t="n">
        <v>3848</v>
      </c>
      <c r="O101" s="45" t="n">
        <v>1208</v>
      </c>
      <c r="P101" s="45" t="n">
        <v>21357</v>
      </c>
      <c r="Q101" s="45" t="n">
        <v>1826.623333333333</v>
      </c>
      <c r="R101" s="45" t="n">
        <v>80</v>
      </c>
      <c r="S101" s="45" t="n">
        <v>419872.25</v>
      </c>
      <c r="T101" s="50" t="n"/>
      <c r="U101" s="45" t="n">
        <v>107571</v>
      </c>
      <c r="V101" s="45" t="n">
        <v>86294.43666666668</v>
      </c>
    </row>
    <row r="102" ht="12" customHeight="1">
      <c r="A102" s="44" t="n">
        <v>39569</v>
      </c>
      <c r="B102" s="45" t="n">
        <v>58484.48387096774</v>
      </c>
      <c r="C102" s="45" t="n">
        <v>0</v>
      </c>
      <c r="D102" s="45" t="n">
        <v>296</v>
      </c>
      <c r="E102" s="45" t="n">
        <v>4.312903225806451</v>
      </c>
      <c r="F102" s="45" t="n">
        <v>3588</v>
      </c>
      <c r="G102" s="45" t="n">
        <v>2360.387096774194</v>
      </c>
      <c r="H102" s="45" t="n">
        <v>19543</v>
      </c>
      <c r="I102" s="45" t="n">
        <v>48756</v>
      </c>
      <c r="J102" s="45" t="n">
        <v>54640</v>
      </c>
      <c r="K102" s="45" t="n">
        <v>24657</v>
      </c>
      <c r="L102" s="45" t="n">
        <v>84340</v>
      </c>
      <c r="M102" s="45" t="n">
        <v>83009</v>
      </c>
      <c r="N102" s="45" t="n">
        <v>3592</v>
      </c>
      <c r="O102" s="45" t="n">
        <v>1276</v>
      </c>
      <c r="P102" s="45" t="n">
        <v>21576</v>
      </c>
      <c r="Q102" s="45" t="n">
        <v>1895.958064516129</v>
      </c>
      <c r="R102" s="45" t="n">
        <v>94</v>
      </c>
      <c r="S102" s="45" t="n">
        <v>408112.1419354838</v>
      </c>
      <c r="T102" s="50" t="n"/>
      <c r="U102" s="45" t="n">
        <v>93774.77419354839</v>
      </c>
      <c r="V102" s="45" t="n">
        <v>88173.4483870968</v>
      </c>
    </row>
    <row r="103" ht="12" customHeight="1">
      <c r="A103" s="44" t="n">
        <v>39600</v>
      </c>
      <c r="B103" s="45" t="n">
        <v>47584.2</v>
      </c>
      <c r="C103" s="45" t="n">
        <v>0</v>
      </c>
      <c r="D103" s="45" t="n">
        <v>284</v>
      </c>
      <c r="E103" s="45" t="n">
        <v>4.9</v>
      </c>
      <c r="F103" s="45" t="n">
        <v>3489</v>
      </c>
      <c r="G103" s="45" t="n">
        <v>2506.183333333333</v>
      </c>
      <c r="H103" s="45" t="n">
        <v>19546</v>
      </c>
      <c r="I103" s="45" t="n">
        <v>48297</v>
      </c>
      <c r="J103" s="45" t="n">
        <v>53000</v>
      </c>
      <c r="K103" s="45" t="n">
        <v>24264</v>
      </c>
      <c r="L103" s="45" t="n">
        <v>97880</v>
      </c>
      <c r="M103" s="45" t="n">
        <v>89249</v>
      </c>
      <c r="N103" s="45" t="n">
        <v>3198</v>
      </c>
      <c r="O103" s="45" t="n">
        <v>1072</v>
      </c>
      <c r="P103" s="45" t="n">
        <v>20712</v>
      </c>
      <c r="Q103" s="45" t="n">
        <v>1532.186666666667</v>
      </c>
      <c r="R103" s="45" t="n">
        <v>69</v>
      </c>
      <c r="S103" s="45" t="n">
        <v>412687.47</v>
      </c>
      <c r="T103" s="50" t="n"/>
      <c r="U103" s="45" t="n">
        <v>106024.3333333333</v>
      </c>
      <c r="V103" s="45" t="n">
        <v>93841.36</v>
      </c>
    </row>
    <row r="104" ht="12" customHeight="1">
      <c r="A104" s="44" t="n">
        <v>39630</v>
      </c>
      <c r="B104" s="45" t="n">
        <v>57892.64516129033</v>
      </c>
      <c r="C104" s="45" t="n">
        <v>0</v>
      </c>
      <c r="D104" s="45" t="n">
        <v>269</v>
      </c>
      <c r="E104" s="45" t="n">
        <v>4.774193548387097</v>
      </c>
      <c r="F104" s="45" t="n">
        <v>3694</v>
      </c>
      <c r="G104" s="45" t="n">
        <v>2506.887096774194</v>
      </c>
      <c r="H104" s="45" t="n">
        <v>20120</v>
      </c>
      <c r="I104" s="45" t="n">
        <v>48495</v>
      </c>
      <c r="J104" s="45" t="n">
        <v>54403</v>
      </c>
      <c r="K104" s="45" t="n">
        <v>24621</v>
      </c>
      <c r="L104" s="45" t="n">
        <v>113523</v>
      </c>
      <c r="M104" s="45" t="n">
        <v>87646</v>
      </c>
      <c r="N104" s="45" t="n">
        <v>3716</v>
      </c>
      <c r="O104" s="45" t="n">
        <v>1211</v>
      </c>
      <c r="P104" s="45" t="n">
        <v>21616</v>
      </c>
      <c r="Q104" s="45" t="n">
        <v>1743.732258064516</v>
      </c>
      <c r="R104" s="45" t="n">
        <v>68</v>
      </c>
      <c r="S104" s="45" t="n">
        <v>441530.0387096774</v>
      </c>
      <c r="T104" s="50" t="n"/>
      <c r="U104" s="45" t="n">
        <v>122985.1612903226</v>
      </c>
      <c r="V104" s="45" t="n">
        <v>94886.1774193548</v>
      </c>
    </row>
    <row r="105" ht="12" customHeight="1">
      <c r="A105" s="44" t="n">
        <v>39661</v>
      </c>
      <c r="B105" s="45" t="n">
        <v>56852.77419354839</v>
      </c>
      <c r="C105" s="45" t="n">
        <v>0</v>
      </c>
      <c r="D105" s="45" t="n">
        <v>253</v>
      </c>
      <c r="E105" s="45" t="n">
        <v>4.538709677419354</v>
      </c>
      <c r="F105" s="45" t="n">
        <v>3766</v>
      </c>
      <c r="G105" s="45" t="n">
        <v>2581.819354838709</v>
      </c>
      <c r="H105" s="45" t="n">
        <v>21253</v>
      </c>
      <c r="I105" s="45" t="n">
        <v>49486</v>
      </c>
      <c r="J105" s="45" t="n">
        <v>54634</v>
      </c>
      <c r="K105" s="45" t="n">
        <v>24717</v>
      </c>
      <c r="L105" s="45" t="n">
        <v>114301</v>
      </c>
      <c r="M105" s="45" t="n">
        <v>90712</v>
      </c>
      <c r="N105" s="45" t="n">
        <v>3669</v>
      </c>
      <c r="O105" s="45" t="n">
        <v>1200</v>
      </c>
      <c r="P105" s="45" t="n">
        <v>21676</v>
      </c>
      <c r="Q105" s="45" t="n">
        <v>1314.438709677419</v>
      </c>
      <c r="R105" s="45" t="n">
        <v>74</v>
      </c>
      <c r="S105" s="45" t="n">
        <v>446494.570967742</v>
      </c>
      <c r="T105" s="50" t="n"/>
      <c r="U105" s="45" t="n">
        <v>125898.4193548387</v>
      </c>
      <c r="V105" s="45" t="n">
        <v>95572.97096774193</v>
      </c>
    </row>
    <row r="106" ht="12" customHeight="1">
      <c r="A106" s="44" t="n">
        <v>39692</v>
      </c>
      <c r="B106" s="45" t="n">
        <v>49816.6</v>
      </c>
      <c r="C106" s="45" t="n">
        <v>0</v>
      </c>
      <c r="D106" s="45" t="n">
        <v>245</v>
      </c>
      <c r="E106" s="45" t="n">
        <v>4.036666666666666</v>
      </c>
      <c r="F106" s="45" t="n">
        <v>3720</v>
      </c>
      <c r="G106" s="45" t="n">
        <v>2626.116666666667</v>
      </c>
      <c r="H106" s="45" t="n">
        <v>21924</v>
      </c>
      <c r="I106" s="45" t="n">
        <v>48623</v>
      </c>
      <c r="J106" s="45" t="n">
        <v>54769</v>
      </c>
      <c r="K106" s="45" t="n">
        <v>24673</v>
      </c>
      <c r="L106" s="45" t="n">
        <v>104436</v>
      </c>
      <c r="M106" s="45" t="n">
        <v>88198</v>
      </c>
      <c r="N106" s="45" t="n">
        <v>3744</v>
      </c>
      <c r="O106" s="45" t="n">
        <v>1177</v>
      </c>
      <c r="P106" s="45" t="n">
        <v>21413</v>
      </c>
      <c r="Q106" s="45" t="n">
        <v>1744.45</v>
      </c>
      <c r="R106" s="45" t="n">
        <v>76</v>
      </c>
      <c r="S106" s="45" t="n">
        <v>427189.2033333333</v>
      </c>
      <c r="T106" s="50" t="n"/>
      <c r="U106" s="45" t="n">
        <v>119246.1333333333</v>
      </c>
      <c r="V106" s="45" t="n">
        <v>92753.28333333335</v>
      </c>
    </row>
    <row r="107" ht="12" customHeight="1">
      <c r="A107" s="44" t="n">
        <v>39722</v>
      </c>
      <c r="B107" s="45" t="n">
        <v>52395.90322580645</v>
      </c>
      <c r="C107" s="45" t="n">
        <v>0</v>
      </c>
      <c r="D107" s="45" t="n">
        <v>263</v>
      </c>
      <c r="E107" s="45" t="n">
        <v>3.2</v>
      </c>
      <c r="F107" s="45" t="n">
        <v>3776</v>
      </c>
      <c r="G107" s="45" t="n">
        <v>2600.451612903226</v>
      </c>
      <c r="H107" s="45" t="n">
        <v>22878</v>
      </c>
      <c r="I107" s="45" t="n">
        <v>49244</v>
      </c>
      <c r="J107" s="45" t="n">
        <v>55557</v>
      </c>
      <c r="K107" s="45" t="n">
        <v>24398</v>
      </c>
      <c r="L107" s="45" t="n">
        <v>105115</v>
      </c>
      <c r="M107" s="45" t="n">
        <v>89116</v>
      </c>
      <c r="N107" s="45" t="n">
        <v>3629</v>
      </c>
      <c r="O107" s="45" t="n">
        <v>1192</v>
      </c>
      <c r="P107" s="45" t="n">
        <v>20812</v>
      </c>
      <c r="Q107" s="45" t="n">
        <v>1755.825806451613</v>
      </c>
      <c r="R107" s="45" t="n">
        <v>95</v>
      </c>
      <c r="S107" s="45" t="n">
        <v>432830.3806451613</v>
      </c>
      <c r="T107" s="50" t="n"/>
      <c r="U107" s="45" t="n">
        <v>118342.8709677419</v>
      </c>
      <c r="V107" s="45" t="n">
        <v>95344.11290322582</v>
      </c>
    </row>
    <row r="108" ht="12" customHeight="1">
      <c r="A108" s="44" t="n">
        <v>39753</v>
      </c>
      <c r="B108" s="45" t="n">
        <v>54612.83333333334</v>
      </c>
      <c r="C108" s="45" t="n">
        <v>0</v>
      </c>
      <c r="D108" s="45" t="n">
        <v>233</v>
      </c>
      <c r="E108" s="45" t="n">
        <v>3.416666666666667</v>
      </c>
      <c r="F108" s="45" t="n">
        <v>3895</v>
      </c>
      <c r="G108" s="45" t="n">
        <v>2538.956666666666</v>
      </c>
      <c r="H108" s="45" t="n">
        <v>23800</v>
      </c>
      <c r="I108" s="45" t="n">
        <v>49903</v>
      </c>
      <c r="J108" s="45" t="n">
        <v>55484</v>
      </c>
      <c r="K108" s="45" t="n">
        <v>24133</v>
      </c>
      <c r="L108" s="45" t="n">
        <v>110651</v>
      </c>
      <c r="M108" s="45" t="n">
        <v>94156</v>
      </c>
      <c r="N108" s="45" t="n">
        <v>3654</v>
      </c>
      <c r="O108" s="45" t="n">
        <v>1159</v>
      </c>
      <c r="P108" s="45" t="n">
        <v>21444</v>
      </c>
      <c r="Q108" s="45" t="n">
        <v>1674.583333333333</v>
      </c>
      <c r="R108" s="45" t="n">
        <v>98</v>
      </c>
      <c r="S108" s="45" t="n">
        <v>447439.79</v>
      </c>
      <c r="T108" s="50" t="n"/>
      <c r="U108" s="45" t="n">
        <v>118914.8333333333</v>
      </c>
      <c r="V108" s="45" t="n">
        <v>101610.34</v>
      </c>
    </row>
    <row r="109" ht="12" customHeight="1">
      <c r="A109" s="44" t="n">
        <v>39783</v>
      </c>
      <c r="B109" s="45" t="n">
        <v>54848.29032258064</v>
      </c>
      <c r="C109" s="45" t="n">
        <v>0</v>
      </c>
      <c r="D109" s="45" t="n">
        <v>250</v>
      </c>
      <c r="E109" s="45" t="n">
        <v>4.529032258064516</v>
      </c>
      <c r="F109" s="45" t="n">
        <v>3873</v>
      </c>
      <c r="G109" s="45" t="n">
        <v>2499.829032258064</v>
      </c>
      <c r="H109" s="45" t="n">
        <v>23240</v>
      </c>
      <c r="I109" s="45" t="n">
        <v>47400</v>
      </c>
      <c r="J109" s="45" t="n">
        <v>53224</v>
      </c>
      <c r="K109" s="45" t="n">
        <v>23737</v>
      </c>
      <c r="L109" s="45" t="n">
        <v>109565</v>
      </c>
      <c r="M109" s="45" t="n">
        <v>92351</v>
      </c>
      <c r="N109" s="45" t="n">
        <v>3511</v>
      </c>
      <c r="O109" s="45" t="n">
        <v>1029</v>
      </c>
      <c r="P109" s="45" t="n">
        <v>21695</v>
      </c>
      <c r="Q109" s="45" t="n">
        <v>1654.290322580645</v>
      </c>
      <c r="R109" s="45" t="n">
        <v>88</v>
      </c>
      <c r="S109" s="45" t="n">
        <v>438969.9387096774</v>
      </c>
      <c r="T109" s="50" t="n"/>
      <c r="U109" s="45" t="n">
        <v>121902.5483870968</v>
      </c>
      <c r="V109" s="45" t="n">
        <v>99682.64838709676</v>
      </c>
    </row>
    <row r="110" ht="12" customHeight="1">
      <c r="A110" s="44" t="n">
        <v>39814</v>
      </c>
      <c r="B110" s="45" t="n">
        <v>53867.32258064516</v>
      </c>
      <c r="C110" s="45" t="n">
        <v>0</v>
      </c>
      <c r="D110" s="45" t="n">
        <v>229.5052903225806</v>
      </c>
      <c r="E110" s="45" t="n">
        <v>7.932258064516129</v>
      </c>
      <c r="F110" s="45" t="n">
        <v>3870.103225806452</v>
      </c>
      <c r="G110" s="45" t="n">
        <v>2332.858064516129</v>
      </c>
      <c r="H110" s="45" t="n">
        <v>22804.97096774193</v>
      </c>
      <c r="I110" s="45" t="n">
        <v>46440.17096774193</v>
      </c>
      <c r="J110" s="45" t="n">
        <v>52384.19032258065</v>
      </c>
      <c r="K110" s="45" t="n">
        <v>23461.48387096774</v>
      </c>
      <c r="L110" s="45" t="n">
        <v>107074.8225806452</v>
      </c>
      <c r="M110" s="45" t="n">
        <v>92544.28709677419</v>
      </c>
      <c r="N110" s="45" t="n">
        <v>3433.341935483871</v>
      </c>
      <c r="O110" s="45" t="n">
        <v>1163.678709677419</v>
      </c>
      <c r="P110" s="45" t="n">
        <v>21776.91290322581</v>
      </c>
      <c r="Q110" s="45" t="n">
        <v>1538.241935483871</v>
      </c>
      <c r="R110" s="45" t="n">
        <v>100</v>
      </c>
      <c r="S110" s="45" t="n">
        <v>433029.8227096774</v>
      </c>
      <c r="T110" s="50" t="n"/>
      <c r="U110" s="45" t="n">
        <v>112888.064516129</v>
      </c>
      <c r="V110" s="45" t="n">
        <v>107174.08</v>
      </c>
    </row>
    <row r="111" ht="12" customHeight="1">
      <c r="A111" s="44" t="n">
        <v>39845</v>
      </c>
      <c r="B111" s="45" t="n">
        <v>54390.46428571428</v>
      </c>
      <c r="C111" s="45" t="n">
        <v>0</v>
      </c>
      <c r="D111" s="45" t="n">
        <v>256.7096428571429</v>
      </c>
      <c r="E111" s="45" t="n">
        <v>6.903571428571429</v>
      </c>
      <c r="F111" s="45" t="n">
        <v>4074.4</v>
      </c>
      <c r="G111" s="45" t="n">
        <v>2398.467857142857</v>
      </c>
      <c r="H111" s="45" t="n">
        <v>22867.48571428571</v>
      </c>
      <c r="I111" s="45" t="n">
        <v>47206.92142857143</v>
      </c>
      <c r="J111" s="45" t="n">
        <v>53213.30714285715</v>
      </c>
      <c r="K111" s="45" t="n">
        <v>23665.36071428571</v>
      </c>
      <c r="L111" s="45" t="n">
        <v>116418.8357142857</v>
      </c>
      <c r="M111" s="45" t="n">
        <v>94275.15000000001</v>
      </c>
      <c r="N111" s="45" t="n">
        <v>3583.828571428571</v>
      </c>
      <c r="O111" s="45" t="n">
        <v>1234.664285714286</v>
      </c>
      <c r="P111" s="45" t="n">
        <v>22089.62142857143</v>
      </c>
      <c r="Q111" s="45" t="n">
        <v>1658.903571428571</v>
      </c>
      <c r="R111" s="45" t="n">
        <v>100</v>
      </c>
      <c r="S111" s="45" t="n">
        <v>447441.0239285714</v>
      </c>
      <c r="T111" s="50" t="n"/>
      <c r="U111" s="45" t="n">
        <v>127551.5</v>
      </c>
      <c r="V111" s="45" t="n">
        <v>109975.44</v>
      </c>
    </row>
    <row r="112" ht="12" customHeight="1">
      <c r="A112" s="44" t="n">
        <v>39873</v>
      </c>
      <c r="B112" s="45" t="n">
        <v>50556.25806451613</v>
      </c>
      <c r="C112" s="45" t="n">
        <v>0</v>
      </c>
      <c r="D112" s="45" t="n">
        <v>272.9737741935484</v>
      </c>
      <c r="E112" s="45" t="n">
        <v>7.096774193548387</v>
      </c>
      <c r="F112" s="45" t="n">
        <v>3937.048387096774</v>
      </c>
      <c r="G112" s="45" t="n">
        <v>2505.741935483871</v>
      </c>
      <c r="H112" s="45" t="n">
        <v>22680.92580645161</v>
      </c>
      <c r="I112" s="45" t="n">
        <v>46510.45161290323</v>
      </c>
      <c r="J112" s="45" t="n">
        <v>52200.73225806451</v>
      </c>
      <c r="K112" s="45" t="n">
        <v>23194.21612903226</v>
      </c>
      <c r="L112" s="45" t="n">
        <v>111014.3451612903</v>
      </c>
      <c r="M112" s="45" t="n">
        <v>89440.36451612903</v>
      </c>
      <c r="N112" s="45" t="n">
        <v>3319.570967741935</v>
      </c>
      <c r="O112" s="45" t="n">
        <v>1221.370967741935</v>
      </c>
      <c r="P112" s="45" t="n">
        <v>22140.57419354839</v>
      </c>
      <c r="Q112" s="45" t="n">
        <v>1530.612903225806</v>
      </c>
      <c r="R112" s="45" t="n">
        <v>100</v>
      </c>
      <c r="S112" s="45" t="n">
        <v>430632.2834516129</v>
      </c>
      <c r="T112" s="50" t="n"/>
      <c r="U112" s="45" t="n">
        <v>125685.6774193548</v>
      </c>
      <c r="V112" s="45" t="n">
        <v>106691.06</v>
      </c>
    </row>
    <row r="113" ht="12" customHeight="1">
      <c r="A113" s="44" t="n">
        <v>39904</v>
      </c>
      <c r="B113" s="45" t="n">
        <v>48312.06666666667</v>
      </c>
      <c r="C113" s="45" t="n">
        <v>0</v>
      </c>
      <c r="D113" s="45" t="n">
        <v>274.9332</v>
      </c>
      <c r="E113" s="45" t="n">
        <v>6.706666666666666</v>
      </c>
      <c r="F113" s="45" t="n">
        <v>3927.546666666667</v>
      </c>
      <c r="G113" s="45" t="n">
        <v>2448.096666666666</v>
      </c>
      <c r="H113" s="45" t="n">
        <v>20744.06666666667</v>
      </c>
      <c r="I113" s="45" t="n">
        <v>45468.19</v>
      </c>
      <c r="J113" s="45" t="n">
        <v>51559.35333333334</v>
      </c>
      <c r="K113" s="45" t="n">
        <v>23174.19666666667</v>
      </c>
      <c r="L113" s="45" t="n">
        <v>100734.8366666667</v>
      </c>
      <c r="M113" s="45" t="n">
        <v>86979.39</v>
      </c>
      <c r="N113" s="45" t="n">
        <v>3703.153333333334</v>
      </c>
      <c r="O113" s="45" t="n">
        <v>1340.94</v>
      </c>
      <c r="P113" s="45" t="n">
        <v>20945.36</v>
      </c>
      <c r="Q113" s="45" t="n">
        <v>343.69</v>
      </c>
      <c r="R113" s="45" t="n">
        <v>100</v>
      </c>
      <c r="S113" s="45" t="n">
        <v>410062.5265333334</v>
      </c>
      <c r="T113" s="50" t="n"/>
      <c r="U113" s="45" t="n">
        <v>107304.4666666667</v>
      </c>
      <c r="V113" s="45" t="n">
        <v>103584.44</v>
      </c>
    </row>
    <row r="114" ht="12" customHeight="1">
      <c r="A114" s="44" t="n">
        <v>39934</v>
      </c>
      <c r="B114" s="45" t="n">
        <v>35466</v>
      </c>
      <c r="C114" s="45" t="n">
        <v>0</v>
      </c>
      <c r="D114" s="45" t="n">
        <v>266.0643870967742</v>
      </c>
      <c r="E114" s="45" t="n">
        <v>6.877419354838709</v>
      </c>
      <c r="F114" s="45" t="n">
        <v>3787.070967741935</v>
      </c>
      <c r="G114" s="45" t="n">
        <v>2646.893548387097</v>
      </c>
      <c r="H114" s="45" t="n">
        <v>20760.01612903226</v>
      </c>
      <c r="I114" s="45" t="n">
        <v>45616.14838709678</v>
      </c>
      <c r="J114" s="45" t="n">
        <v>49229.27741935484</v>
      </c>
      <c r="K114" s="45" t="n">
        <v>22726.70322580645</v>
      </c>
      <c r="L114" s="45" t="n">
        <v>111236.9741935484</v>
      </c>
      <c r="M114" s="45" t="n">
        <v>88145.37096774194</v>
      </c>
      <c r="N114" s="45" t="n">
        <v>3351.416129032258</v>
      </c>
      <c r="O114" s="45" t="n">
        <v>1304.7</v>
      </c>
      <c r="P114" s="45" t="n">
        <v>19515.65161290322</v>
      </c>
      <c r="Q114" s="45" t="n">
        <v>510.3258064516129</v>
      </c>
      <c r="R114" s="45" t="n">
        <v>100</v>
      </c>
      <c r="S114" s="45" t="n">
        <v>404669.4901935484</v>
      </c>
      <c r="T114" s="50" t="n"/>
      <c r="U114" s="45" t="n">
        <v>120035.6774193548</v>
      </c>
      <c r="V114" s="45" t="n">
        <v>103487.29</v>
      </c>
    </row>
    <row r="115" ht="12" customHeight="1">
      <c r="A115" s="44" t="n">
        <v>39965</v>
      </c>
      <c r="B115" s="45" t="n">
        <v>39082.96666666667</v>
      </c>
      <c r="C115" s="45" t="n">
        <v>0</v>
      </c>
      <c r="D115" s="45" t="n">
        <v>264.088</v>
      </c>
      <c r="E115" s="45" t="n">
        <v>6.35</v>
      </c>
      <c r="F115" s="45" t="n">
        <v>3745.343333333333</v>
      </c>
      <c r="G115" s="45" t="n">
        <v>2510.553333333334</v>
      </c>
      <c r="H115" s="45" t="n">
        <v>20173.10333333334</v>
      </c>
      <c r="I115" s="45" t="n">
        <v>45858.96666666667</v>
      </c>
      <c r="J115" s="45" t="n">
        <v>49437.36666666667</v>
      </c>
      <c r="K115" s="45" t="n">
        <v>22393.88666666667</v>
      </c>
      <c r="L115" s="45" t="n">
        <v>127585.4433333333</v>
      </c>
      <c r="M115" s="45" t="n">
        <v>88710.56666666667</v>
      </c>
      <c r="N115" s="45" t="n">
        <v>3491.283333333333</v>
      </c>
      <c r="O115" s="45" t="n">
        <v>1276.403333333333</v>
      </c>
      <c r="P115" s="45" t="n">
        <v>19934.74333333333</v>
      </c>
      <c r="Q115" s="45" t="n">
        <v>1257.14</v>
      </c>
      <c r="R115" s="45" t="n">
        <v>100</v>
      </c>
      <c r="S115" s="45" t="n">
        <v>425828.2046666666</v>
      </c>
      <c r="T115" s="50" t="n"/>
      <c r="U115" s="45" t="n">
        <v>134956.3666666667</v>
      </c>
      <c r="V115" s="45" t="n">
        <v>104120.88</v>
      </c>
    </row>
    <row r="116" ht="12" customHeight="1">
      <c r="A116" s="44" t="n">
        <v>39995</v>
      </c>
      <c r="B116" s="45" t="n">
        <v>44259.58064516129</v>
      </c>
      <c r="C116" s="45" t="n">
        <v>0</v>
      </c>
      <c r="D116" s="45" t="n">
        <v>271.8105666666667</v>
      </c>
      <c r="E116" s="45" t="n">
        <v>5.380645161290323</v>
      </c>
      <c r="F116" s="45" t="n">
        <v>4010.067741935484</v>
      </c>
      <c r="G116" s="45" t="n">
        <v>2464.990322580645</v>
      </c>
      <c r="H116" s="45" t="n">
        <v>20537.65161290322</v>
      </c>
      <c r="I116" s="45" t="n">
        <v>45539.46774193548</v>
      </c>
      <c r="J116" s="45" t="n">
        <v>50088.06774193548</v>
      </c>
      <c r="K116" s="45" t="n">
        <v>22296.34516129032</v>
      </c>
      <c r="L116" s="45" t="n">
        <v>133367.2677419355</v>
      </c>
      <c r="M116" s="45" t="n">
        <v>94615.24838709678</v>
      </c>
      <c r="N116" s="45" t="n">
        <v>3478.706451612903</v>
      </c>
      <c r="O116" s="45" t="n">
        <v>1262.622580645161</v>
      </c>
      <c r="P116" s="45" t="n">
        <v>20500.1</v>
      </c>
      <c r="Q116" s="45" t="n">
        <v>1390.390322580645</v>
      </c>
      <c r="R116" s="45" t="n">
        <v>100</v>
      </c>
      <c r="S116" s="45" t="n">
        <v>444187.6976634408</v>
      </c>
      <c r="T116" s="50" t="n"/>
      <c r="U116" s="45" t="n">
        <v>149004.1935483871</v>
      </c>
      <c r="V116" s="45" t="n">
        <v>106602.81</v>
      </c>
    </row>
    <row r="117" ht="12" customHeight="1">
      <c r="A117" s="44" t="n">
        <v>40026</v>
      </c>
      <c r="B117" s="45" t="n">
        <v>33480.64516129033</v>
      </c>
      <c r="C117" s="45" t="n">
        <v>0</v>
      </c>
      <c r="D117" s="45" t="n">
        <v>232.2417419354839</v>
      </c>
      <c r="E117" s="45" t="n">
        <v>6.17741935483871</v>
      </c>
      <c r="F117" s="45" t="n">
        <v>3961.793548387097</v>
      </c>
      <c r="G117" s="45" t="n">
        <v>2431.322580645161</v>
      </c>
      <c r="H117" s="45" t="n">
        <v>21102.4935483871</v>
      </c>
      <c r="I117" s="45" t="n">
        <v>45716.91290322581</v>
      </c>
      <c r="J117" s="45" t="n">
        <v>50224.62258064516</v>
      </c>
      <c r="K117" s="45" t="n">
        <v>22568.96129032258</v>
      </c>
      <c r="L117" s="45" t="n">
        <v>129199.9677419355</v>
      </c>
      <c r="M117" s="45" t="n">
        <v>91736.17741935483</v>
      </c>
      <c r="N117" s="45" t="n">
        <v>3589.645161290322</v>
      </c>
      <c r="O117" s="45" t="n">
        <v>1239.654838709678</v>
      </c>
      <c r="P117" s="45" t="n">
        <v>19431.33870967742</v>
      </c>
      <c r="Q117" s="45" t="n">
        <v>312.0967741935484</v>
      </c>
      <c r="R117" s="45" t="n">
        <v>100</v>
      </c>
      <c r="S117" s="45" t="n">
        <v>425334.0514193549</v>
      </c>
      <c r="T117" s="50" t="n"/>
      <c r="U117" s="45" t="n">
        <v>136978.5806451613</v>
      </c>
      <c r="V117" s="45" t="n">
        <v>107187.33</v>
      </c>
    </row>
    <row r="118" ht="12" customHeight="1">
      <c r="A118" s="44" t="n">
        <v>40057</v>
      </c>
      <c r="B118" s="45" t="n">
        <v>32671.03333333333</v>
      </c>
      <c r="C118" s="45" t="n">
        <v>0</v>
      </c>
      <c r="D118" s="45" t="n">
        <v>252.3275</v>
      </c>
      <c r="E118" s="45" t="n">
        <v>5.656666666666666</v>
      </c>
      <c r="F118" s="45" t="n">
        <v>4366.256666666666</v>
      </c>
      <c r="G118" s="45" t="n">
        <v>2606.22</v>
      </c>
      <c r="H118" s="45" t="n">
        <v>21469.15333333334</v>
      </c>
      <c r="I118" s="45" t="n">
        <v>45850.96000000001</v>
      </c>
      <c r="J118" s="45" t="n">
        <v>49614.53</v>
      </c>
      <c r="K118" s="45" t="n">
        <v>22256.34666666667</v>
      </c>
      <c r="L118" s="45" t="n">
        <v>129822.43</v>
      </c>
      <c r="M118" s="45" t="n">
        <v>84007.34000000001</v>
      </c>
      <c r="N118" s="45" t="n">
        <v>3573.16</v>
      </c>
      <c r="O118" s="45" t="n">
        <v>1149.68</v>
      </c>
      <c r="P118" s="45" t="n">
        <v>18501.53666666667</v>
      </c>
      <c r="Q118" s="45" t="n">
        <v>1306.373333333333</v>
      </c>
      <c r="R118" s="45" t="n">
        <v>100</v>
      </c>
      <c r="S118" s="45" t="n">
        <v>417553.0041666667</v>
      </c>
      <c r="T118" s="50" t="n"/>
      <c r="U118" s="45" t="n">
        <v>138652.5666666667</v>
      </c>
      <c r="V118" s="45" t="n">
        <v>96470.12</v>
      </c>
    </row>
    <row r="119" ht="12" customHeight="1">
      <c r="A119" s="44" t="n">
        <v>40087</v>
      </c>
      <c r="B119" s="45" t="n">
        <v>35601.77419354839</v>
      </c>
      <c r="C119" s="45" t="n">
        <v>0</v>
      </c>
      <c r="D119" s="45" t="n">
        <v>233.1238709677419</v>
      </c>
      <c r="E119" s="45" t="n">
        <v>6.641935483870968</v>
      </c>
      <c r="F119" s="45" t="n">
        <v>4416.403225806452</v>
      </c>
      <c r="G119" s="45" t="n">
        <v>2452.403225806452</v>
      </c>
      <c r="H119" s="45" t="n">
        <v>21465.57419354839</v>
      </c>
      <c r="I119" s="45" t="n">
        <v>45441.07741935484</v>
      </c>
      <c r="J119" s="45" t="n">
        <v>49433.36451612903</v>
      </c>
      <c r="K119" s="45" t="n">
        <v>22353.20967741936</v>
      </c>
      <c r="L119" s="45" t="n">
        <v>136198.4967741936</v>
      </c>
      <c r="M119" s="45" t="n">
        <v>88062.67419354839</v>
      </c>
      <c r="N119" s="45" t="n">
        <v>3491.070967741935</v>
      </c>
      <c r="O119" s="45" t="n">
        <v>1160.051612903226</v>
      </c>
      <c r="P119" s="45" t="n">
        <v>19313.57419354839</v>
      </c>
      <c r="Q119" s="45" t="n">
        <v>1272.870967741935</v>
      </c>
      <c r="R119" s="45" t="n">
        <v>100</v>
      </c>
      <c r="S119" s="45" t="n">
        <v>431002.3109677421</v>
      </c>
      <c r="T119" s="50" t="n"/>
      <c r="U119" s="45" t="n">
        <v>145666.5161290323</v>
      </c>
      <c r="V119" s="45" t="n">
        <v>101802.01</v>
      </c>
    </row>
    <row r="120" ht="12" customHeight="1">
      <c r="A120" s="44" t="n">
        <v>40118</v>
      </c>
      <c r="B120" s="45" t="n">
        <v>39080.3</v>
      </c>
      <c r="C120" s="45" t="n">
        <v>0</v>
      </c>
      <c r="D120" s="45" t="n">
        <v>228.1111</v>
      </c>
      <c r="E120" s="45" t="n">
        <v>5.723333333333333</v>
      </c>
      <c r="F120" s="45" t="n">
        <v>4613.163333333333</v>
      </c>
      <c r="G120" s="45" t="n">
        <v>2426.096666666666</v>
      </c>
      <c r="H120" s="45" t="n">
        <v>22234.16666666667</v>
      </c>
      <c r="I120" s="45" t="n">
        <v>46230.27333333333</v>
      </c>
      <c r="J120" s="45" t="n">
        <v>50398.89666666666</v>
      </c>
      <c r="K120" s="45" t="n">
        <v>22683.20333333333</v>
      </c>
      <c r="L120" s="45" t="n">
        <v>140274.9066666667</v>
      </c>
      <c r="M120" s="45" t="n">
        <v>93247.37666666666</v>
      </c>
      <c r="N120" s="45" t="n">
        <v>3452.883333333333</v>
      </c>
      <c r="O120" s="45" t="n">
        <v>3195.856666666667</v>
      </c>
      <c r="P120" s="45" t="n">
        <v>19740.03</v>
      </c>
      <c r="Q120" s="45" t="n">
        <v>1244.773333333333</v>
      </c>
      <c r="R120" s="45" t="n">
        <v>100</v>
      </c>
      <c r="S120" s="45" t="n">
        <v>449155.7611</v>
      </c>
      <c r="T120" s="50" t="n"/>
      <c r="U120" s="45" t="n">
        <v>152808.7</v>
      </c>
      <c r="V120" s="45" t="n">
        <v>108495.88</v>
      </c>
    </row>
    <row r="121" ht="12" customHeight="1">
      <c r="A121" s="44" t="n">
        <v>40148</v>
      </c>
      <c r="B121" s="45" t="n">
        <v>44588.58064516129</v>
      </c>
      <c r="C121" s="45" t="n">
        <v>0</v>
      </c>
      <c r="D121" s="45" t="n">
        <v>238.1365161290323</v>
      </c>
      <c r="E121" s="45" t="n">
        <v>5.116129032258065</v>
      </c>
      <c r="F121" s="45" t="n">
        <v>4685.5</v>
      </c>
      <c r="G121" s="45" t="n">
        <v>2423.738709677419</v>
      </c>
      <c r="H121" s="45" t="n">
        <v>22208.81612903226</v>
      </c>
      <c r="I121" s="45" t="n">
        <v>44341.83870967742</v>
      </c>
      <c r="J121" s="45" t="n">
        <v>49027.59677419355</v>
      </c>
      <c r="K121" s="45" t="n">
        <v>21801.93870967742</v>
      </c>
      <c r="L121" s="45" t="n">
        <v>116866.8967741935</v>
      </c>
      <c r="M121" s="45" t="n">
        <v>94761.91290322581</v>
      </c>
      <c r="N121" s="45" t="n">
        <v>3510.6</v>
      </c>
      <c r="O121" s="45" t="n">
        <v>2831.425806451613</v>
      </c>
      <c r="P121" s="45" t="n">
        <v>19890.53225806452</v>
      </c>
      <c r="Q121" s="45" t="n">
        <v>1177.670967741936</v>
      </c>
      <c r="R121" s="45" t="n">
        <v>100</v>
      </c>
      <c r="S121" s="45" t="n">
        <v>428460.301032258</v>
      </c>
      <c r="T121" s="50" t="n"/>
      <c r="U121" s="45" t="n">
        <v>122249.4193548387</v>
      </c>
      <c r="V121" s="45" t="n">
        <v>110827.3</v>
      </c>
    </row>
    <row r="122" ht="12" customHeight="1">
      <c r="A122" s="44" t="n">
        <v>40179</v>
      </c>
      <c r="B122" s="45" t="n">
        <v>44834.67741935484</v>
      </c>
      <c r="C122" s="45" t="n">
        <v>0</v>
      </c>
      <c r="D122" s="45" t="n">
        <v>241.0488709677419</v>
      </c>
      <c r="E122" s="45" t="n">
        <v>5.219354838709678</v>
      </c>
      <c r="F122" s="45" t="n">
        <v>3870.103225806452</v>
      </c>
      <c r="G122" s="45" t="n">
        <v>2531.703225806452</v>
      </c>
      <c r="H122" s="45" t="n">
        <v>22121.26451612903</v>
      </c>
      <c r="I122" s="45" t="n">
        <v>44709.75806451612</v>
      </c>
      <c r="J122" s="45" t="n">
        <v>48948.01612903226</v>
      </c>
      <c r="K122" s="45" t="n">
        <v>22507.45161290323</v>
      </c>
      <c r="L122" s="45" t="n">
        <v>92648.09677419355</v>
      </c>
      <c r="M122" s="45" t="n">
        <v>99873.45903225806</v>
      </c>
      <c r="N122" s="45" t="n">
        <v>3510.6</v>
      </c>
      <c r="O122" s="45" t="n">
        <v>1356.116129032258</v>
      </c>
      <c r="P122" s="45" t="n">
        <v>20383.18709677419</v>
      </c>
      <c r="Q122" s="45" t="n">
        <v>899.9677419354839</v>
      </c>
      <c r="R122" s="45" t="n">
        <v>100</v>
      </c>
      <c r="S122" s="45" t="n">
        <v>408540.6691935484</v>
      </c>
      <c r="T122" s="50" t="n"/>
      <c r="U122" s="45" t="n">
        <v>97844.74193548386</v>
      </c>
      <c r="V122" s="45" t="n">
        <v>111419.7096774193</v>
      </c>
    </row>
    <row r="123" ht="12" customHeight="1">
      <c r="A123" s="44" t="n">
        <v>40210</v>
      </c>
      <c r="B123" s="45" t="n">
        <v>46635.07142857143</v>
      </c>
      <c r="C123" s="45" t="n">
        <v>0</v>
      </c>
      <c r="D123" s="45" t="n">
        <v>246.3008214285714</v>
      </c>
      <c r="E123" s="45" t="n">
        <v>4.614285714285714</v>
      </c>
      <c r="F123" s="45" t="n">
        <v>4074.4</v>
      </c>
      <c r="G123" s="45" t="n">
        <v>2492.617857142857</v>
      </c>
      <c r="H123" s="45" t="n">
        <v>22578.85</v>
      </c>
      <c r="I123" s="45" t="n">
        <v>45375.83571428571</v>
      </c>
      <c r="J123" s="45" t="n">
        <v>50222.40714285714</v>
      </c>
      <c r="K123" s="45" t="n">
        <v>23049.71785714286</v>
      </c>
      <c r="L123" s="45" t="n">
        <v>114545.4857142857</v>
      </c>
      <c r="M123" s="45" t="n">
        <v>108266.7617857143</v>
      </c>
      <c r="N123" s="45" t="n">
        <v>3625.05</v>
      </c>
      <c r="O123" s="45" t="n">
        <v>1006.007142857143</v>
      </c>
      <c r="P123" s="45" t="n">
        <v>20466.96428571429</v>
      </c>
      <c r="Q123" s="45" t="n">
        <v>972.9214285714286</v>
      </c>
      <c r="R123" s="45" t="n">
        <v>100</v>
      </c>
      <c r="S123" s="45" t="n">
        <v>443663.0054642857</v>
      </c>
      <c r="T123" s="50" t="n"/>
      <c r="U123" s="45" t="n">
        <v>123848.4285714286</v>
      </c>
      <c r="V123" s="45" t="n">
        <v>118525.0178571429</v>
      </c>
    </row>
    <row r="124" ht="12" customHeight="1">
      <c r="A124" s="44" t="n">
        <v>40238</v>
      </c>
      <c r="B124" s="45" t="n">
        <v>47770.32258064516</v>
      </c>
      <c r="C124" s="45" t="n">
        <v>0</v>
      </c>
      <c r="D124" s="45" t="n">
        <v>260.2962258064516</v>
      </c>
      <c r="E124" s="45" t="n">
        <v>4.796774193548386</v>
      </c>
      <c r="F124" s="45" t="n">
        <v>3937.048387096774</v>
      </c>
      <c r="G124" s="45" t="n">
        <v>2509.777419354839</v>
      </c>
      <c r="H124" s="45" t="n">
        <v>22821.65806451613</v>
      </c>
      <c r="I124" s="45" t="n">
        <v>46064.64516129033</v>
      </c>
      <c r="J124" s="45" t="n">
        <v>50703.76774193549</v>
      </c>
      <c r="K124" s="45" t="n">
        <v>23135.60322580645</v>
      </c>
      <c r="L124" s="45" t="n">
        <v>113207.6967741936</v>
      </c>
      <c r="M124" s="45" t="n">
        <v>110158.5987096774</v>
      </c>
      <c r="N124" s="45" t="n">
        <v>3762.770967741935</v>
      </c>
      <c r="O124" s="45" t="n">
        <v>1083.106451612903</v>
      </c>
      <c r="P124" s="45" t="n">
        <v>20697.40967741936</v>
      </c>
      <c r="Q124" s="45" t="n">
        <v>973.6645161290322</v>
      </c>
      <c r="R124" s="45" t="n">
        <v>100</v>
      </c>
      <c r="S124" s="45" t="n">
        <v>447191.1626774193</v>
      </c>
      <c r="T124" s="50" t="n"/>
      <c r="U124" s="45" t="n">
        <v>128527.1935483871</v>
      </c>
      <c r="V124" s="45" t="n">
        <v>121797.5</v>
      </c>
    </row>
    <row r="125" ht="12" customHeight="1">
      <c r="A125" s="44" t="n">
        <v>40269</v>
      </c>
      <c r="B125" s="45" t="n">
        <v>46274.33333333334</v>
      </c>
      <c r="C125" s="45" t="n">
        <v>0</v>
      </c>
      <c r="D125" s="45" t="n">
        <v>243.3335</v>
      </c>
      <c r="E125" s="45" t="n">
        <v>4.696666666666667</v>
      </c>
      <c r="F125" s="45" t="n">
        <v>3927.546666666667</v>
      </c>
      <c r="G125" s="45" t="n">
        <v>2554.57</v>
      </c>
      <c r="H125" s="45" t="n">
        <v>21931.31333333333</v>
      </c>
      <c r="I125" s="45" t="n">
        <v>45056.11666666666</v>
      </c>
      <c r="J125" s="45" t="n">
        <v>50915.45333333334</v>
      </c>
      <c r="K125" s="45" t="n">
        <v>22009.3</v>
      </c>
      <c r="L125" s="45" t="n">
        <v>118244.33</v>
      </c>
      <c r="M125" s="45" t="n">
        <v>105119.8333333333</v>
      </c>
      <c r="N125" s="45" t="n">
        <v>3709.32</v>
      </c>
      <c r="O125" s="45" t="n">
        <v>1053.516666666667</v>
      </c>
      <c r="P125" s="45" t="n">
        <v>19710.55333333333</v>
      </c>
      <c r="Q125" s="45" t="n">
        <v>934.7833333333333</v>
      </c>
      <c r="R125" s="45" t="n">
        <v>100</v>
      </c>
      <c r="S125" s="45" t="n">
        <v>441789.0001666666</v>
      </c>
      <c r="T125" s="50" t="n"/>
      <c r="U125" s="45" t="n">
        <v>127955.5666666667</v>
      </c>
      <c r="V125" s="45" t="n">
        <v>118258.2416666667</v>
      </c>
    </row>
    <row r="126" ht="12" customHeight="1">
      <c r="A126" s="44" t="n">
        <v>40299</v>
      </c>
      <c r="B126" s="45" t="n">
        <v>44820</v>
      </c>
      <c r="C126" s="45" t="n">
        <v>0</v>
      </c>
      <c r="D126" s="45" t="n">
        <v>216.7272903225806</v>
      </c>
      <c r="E126" s="45" t="n">
        <v>4.593548387096774</v>
      </c>
      <c r="F126" s="45" t="n">
        <v>4735.225806451613</v>
      </c>
      <c r="G126" s="45" t="n">
        <v>2509.235483870968</v>
      </c>
      <c r="H126" s="45" t="n">
        <v>21017.25483870967</v>
      </c>
      <c r="I126" s="45" t="n">
        <v>44560.25161290323</v>
      </c>
      <c r="J126" s="45" t="n">
        <v>50506.74838709677</v>
      </c>
      <c r="K126" s="45" t="n">
        <v>21917.41290322581</v>
      </c>
      <c r="L126" s="45" t="n">
        <v>124039.3225806452</v>
      </c>
      <c r="M126" s="45" t="n">
        <v>112348.7129032258</v>
      </c>
      <c r="N126" s="45" t="n">
        <v>3459.493548387097</v>
      </c>
      <c r="O126" s="45" t="n">
        <v>1020.045161290323</v>
      </c>
      <c r="P126" s="45" t="n">
        <v>19592.06774193548</v>
      </c>
      <c r="Q126" s="45" t="n">
        <v>928.9387096774193</v>
      </c>
      <c r="R126" s="45" t="n">
        <v>100</v>
      </c>
      <c r="S126" s="45" t="n">
        <v>451776.030516129</v>
      </c>
      <c r="T126" s="50" t="n"/>
      <c r="U126" s="45" t="n">
        <v>140501.1612903226</v>
      </c>
      <c r="V126" s="45" t="n">
        <v>123141.6935483871</v>
      </c>
    </row>
    <row r="127" ht="12" customHeight="1">
      <c r="A127" s="44" t="n">
        <v>40330</v>
      </c>
      <c r="B127" s="45" t="n">
        <v>40463.5</v>
      </c>
      <c r="C127" s="45" t="n">
        <v>0</v>
      </c>
      <c r="D127" s="45" t="n">
        <v>248.5338666666667</v>
      </c>
      <c r="E127" s="45" t="n">
        <v>4.52</v>
      </c>
      <c r="F127" s="45" t="n">
        <v>4520.933333333333</v>
      </c>
      <c r="G127" s="45" t="n">
        <v>2531.953333333333</v>
      </c>
      <c r="H127" s="45" t="n">
        <v>20814.87333333334</v>
      </c>
      <c r="I127" s="45" t="n">
        <v>44472.53333333333</v>
      </c>
      <c r="J127" s="45" t="n">
        <v>49214.19333333334</v>
      </c>
      <c r="K127" s="45" t="n">
        <v>21931.03333333333</v>
      </c>
      <c r="L127" s="45" t="n">
        <v>132195.0466666667</v>
      </c>
      <c r="M127" s="45" t="n">
        <v>112501.1766666667</v>
      </c>
      <c r="N127" s="45" t="n">
        <v>3620.06</v>
      </c>
      <c r="O127" s="45" t="n">
        <v>962.0099999999999</v>
      </c>
      <c r="P127" s="45" t="n">
        <v>19292.42</v>
      </c>
      <c r="Q127" s="45" t="n">
        <v>550.76</v>
      </c>
      <c r="R127" s="45" t="n">
        <v>100</v>
      </c>
      <c r="S127" s="45" t="n">
        <v>453423.5471999999</v>
      </c>
      <c r="T127" s="50" t="n"/>
      <c r="U127" s="45" t="n">
        <v>136963.0916666667</v>
      </c>
      <c r="V127" s="45" t="n">
        <v>126768.6083333333</v>
      </c>
    </row>
    <row r="128" ht="12" customHeight="1">
      <c r="A128" s="44" t="n">
        <v>40360</v>
      </c>
      <c r="B128" s="45" t="n">
        <v>37471.74193548387</v>
      </c>
      <c r="C128" s="45" t="n">
        <v>0</v>
      </c>
      <c r="D128" s="45" t="n">
        <v>224.3447419354839</v>
      </c>
      <c r="E128" s="45" t="n">
        <v>4.274193548387097</v>
      </c>
      <c r="F128" s="45" t="n">
        <v>4536.270967741935</v>
      </c>
      <c r="G128" s="45" t="n">
        <v>1244.541935483871</v>
      </c>
      <c r="H128" s="45" t="n">
        <v>21266.8</v>
      </c>
      <c r="I128" s="45" t="n">
        <v>44735.56451612903</v>
      </c>
      <c r="J128" s="45" t="n">
        <v>49584.95483870968</v>
      </c>
      <c r="K128" s="45" t="n">
        <v>22321.08709677419</v>
      </c>
      <c r="L128" s="45" t="n">
        <v>135649.8258064516</v>
      </c>
      <c r="M128" s="45" t="n">
        <v>108601.7322580645</v>
      </c>
      <c r="N128" s="45" t="n">
        <v>3518.632258064516</v>
      </c>
      <c r="O128" s="45" t="n">
        <v>1016.906451612903</v>
      </c>
      <c r="P128" s="45" t="n">
        <v>18951.64193548387</v>
      </c>
      <c r="Q128" s="45" t="n">
        <v>868.9903225806452</v>
      </c>
      <c r="R128" s="45" t="n">
        <v>100</v>
      </c>
      <c r="S128" s="45" t="n">
        <v>450097.3092580645</v>
      </c>
      <c r="T128" s="50" t="n"/>
      <c r="U128" s="45" t="n">
        <v>148827.1774193548</v>
      </c>
      <c r="V128" s="45" t="n">
        <v>123315.935483871</v>
      </c>
    </row>
    <row r="129" ht="12" customHeight="1">
      <c r="A129" s="44" t="n">
        <v>40391</v>
      </c>
      <c r="B129" s="45" t="n">
        <v>41541.93548387097</v>
      </c>
      <c r="C129" s="45" t="n">
        <v>0</v>
      </c>
      <c r="D129" s="45" t="n">
        <v>221.7280322580645</v>
      </c>
      <c r="E129" s="45" t="n">
        <v>4.141935483870968</v>
      </c>
      <c r="F129" s="45" t="n">
        <v>4588.003225806452</v>
      </c>
      <c r="G129" s="45" t="n">
        <v>2502.409677419355</v>
      </c>
      <c r="H129" s="45" t="n">
        <v>22429.93548387097</v>
      </c>
      <c r="I129" s="45" t="n">
        <v>44848</v>
      </c>
      <c r="J129" s="45" t="n">
        <v>50293.82903225807</v>
      </c>
      <c r="K129" s="45" t="n">
        <v>22338.85483870968</v>
      </c>
      <c r="L129" s="45" t="n">
        <v>134721.3903225806</v>
      </c>
      <c r="M129" s="45" t="n">
        <v>106764.5483870968</v>
      </c>
      <c r="N129" s="45" t="n">
        <v>3350.916129032258</v>
      </c>
      <c r="O129" s="45" t="n">
        <v>1073.722580645161</v>
      </c>
      <c r="P129" s="45" t="n">
        <v>19352.37419354838</v>
      </c>
      <c r="Q129" s="45" t="n">
        <v>887.3290322580646</v>
      </c>
      <c r="R129" s="45" t="n">
        <v>100</v>
      </c>
      <c r="S129" s="45" t="n">
        <v>455019.1183548387</v>
      </c>
      <c r="T129" s="50" t="n"/>
      <c r="U129" s="45" t="n">
        <v>147854.5161290323</v>
      </c>
      <c r="V129" s="45" t="n">
        <v>122374.7016129032</v>
      </c>
    </row>
    <row r="130" ht="12" customHeight="1">
      <c r="A130" s="44" t="n">
        <v>40422</v>
      </c>
      <c r="B130" s="45" t="n">
        <v>42672.53333333333</v>
      </c>
      <c r="C130" s="45" t="n">
        <v>0</v>
      </c>
      <c r="D130" s="45" t="n">
        <v>241.5569666666667</v>
      </c>
      <c r="E130" s="45" t="n">
        <v>4.11</v>
      </c>
      <c r="F130" s="45" t="n">
        <v>5333.106666666667</v>
      </c>
      <c r="G130" s="45" t="n">
        <v>2518.163333333333</v>
      </c>
      <c r="H130" s="45" t="n">
        <v>21832.15</v>
      </c>
      <c r="I130" s="45" t="n">
        <v>44143.53333333334</v>
      </c>
      <c r="J130" s="45" t="n">
        <v>49547.94666666666</v>
      </c>
      <c r="K130" s="45" t="n">
        <v>22103.59</v>
      </c>
      <c r="L130" s="45" t="n">
        <v>122397.46</v>
      </c>
      <c r="M130" s="45" t="n">
        <v>98874.86666666667</v>
      </c>
      <c r="N130" s="45" t="n">
        <v>3286.21</v>
      </c>
      <c r="O130" s="45" t="n">
        <v>1092.826666666667</v>
      </c>
      <c r="P130" s="45" t="n">
        <v>18222.57333333333</v>
      </c>
      <c r="Q130" s="45" t="n">
        <v>875.36</v>
      </c>
      <c r="R130" s="45" t="n">
        <v>100</v>
      </c>
      <c r="S130" s="45" t="n">
        <v>433245.9869666666</v>
      </c>
      <c r="T130" s="50" t="n"/>
      <c r="U130" s="45" t="n">
        <v>132256.0333333333</v>
      </c>
      <c r="V130" s="45" t="n">
        <v>109484.7666666667</v>
      </c>
    </row>
    <row r="131" ht="12" customHeight="1">
      <c r="A131" s="44" t="n">
        <v>40452</v>
      </c>
      <c r="B131" s="45" t="n">
        <v>37818.29032258064</v>
      </c>
      <c r="C131" s="45" t="n">
        <v>0</v>
      </c>
      <c r="D131" s="45" t="n">
        <v>212.5235483870968</v>
      </c>
      <c r="E131" s="45" t="n">
        <v>3.7</v>
      </c>
      <c r="F131" s="45" t="n">
        <v>5520.516129032259</v>
      </c>
      <c r="G131" s="45" t="n">
        <v>2420.232258064516</v>
      </c>
      <c r="H131" s="45" t="n">
        <v>22876.04193548387</v>
      </c>
      <c r="I131" s="45" t="n">
        <v>45517.38387096775</v>
      </c>
      <c r="J131" s="45" t="n">
        <v>51251.3935483871</v>
      </c>
      <c r="K131" s="45" t="n">
        <v>22214.49032258064</v>
      </c>
      <c r="L131" s="45" t="n">
        <v>125918.6064516129</v>
      </c>
      <c r="M131" s="45" t="n">
        <v>106179.9741935484</v>
      </c>
      <c r="N131" s="45" t="n">
        <v>3274.538709677419</v>
      </c>
      <c r="O131" s="45" t="n">
        <v>1088.593548387097</v>
      </c>
      <c r="P131" s="45" t="n">
        <v>19002.05483870968</v>
      </c>
      <c r="Q131" s="45" t="n">
        <v>804.7774193548387</v>
      </c>
      <c r="R131" s="45" t="n">
        <v>100</v>
      </c>
      <c r="S131" s="45" t="n">
        <v>444203.1170967742</v>
      </c>
      <c r="T131" s="50" t="n"/>
      <c r="U131" s="45" t="n">
        <v>141171.8709677419</v>
      </c>
      <c r="V131" s="45" t="n">
        <v>120113.935483871</v>
      </c>
    </row>
    <row r="132" ht="12" customHeight="1">
      <c r="A132" s="44" t="n">
        <v>40483</v>
      </c>
      <c r="B132" s="45" t="n">
        <v>39459.96666666667</v>
      </c>
      <c r="C132" s="45" t="n">
        <v>0</v>
      </c>
      <c r="D132" s="45" t="n">
        <v>228.2763666666667</v>
      </c>
      <c r="E132" s="45" t="n">
        <v>3.59</v>
      </c>
      <c r="F132" s="45" t="n">
        <v>5993.91</v>
      </c>
      <c r="G132" s="45" t="n">
        <v>2478.86</v>
      </c>
      <c r="H132" s="45" t="n">
        <v>23094.50333333333</v>
      </c>
      <c r="I132" s="45" t="n">
        <v>45427.20333333333</v>
      </c>
      <c r="J132" s="45" t="n">
        <v>52905.84666666666</v>
      </c>
      <c r="K132" s="45" t="n">
        <v>22049.78</v>
      </c>
      <c r="L132" s="45" t="n">
        <v>143827.0566666667</v>
      </c>
      <c r="M132" s="45" t="n">
        <v>114833.71</v>
      </c>
      <c r="N132" s="45" t="n">
        <v>3255.343333333333</v>
      </c>
      <c r="O132" s="45" t="n">
        <v>1132.99</v>
      </c>
      <c r="P132" s="45" t="n">
        <v>19125.95666666667</v>
      </c>
      <c r="Q132" s="45" t="n">
        <v>772.7933333333333</v>
      </c>
      <c r="R132" s="45" t="n">
        <v>100</v>
      </c>
      <c r="S132" s="45" t="n">
        <v>474689.7863666666</v>
      </c>
      <c r="T132" s="50" t="n"/>
      <c r="U132" s="45" t="n">
        <v>156607.3333333333</v>
      </c>
      <c r="V132" s="45" t="n">
        <v>129784.5666666667</v>
      </c>
    </row>
    <row r="133" ht="12" customHeight="1">
      <c r="A133" s="44" t="n">
        <v>40513</v>
      </c>
      <c r="B133" s="45" t="n">
        <v>37384.35483870967</v>
      </c>
      <c r="C133" s="45" t="n">
        <v>0</v>
      </c>
      <c r="D133" s="45" t="n">
        <v>214.8287419354839</v>
      </c>
      <c r="E133" s="45" t="n">
        <v>15.35483870967742</v>
      </c>
      <c r="F133" s="45" t="n">
        <v>6127.151612903226</v>
      </c>
      <c r="G133" s="45" t="n">
        <v>2405.441935483871</v>
      </c>
      <c r="H133" s="45" t="n">
        <v>23936.1064516129</v>
      </c>
      <c r="I133" s="45" t="n">
        <v>44234.04193548387</v>
      </c>
      <c r="J133" s="45" t="n">
        <v>53947.26774193549</v>
      </c>
      <c r="K133" s="45" t="n">
        <v>21857.11935483871</v>
      </c>
      <c r="L133" s="45" t="n">
        <v>151571.1741935484</v>
      </c>
      <c r="M133" s="45" t="n">
        <v>113555.5580645161</v>
      </c>
      <c r="N133" s="45" t="n">
        <v>3206.01935483871</v>
      </c>
      <c r="O133" s="45" t="n">
        <v>1224.825806451613</v>
      </c>
      <c r="P133" s="45" t="n">
        <v>19333.96129032258</v>
      </c>
      <c r="Q133" s="45" t="n">
        <v>850.8709677419355</v>
      </c>
      <c r="R133" s="45" t="n">
        <v>100</v>
      </c>
      <c r="S133" s="45" t="n">
        <v>479964.0771290322</v>
      </c>
      <c r="T133" s="50" t="n"/>
      <c r="U133" s="45" t="n">
        <v>151643.5161290323</v>
      </c>
      <c r="V133" s="45" t="n">
        <v>131068.3064516129</v>
      </c>
    </row>
    <row r="134" ht="12" customHeight="1">
      <c r="A134" s="44" t="n">
        <v>40544</v>
      </c>
      <c r="B134" s="45" t="n">
        <v>41579.32258064516</v>
      </c>
      <c r="C134" s="45" t="n">
        <v>0</v>
      </c>
      <c r="D134" s="45" t="n">
        <v>201.3083870967742</v>
      </c>
      <c r="E134" s="45" t="n">
        <v>11.59032258064516</v>
      </c>
      <c r="F134" s="45" t="n">
        <v>6531.877419354839</v>
      </c>
      <c r="G134" s="45" t="n">
        <v>2292.670967741936</v>
      </c>
      <c r="H134" s="45" t="n">
        <v>23931.33870967742</v>
      </c>
      <c r="I134" s="45" t="n">
        <v>44570.48387096774</v>
      </c>
      <c r="J134" s="45" t="n">
        <v>52363.65161290322</v>
      </c>
      <c r="K134" s="45" t="n">
        <v>22458.12903225806</v>
      </c>
      <c r="L134" s="45" t="n">
        <v>131513.8290322581</v>
      </c>
      <c r="M134" s="45" t="n">
        <v>118310.4</v>
      </c>
      <c r="N134" s="45" t="n">
        <v>3229.290322580645</v>
      </c>
      <c r="O134" s="45" t="n">
        <v>2511.787096774193</v>
      </c>
      <c r="P134" s="45" t="n">
        <v>19034.78064516129</v>
      </c>
      <c r="Q134" s="45" t="n">
        <v>831.4709677419354</v>
      </c>
      <c r="R134" s="45" t="n">
        <v>100</v>
      </c>
      <c r="S134" s="45" t="n">
        <v>469471.9309677419</v>
      </c>
      <c r="T134" s="50" t="n"/>
      <c r="U134" s="45" t="n">
        <v>136535.2903225806</v>
      </c>
      <c r="V134" s="45" t="n">
        <v>133838.7419354839</v>
      </c>
    </row>
    <row r="135" ht="12" customHeight="1">
      <c r="A135" s="44" t="n">
        <v>40575</v>
      </c>
      <c r="B135" s="45" t="n">
        <v>41016.07142857143</v>
      </c>
      <c r="C135" s="45" t="n">
        <v>0</v>
      </c>
      <c r="D135" s="45" t="n">
        <v>218.2120714285714</v>
      </c>
      <c r="E135" s="45" t="n">
        <v>20.75357142857143</v>
      </c>
      <c r="F135" s="45" t="n">
        <v>6057.357142857143</v>
      </c>
      <c r="G135" s="45" t="n">
        <v>2306.992857142857</v>
      </c>
      <c r="H135" s="45" t="n">
        <v>21743.1935483871</v>
      </c>
      <c r="I135" s="45" t="n">
        <v>40756.77741935484</v>
      </c>
      <c r="J135" s="45" t="n">
        <v>53927.03214285714</v>
      </c>
      <c r="K135" s="45" t="n">
        <v>22298.61785714286</v>
      </c>
      <c r="L135" s="45" t="n">
        <v>135985.1892857143</v>
      </c>
      <c r="M135" s="45" t="n">
        <v>119316.8464285714</v>
      </c>
      <c r="N135" s="45" t="n">
        <v>3240.485714285714</v>
      </c>
      <c r="O135" s="45" t="n">
        <v>2507.985714285714</v>
      </c>
      <c r="P135" s="45" t="n">
        <v>18802.07142857143</v>
      </c>
      <c r="Q135" s="45" t="n">
        <v>745.106896551724</v>
      </c>
      <c r="R135" s="45" t="n">
        <v>100</v>
      </c>
      <c r="S135" s="45" t="n">
        <v>469042.6935071507</v>
      </c>
      <c r="T135" s="50" t="n"/>
      <c r="U135" s="45" t="n">
        <v>148630.3928571429</v>
      </c>
      <c r="V135" s="45" t="n">
        <v>131804.7589285714</v>
      </c>
    </row>
    <row r="136" ht="12" customHeight="1">
      <c r="A136" s="44" t="n">
        <v>40603</v>
      </c>
      <c r="B136" s="45" t="n">
        <v>41884.32258064516</v>
      </c>
      <c r="C136" s="45" t="n">
        <v>0</v>
      </c>
      <c r="D136" s="45" t="n">
        <v>236.4518064516129</v>
      </c>
      <c r="E136" s="45" t="n">
        <v>9.53225806451613</v>
      </c>
      <c r="F136" s="45" t="n">
        <v>6424.232258064517</v>
      </c>
      <c r="G136" s="45" t="n">
        <v>2258.687096774194</v>
      </c>
      <c r="H136" s="45" t="n">
        <v>24249.57096774194</v>
      </c>
      <c r="I136" s="45" t="n">
        <v>45697.08387096773</v>
      </c>
      <c r="J136" s="45" t="n">
        <v>54659.51612903226</v>
      </c>
      <c r="K136" s="45" t="n">
        <v>22611.69677419355</v>
      </c>
      <c r="L136" s="45" t="n">
        <v>132540.9903225806</v>
      </c>
      <c r="M136" s="45" t="n">
        <v>116070.9677419355</v>
      </c>
      <c r="N136" s="45" t="n">
        <v>3523.609677419355</v>
      </c>
      <c r="O136" s="45" t="n">
        <v>2666</v>
      </c>
      <c r="P136" s="45" t="n">
        <v>19003.82903225806</v>
      </c>
      <c r="Q136" s="45" t="n">
        <v>821.0709677419355</v>
      </c>
      <c r="R136" s="45" t="n">
        <v>100</v>
      </c>
      <c r="S136" s="45" t="n">
        <v>472757.561483871</v>
      </c>
      <c r="T136" s="50" t="n"/>
      <c r="U136" s="45" t="n">
        <v>135440.1290322581</v>
      </c>
      <c r="V136" s="45" t="n">
        <v>131179.1129032258</v>
      </c>
    </row>
    <row r="137" ht="12" customHeight="1">
      <c r="A137" s="44" t="n">
        <v>40634</v>
      </c>
      <c r="B137" s="45" t="n">
        <v>45666.86666666667</v>
      </c>
      <c r="C137" s="45" t="n">
        <v>0</v>
      </c>
      <c r="D137" s="45" t="n">
        <v>228.4634666666667</v>
      </c>
      <c r="E137" s="45" t="n">
        <v>17.36</v>
      </c>
      <c r="F137" s="45" t="n">
        <v>6672.493333333333</v>
      </c>
      <c r="G137" s="45" t="n">
        <v>2399.796666666667</v>
      </c>
      <c r="H137" s="45" t="n">
        <v>20243.05483870968</v>
      </c>
      <c r="I137" s="45" t="n">
        <v>42147.87419354839</v>
      </c>
      <c r="J137" s="45" t="n">
        <v>55762.75666666667</v>
      </c>
      <c r="K137" s="45" t="n">
        <v>22087.95</v>
      </c>
      <c r="L137" s="45" t="n">
        <v>130740.38</v>
      </c>
      <c r="M137" s="45" t="n">
        <v>117432.15</v>
      </c>
      <c r="N137" s="45" t="n">
        <v>3716.77</v>
      </c>
      <c r="O137" s="45" t="n">
        <v>2705.65</v>
      </c>
      <c r="P137" s="45" t="n">
        <v>19584.31</v>
      </c>
      <c r="Q137" s="45" t="n">
        <v>682.5866666666666</v>
      </c>
      <c r="R137" s="45" t="n">
        <v>100</v>
      </c>
      <c r="S137" s="45" t="n">
        <v>470188.4624989248</v>
      </c>
      <c r="T137" s="50" t="n"/>
      <c r="U137" s="45" t="n">
        <v>144878.9666666667</v>
      </c>
      <c r="V137" s="45" t="n">
        <v>132278.7916666667</v>
      </c>
    </row>
    <row r="138" ht="12" customHeight="1">
      <c r="A138" s="44" t="n">
        <v>40664</v>
      </c>
      <c r="B138" s="45" t="n">
        <v>45885.16129032258</v>
      </c>
      <c r="C138" s="45" t="n">
        <v>0</v>
      </c>
      <c r="D138" s="45" t="n">
        <v>234.6771290322581</v>
      </c>
      <c r="E138" s="45" t="n">
        <v>16.41935483870968</v>
      </c>
      <c r="F138" s="45" t="n">
        <v>5878.1</v>
      </c>
      <c r="G138" s="45" t="n">
        <v>1051.070967741935</v>
      </c>
      <c r="H138" s="45" t="n">
        <v>19434.31612903226</v>
      </c>
      <c r="I138" s="45" t="n">
        <v>44173.89677419354</v>
      </c>
      <c r="J138" s="45" t="n">
        <v>49974.08709677419</v>
      </c>
      <c r="K138" s="45" t="n">
        <v>22283.16129032258</v>
      </c>
      <c r="L138" s="45" t="n">
        <v>97813.36451612903</v>
      </c>
      <c r="M138" s="45" t="n">
        <v>114957.364516129</v>
      </c>
      <c r="N138" s="45" t="n">
        <v>2525.561290322581</v>
      </c>
      <c r="O138" s="45" t="n">
        <v>2541.348387096773</v>
      </c>
      <c r="P138" s="45" t="n">
        <v>18386.04838709677</v>
      </c>
      <c r="Q138" s="45" t="n">
        <v>646.1806451612903</v>
      </c>
      <c r="R138" s="45" t="n">
        <v>100</v>
      </c>
      <c r="S138" s="45" t="n">
        <v>425900.7577741935</v>
      </c>
      <c r="T138" s="50" t="n"/>
      <c r="U138" s="45" t="n">
        <v>101867.7096774193</v>
      </c>
      <c r="V138" s="45" t="n">
        <v>126918.7419354839</v>
      </c>
    </row>
    <row r="139" ht="12" customHeight="1">
      <c r="A139" s="44" t="n">
        <v>40695</v>
      </c>
      <c r="B139" s="45" t="n">
        <v>35733.26666666667</v>
      </c>
      <c r="C139" s="45" t="n">
        <v>0</v>
      </c>
      <c r="D139" s="45" t="n">
        <v>227.2828</v>
      </c>
      <c r="E139" s="45" t="n">
        <v>11.92333333333333</v>
      </c>
      <c r="F139" s="45" t="n">
        <v>5373.070000000001</v>
      </c>
      <c r="G139" s="45" t="n">
        <v>689.91</v>
      </c>
      <c r="H139" s="45" t="n">
        <v>18886.91333333333</v>
      </c>
      <c r="I139" s="45" t="n">
        <v>43525.39999999999</v>
      </c>
      <c r="J139" s="45" t="n">
        <v>50725.68666666667</v>
      </c>
      <c r="K139" s="45" t="n">
        <v>21359.3</v>
      </c>
      <c r="L139" s="45" t="n">
        <v>123218.4566666667</v>
      </c>
      <c r="M139" s="45" t="n">
        <v>118381.9733333333</v>
      </c>
      <c r="N139" s="45" t="n">
        <v>3620.06</v>
      </c>
      <c r="O139" s="45" t="n">
        <v>2259.56</v>
      </c>
      <c r="P139" s="45" t="n">
        <v>18436.24333333333</v>
      </c>
      <c r="Q139" s="45" t="n">
        <v>674.1633333333334</v>
      </c>
      <c r="R139" s="45" t="n">
        <v>100</v>
      </c>
      <c r="S139" s="45" t="n">
        <v>443223.2094666667</v>
      </c>
      <c r="T139" s="50" t="n"/>
      <c r="U139" s="45" t="n">
        <v>126214.4333333333</v>
      </c>
      <c r="V139" s="45" t="n">
        <v>133129.4333333333</v>
      </c>
    </row>
    <row r="140" ht="12" customHeight="1">
      <c r="A140" s="44" t="n">
        <v>40725</v>
      </c>
      <c r="B140" s="45" t="n">
        <v>42967.16129032258</v>
      </c>
      <c r="C140" s="45" t="n">
        <v>0</v>
      </c>
      <c r="D140" s="45" t="n">
        <v>216.6483548387097</v>
      </c>
      <c r="E140" s="45" t="n">
        <v>10.34838709677419</v>
      </c>
      <c r="F140" s="45" t="n">
        <v>5672.9</v>
      </c>
      <c r="G140" s="45" t="n">
        <v>704.6935483870968</v>
      </c>
      <c r="H140" s="45" t="n">
        <v>20788.39032258065</v>
      </c>
      <c r="I140" s="45" t="n">
        <v>44731.93</v>
      </c>
      <c r="J140" s="45" t="n">
        <v>52230.71935483871</v>
      </c>
      <c r="K140" s="45" t="n">
        <v>21437.41612903226</v>
      </c>
      <c r="L140" s="45" t="n">
        <v>142697.9516129032</v>
      </c>
      <c r="M140" s="45" t="n">
        <v>126133.6709677419</v>
      </c>
      <c r="N140" s="45" t="n">
        <v>2347.890322580645</v>
      </c>
      <c r="O140" s="45" t="n">
        <v>2510.712903225807</v>
      </c>
      <c r="P140" s="45" t="n">
        <v>19448.13225806451</v>
      </c>
      <c r="Q140" s="45" t="n">
        <v>810.8032258064517</v>
      </c>
      <c r="R140" s="45" t="n">
        <v>100</v>
      </c>
      <c r="S140" s="45" t="n">
        <v>482809.3686774193</v>
      </c>
      <c r="T140" s="50" t="n"/>
      <c r="U140" s="45" t="n">
        <v>144747.5806451613</v>
      </c>
      <c r="V140" s="45" t="n">
        <v>141356.1451612903</v>
      </c>
    </row>
    <row r="141" ht="12" customHeight="1">
      <c r="A141" s="44" t="n">
        <v>40756</v>
      </c>
      <c r="B141" s="45" t="n">
        <v>46178.48387096774</v>
      </c>
      <c r="C141" s="45" t="n">
        <v>0</v>
      </c>
      <c r="D141" s="45" t="n">
        <v>212.5101935483871</v>
      </c>
      <c r="E141" s="45" t="n">
        <v>15.05483870967742</v>
      </c>
      <c r="F141" s="45" t="n">
        <v>6198.16129032258</v>
      </c>
      <c r="G141" s="45" t="n">
        <v>844.8483870967742</v>
      </c>
      <c r="H141" s="45" t="n">
        <v>22382.34193548387</v>
      </c>
      <c r="I141" s="45" t="n">
        <v>46393.28387096775</v>
      </c>
      <c r="J141" s="45" t="n">
        <v>54547.58064516129</v>
      </c>
      <c r="K141" s="45" t="n">
        <v>22109.65483870968</v>
      </c>
      <c r="L141" s="45" t="n">
        <v>157061.1322580645</v>
      </c>
      <c r="M141" s="45" t="n">
        <v>125968.9774193548</v>
      </c>
      <c r="N141" s="45" t="n">
        <v>2852.032258064516</v>
      </c>
      <c r="O141" s="45" t="n">
        <v>2623.283870967742</v>
      </c>
      <c r="P141" s="45" t="n">
        <v>18674.27096774194</v>
      </c>
      <c r="Q141" s="45" t="n">
        <v>732.3870967741935</v>
      </c>
      <c r="R141" s="45" t="n">
        <v>100</v>
      </c>
      <c r="S141" s="45" t="n">
        <v>506894.0037419355</v>
      </c>
      <c r="T141" s="50" t="n"/>
      <c r="U141" s="45" t="n">
        <v>160384.9516129032</v>
      </c>
      <c r="V141" s="45" t="n">
        <v>140077.3548387097</v>
      </c>
    </row>
    <row r="142" ht="12" customHeight="1">
      <c r="A142" s="44" t="n">
        <v>40787</v>
      </c>
      <c r="B142" s="45" t="n">
        <v>43265.2</v>
      </c>
      <c r="C142" s="45" t="n">
        <v>0</v>
      </c>
      <c r="D142" s="45" t="n">
        <v>224.0612333333333</v>
      </c>
      <c r="E142" s="45" t="n">
        <v>16.80333333333333</v>
      </c>
      <c r="F142" s="45" t="n">
        <v>6451.066666666667</v>
      </c>
      <c r="G142" s="45" t="n">
        <v>1205.896666666667</v>
      </c>
      <c r="H142" s="45" t="n">
        <v>23282.12</v>
      </c>
      <c r="I142" s="45" t="n">
        <v>47065.40333333334</v>
      </c>
      <c r="J142" s="45" t="n">
        <v>56923.01333333333</v>
      </c>
      <c r="K142" s="45" t="n">
        <v>22395.91666666667</v>
      </c>
      <c r="L142" s="45" t="n">
        <v>148694.7366666667</v>
      </c>
      <c r="M142" s="45" t="n">
        <v>119258.2066666667</v>
      </c>
      <c r="N142" s="45" t="n">
        <v>3606.5</v>
      </c>
      <c r="O142" s="45" t="n">
        <v>2614.8</v>
      </c>
      <c r="P142" s="45" t="n">
        <v>18654.33666666667</v>
      </c>
      <c r="Q142" s="45" t="n">
        <v>213.4666666666667</v>
      </c>
      <c r="R142" s="45" t="n">
        <v>100</v>
      </c>
      <c r="S142" s="45" t="n">
        <v>493971.5279</v>
      </c>
      <c r="T142" s="50" t="n"/>
      <c r="U142" s="45" t="n">
        <v>158613.45</v>
      </c>
      <c r="V142" s="45" t="n">
        <v>133551.6166666667</v>
      </c>
    </row>
    <row r="143" ht="12" customHeight="1">
      <c r="A143" s="44" t="n">
        <v>40817</v>
      </c>
      <c r="B143" s="45" t="n">
        <v>41515.54838709677</v>
      </c>
      <c r="C143" s="45" t="n">
        <v>0</v>
      </c>
      <c r="D143" s="45" t="n">
        <v>198.5161290322581</v>
      </c>
      <c r="E143" s="45" t="n">
        <v>15.36129032258065</v>
      </c>
      <c r="F143" s="45" t="n">
        <v>6879</v>
      </c>
      <c r="G143" s="45" t="n">
        <v>2128.138709677419</v>
      </c>
      <c r="H143" s="45" t="n">
        <v>24337.30322580645</v>
      </c>
      <c r="I143" s="45" t="n">
        <v>47811.73548387097</v>
      </c>
      <c r="J143" s="45" t="n">
        <v>59332.96451612903</v>
      </c>
      <c r="K143" s="45" t="n">
        <v>22538.78387096774</v>
      </c>
      <c r="L143" s="45" t="n">
        <v>150632.9516129032</v>
      </c>
      <c r="M143" s="45" t="n">
        <v>123579.735483871</v>
      </c>
      <c r="N143" s="45" t="n">
        <v>3487.409677419355</v>
      </c>
      <c r="O143" s="45" t="n">
        <v>2782.974193548387</v>
      </c>
      <c r="P143" s="45" t="n">
        <v>18388.34838709678</v>
      </c>
      <c r="Q143" s="45" t="n">
        <v>271.9387096774194</v>
      </c>
      <c r="R143" s="45" t="n">
        <v>100</v>
      </c>
      <c r="S143" s="45" t="n">
        <v>504000.7096774193</v>
      </c>
      <c r="T143" s="50" t="n"/>
      <c r="U143" s="45" t="n">
        <v>144488.1935483871</v>
      </c>
      <c r="V143" s="45" t="n">
        <v>140903.8548387097</v>
      </c>
    </row>
    <row r="144" ht="12" customHeight="1">
      <c r="A144" s="44" t="n">
        <v>40848</v>
      </c>
      <c r="B144" s="45" t="n">
        <v>41758.86666666667</v>
      </c>
      <c r="C144" s="45" t="n">
        <v>0</v>
      </c>
      <c r="D144" s="45" t="n">
        <v>211.5333333333333</v>
      </c>
      <c r="E144" s="45" t="n">
        <v>13.43333333333333</v>
      </c>
      <c r="F144" s="45" t="n">
        <v>7306</v>
      </c>
      <c r="G144" s="45" t="n">
        <v>2105.556666666666</v>
      </c>
      <c r="H144" s="45" t="n">
        <v>25528.21333333333</v>
      </c>
      <c r="I144" s="45" t="n">
        <v>48318.25999999999</v>
      </c>
      <c r="J144" s="45" t="n">
        <v>62011.38666666667</v>
      </c>
      <c r="K144" s="45" t="n">
        <v>22548.18666666666</v>
      </c>
      <c r="L144" s="45" t="n">
        <v>142866.5466666667</v>
      </c>
      <c r="M144" s="45" t="n">
        <v>124321.1733333333</v>
      </c>
      <c r="N144" s="45" t="n">
        <v>3353.816666666667</v>
      </c>
      <c r="O144" s="45" t="n">
        <v>2809.523333333333</v>
      </c>
      <c r="P144" s="45" t="n">
        <v>19037.51333333333</v>
      </c>
      <c r="Q144" s="45" t="n">
        <v>281.55</v>
      </c>
      <c r="R144" s="45" t="n">
        <v>100</v>
      </c>
      <c r="S144" s="45" t="n">
        <v>502571.56</v>
      </c>
      <c r="T144" s="50" t="n"/>
      <c r="U144" s="45" t="n">
        <v>146510.2833333333</v>
      </c>
      <c r="V144" s="45" t="n">
        <v>144228.5</v>
      </c>
    </row>
    <row r="145" ht="12" customHeight="1">
      <c r="A145" s="44" t="n">
        <v>40878</v>
      </c>
      <c r="B145" s="45" t="n">
        <v>40749.67741935484</v>
      </c>
      <c r="C145" s="45" t="n">
        <v>0</v>
      </c>
      <c r="D145" s="45" t="n">
        <v>206.1612903225806</v>
      </c>
      <c r="E145" s="45" t="n">
        <v>11.60645161290323</v>
      </c>
      <c r="F145" s="45" t="n">
        <v>8103</v>
      </c>
      <c r="G145" s="45" t="n">
        <v>2074.967741935484</v>
      </c>
      <c r="H145" s="45" t="n">
        <v>26777.25806451613</v>
      </c>
      <c r="I145" s="45" t="n">
        <v>48590.05483870968</v>
      </c>
      <c r="J145" s="45" t="n">
        <v>65129.0064516129</v>
      </c>
      <c r="K145" s="45" t="n">
        <v>22807.3935483871</v>
      </c>
      <c r="L145" s="45" t="n">
        <v>151261.5129032258</v>
      </c>
      <c r="M145" s="45" t="n">
        <v>129368.6709677419</v>
      </c>
      <c r="N145" s="45" t="n">
        <v>3347.090322580645</v>
      </c>
      <c r="O145" s="45" t="n">
        <v>3100.087096774193</v>
      </c>
      <c r="P145" s="45" t="n">
        <v>19945.40967741935</v>
      </c>
      <c r="Q145" s="45" t="n">
        <v>297.8258064516129</v>
      </c>
      <c r="R145" s="45" t="n">
        <v>100</v>
      </c>
      <c r="S145" s="45" t="n">
        <v>521869.7225806452</v>
      </c>
      <c r="T145" s="50" t="n"/>
      <c r="U145" s="45" t="n">
        <v>155406.8548387097</v>
      </c>
      <c r="V145" s="45" t="n">
        <v>149252.4838709677</v>
      </c>
    </row>
    <row r="146" ht="12" customHeight="1">
      <c r="A146" s="44" t="n">
        <v>40909</v>
      </c>
      <c r="B146" s="45" t="n">
        <v>40657.96774193548</v>
      </c>
      <c r="C146" s="45" t="n">
        <v>0</v>
      </c>
      <c r="D146" s="45" t="n">
        <v>125.8064516129032</v>
      </c>
      <c r="E146" s="45" t="n">
        <v>16.20645161290323</v>
      </c>
      <c r="F146" s="45" t="n">
        <v>7924.158064516128</v>
      </c>
      <c r="G146" s="45" t="n">
        <v>2124.954838709677</v>
      </c>
      <c r="H146" s="45" t="n">
        <v>26349.45483870968</v>
      </c>
      <c r="I146" s="45" t="n">
        <v>48191.32258064516</v>
      </c>
      <c r="J146" s="45" t="n">
        <v>62815.46129032258</v>
      </c>
      <c r="K146" s="45" t="n">
        <v>23367.69677419355</v>
      </c>
      <c r="L146" s="45" t="n">
        <v>153276.6838709677</v>
      </c>
      <c r="M146" s="45" t="n">
        <v>129981.7161290323</v>
      </c>
      <c r="N146" s="45" t="n">
        <v>3227.98064516129</v>
      </c>
      <c r="O146" s="45" t="n">
        <v>3028.064516129032</v>
      </c>
      <c r="P146" s="45" t="n">
        <v>18942.92903225807</v>
      </c>
      <c r="Q146" s="45" t="n">
        <v>265.5451612903226</v>
      </c>
      <c r="R146" s="45" t="n">
        <v>226.7216451612903</v>
      </c>
      <c r="S146" s="45" t="n">
        <v>520522.670032258</v>
      </c>
      <c r="T146" s="50" t="n"/>
      <c r="U146" s="45" t="n">
        <v>157354.064516129</v>
      </c>
      <c r="V146" s="45" t="n">
        <v>150070.0483870968</v>
      </c>
    </row>
    <row r="147" ht="12" customHeight="1">
      <c r="A147" s="44" t="n">
        <v>40940</v>
      </c>
      <c r="B147" s="45" t="n">
        <v>42344.48275862069</v>
      </c>
      <c r="C147" s="45" t="n">
        <v>0</v>
      </c>
      <c r="D147" s="45" t="n">
        <v>258.6206896551724</v>
      </c>
      <c r="E147" s="45" t="n">
        <v>13.48965517241379</v>
      </c>
      <c r="F147" s="45" t="n">
        <v>8141.555172413793</v>
      </c>
      <c r="G147" s="45" t="n">
        <v>2167</v>
      </c>
      <c r="H147" s="45" t="n">
        <v>28112.21071428571</v>
      </c>
      <c r="I147" s="45" t="n">
        <v>50558.38571428572</v>
      </c>
      <c r="J147" s="45" t="n">
        <v>64684.68620689655</v>
      </c>
      <c r="K147" s="45" t="n">
        <v>24379.85714285714</v>
      </c>
      <c r="L147" s="45" t="n">
        <v>144183.8965517241</v>
      </c>
      <c r="M147" s="45" t="n">
        <v>134844.6214285714</v>
      </c>
      <c r="N147" s="45" t="n">
        <v>3285.293103448276</v>
      </c>
      <c r="O147" s="45" t="n">
        <v>3090.820689655172</v>
      </c>
      <c r="P147" s="45" t="n">
        <v>19134.53103448276</v>
      </c>
      <c r="Q147" s="45" t="n">
        <v>273.1071428571428</v>
      </c>
      <c r="R147" s="45" t="n">
        <v>228.7182413793104</v>
      </c>
      <c r="S147" s="45" t="n">
        <v>525701.2762463056</v>
      </c>
      <c r="T147" s="50" t="n"/>
      <c r="U147" s="45" t="n">
        <v>145776.8275862069</v>
      </c>
      <c r="V147" s="45" t="n">
        <v>151046.3793103448</v>
      </c>
    </row>
    <row r="148" ht="12" customHeight="1">
      <c r="A148" s="44" t="n">
        <v>40969</v>
      </c>
      <c r="B148" s="45" t="n">
        <v>40720.41935483871</v>
      </c>
      <c r="C148" s="45" t="n">
        <v>0</v>
      </c>
      <c r="D148" s="45" t="n">
        <v>261.2903225806452</v>
      </c>
      <c r="E148" s="45" t="n">
        <v>12.71935483870968</v>
      </c>
      <c r="F148" s="45" t="n">
        <v>9615.287096774195</v>
      </c>
      <c r="G148" s="45" t="n">
        <v>2235.116129032258</v>
      </c>
      <c r="H148" s="45" t="n">
        <v>27126</v>
      </c>
      <c r="I148" s="45" t="n">
        <v>49150.96451612903</v>
      </c>
      <c r="J148" s="45" t="n">
        <v>67488.78709677419</v>
      </c>
      <c r="K148" s="45" t="n">
        <v>23622</v>
      </c>
      <c r="L148" s="45" t="n">
        <v>118384.9</v>
      </c>
      <c r="M148" s="45" t="n">
        <v>138063.2</v>
      </c>
      <c r="N148" s="45" t="n">
        <v>3429.383870967742</v>
      </c>
      <c r="O148" s="45" t="n">
        <v>2988.641935483871</v>
      </c>
      <c r="P148" s="45" t="n">
        <v>19455.70322580645</v>
      </c>
      <c r="Q148" s="45" t="n">
        <v>257.4935483870968</v>
      </c>
      <c r="R148" s="45" t="n">
        <v>229.1854193548387</v>
      </c>
      <c r="S148" s="45" t="n">
        <v>503041.0918709677</v>
      </c>
      <c r="T148" s="50" t="n"/>
      <c r="U148" s="45" t="n">
        <v>121157.0161290323</v>
      </c>
      <c r="V148" s="45" t="n">
        <v>155099.7096774194</v>
      </c>
    </row>
    <row r="149" ht="12" customHeight="1">
      <c r="A149" s="44" t="n">
        <v>41000</v>
      </c>
      <c r="B149" s="45" t="n">
        <v>40743.36666666667</v>
      </c>
      <c r="C149" s="45" t="n">
        <v>0</v>
      </c>
      <c r="D149" s="45" t="n">
        <v>220</v>
      </c>
      <c r="E149" s="45" t="n">
        <v>11.71333333333333</v>
      </c>
      <c r="F149" s="45" t="n">
        <v>7656.673333333334</v>
      </c>
      <c r="G149" s="45" t="n">
        <v>2103.643333333333</v>
      </c>
      <c r="H149" s="45" t="n">
        <v>24741.13666666667</v>
      </c>
      <c r="I149" s="45" t="n">
        <v>48401.84333333334</v>
      </c>
      <c r="J149" s="45" t="n">
        <v>66170.86</v>
      </c>
      <c r="K149" s="45" t="n">
        <v>23727.57</v>
      </c>
      <c r="L149" s="45" t="n">
        <v>134503.6166666667</v>
      </c>
      <c r="M149" s="45" t="n">
        <v>138753.6733333333</v>
      </c>
      <c r="N149" s="45" t="n">
        <v>3706.933333333333</v>
      </c>
      <c r="O149" s="45" t="n">
        <v>3009.346666666666</v>
      </c>
      <c r="P149" s="45" t="n">
        <v>19698.42333333333</v>
      </c>
      <c r="Q149" s="45" t="n">
        <v>217.6366666666667</v>
      </c>
      <c r="R149" s="45" t="n">
        <v>237.2808</v>
      </c>
      <c r="S149" s="45" t="n">
        <v>513903.7174666667</v>
      </c>
      <c r="T149" s="50" t="n"/>
      <c r="U149" s="45" t="n">
        <v>132916.2833333333</v>
      </c>
      <c r="V149" s="45" t="n">
        <v>156940.55</v>
      </c>
    </row>
    <row r="150" ht="12" customHeight="1">
      <c r="A150" s="44" t="n">
        <v>41030</v>
      </c>
      <c r="B150" s="45" t="n">
        <v>33149.29032258064</v>
      </c>
      <c r="C150" s="45" t="n">
        <v>0</v>
      </c>
      <c r="D150" s="45" t="n">
        <v>241.9354838709677</v>
      </c>
      <c r="E150" s="45" t="n">
        <v>11.0741935483871</v>
      </c>
      <c r="F150" s="45" t="n">
        <v>8149.216129032258</v>
      </c>
      <c r="G150" s="45" t="n">
        <v>2112.248387096774</v>
      </c>
      <c r="H150" s="45" t="n">
        <v>23993.6</v>
      </c>
      <c r="I150" s="45" t="n">
        <v>47520.16774193548</v>
      </c>
      <c r="J150" s="45" t="n">
        <v>64754.16774193548</v>
      </c>
      <c r="K150" s="45" t="n">
        <v>23045.73225806452</v>
      </c>
      <c r="L150" s="45" t="n">
        <v>136164.2548387097</v>
      </c>
      <c r="M150" s="45" t="n">
        <v>136598.835483871</v>
      </c>
      <c r="N150" s="45" t="n">
        <v>3457.012903225806</v>
      </c>
      <c r="O150" s="45" t="n">
        <v>2944.16129032258</v>
      </c>
      <c r="P150" s="45" t="n">
        <v>17954.3935483871</v>
      </c>
      <c r="Q150" s="45" t="n">
        <v>217.9032258064516</v>
      </c>
      <c r="R150" s="45" t="n">
        <v>234.6568064516129</v>
      </c>
      <c r="S150" s="45" t="n">
        <v>500548.6503548388</v>
      </c>
      <c r="T150" s="50" t="n"/>
      <c r="U150" s="45" t="n">
        <v>145617.5</v>
      </c>
      <c r="V150" s="45" t="n">
        <v>152579.7580645161</v>
      </c>
    </row>
    <row r="151" ht="12" customHeight="1">
      <c r="A151" s="44" t="n">
        <v>41061</v>
      </c>
      <c r="B151" s="45" t="n">
        <v>26642.93333333333</v>
      </c>
      <c r="C151" s="45" t="n">
        <v>0</v>
      </c>
      <c r="D151" s="45" t="n">
        <v>230</v>
      </c>
      <c r="E151" s="45" t="n">
        <v>9.120000000000001</v>
      </c>
      <c r="F151" s="45" t="n">
        <v>7886.486666666667</v>
      </c>
      <c r="G151" s="45" t="n">
        <v>2113.38</v>
      </c>
      <c r="H151" s="45" t="n">
        <v>24216.2</v>
      </c>
      <c r="I151" s="45" t="n">
        <v>46607.25666666668</v>
      </c>
      <c r="J151" s="45" t="n">
        <v>62486.00333333333</v>
      </c>
      <c r="K151" s="45" t="n">
        <v>22862.44</v>
      </c>
      <c r="L151" s="45" t="n">
        <v>133490.7666666667</v>
      </c>
      <c r="M151" s="45" t="n">
        <v>144587.4033333333</v>
      </c>
      <c r="N151" s="45" t="n">
        <v>3425.076666666667</v>
      </c>
      <c r="O151" s="45" t="n">
        <v>2751.78</v>
      </c>
      <c r="P151" s="45" t="n">
        <v>16847.34666666667</v>
      </c>
      <c r="Q151" s="45" t="n">
        <v>265.4666666666666</v>
      </c>
      <c r="R151" s="45" t="n">
        <v>237.9690333333334</v>
      </c>
      <c r="S151" s="45" t="n">
        <v>494659.6290333334</v>
      </c>
      <c r="T151" s="50" t="n"/>
      <c r="U151" s="45" t="n">
        <v>138839.35</v>
      </c>
      <c r="V151" s="45" t="n">
        <v>162076.8333333333</v>
      </c>
    </row>
    <row r="152" ht="12" customHeight="1">
      <c r="A152" s="44" t="n">
        <v>41091</v>
      </c>
      <c r="B152" s="45" t="n">
        <v>21667.70967741936</v>
      </c>
      <c r="C152" s="45" t="n">
        <v>0</v>
      </c>
      <c r="D152" s="45" t="n">
        <v>219.3548387096774</v>
      </c>
      <c r="E152" s="45" t="n">
        <v>11.63870967741935</v>
      </c>
      <c r="F152" s="45" t="n">
        <v>7564.029032258064</v>
      </c>
      <c r="G152" s="45" t="n">
        <v>1918.5</v>
      </c>
      <c r="H152" s="45" t="n">
        <v>24401.54193548387</v>
      </c>
      <c r="I152" s="45" t="n">
        <v>47051.69677419355</v>
      </c>
      <c r="J152" s="45" t="n">
        <v>61952.88064516129</v>
      </c>
      <c r="K152" s="45" t="n">
        <v>22781.08709677419</v>
      </c>
      <c r="L152" s="45" t="n">
        <v>157599.2258064516</v>
      </c>
      <c r="M152" s="45" t="n">
        <v>143288.1032258065</v>
      </c>
      <c r="N152" s="45" t="n">
        <v>3399.754838709677</v>
      </c>
      <c r="O152" s="45" t="n">
        <v>2438.8</v>
      </c>
      <c r="P152" s="45" t="n">
        <v>16931.42258064516</v>
      </c>
      <c r="Q152" s="45" t="n">
        <v>302.5741935483871</v>
      </c>
      <c r="R152" s="45" t="n">
        <v>270.7472580645161</v>
      </c>
      <c r="S152" s="45" t="n">
        <v>511799.0666129033</v>
      </c>
      <c r="T152" s="50" t="n"/>
      <c r="U152" s="45" t="n">
        <v>158685.1774193548</v>
      </c>
      <c r="V152" s="45" t="n">
        <v>162946.5967741935</v>
      </c>
    </row>
    <row r="153" ht="12" customHeight="1">
      <c r="A153" s="44" t="n">
        <v>41122</v>
      </c>
      <c r="B153" s="45" t="n">
        <v>13509.45161290323</v>
      </c>
      <c r="C153" s="45" t="n">
        <v>0</v>
      </c>
      <c r="D153" s="45" t="n">
        <v>245.1612903225806</v>
      </c>
      <c r="E153" s="45" t="n">
        <v>11.95483870967742</v>
      </c>
      <c r="F153" s="45" t="n">
        <v>7654.506451612903</v>
      </c>
      <c r="G153" s="45" t="n">
        <v>1845.664516129032</v>
      </c>
      <c r="H153" s="45" t="n">
        <v>25295.28387096774</v>
      </c>
      <c r="I153" s="45" t="n">
        <v>48318.02903225806</v>
      </c>
      <c r="J153" s="45" t="n">
        <v>62644.41290322581</v>
      </c>
      <c r="K153" s="45" t="n">
        <v>22954.56129032258</v>
      </c>
      <c r="L153" s="45" t="n">
        <v>153753.0483870968</v>
      </c>
      <c r="M153" s="45" t="n">
        <v>143941.135483871</v>
      </c>
      <c r="N153" s="45" t="n">
        <v>3362.790322580645</v>
      </c>
      <c r="O153" s="45" t="n">
        <v>2782.609677419355</v>
      </c>
      <c r="P153" s="45" t="n">
        <v>17882.81935483871</v>
      </c>
      <c r="Q153" s="45" t="n">
        <v>518.0322580645161</v>
      </c>
      <c r="R153" s="45" t="n">
        <v>274.5115806451613</v>
      </c>
      <c r="S153" s="45" t="n">
        <v>504993.9728709678</v>
      </c>
      <c r="T153" s="50" t="n"/>
      <c r="U153" s="45" t="n">
        <v>171799.2903225806</v>
      </c>
      <c r="V153" s="45" t="n">
        <v>160530.2903225806</v>
      </c>
    </row>
    <row r="154" ht="12" customHeight="1">
      <c r="A154" s="44" t="n">
        <v>41153</v>
      </c>
      <c r="B154" s="45" t="n">
        <v>14920.3</v>
      </c>
      <c r="C154" s="45" t="n">
        <v>0</v>
      </c>
      <c r="D154" s="45" t="n">
        <v>210</v>
      </c>
      <c r="E154" s="45" t="n">
        <v>10.96333333333333</v>
      </c>
      <c r="F154" s="45" t="n">
        <v>7882.206666666667</v>
      </c>
      <c r="G154" s="45" t="n">
        <v>2089.76</v>
      </c>
      <c r="H154" s="45" t="n">
        <v>26730.07333333333</v>
      </c>
      <c r="I154" s="45" t="n">
        <v>49193.04000000001</v>
      </c>
      <c r="J154" s="45" t="n">
        <v>63338.89666666666</v>
      </c>
      <c r="K154" s="45" t="n">
        <v>23648.48333333333</v>
      </c>
      <c r="L154" s="45" t="n">
        <v>144279.6333333333</v>
      </c>
      <c r="M154" s="45" t="n">
        <v>140366.9333333333</v>
      </c>
      <c r="N154" s="45" t="n">
        <v>3228.81</v>
      </c>
      <c r="O154" s="45" t="n">
        <v>2853.233333333333</v>
      </c>
      <c r="P154" s="45" t="n">
        <v>17387.41333333333</v>
      </c>
      <c r="Q154" s="45" t="n">
        <v>437.5466666666667</v>
      </c>
      <c r="R154" s="45" t="n">
        <v>265.5821</v>
      </c>
      <c r="S154" s="45" t="n">
        <v>496842.8754333334</v>
      </c>
      <c r="T154" s="50" t="n"/>
      <c r="U154" s="45" t="n">
        <v>153227.3666666667</v>
      </c>
      <c r="V154" s="45" t="n">
        <v>154597.15</v>
      </c>
    </row>
    <row r="155" ht="12" customHeight="1">
      <c r="A155" s="44" t="n">
        <v>41183</v>
      </c>
      <c r="B155" s="45" t="n">
        <v>29572.87096774194</v>
      </c>
      <c r="C155" s="45" t="n">
        <v>0</v>
      </c>
      <c r="D155" s="45" t="n">
        <v>209.6774193548387</v>
      </c>
      <c r="E155" s="45" t="n">
        <v>10.62258064516129</v>
      </c>
      <c r="F155" s="45" t="n">
        <v>8102.383870967742</v>
      </c>
      <c r="G155" s="45" t="n">
        <v>2049.209677419355</v>
      </c>
      <c r="H155" s="45" t="n">
        <v>27685.26129032259</v>
      </c>
      <c r="I155" s="45" t="n">
        <v>48440.87741935485</v>
      </c>
      <c r="J155" s="45" t="n">
        <v>65979.94838709677</v>
      </c>
      <c r="K155" s="45" t="n">
        <v>24003.17741935484</v>
      </c>
      <c r="L155" s="45" t="n">
        <v>142457.3935483871</v>
      </c>
      <c r="M155" s="45" t="n">
        <v>149303.6870967742</v>
      </c>
      <c r="N155" s="45" t="n">
        <v>3153.33870967742</v>
      </c>
      <c r="O155" s="45" t="n">
        <v>2871.816129032258</v>
      </c>
      <c r="P155" s="45" t="n">
        <v>18537.60322580645</v>
      </c>
      <c r="Q155" s="45" t="n">
        <v>503.0451612903226</v>
      </c>
      <c r="R155" s="45" t="n">
        <v>270.7205806451613</v>
      </c>
      <c r="S155" s="45" t="n">
        <v>523151.6334838709</v>
      </c>
      <c r="T155" s="50" t="n"/>
      <c r="U155" s="45" t="n">
        <v>141206.5967741935</v>
      </c>
      <c r="V155" s="45" t="n">
        <v>167930.7096774194</v>
      </c>
    </row>
    <row r="156" ht="12" customHeight="1">
      <c r="A156" s="44" t="n">
        <v>41214</v>
      </c>
      <c r="B156" s="45" t="n">
        <v>37337.13333333333</v>
      </c>
      <c r="C156" s="45" t="n">
        <v>0</v>
      </c>
      <c r="D156" s="45" t="n">
        <v>213.3333333333333</v>
      </c>
      <c r="E156" s="45" t="n">
        <v>10.22</v>
      </c>
      <c r="F156" s="45" t="n">
        <v>8288.636666666667</v>
      </c>
      <c r="G156" s="45" t="n">
        <v>2058.41</v>
      </c>
      <c r="H156" s="45" t="n">
        <v>28453.95666666667</v>
      </c>
      <c r="I156" s="45" t="n">
        <v>49846.62</v>
      </c>
      <c r="J156" s="45" t="n">
        <v>67616.02666666667</v>
      </c>
      <c r="K156" s="45" t="n">
        <v>24007.72333333333</v>
      </c>
      <c r="L156" s="45" t="n">
        <v>138269.9566666667</v>
      </c>
      <c r="M156" s="45" t="n">
        <v>155731.3166666667</v>
      </c>
      <c r="N156" s="45" t="n">
        <v>3029.673333333333</v>
      </c>
      <c r="O156" s="45" t="n">
        <v>2935.026666666667</v>
      </c>
      <c r="P156" s="45" t="n">
        <v>19266.12</v>
      </c>
      <c r="Q156" s="45" t="n">
        <v>247.7566666666667</v>
      </c>
      <c r="R156" s="45" t="n">
        <v>257.5087666666667</v>
      </c>
      <c r="S156" s="45" t="n">
        <v>537569.4187666668</v>
      </c>
      <c r="T156" s="50" t="n"/>
      <c r="U156" s="45" t="n">
        <v>143791.2666666667</v>
      </c>
      <c r="V156" s="45" t="n">
        <v>174578.7</v>
      </c>
    </row>
    <row r="157" ht="12" customHeight="1">
      <c r="A157" s="44" t="n">
        <v>41244</v>
      </c>
      <c r="B157" s="45" t="n">
        <v>35515.25806451613</v>
      </c>
      <c r="C157" s="45" t="n">
        <v>0</v>
      </c>
      <c r="D157" s="45" t="n">
        <v>222.5806451612903</v>
      </c>
      <c r="E157" s="45" t="n">
        <v>9.929032258064517</v>
      </c>
      <c r="F157" s="45" t="n">
        <v>8269.635483870969</v>
      </c>
      <c r="G157" s="45" t="n">
        <v>2003.616129032258</v>
      </c>
      <c r="H157" s="45" t="n">
        <v>29021.61612903226</v>
      </c>
      <c r="I157" s="45" t="n">
        <v>50164.6064516129</v>
      </c>
      <c r="J157" s="45" t="n">
        <v>68997.29999999999</v>
      </c>
      <c r="K157" s="45" t="n">
        <v>23961.94193548387</v>
      </c>
      <c r="L157" s="45" t="n">
        <v>162794</v>
      </c>
      <c r="M157" s="45" t="n">
        <v>156651.1483870968</v>
      </c>
      <c r="N157" s="45" t="n">
        <v>3203.029032258064</v>
      </c>
      <c r="O157" s="45" t="n">
        <v>3187.345161290322</v>
      </c>
      <c r="P157" s="45" t="n">
        <v>18912</v>
      </c>
      <c r="Q157" s="45" t="n">
        <v>416.516129032258</v>
      </c>
      <c r="R157" s="45" t="n">
        <v>235.0606451612904</v>
      </c>
      <c r="S157" s="45" t="n">
        <v>563565.5832258065</v>
      </c>
      <c r="T157" s="50" t="n"/>
      <c r="U157" s="45" t="n">
        <v>162647.935483871</v>
      </c>
      <c r="V157" s="45" t="n">
        <v>176548.4838709677</v>
      </c>
    </row>
    <row r="158" ht="12" customHeight="1">
      <c r="A158" s="44" t="n">
        <v>41275</v>
      </c>
      <c r="B158" s="45" t="n">
        <v>34892.41935483871</v>
      </c>
      <c r="C158" s="45" t="n">
        <v>0</v>
      </c>
      <c r="D158" s="45" t="n">
        <v>212.9032258064516</v>
      </c>
      <c r="E158" s="45" t="n">
        <v>8.922580645161291</v>
      </c>
      <c r="F158" s="45" t="n">
        <v>8082.441935483871</v>
      </c>
      <c r="G158" s="45" t="n">
        <v>1858.325806451613</v>
      </c>
      <c r="H158" s="45" t="n">
        <v>28766.50322580645</v>
      </c>
      <c r="I158" s="45" t="n">
        <v>48804.0064516129</v>
      </c>
      <c r="J158" s="45" t="n">
        <v>67085.84516129032</v>
      </c>
      <c r="K158" s="45" t="n">
        <v>24409.30967741935</v>
      </c>
      <c r="L158" s="45" t="n">
        <v>154243.0451612903</v>
      </c>
      <c r="M158" s="45" t="n">
        <v>153824.5677419355</v>
      </c>
      <c r="N158" s="45" t="n">
        <v>3239.774193548387</v>
      </c>
      <c r="O158" s="45" t="n">
        <v>3151.990322580645</v>
      </c>
      <c r="P158" s="45" t="n">
        <v>19834.38064516129</v>
      </c>
      <c r="Q158" s="45" t="n">
        <v>599.2258064516129</v>
      </c>
      <c r="R158" s="45" t="n">
        <v>159.0162555766622</v>
      </c>
      <c r="S158" s="45" t="n">
        <v>549172.6775458993</v>
      </c>
      <c r="T158" s="50" t="n"/>
      <c r="U158" s="45" t="n">
        <v>153574.6290322581</v>
      </c>
      <c r="V158" s="45" t="n">
        <v>176655.1129032258</v>
      </c>
    </row>
    <row r="159" ht="12" customHeight="1">
      <c r="A159" s="44" t="n">
        <v>41306</v>
      </c>
      <c r="B159" s="45" t="n">
        <v>38856.39285714286</v>
      </c>
      <c r="C159" s="45" t="n">
        <v>0</v>
      </c>
      <c r="D159" s="45" t="n">
        <v>267.8571428571428</v>
      </c>
      <c r="E159" s="45" t="n">
        <v>8.52142857142857</v>
      </c>
      <c r="F159" s="45" t="n">
        <v>8732.064285714285</v>
      </c>
      <c r="G159" s="45" t="n">
        <v>1646.55</v>
      </c>
      <c r="H159" s="45" t="n">
        <v>29184.03214285714</v>
      </c>
      <c r="I159" s="45" t="n">
        <v>49183.48928571428</v>
      </c>
      <c r="J159" s="45" t="n">
        <v>69611.69285714286</v>
      </c>
      <c r="K159" s="45" t="n">
        <v>24683.69642857143</v>
      </c>
      <c r="L159" s="45" t="n">
        <v>154141.55</v>
      </c>
      <c r="M159" s="45" t="n">
        <v>152900.1071428571</v>
      </c>
      <c r="N159" s="45" t="n">
        <v>3139.207142857143</v>
      </c>
      <c r="O159" s="45" t="n">
        <v>3217.65</v>
      </c>
      <c r="P159" s="45" t="n">
        <v>20897.67857142857</v>
      </c>
      <c r="Q159" s="45" t="n">
        <v>731.0464285714286</v>
      </c>
      <c r="R159" s="45" t="n">
        <v>160.5301814964334</v>
      </c>
      <c r="S159" s="45" t="n">
        <v>557362.0658957821</v>
      </c>
      <c r="T159" s="50" t="n"/>
      <c r="U159" s="45" t="n">
        <v>156015.1607142857</v>
      </c>
      <c r="V159" s="45" t="n">
        <v>177166.9464285714</v>
      </c>
    </row>
    <row r="160" ht="12" customHeight="1">
      <c r="A160" s="44" t="n">
        <v>41334</v>
      </c>
      <c r="B160" s="45" t="n">
        <v>39945.77419354839</v>
      </c>
      <c r="C160" s="45" t="n">
        <v>0</v>
      </c>
      <c r="D160" s="45" t="n">
        <v>209.6774193548387</v>
      </c>
      <c r="E160" s="45" t="n">
        <v>8.870967741935484</v>
      </c>
      <c r="F160" s="45" t="n">
        <v>9834.980645161291</v>
      </c>
      <c r="G160" s="45" t="n">
        <v>1854.277419354839</v>
      </c>
      <c r="H160" s="45" t="n">
        <v>29672.91935483871</v>
      </c>
      <c r="I160" s="45" t="n">
        <v>48336.57419354838</v>
      </c>
      <c r="J160" s="45" t="n">
        <v>70492.97096774195</v>
      </c>
      <c r="K160" s="45" t="n">
        <v>24541.61290322581</v>
      </c>
      <c r="L160" s="45" t="n">
        <v>160815.1</v>
      </c>
      <c r="M160" s="45" t="n">
        <v>151151.4838709677</v>
      </c>
      <c r="N160" s="45" t="n">
        <v>3340.109677419355</v>
      </c>
      <c r="O160" s="45" t="n">
        <v>3347.825806451613</v>
      </c>
      <c r="P160" s="45" t="n">
        <v>20013.76129032258</v>
      </c>
      <c r="Q160" s="45" t="n">
        <v>235.5774193548387</v>
      </c>
      <c r="R160" s="45" t="n">
        <v>160.8603189955043</v>
      </c>
      <c r="S160" s="45" t="n">
        <v>563962.3764480277</v>
      </c>
      <c r="T160" s="50" t="n"/>
      <c r="U160" s="45" t="n">
        <v>158201.9677419355</v>
      </c>
      <c r="V160" s="45" t="n">
        <v>175198.8387096774</v>
      </c>
    </row>
    <row r="161" ht="12" customHeight="1">
      <c r="A161" s="44" t="n">
        <v>41365</v>
      </c>
      <c r="B161" s="45" t="n">
        <v>35360.83333333334</v>
      </c>
      <c r="C161" s="45" t="n">
        <v>0</v>
      </c>
      <c r="D161" s="45" t="n">
        <v>221.0946333333333</v>
      </c>
      <c r="E161" s="45" t="n">
        <v>8.303333333333333</v>
      </c>
      <c r="F161" s="45" t="n">
        <v>9283.823333333334</v>
      </c>
      <c r="G161" s="45" t="n">
        <v>1889.216666666667</v>
      </c>
      <c r="H161" s="45" t="n">
        <v>28394.36666666666</v>
      </c>
      <c r="I161" s="45" t="n">
        <v>48085.73333333333</v>
      </c>
      <c r="J161" s="45" t="n">
        <v>70893.51666666666</v>
      </c>
      <c r="K161" s="45" t="n">
        <v>24227.72333333333</v>
      </c>
      <c r="L161" s="45" t="n">
        <v>142432.1966666667</v>
      </c>
      <c r="M161" s="45" t="n">
        <v>146398.21</v>
      </c>
      <c r="N161" s="45" t="n">
        <v>3505.343333333333</v>
      </c>
      <c r="O161" s="45" t="n">
        <v>3279.416666666667</v>
      </c>
      <c r="P161" s="45" t="n">
        <v>19935.04</v>
      </c>
      <c r="Q161" s="45" t="n">
        <v>190.0133333333333</v>
      </c>
      <c r="R161" s="45" t="n">
        <v>160.586778580311</v>
      </c>
      <c r="S161" s="45" t="n">
        <v>534265.4180785803</v>
      </c>
      <c r="T161" s="50" t="n"/>
      <c r="U161" s="45" t="n">
        <v>144687.9</v>
      </c>
      <c r="V161" s="45" t="n">
        <v>169881.1666666667</v>
      </c>
    </row>
    <row r="162" ht="12" customHeight="1">
      <c r="A162" s="44" t="n">
        <v>41395</v>
      </c>
      <c r="B162" s="45" t="n">
        <v>40318.51612903226</v>
      </c>
      <c r="C162" s="45" t="n">
        <v>0</v>
      </c>
      <c r="D162" s="45" t="n">
        <v>205.5637096774194</v>
      </c>
      <c r="E162" s="45" t="n">
        <v>9.348387096774195</v>
      </c>
      <c r="F162" s="45" t="n">
        <v>7640.1</v>
      </c>
      <c r="G162" s="45" t="n">
        <v>1837.409677419355</v>
      </c>
      <c r="H162" s="45" t="n">
        <v>27065.72580645161</v>
      </c>
      <c r="I162" s="45" t="n">
        <v>46426.82258064516</v>
      </c>
      <c r="J162" s="45" t="n">
        <v>68989.99032258065</v>
      </c>
      <c r="K162" s="45" t="n">
        <v>24041.1870967742</v>
      </c>
      <c r="L162" s="45" t="n">
        <v>111165.7935483871</v>
      </c>
      <c r="M162" s="45" t="n">
        <v>146371.5096774194</v>
      </c>
      <c r="N162" s="45" t="n">
        <v>3327.170967741936</v>
      </c>
      <c r="O162" s="45" t="n">
        <v>3163.022580645162</v>
      </c>
      <c r="P162" s="45" t="n">
        <v>19230.78709677419</v>
      </c>
      <c r="Q162" s="45" t="n">
        <v>549.4387096774193</v>
      </c>
      <c r="R162" s="45" t="n">
        <v>162.2137937725789</v>
      </c>
      <c r="S162" s="45" t="n">
        <v>500504.6000840951</v>
      </c>
      <c r="T162" s="50" t="n"/>
      <c r="U162" s="45" t="n">
        <v>108146.9435483871</v>
      </c>
      <c r="V162" s="45" t="n">
        <v>164922.3709677419</v>
      </c>
    </row>
    <row r="163" ht="12" customHeight="1">
      <c r="A163" s="44" t="n">
        <v>41426</v>
      </c>
      <c r="B163" s="45" t="n">
        <v>33902.23333333333</v>
      </c>
      <c r="C163" s="45" t="n">
        <v>0</v>
      </c>
      <c r="D163" s="45" t="n">
        <v>125.3414666666667</v>
      </c>
      <c r="E163" s="45" t="n">
        <v>9.486666666666668</v>
      </c>
      <c r="F163" s="45" t="n">
        <v>7711.903333333334</v>
      </c>
      <c r="G163" s="45" t="n">
        <v>1854.773333333334</v>
      </c>
      <c r="H163" s="45" t="n">
        <v>26596.55666666666</v>
      </c>
      <c r="I163" s="45" t="n">
        <v>46279.44333333334</v>
      </c>
      <c r="J163" s="45" t="n">
        <v>66879.87666666666</v>
      </c>
      <c r="K163" s="45" t="n">
        <v>23908.66333333333</v>
      </c>
      <c r="L163" s="45" t="n">
        <v>135753.8966666667</v>
      </c>
      <c r="M163" s="45" t="n">
        <v>152097.21</v>
      </c>
      <c r="N163" s="45" t="n">
        <v>3009.816666666667</v>
      </c>
      <c r="O163" s="45" t="n">
        <v>3092.903333333334</v>
      </c>
      <c r="P163" s="45" t="n">
        <v>19752.08666666667</v>
      </c>
      <c r="Q163" s="45" t="n">
        <v>641</v>
      </c>
      <c r="R163" s="45" t="n">
        <v>164.6379226209636</v>
      </c>
      <c r="S163" s="45" t="n">
        <v>521779.8293892876</v>
      </c>
      <c r="T163" s="50" t="n"/>
      <c r="U163" s="45" t="n">
        <v>130836.7333333333</v>
      </c>
      <c r="V163" s="45" t="n">
        <v>172975.8333333333</v>
      </c>
    </row>
    <row r="164" ht="12" customHeight="1">
      <c r="A164" s="44" t="n">
        <v>41456</v>
      </c>
      <c r="B164" s="45" t="n">
        <v>40672.54838709677</v>
      </c>
      <c r="C164" s="45" t="n">
        <v>0</v>
      </c>
      <c r="D164" s="45" t="n">
        <v>237.8864516129032</v>
      </c>
      <c r="E164" s="45" t="n">
        <v>8.738709677419354</v>
      </c>
      <c r="F164" s="45" t="n">
        <v>7339.587096774194</v>
      </c>
      <c r="G164" s="45" t="n">
        <v>1793.009677419355</v>
      </c>
      <c r="H164" s="45" t="n">
        <v>26314.86129032258</v>
      </c>
      <c r="I164" s="45" t="n">
        <v>47355.65483870968</v>
      </c>
      <c r="J164" s="45" t="n">
        <v>66472.44516129032</v>
      </c>
      <c r="K164" s="45" t="n">
        <v>23828.70322580645</v>
      </c>
      <c r="L164" s="45" t="n">
        <v>149261.0451612903</v>
      </c>
      <c r="M164" s="45" t="n">
        <v>156014.7</v>
      </c>
      <c r="N164" s="45" t="n">
        <v>2912.725806451613</v>
      </c>
      <c r="O164" s="45" t="n">
        <v>3263.261290322581</v>
      </c>
      <c r="P164" s="45" t="n">
        <v>19770.66774193548</v>
      </c>
      <c r="Q164" s="45" t="n">
        <v>549.6612903225806</v>
      </c>
      <c r="R164" s="45" t="n">
        <v>167.3067618660282</v>
      </c>
      <c r="S164" s="45" t="n">
        <v>545962.8028908983</v>
      </c>
      <c r="T164" s="50" t="n"/>
      <c r="U164" s="45" t="n">
        <v>147716.1451612903</v>
      </c>
      <c r="V164" s="45" t="n">
        <v>180934.1451612903</v>
      </c>
    </row>
    <row r="165" ht="12" customHeight="1">
      <c r="A165" s="44" t="n">
        <v>41487</v>
      </c>
      <c r="B165" s="45" t="n">
        <v>39150.64516129033</v>
      </c>
      <c r="C165" s="45" t="n">
        <v>0</v>
      </c>
      <c r="D165" s="45" t="n">
        <v>198.9548064516129</v>
      </c>
      <c r="E165" s="45" t="n">
        <v>8.393548387096773</v>
      </c>
      <c r="F165" s="45" t="n">
        <v>7590.745161290322</v>
      </c>
      <c r="G165" s="45" t="n">
        <v>1783.103225806452</v>
      </c>
      <c r="H165" s="45" t="n">
        <v>28431.41290322581</v>
      </c>
      <c r="I165" s="45" t="n">
        <v>48432.56129032258</v>
      </c>
      <c r="J165" s="45" t="n">
        <v>66736.92903225806</v>
      </c>
      <c r="K165" s="45" t="n">
        <v>24318.95161290323</v>
      </c>
      <c r="L165" s="45" t="n">
        <v>156518.929032258</v>
      </c>
      <c r="M165" s="45" t="n">
        <v>177066.9322580645</v>
      </c>
      <c r="N165" s="45" t="n">
        <v>3214.467741935484</v>
      </c>
      <c r="O165" s="45" t="n">
        <v>3291.645161290322</v>
      </c>
      <c r="P165" s="45" t="n">
        <v>20007.03548387097</v>
      </c>
      <c r="Q165" s="45" t="n">
        <v>379.5645161290323</v>
      </c>
      <c r="R165" s="45" t="n">
        <v>176.8199000352735</v>
      </c>
      <c r="S165" s="45" t="n">
        <v>577307.0908355191</v>
      </c>
      <c r="T165" s="50" t="n"/>
      <c r="U165" s="45" t="n">
        <v>175357.0806451613</v>
      </c>
      <c r="V165" s="45" t="n">
        <v>187221.6612903226</v>
      </c>
    </row>
    <row r="166" ht="12" customHeight="1">
      <c r="A166" s="44" t="n">
        <v>41518</v>
      </c>
      <c r="B166" s="45" t="n">
        <v>37754.3</v>
      </c>
      <c r="C166" s="45" t="n">
        <v>0</v>
      </c>
      <c r="D166" s="45" t="n">
        <v>176.564</v>
      </c>
      <c r="E166" s="45" t="n">
        <v>8.366666666666667</v>
      </c>
      <c r="F166" s="45" t="n">
        <v>7939.526666666667</v>
      </c>
      <c r="G166" s="45" t="n">
        <v>1679.546666666666</v>
      </c>
      <c r="H166" s="45" t="n">
        <v>28799.05666666666</v>
      </c>
      <c r="I166" s="45" t="n">
        <v>48809.77333333334</v>
      </c>
      <c r="J166" s="45" t="n">
        <v>66326.35333333333</v>
      </c>
      <c r="K166" s="45" t="n">
        <v>24300.43333333333</v>
      </c>
      <c r="L166" s="45" t="n">
        <v>144993.7033333333</v>
      </c>
      <c r="M166" s="45" t="n">
        <v>169397.0766666667</v>
      </c>
      <c r="N166" s="45" t="n">
        <v>3186.1</v>
      </c>
      <c r="O166" s="45" t="n">
        <v>3607.1</v>
      </c>
      <c r="P166" s="45" t="n">
        <v>19218.09</v>
      </c>
      <c r="Q166" s="45" t="n">
        <v>171.2633333333333</v>
      </c>
      <c r="R166" s="45" t="n">
        <v>184.9379525890637</v>
      </c>
      <c r="S166" s="45" t="n">
        <v>556552.191952589</v>
      </c>
      <c r="T166" s="50" t="n"/>
      <c r="U166" s="45" t="n">
        <v>163149.5166666667</v>
      </c>
      <c r="V166" s="45" t="n">
        <v>176893.9166666667</v>
      </c>
    </row>
    <row r="167" ht="12" customHeight="1">
      <c r="A167" s="44" t="n">
        <v>41548</v>
      </c>
      <c r="B167" s="45" t="n">
        <v>28495.09677419355</v>
      </c>
      <c r="C167" s="45" t="n">
        <v>0</v>
      </c>
      <c r="D167" s="45" t="n">
        <v>192.3468709677419</v>
      </c>
      <c r="E167" s="45" t="n">
        <v>7.893548387096774</v>
      </c>
      <c r="F167" s="45" t="n">
        <v>8330.974193548387</v>
      </c>
      <c r="G167" s="45" t="n">
        <v>1781.838709677419</v>
      </c>
      <c r="H167" s="45" t="n">
        <v>30873.37741935484</v>
      </c>
      <c r="I167" s="45" t="n">
        <v>49303.62258064515</v>
      </c>
      <c r="J167" s="45" t="n">
        <v>67597.5935483871</v>
      </c>
      <c r="K167" s="45" t="n">
        <v>24763.0935483871</v>
      </c>
      <c r="L167" s="45" t="n">
        <v>147646.6903225807</v>
      </c>
      <c r="M167" s="45" t="n">
        <v>174232.7483870968</v>
      </c>
      <c r="N167" s="45" t="n">
        <v>2873.935483870968</v>
      </c>
      <c r="O167" s="45" t="n">
        <v>3782.354838709678</v>
      </c>
      <c r="P167" s="45" t="n">
        <v>20037.55161290323</v>
      </c>
      <c r="Q167" s="45" t="n">
        <v>589.2612903225806</v>
      </c>
      <c r="R167" s="45" t="n">
        <v>187.9233724361267</v>
      </c>
      <c r="S167" s="45" t="n">
        <v>560696.3025014682</v>
      </c>
      <c r="T167" s="50" t="n"/>
      <c r="U167" s="45" t="n">
        <v>168327.6129032258</v>
      </c>
      <c r="V167" s="45" t="n">
        <v>180999.7419354839</v>
      </c>
    </row>
    <row r="168" ht="12" customHeight="1">
      <c r="A168" s="44" t="n">
        <v>41579</v>
      </c>
      <c r="B168" s="45" t="n">
        <v>31118.5</v>
      </c>
      <c r="C168" s="45" t="n">
        <v>0</v>
      </c>
      <c r="D168" s="45" t="n">
        <v>187.8938333333333</v>
      </c>
      <c r="E168" s="45" t="n">
        <v>7.28</v>
      </c>
      <c r="F168" s="45" t="n">
        <v>8413.213333333333</v>
      </c>
      <c r="G168" s="45" t="n">
        <v>1785.823333333333</v>
      </c>
      <c r="H168" s="45" t="n">
        <v>31441.75</v>
      </c>
      <c r="I168" s="45" t="n">
        <v>48551.60666666667</v>
      </c>
      <c r="J168" s="45" t="n">
        <v>68343.58</v>
      </c>
      <c r="K168" s="45" t="n">
        <v>24338.91333333333</v>
      </c>
      <c r="L168" s="45" t="n">
        <v>160477.23</v>
      </c>
      <c r="M168" s="45" t="n">
        <v>175593.2066666666</v>
      </c>
      <c r="N168" s="45" t="n">
        <v>2974.166666666667</v>
      </c>
      <c r="O168" s="45" t="n">
        <v>3858.733333333333</v>
      </c>
      <c r="P168" s="45" t="n">
        <v>20893.77</v>
      </c>
      <c r="Q168" s="45" t="n">
        <v>508.1966666666667</v>
      </c>
      <c r="R168" s="45" t="n">
        <v>194.337159807913</v>
      </c>
      <c r="S168" s="45" t="n">
        <v>578688.2009931412</v>
      </c>
      <c r="T168" s="50" t="n"/>
      <c r="U168" s="45" t="n">
        <v>172665.75</v>
      </c>
      <c r="V168" s="45" t="n">
        <v>183712.8</v>
      </c>
    </row>
    <row r="169" ht="12" customHeight="1">
      <c r="A169" s="44" t="n">
        <v>41609</v>
      </c>
      <c r="B169" s="45" t="n">
        <v>36426.3870967742</v>
      </c>
      <c r="C169" s="45" t="n">
        <v>0</v>
      </c>
      <c r="D169" s="45" t="n">
        <v>149.779935483871</v>
      </c>
      <c r="E169" s="45" t="n">
        <v>7.387096774193548</v>
      </c>
      <c r="F169" s="45" t="n">
        <v>8253.480645161289</v>
      </c>
      <c r="G169" s="45" t="n">
        <v>1756.08064516129</v>
      </c>
      <c r="H169" s="45" t="n">
        <v>31746.04516129032</v>
      </c>
      <c r="I169" s="45" t="n">
        <v>47873.73225806451</v>
      </c>
      <c r="J169" s="45" t="n">
        <v>69769.20322580644</v>
      </c>
      <c r="K169" s="45" t="n">
        <v>23760.82258064516</v>
      </c>
      <c r="L169" s="45" t="n">
        <v>168113.1677419355</v>
      </c>
      <c r="M169" s="45" t="n">
        <v>174073.3903225806</v>
      </c>
      <c r="N169" s="45" t="n">
        <v>2761.193548387097</v>
      </c>
      <c r="O169" s="45" t="n">
        <v>3973.129032258064</v>
      </c>
      <c r="P169" s="45" t="n">
        <v>22191.59032258065</v>
      </c>
      <c r="Q169" s="45" t="n">
        <v>372.6</v>
      </c>
      <c r="R169" s="45" t="n">
        <v>189.7615492582239</v>
      </c>
      <c r="S169" s="45" t="n">
        <v>591417.7511621615</v>
      </c>
      <c r="T169" s="50" t="n"/>
      <c r="U169" s="45" t="n">
        <v>183205.9677419355</v>
      </c>
      <c r="V169" s="45" t="n">
        <v>184775.7580645161</v>
      </c>
    </row>
    <row r="170" ht="12" customHeight="1">
      <c r="A170" s="44" t="n">
        <v>41640</v>
      </c>
      <c r="B170" s="45" t="n">
        <v>36224.70967741936</v>
      </c>
      <c r="C170" s="45" t="n">
        <v>0</v>
      </c>
      <c r="D170" s="45" t="n">
        <v>190.5299677419355</v>
      </c>
      <c r="E170" s="45" t="n">
        <v>6.52258064516129</v>
      </c>
      <c r="F170" s="45" t="n">
        <v>8472.296774193548</v>
      </c>
      <c r="G170" s="45" t="n">
        <v>1755.81935483871</v>
      </c>
      <c r="H170" s="45" t="n">
        <v>35273.18214285715</v>
      </c>
      <c r="I170" s="45" t="n">
        <v>53342.48928571428</v>
      </c>
      <c r="J170" s="45" t="n">
        <v>68748.62903225806</v>
      </c>
      <c r="K170" s="45" t="n">
        <v>24004.63870967742</v>
      </c>
      <c r="L170" s="45" t="n">
        <v>162763.6709677419</v>
      </c>
      <c r="M170" s="45" t="n">
        <v>174210.9870967742</v>
      </c>
      <c r="N170" s="45" t="n">
        <v>3006.903225806452</v>
      </c>
      <c r="O170" s="45" t="n">
        <v>4090.83870967742</v>
      </c>
      <c r="P170" s="45" t="n">
        <v>22971.3129032258</v>
      </c>
      <c r="Q170" s="45" t="n">
        <v>602.8322580645161</v>
      </c>
      <c r="R170" s="45" t="n">
        <v>202.5376582176912</v>
      </c>
      <c r="S170" s="45" t="n">
        <v>595867.9003448538</v>
      </c>
      <c r="T170" s="50" t="n"/>
      <c r="U170" s="45" t="n">
        <v>173671.0806451613</v>
      </c>
      <c r="V170" s="45" t="n">
        <v>182595.0161290323</v>
      </c>
    </row>
    <row r="171" ht="12" customHeight="1">
      <c r="A171" s="44" t="n">
        <v>41671</v>
      </c>
      <c r="B171" s="45" t="n">
        <v>38501.78571428572</v>
      </c>
      <c r="C171" s="45" t="n">
        <v>0</v>
      </c>
      <c r="D171" s="45" t="n">
        <v>156.6881071428571</v>
      </c>
      <c r="E171" s="45" t="n">
        <v>6.503571428571428</v>
      </c>
      <c r="F171" s="45" t="n">
        <v>8476.260714285714</v>
      </c>
      <c r="G171" s="45" t="n">
        <v>1813.853571428572</v>
      </c>
      <c r="H171" s="45" t="n">
        <v>32258.03571428571</v>
      </c>
      <c r="I171" s="45" t="n">
        <v>49205.575</v>
      </c>
      <c r="J171" s="45" t="n">
        <v>69634.38928571428</v>
      </c>
      <c r="K171" s="45" t="n">
        <v>24016.93214285714</v>
      </c>
      <c r="L171" s="45" t="n">
        <v>159445.8571428571</v>
      </c>
      <c r="M171" s="45" t="n">
        <v>173816.4214285714</v>
      </c>
      <c r="N171" s="45" t="n">
        <v>3280.107142857143</v>
      </c>
      <c r="O171" s="45" t="n">
        <v>4129.535714285715</v>
      </c>
      <c r="P171" s="45" t="n">
        <v>22379.06785714286</v>
      </c>
      <c r="Q171" s="45" t="n">
        <v>288.9892857142857</v>
      </c>
      <c r="R171" s="45" t="n">
        <v>206.7717827229772</v>
      </c>
      <c r="S171" s="45" t="n">
        <v>587616.7741755802</v>
      </c>
      <c r="T171" s="50" t="n"/>
      <c r="U171" s="45" t="n">
        <v>169796.8928571429</v>
      </c>
      <c r="V171" s="45" t="n">
        <v>188961.4821428571</v>
      </c>
    </row>
    <row r="172" ht="12" customHeight="1">
      <c r="A172" s="44" t="n">
        <v>41699</v>
      </c>
      <c r="B172" s="45" t="n">
        <v>38667.67741935484</v>
      </c>
      <c r="C172" s="45" t="n">
        <v>0</v>
      </c>
      <c r="D172" s="45" t="n">
        <v>214.0590322580645</v>
      </c>
      <c r="E172" s="45" t="n">
        <v>6.300000000000001</v>
      </c>
      <c r="F172" s="45" t="n">
        <v>8823.900000000001</v>
      </c>
      <c r="G172" s="45" t="n">
        <v>1753.309677419355</v>
      </c>
      <c r="H172" s="45" t="n">
        <v>36628.74642857142</v>
      </c>
      <c r="I172" s="45" t="n">
        <v>56329.95714285714</v>
      </c>
      <c r="J172" s="45" t="n">
        <v>72469.69354838709</v>
      </c>
      <c r="K172" s="45" t="n">
        <v>24253.57419354839</v>
      </c>
      <c r="L172" s="45" t="n">
        <v>154453.9548387097</v>
      </c>
      <c r="M172" s="45" t="n">
        <v>190483.3387096774</v>
      </c>
      <c r="N172" s="45" t="n">
        <v>3231.16129032258</v>
      </c>
      <c r="O172" s="45" t="n">
        <v>4081.435483870967</v>
      </c>
      <c r="P172" s="45" t="n">
        <v>22964.77419354839</v>
      </c>
      <c r="Q172" s="45" t="n">
        <v>634.1774193548387</v>
      </c>
      <c r="R172" s="45" t="n">
        <v>195.5268819043046</v>
      </c>
      <c r="S172" s="45" t="n">
        <v>615191.5862597843</v>
      </c>
      <c r="T172" s="50" t="n"/>
      <c r="U172" s="45" t="n">
        <v>166798.4032258065</v>
      </c>
      <c r="V172" s="45" t="n">
        <v>201541.0322580645</v>
      </c>
    </row>
    <row r="173" ht="12" customHeight="1">
      <c r="A173" s="44" t="n">
        <v>41730</v>
      </c>
      <c r="B173" s="45" t="n">
        <v>32394.8</v>
      </c>
      <c r="C173" s="45" t="n">
        <v>0</v>
      </c>
      <c r="D173" s="45" t="n">
        <v>228.8193333333333</v>
      </c>
      <c r="E173" s="45" t="n">
        <v>7.183333333333334</v>
      </c>
      <c r="F173" s="45" t="n">
        <v>8367.713333333333</v>
      </c>
      <c r="G173" s="45" t="n">
        <v>1757.266666666668</v>
      </c>
      <c r="H173" s="45" t="n">
        <v>35267.79285714286</v>
      </c>
      <c r="I173" s="45" t="n">
        <v>53805.75714285714</v>
      </c>
      <c r="J173" s="45" t="n">
        <v>72799.07000000001</v>
      </c>
      <c r="K173" s="45" t="n">
        <v>24408.02333333333</v>
      </c>
      <c r="L173" s="45" t="n">
        <v>139195.02</v>
      </c>
      <c r="M173" s="45" t="n">
        <v>196739.5433333333</v>
      </c>
      <c r="N173" s="45" t="n">
        <v>3427.433333333333</v>
      </c>
      <c r="O173" s="45" t="n">
        <v>4128.73</v>
      </c>
      <c r="P173" s="45" t="n">
        <v>23682.78333333333</v>
      </c>
      <c r="Q173" s="45" t="n">
        <v>446.37</v>
      </c>
      <c r="R173" s="45" t="n">
        <v>208.0528919269939</v>
      </c>
      <c r="S173" s="45" t="n">
        <v>596864.3588919269</v>
      </c>
      <c r="T173" s="50" t="n"/>
      <c r="U173" s="45" t="n">
        <v>159055.8666666667</v>
      </c>
      <c r="V173" s="45" t="n">
        <v>202114.55</v>
      </c>
    </row>
    <row r="174" ht="12" customHeight="1">
      <c r="A174" s="44" t="n">
        <v>41760</v>
      </c>
      <c r="B174" s="45" t="n">
        <v>37105.3870967742</v>
      </c>
      <c r="C174" s="45" t="n">
        <v>0</v>
      </c>
      <c r="D174" s="45" t="n">
        <v>201.6448387096774</v>
      </c>
      <c r="E174" s="45" t="n">
        <v>7.158064516129032</v>
      </c>
      <c r="F174" s="45" t="n">
        <v>7509.932258064516</v>
      </c>
      <c r="G174" s="45" t="n">
        <v>1839.277419354839</v>
      </c>
      <c r="H174" s="45" t="n">
        <v>34259.88928571429</v>
      </c>
      <c r="I174" s="45" t="n">
        <v>54795.77857142857</v>
      </c>
      <c r="J174" s="45" t="n">
        <v>69080.33548387096</v>
      </c>
      <c r="K174" s="45" t="n">
        <v>23960.99032258064</v>
      </c>
      <c r="L174" s="45" t="n">
        <v>130930.3741935484</v>
      </c>
      <c r="M174" s="45" t="n">
        <v>190393.1064516129</v>
      </c>
      <c r="N174" s="45" t="n">
        <v>3140.064516129032</v>
      </c>
      <c r="O174" s="45" t="n">
        <v>4200.16129032258</v>
      </c>
      <c r="P174" s="45" t="n">
        <v>22477.45483870968</v>
      </c>
      <c r="Q174" s="45" t="n">
        <v>434.5290322580645</v>
      </c>
      <c r="R174" s="45" t="n">
        <v>207.4576264410582</v>
      </c>
      <c r="S174" s="45" t="n">
        <v>580543.5412900355</v>
      </c>
      <c r="T174" s="50" t="n"/>
      <c r="U174" s="45" t="n">
        <v>136076.3709677419</v>
      </c>
      <c r="V174" s="45" t="n">
        <v>198343.1774193548</v>
      </c>
    </row>
    <row r="175" ht="12" customHeight="1">
      <c r="A175" s="44" t="n">
        <v>41791</v>
      </c>
      <c r="B175" s="45" t="n">
        <v>35403.7</v>
      </c>
      <c r="C175" s="45" t="n">
        <v>0</v>
      </c>
      <c r="D175" s="45" t="n">
        <v>187.4376666666667</v>
      </c>
      <c r="E175" s="45" t="n">
        <v>6.796666666666667</v>
      </c>
      <c r="F175" s="45" t="n">
        <v>6813.726666666666</v>
      </c>
      <c r="G175" s="45" t="n">
        <v>1749.983333333334</v>
      </c>
      <c r="H175" s="45" t="n">
        <v>32199.05357142857</v>
      </c>
      <c r="I175" s="45" t="n">
        <v>51832.14285714286</v>
      </c>
      <c r="J175" s="45" t="n">
        <v>68687.98</v>
      </c>
      <c r="K175" s="45" t="n">
        <v>23646.27</v>
      </c>
      <c r="L175" s="45" t="n">
        <v>148397.6866666666</v>
      </c>
      <c r="M175" s="45" t="n">
        <v>190945.0166666667</v>
      </c>
      <c r="N175" s="45" t="n">
        <v>3239.866666666667</v>
      </c>
      <c r="O175" s="45" t="n">
        <v>4259.4</v>
      </c>
      <c r="P175" s="45" t="n">
        <v>22703.36666666666</v>
      </c>
      <c r="Q175" s="45" t="n">
        <v>553.9033333333333</v>
      </c>
      <c r="R175" s="45" t="n">
        <v>209.8623745460479</v>
      </c>
      <c r="S175" s="45" t="n">
        <v>590836.1931364507</v>
      </c>
      <c r="T175" s="50" t="n"/>
      <c r="U175" s="45" t="n">
        <v>167696.8166666667</v>
      </c>
      <c r="V175" s="45" t="n">
        <v>198109.75</v>
      </c>
    </row>
    <row r="176" ht="12" customHeight="1">
      <c r="A176" s="44" t="n">
        <v>41821</v>
      </c>
      <c r="B176" s="45" t="n">
        <v>33920.41935483871</v>
      </c>
      <c r="C176" s="45" t="n">
        <v>0</v>
      </c>
      <c r="D176" s="45" t="n">
        <v>197.3254838709678</v>
      </c>
      <c r="E176" s="45" t="n">
        <v>6.806451612903226</v>
      </c>
      <c r="F176" s="45" t="n">
        <v>6572.148387096774</v>
      </c>
      <c r="G176" s="45" t="n">
        <v>1832.348387096774</v>
      </c>
      <c r="H176" s="45" t="n">
        <v>32639.39642857143</v>
      </c>
      <c r="I176" s="45" t="n">
        <v>54101.59999999999</v>
      </c>
      <c r="J176" s="45" t="n">
        <v>68604.35483870968</v>
      </c>
      <c r="K176" s="45" t="n">
        <v>23375.16774193548</v>
      </c>
      <c r="L176" s="45" t="n">
        <v>150764.9322580645</v>
      </c>
      <c r="M176" s="45" t="n">
        <v>195552.0322580645</v>
      </c>
      <c r="N176" s="45" t="n">
        <v>3287.129032258064</v>
      </c>
      <c r="O176" s="45" t="n">
        <v>4252.483870967741</v>
      </c>
      <c r="P176" s="45" t="n">
        <v>24649.87096774194</v>
      </c>
      <c r="Q176" s="45" t="n">
        <v>489.0419354838709</v>
      </c>
      <c r="R176" s="45" t="n">
        <v>208.4790486841879</v>
      </c>
      <c r="S176" s="45" t="n">
        <v>600453.5364449976</v>
      </c>
      <c r="T176" s="50" t="n"/>
      <c r="U176" s="45" t="n">
        <v>170687.0322580645</v>
      </c>
      <c r="V176" s="45" t="n">
        <v>198192.9032258065</v>
      </c>
    </row>
    <row r="177" ht="12" customHeight="1">
      <c r="A177" s="44" t="n">
        <v>41852</v>
      </c>
      <c r="B177" s="45" t="n">
        <v>24414.41935483871</v>
      </c>
      <c r="C177" s="45" t="n">
        <v>0</v>
      </c>
      <c r="D177" s="45" t="n">
        <v>154.2622580645161</v>
      </c>
      <c r="E177" s="45" t="n">
        <v>7.683870967741935</v>
      </c>
      <c r="F177" s="45" t="n">
        <v>7080.983870967741</v>
      </c>
      <c r="G177" s="45" t="n">
        <v>1800.099999999999</v>
      </c>
      <c r="H177" s="45" t="n">
        <v>33715.82857142857</v>
      </c>
      <c r="I177" s="45" t="n">
        <v>54460.075</v>
      </c>
      <c r="J177" s="45" t="n">
        <v>69505.11935483871</v>
      </c>
      <c r="K177" s="45" t="n">
        <v>23845.22903225806</v>
      </c>
      <c r="L177" s="45" t="n">
        <v>142524.5129032258</v>
      </c>
      <c r="M177" s="45" t="n">
        <v>204089.4967741936</v>
      </c>
      <c r="N177" s="45" t="n">
        <v>3459.129032258064</v>
      </c>
      <c r="O177" s="45" t="n">
        <v>4539.135483870969</v>
      </c>
      <c r="P177" s="45" t="n">
        <v>25612.33225806451</v>
      </c>
      <c r="Q177" s="45" t="n">
        <v>329.9516129032258</v>
      </c>
      <c r="R177" s="45" t="n">
        <v>212.1982699922862</v>
      </c>
      <c r="S177" s="45" t="n">
        <v>595750.4576478725</v>
      </c>
      <c r="T177" s="50" t="n"/>
      <c r="U177" s="45" t="n">
        <v>163382.5483870968</v>
      </c>
      <c r="V177" s="45" t="n">
        <v>205392.8225806452</v>
      </c>
    </row>
    <row r="178" ht="12" customHeight="1">
      <c r="A178" s="44" t="n">
        <v>41883</v>
      </c>
      <c r="B178" s="45" t="n">
        <v>33154.03333333333</v>
      </c>
      <c r="C178" s="45" t="n">
        <v>0</v>
      </c>
      <c r="D178" s="45" t="n">
        <v>195.3726666666667</v>
      </c>
      <c r="E178" s="45" t="n">
        <v>6.59</v>
      </c>
      <c r="F178" s="45" t="n">
        <v>7188.033333333334</v>
      </c>
      <c r="G178" s="45" t="n">
        <v>1814.966666666666</v>
      </c>
      <c r="H178" s="45" t="n">
        <v>33671.63928571429</v>
      </c>
      <c r="I178" s="45" t="n">
        <v>53284.27857142856</v>
      </c>
      <c r="J178" s="45" t="n">
        <v>68113.63666666667</v>
      </c>
      <c r="K178" s="45" t="n">
        <v>23907.6</v>
      </c>
      <c r="L178" s="45" t="n">
        <v>155754.3133333334</v>
      </c>
      <c r="M178" s="45" t="n">
        <v>189785.23</v>
      </c>
      <c r="N178" s="45" t="n">
        <v>3693.766666666667</v>
      </c>
      <c r="O178" s="45" t="n">
        <v>4383.683333333333</v>
      </c>
      <c r="P178" s="45" t="n">
        <v>23822.8</v>
      </c>
      <c r="Q178" s="45" t="n">
        <v>323.1966666666667</v>
      </c>
      <c r="R178" s="45" t="n">
        <v>215.8290806690749</v>
      </c>
      <c r="S178" s="45" t="n">
        <v>599314.9696044787</v>
      </c>
      <c r="T178" s="50" t="n"/>
      <c r="U178" s="45" t="n">
        <v>167115.55</v>
      </c>
      <c r="V178" s="45" t="n">
        <v>203817.1333333333</v>
      </c>
    </row>
    <row r="179" ht="12" customHeight="1">
      <c r="A179" s="44" t="n">
        <v>41913</v>
      </c>
      <c r="B179" s="45" t="n">
        <v>28837.54838709677</v>
      </c>
      <c r="C179" s="45" t="n">
        <v>0</v>
      </c>
      <c r="D179" s="45" t="n">
        <v>202.0806451612903</v>
      </c>
      <c r="E179" s="45" t="n">
        <v>6.561290322580645</v>
      </c>
      <c r="F179" s="45" t="n">
        <v>7939.174193548387</v>
      </c>
      <c r="G179" s="45" t="n">
        <v>1692.096774193548</v>
      </c>
      <c r="H179" s="45" t="n">
        <v>36476.32857142857</v>
      </c>
      <c r="I179" s="45" t="n">
        <v>55777.45</v>
      </c>
      <c r="J179" s="45" t="n">
        <v>69740.27419354839</v>
      </c>
      <c r="K179" s="45" t="n">
        <v>23924.93870967742</v>
      </c>
      <c r="L179" s="45" t="n">
        <v>153848.3258064516</v>
      </c>
      <c r="M179" s="45" t="n">
        <v>212059.364516129</v>
      </c>
      <c r="N179" s="45" t="n">
        <v>3810.58064516129</v>
      </c>
      <c r="O179" s="45" t="n">
        <v>4805.764516129033</v>
      </c>
      <c r="P179" s="45" t="n">
        <v>26711.52903225806</v>
      </c>
      <c r="Q179" s="45" t="n">
        <v>239.7096774193548</v>
      </c>
      <c r="R179" s="45" t="n">
        <v>227.6451810044512</v>
      </c>
      <c r="S179" s="45" t="n">
        <v>626299.3721395299</v>
      </c>
      <c r="T179" s="50" t="n"/>
      <c r="U179" s="45" t="n">
        <v>169568.5806451613</v>
      </c>
      <c r="V179" s="45" t="n">
        <v>211675.3225806452</v>
      </c>
    </row>
    <row r="180" ht="12" customHeight="1">
      <c r="A180" s="44" t="n">
        <v>41944</v>
      </c>
      <c r="B180" s="45" t="n">
        <v>39052.76666666667</v>
      </c>
      <c r="C180" s="45" t="n">
        <v>0</v>
      </c>
      <c r="D180" s="45" t="n">
        <v>162.53</v>
      </c>
      <c r="E180" s="45" t="n">
        <v>6.723333333333333</v>
      </c>
      <c r="F180" s="45" t="n">
        <v>7753.893333333333</v>
      </c>
      <c r="G180" s="45" t="n">
        <v>1658.873333333333</v>
      </c>
      <c r="H180" s="45" t="n">
        <v>35933.225</v>
      </c>
      <c r="I180" s="45" t="n">
        <v>53417.12857142858</v>
      </c>
      <c r="J180" s="45" t="n">
        <v>69664.14</v>
      </c>
      <c r="K180" s="45" t="n">
        <v>23144.94333333334</v>
      </c>
      <c r="L180" s="45" t="n">
        <v>164848.3366666666</v>
      </c>
      <c r="M180" s="45" t="n">
        <v>190075.5733333333</v>
      </c>
      <c r="N180" s="45" t="n">
        <v>3840.333333333333</v>
      </c>
      <c r="O180" s="45" t="n">
        <v>4872.73</v>
      </c>
      <c r="P180" s="45" t="n">
        <v>26323.12333333333</v>
      </c>
      <c r="Q180" s="45" t="n">
        <v>460.8333333333333</v>
      </c>
      <c r="R180" s="45" t="n">
        <v>235.71127617</v>
      </c>
      <c r="S180" s="45" t="n">
        <v>621450.8648475985</v>
      </c>
      <c r="T180" s="50" t="n"/>
      <c r="U180" s="45" t="n">
        <v>163864.5666666667</v>
      </c>
      <c r="V180" s="45" t="n">
        <v>215681.3166666667</v>
      </c>
    </row>
    <row r="181" ht="12" customHeight="1">
      <c r="A181" s="44" t="n">
        <v>41974</v>
      </c>
      <c r="B181" s="45" t="n">
        <v>34961.35483870967</v>
      </c>
      <c r="C181" s="45" t="n">
        <v>0</v>
      </c>
      <c r="D181" s="45" t="n">
        <v>174.8432258064516</v>
      </c>
      <c r="E181" s="45" t="n">
        <v>6.4</v>
      </c>
      <c r="F181" s="45" t="n">
        <v>8378.145161290322</v>
      </c>
      <c r="G181" s="45" t="n">
        <v>1730.222580645161</v>
      </c>
      <c r="H181" s="45" t="n">
        <v>38142.49642857142</v>
      </c>
      <c r="I181" s="45" t="n">
        <v>55812.60357142857</v>
      </c>
      <c r="J181" s="45" t="n">
        <v>71646.34193548387</v>
      </c>
      <c r="K181" s="45" t="n">
        <v>23121.16129032258</v>
      </c>
      <c r="L181" s="45" t="n">
        <v>158049.6870967742</v>
      </c>
      <c r="M181" s="45" t="n">
        <v>207687.9096774194</v>
      </c>
      <c r="N181" s="45" t="n">
        <v>3538.612903225806</v>
      </c>
      <c r="O181" s="45" t="n">
        <v>5450.961290322581</v>
      </c>
      <c r="P181" s="45" t="n">
        <v>27574</v>
      </c>
      <c r="Q181" s="45" t="n">
        <v>453.4516129032258</v>
      </c>
      <c r="R181" s="45" t="n">
        <v>232.8173138977346</v>
      </c>
      <c r="S181" s="45" t="n">
        <v>636961.008926801</v>
      </c>
      <c r="T181" s="50" t="n"/>
      <c r="U181" s="45" t="n">
        <v>172494.0322580645</v>
      </c>
      <c r="V181" s="45" t="n">
        <v>219407.9838709677</v>
      </c>
    </row>
    <row r="182" ht="12" customHeight="1">
      <c r="A182" s="44" t="n">
        <v>42005</v>
      </c>
      <c r="B182" s="45" t="n">
        <v>38465.74193548387</v>
      </c>
      <c r="C182" s="45" t="n">
        <v>0</v>
      </c>
      <c r="D182" s="45" t="n">
        <v>158.0645161290323</v>
      </c>
      <c r="E182" s="45" t="n">
        <v>5.541935483870968</v>
      </c>
      <c r="F182" s="45" t="n">
        <v>8233.622580645151</v>
      </c>
      <c r="G182" s="45" t="n">
        <v>1693.351612903226</v>
      </c>
      <c r="H182" s="45" t="n">
        <v>33654</v>
      </c>
      <c r="I182" s="45" t="n">
        <v>49584.62903225807</v>
      </c>
      <c r="J182" s="45" t="n">
        <v>68993.31653225806</v>
      </c>
      <c r="K182" s="45" t="n">
        <v>23674.69657258064</v>
      </c>
      <c r="L182" s="45" t="n">
        <v>174666.6612903226</v>
      </c>
      <c r="M182" s="45" t="n">
        <v>200446.4193548387</v>
      </c>
      <c r="N182" s="45" t="n">
        <v>3371.548387096774</v>
      </c>
      <c r="O182" s="45" t="n">
        <v>7002.212903225805</v>
      </c>
      <c r="P182" s="45" t="n">
        <v>26640.9548891129</v>
      </c>
      <c r="Q182" s="45" t="n">
        <v>403.1709677419354</v>
      </c>
      <c r="R182" s="45" t="n">
        <v>278.209853352966</v>
      </c>
      <c r="S182" s="45" t="n">
        <v>637272.1423634335</v>
      </c>
      <c r="T182" s="50" t="n"/>
      <c r="U182" s="45" t="n">
        <v>183465.5322580645</v>
      </c>
      <c r="V182" s="45" t="n">
        <v>218414.2741935484</v>
      </c>
    </row>
    <row r="183" ht="12" customHeight="1">
      <c r="A183" s="44" t="n">
        <v>42036</v>
      </c>
      <c r="B183" s="45" t="n">
        <v>35289.96428571428</v>
      </c>
      <c r="C183" s="45" t="n">
        <v>0</v>
      </c>
      <c r="D183" s="45" t="n">
        <v>160.7142857142857</v>
      </c>
      <c r="E183" s="45" t="n">
        <v>4.778571428571429</v>
      </c>
      <c r="F183" s="45" t="n">
        <v>8120.56071428572</v>
      </c>
      <c r="G183" s="45" t="n">
        <v>1803.196428571429</v>
      </c>
      <c r="H183" s="45" t="n">
        <v>33334.29642857143</v>
      </c>
      <c r="I183" s="45" t="n">
        <v>48072.175</v>
      </c>
      <c r="J183" s="45" t="n">
        <v>68463.0234375</v>
      </c>
      <c r="K183" s="45" t="n">
        <v>23449.99609375</v>
      </c>
      <c r="L183" s="45" t="n">
        <v>176784.25</v>
      </c>
      <c r="M183" s="45" t="n">
        <v>216467.25</v>
      </c>
      <c r="N183" s="45" t="n">
        <v>3472.142857142857</v>
      </c>
      <c r="O183" s="45" t="n">
        <v>6884.903571428571</v>
      </c>
      <c r="P183" s="45" t="n">
        <v>28077.11774553571</v>
      </c>
      <c r="Q183" s="45" t="n">
        <v>392.0758620689655</v>
      </c>
      <c r="R183" s="45" t="n">
        <v>272.7592688789454</v>
      </c>
      <c r="S183" s="45" t="n">
        <v>651049.2045505907</v>
      </c>
      <c r="T183" s="50" t="n"/>
      <c r="U183" s="45" t="n">
        <v>195544.6428571429</v>
      </c>
      <c r="V183" s="45" t="n">
        <v>220727.8928571429</v>
      </c>
    </row>
    <row r="184" ht="12" customHeight="1">
      <c r="A184" s="44" t="n">
        <v>42064</v>
      </c>
      <c r="B184" s="45" t="n">
        <v>30749.70967741936</v>
      </c>
      <c r="C184" s="45" t="n">
        <v>0</v>
      </c>
      <c r="D184" s="45" t="n">
        <v>203.2258064516129</v>
      </c>
      <c r="E184" s="45" t="n">
        <v>4.712903225806452</v>
      </c>
      <c r="F184" s="45" t="n">
        <v>7992.748387096794</v>
      </c>
      <c r="G184" s="45" t="n">
        <v>1667.167741935484</v>
      </c>
      <c r="H184" s="45" t="n">
        <v>32107.1935483871</v>
      </c>
      <c r="I184" s="45" t="n">
        <v>47607.49032258064</v>
      </c>
      <c r="J184" s="45" t="n">
        <v>66862.42137096774</v>
      </c>
      <c r="K184" s="45" t="n">
        <v>22643.40322580645</v>
      </c>
      <c r="L184" s="45" t="n">
        <v>169859.2096774194</v>
      </c>
      <c r="M184" s="45" t="n">
        <v>215924.0806451613</v>
      </c>
      <c r="N184" s="45" t="n">
        <v>3599.612903225806</v>
      </c>
      <c r="O184" s="45" t="n">
        <v>7021.622580645162</v>
      </c>
      <c r="P184" s="45" t="n">
        <v>28262.484375</v>
      </c>
      <c r="Q184" s="45" t="n">
        <v>480.7709677419355</v>
      </c>
      <c r="R184" s="45" t="n">
        <v>269.7561431332086</v>
      </c>
      <c r="S184" s="45" t="n">
        <v>635255.6102761978</v>
      </c>
      <c r="T184" s="50" t="n"/>
      <c r="U184" s="45" t="n">
        <v>189475.3709677419</v>
      </c>
      <c r="V184" s="45" t="n">
        <v>219927.9032258065</v>
      </c>
    </row>
    <row r="185" ht="12" customHeight="1">
      <c r="A185" s="44" t="n">
        <v>42095</v>
      </c>
      <c r="B185" s="45" t="n">
        <v>28781.1</v>
      </c>
      <c r="C185" s="45" t="n">
        <v>0</v>
      </c>
      <c r="D185" s="45" t="n">
        <v>226.6666666666667</v>
      </c>
      <c r="E185" s="45" t="n">
        <v>5.28</v>
      </c>
      <c r="F185" s="45" t="n">
        <v>7614.363333333314</v>
      </c>
      <c r="G185" s="45" t="n">
        <v>1757.226666666667</v>
      </c>
      <c r="H185" s="45" t="n">
        <v>30490.27333333333</v>
      </c>
      <c r="I185" s="45" t="n">
        <v>46282.81666666667</v>
      </c>
      <c r="J185" s="45" t="n">
        <v>65447.33645833333</v>
      </c>
      <c r="K185" s="45" t="n">
        <v>22012.0265625</v>
      </c>
      <c r="L185" s="45" t="n">
        <v>129354.85</v>
      </c>
      <c r="M185" s="45" t="n">
        <v>213984.35</v>
      </c>
      <c r="N185" s="45" t="n">
        <v>3736.366666666667</v>
      </c>
      <c r="O185" s="45" t="n">
        <v>6807.8</v>
      </c>
      <c r="P185" s="45" t="n">
        <v>28889.49036458333</v>
      </c>
      <c r="Q185" s="45" t="n">
        <v>438.6366666666667</v>
      </c>
      <c r="R185" s="45" t="n">
        <v>265.3906288429599</v>
      </c>
      <c r="S185" s="45" t="n">
        <v>586093.9740142598</v>
      </c>
      <c r="T185" s="50" t="n"/>
      <c r="U185" s="45" t="n">
        <v>146220.8333333333</v>
      </c>
      <c r="V185" s="45" t="n">
        <v>218999.9666666667</v>
      </c>
    </row>
    <row r="186" ht="12" customHeight="1">
      <c r="A186" s="44" t="n">
        <v>42125</v>
      </c>
      <c r="B186" s="45" t="n">
        <v>22513.25806451613</v>
      </c>
      <c r="C186" s="45" t="n">
        <v>0</v>
      </c>
      <c r="D186" s="45" t="n">
        <v>190.3225806451613</v>
      </c>
      <c r="E186" s="45" t="n">
        <v>5.974193548387096</v>
      </c>
      <c r="F186" s="45" t="n">
        <v>7198.641935483868</v>
      </c>
      <c r="G186" s="45" t="n">
        <v>1405.916129032258</v>
      </c>
      <c r="H186" s="45" t="n">
        <v>29971.88387096774</v>
      </c>
      <c r="I186" s="45" t="n">
        <v>45656.44838709677</v>
      </c>
      <c r="J186" s="45" t="n">
        <v>62656.97883064516</v>
      </c>
      <c r="K186" s="45" t="n">
        <v>21829.56149193548</v>
      </c>
      <c r="L186" s="45" t="n">
        <v>111482.7419354839</v>
      </c>
      <c r="M186" s="45" t="n">
        <v>202659.2419354839</v>
      </c>
      <c r="N186" s="45" t="n">
        <v>3357.612903225806</v>
      </c>
      <c r="O186" s="45" t="n">
        <v>6624.548387096775</v>
      </c>
      <c r="P186" s="45" t="n">
        <v>27663.62298387097</v>
      </c>
      <c r="Q186" s="45" t="n">
        <v>401.1064516129032</v>
      </c>
      <c r="R186" s="45" t="n">
        <v>271.183479982979</v>
      </c>
      <c r="S186" s="45" t="n">
        <v>543889.0435606282</v>
      </c>
      <c r="T186" s="50" t="n"/>
      <c r="U186" s="45" t="n">
        <v>142400.9838709677</v>
      </c>
      <c r="V186" s="45" t="n">
        <v>194081.7741935484</v>
      </c>
    </row>
    <row r="187" ht="12" customHeight="1">
      <c r="A187" s="44" t="n">
        <v>42156</v>
      </c>
      <c r="B187" s="45" t="n">
        <v>21973.16666666667</v>
      </c>
      <c r="C187" s="45" t="n">
        <v>0</v>
      </c>
      <c r="D187" s="45" t="n">
        <v>193.3333333333333</v>
      </c>
      <c r="E187" s="45" t="n">
        <v>6.6</v>
      </c>
      <c r="F187" s="45" t="n">
        <v>7181.336666666655</v>
      </c>
      <c r="G187" s="45" t="n">
        <v>1726.94</v>
      </c>
      <c r="H187" s="45" t="n">
        <v>29618.50333333333</v>
      </c>
      <c r="I187" s="45" t="n">
        <v>44515.42666666666</v>
      </c>
      <c r="J187" s="45" t="n">
        <v>60543.56041666666</v>
      </c>
      <c r="K187" s="45" t="n">
        <v>21660.91614583333</v>
      </c>
      <c r="L187" s="45" t="n">
        <v>147749.1333333333</v>
      </c>
      <c r="M187" s="45" t="n">
        <v>207478.15</v>
      </c>
      <c r="N187" s="45" t="n">
        <v>3030.833333333333</v>
      </c>
      <c r="O187" s="45" t="n">
        <v>5380.4</v>
      </c>
      <c r="P187" s="45" t="n">
        <v>27420.9671875</v>
      </c>
      <c r="Q187" s="45" t="n">
        <v>405.3</v>
      </c>
      <c r="R187" s="45" t="n">
        <v>273.252565830843</v>
      </c>
      <c r="S187" s="45" t="n">
        <v>579157.8196491642</v>
      </c>
      <c r="T187" s="50" t="n"/>
      <c r="U187" s="45" t="n">
        <v>183270.6666666667</v>
      </c>
      <c r="V187" s="45" t="n">
        <v>196182.1</v>
      </c>
    </row>
    <row r="188" ht="12" customHeight="1">
      <c r="A188" s="44" t="n">
        <v>42186</v>
      </c>
      <c r="B188" s="45" t="n">
        <v>25014.77419354839</v>
      </c>
      <c r="C188" s="45" t="n">
        <v>0</v>
      </c>
      <c r="D188" s="45" t="n">
        <v>183.8709677419355</v>
      </c>
      <c r="E188" s="45" t="n">
        <v>5.925806451612903</v>
      </c>
      <c r="F188" s="45" t="n">
        <v>6951.741935483876</v>
      </c>
      <c r="G188" s="45" t="n">
        <v>609.0354838709677</v>
      </c>
      <c r="H188" s="45" t="n">
        <v>29501.23548387097</v>
      </c>
      <c r="I188" s="45" t="n">
        <v>45376.71612903225</v>
      </c>
      <c r="J188" s="45" t="n">
        <v>60852.39012096774</v>
      </c>
      <c r="K188" s="45" t="n">
        <v>21548.47429435484</v>
      </c>
      <c r="L188" s="45" t="n">
        <v>172996</v>
      </c>
      <c r="M188" s="45" t="n">
        <v>235891.3870967742</v>
      </c>
      <c r="N188" s="45" t="n">
        <v>3014.16129032258</v>
      </c>
      <c r="O188" s="45" t="n">
        <v>6477.064516129032</v>
      </c>
      <c r="P188" s="45" t="n">
        <v>28240.66683467742</v>
      </c>
      <c r="Q188" s="45" t="n">
        <v>395.7612903225806</v>
      </c>
      <c r="R188" s="45" t="n">
        <v>273.1002747275669</v>
      </c>
      <c r="S188" s="45" t="n">
        <v>637332.305718276</v>
      </c>
      <c r="T188" s="50" t="n"/>
      <c r="U188" s="45" t="n">
        <v>207747.5322580645</v>
      </c>
      <c r="V188" s="45" t="n">
        <v>225506.0322580645</v>
      </c>
    </row>
    <row r="189" ht="12" customHeight="1">
      <c r="A189" s="44" t="n">
        <v>42217</v>
      </c>
      <c r="B189" s="45" t="n">
        <v>24080.35483870968</v>
      </c>
      <c r="C189" s="45" t="n">
        <v>0</v>
      </c>
      <c r="D189" s="45" t="n">
        <v>174.1935483870968</v>
      </c>
      <c r="E189" s="45" t="n">
        <v>5.690322580645161</v>
      </c>
      <c r="F189" s="45" t="n">
        <v>6927.251612903211</v>
      </c>
      <c r="G189" s="45" t="n">
        <v>1715.909677419355</v>
      </c>
      <c r="H189" s="45" t="n">
        <v>29800.17741935484</v>
      </c>
      <c r="I189" s="45" t="n">
        <v>47003.05483870968</v>
      </c>
      <c r="J189" s="45" t="n">
        <v>59963.89818548386</v>
      </c>
      <c r="K189" s="45" t="n">
        <v>21432.41330645161</v>
      </c>
      <c r="L189" s="45" t="n">
        <v>183957.4032258065</v>
      </c>
      <c r="M189" s="45" t="n">
        <v>242483.1129032258</v>
      </c>
      <c r="N189" s="45" t="n">
        <v>3075.387096774194</v>
      </c>
      <c r="O189" s="45" t="n">
        <v>7116.506451612903</v>
      </c>
      <c r="P189" s="45" t="n">
        <v>27976.54838709677</v>
      </c>
      <c r="Q189" s="45" t="n">
        <v>394.5419354838709</v>
      </c>
      <c r="R189" s="45" t="n">
        <v>274.118940669539</v>
      </c>
      <c r="S189" s="45" t="n">
        <v>656380.5626906696</v>
      </c>
      <c r="T189" s="50" t="n"/>
      <c r="U189" s="45" t="n">
        <v>229920.9677419355</v>
      </c>
      <c r="V189" s="45" t="n">
        <v>225977.8709677419</v>
      </c>
    </row>
    <row r="190" ht="12" customHeight="1">
      <c r="A190" s="44" t="n">
        <v>42248</v>
      </c>
      <c r="B190" s="45" t="n">
        <v>21222.53333333333</v>
      </c>
      <c r="C190" s="45" t="n">
        <v>0</v>
      </c>
      <c r="D190" s="45" t="n">
        <v>100</v>
      </c>
      <c r="E190" s="45" t="n">
        <v>4.886666666666667</v>
      </c>
      <c r="F190" s="45" t="n">
        <v>7006.26333333334</v>
      </c>
      <c r="G190" s="45" t="n">
        <v>1657.833333333333</v>
      </c>
      <c r="H190" s="45" t="n">
        <v>29754.28333333333</v>
      </c>
      <c r="I190" s="45" t="n">
        <v>46197.59</v>
      </c>
      <c r="J190" s="45" t="n">
        <v>58792.47500000001</v>
      </c>
      <c r="K190" s="45" t="n">
        <v>20811.28645833333</v>
      </c>
      <c r="L190" s="45" t="n">
        <v>128767.7666666667</v>
      </c>
      <c r="M190" s="45" t="n">
        <v>222600.8833333333</v>
      </c>
      <c r="N190" s="45" t="n">
        <v>2911.533333333333</v>
      </c>
      <c r="O190" s="45" t="n">
        <v>6925.966666666666</v>
      </c>
      <c r="P190" s="45" t="n">
        <v>30668.2171875</v>
      </c>
      <c r="Q190" s="45" t="n">
        <v>150.4333333333333</v>
      </c>
      <c r="R190" s="45" t="n">
        <v>269.2901934742987</v>
      </c>
      <c r="S190" s="45" t="n">
        <v>577841.242172641</v>
      </c>
      <c r="T190" s="50" t="n"/>
      <c r="U190" s="45" t="n">
        <v>150024.6333333333</v>
      </c>
      <c r="V190" s="45" t="n">
        <v>220118.3166666667</v>
      </c>
    </row>
    <row r="191" ht="12" customHeight="1">
      <c r="A191" s="44" t="n">
        <v>42278</v>
      </c>
      <c r="B191" s="45" t="n">
        <v>15082.70967741935</v>
      </c>
      <c r="C191" s="45" t="n">
        <v>0</v>
      </c>
      <c r="D191" s="45" t="n">
        <v>93.54838709677419</v>
      </c>
      <c r="E191" s="45" t="n">
        <v>5.738709677419355</v>
      </c>
      <c r="F191" s="45" t="n">
        <v>7068.45161290324</v>
      </c>
      <c r="G191" s="45" t="n">
        <v>1646.664516129032</v>
      </c>
      <c r="H191" s="45" t="n">
        <v>30077.56129032258</v>
      </c>
      <c r="I191" s="45" t="n">
        <v>46815.35161290322</v>
      </c>
      <c r="J191" s="45" t="n">
        <v>59172.40625</v>
      </c>
      <c r="K191" s="45" t="n">
        <v>20678.01310483871</v>
      </c>
      <c r="L191" s="45" t="n">
        <v>138057.2258064516</v>
      </c>
      <c r="M191" s="45" t="n">
        <v>243836.935483871</v>
      </c>
      <c r="N191" s="45" t="n">
        <v>3195.645161290322</v>
      </c>
      <c r="O191" s="45" t="n">
        <v>7571.587096774194</v>
      </c>
      <c r="P191" s="45" t="n">
        <v>30858.75504032258</v>
      </c>
      <c r="Q191" s="45" t="n">
        <v>299.7354838709677</v>
      </c>
      <c r="R191" s="45" t="n">
        <v>272.8672580098071</v>
      </c>
      <c r="S191" s="45" t="n">
        <v>604733.1964918807</v>
      </c>
      <c r="T191" s="50" t="n"/>
      <c r="U191" s="45" t="n">
        <v>180753.6451612903</v>
      </c>
      <c r="V191" s="45" t="n">
        <v>222360.9677419355</v>
      </c>
    </row>
    <row r="192" ht="12" customHeight="1">
      <c r="A192" s="44" t="n">
        <v>42309</v>
      </c>
      <c r="B192" s="45" t="n">
        <v>31336.23333333333</v>
      </c>
      <c r="C192" s="45" t="n">
        <v>0</v>
      </c>
      <c r="D192" s="45" t="n">
        <v>86.66666666666667</v>
      </c>
      <c r="E192" s="45" t="n">
        <v>5.463333333333334</v>
      </c>
      <c r="F192" s="45" t="n">
        <v>7065.256666666662</v>
      </c>
      <c r="G192" s="45" t="n">
        <v>1661.276666666667</v>
      </c>
      <c r="H192" s="45" t="n">
        <v>29841.50333333333</v>
      </c>
      <c r="I192" s="45" t="n">
        <v>46350.48333333333</v>
      </c>
      <c r="J192" s="45" t="n">
        <v>58732.834375</v>
      </c>
      <c r="K192" s="45" t="n">
        <v>20916.1</v>
      </c>
      <c r="L192" s="45" t="n">
        <v>165590.4833333333</v>
      </c>
      <c r="M192" s="45" t="n">
        <v>234349.7</v>
      </c>
      <c r="N192" s="45" t="n">
        <v>3892.333333333333</v>
      </c>
      <c r="O192" s="45" t="n">
        <v>8696.496666666666</v>
      </c>
      <c r="P192" s="45" t="n">
        <v>32475.89635416667</v>
      </c>
      <c r="Q192" s="45" t="n">
        <v>345.4433333333333</v>
      </c>
      <c r="R192" s="45" t="n">
        <v>275.7393957599689</v>
      </c>
      <c r="S192" s="45" t="n">
        <v>641621.9101249267</v>
      </c>
      <c r="T192" s="50" t="n"/>
      <c r="U192" s="45" t="n">
        <v>201759.05</v>
      </c>
      <c r="V192" s="45" t="n">
        <v>222841.3333333333</v>
      </c>
    </row>
    <row r="193" ht="12" customHeight="1">
      <c r="A193" s="44" t="n">
        <v>42339</v>
      </c>
      <c r="B193" s="45" t="n">
        <v>33664.22580645161</v>
      </c>
      <c r="C193" s="45" t="n">
        <v>0</v>
      </c>
      <c r="D193" s="45" t="n">
        <v>109.6774193548387</v>
      </c>
      <c r="E193" s="45" t="n">
        <v>5.293548387096774</v>
      </c>
      <c r="F193" s="45" t="n">
        <v>6977.961290322578</v>
      </c>
      <c r="G193" s="45" t="n">
        <v>1697.583870967742</v>
      </c>
      <c r="H193" s="45" t="n">
        <v>30270.76451612903</v>
      </c>
      <c r="I193" s="45" t="n">
        <v>46211.72903225807</v>
      </c>
      <c r="J193" s="45" t="n">
        <v>58595.41733870968</v>
      </c>
      <c r="K193" s="45" t="n">
        <v>20831.41280241936</v>
      </c>
      <c r="L193" s="45" t="n">
        <v>161472.6290322581</v>
      </c>
      <c r="M193" s="45" t="n">
        <v>244930.7419354839</v>
      </c>
      <c r="N193" s="45" t="n">
        <v>3861.387096774194</v>
      </c>
      <c r="O193" s="45" t="n">
        <v>9272.354838709678</v>
      </c>
      <c r="P193" s="45" t="n">
        <v>34714.63911290323</v>
      </c>
      <c r="Q193" s="45" t="n">
        <v>329.6774193548387</v>
      </c>
      <c r="R193" s="45" t="n">
        <v>273.7820163867531</v>
      </c>
      <c r="S193" s="45" t="n">
        <v>653219.2770768707</v>
      </c>
      <c r="T193" s="50" t="n"/>
      <c r="U193" s="45" t="n">
        <v>204606.3870967742</v>
      </c>
      <c r="V193" s="45" t="n">
        <v>225034.7258064516</v>
      </c>
    </row>
    <row r="194" ht="12" customHeight="1">
      <c r="A194" s="44" t="n">
        <v>42370</v>
      </c>
      <c r="B194" s="45" t="n">
        <v>32753</v>
      </c>
      <c r="C194" s="45" t="n">
        <v>0</v>
      </c>
      <c r="D194" s="45" t="n">
        <v>87.25806451612904</v>
      </c>
      <c r="E194" s="45" t="n">
        <v>4.948387096774193</v>
      </c>
      <c r="F194" s="45" t="n">
        <v>7099.809677419363</v>
      </c>
      <c r="G194" s="45" t="n">
        <v>1584.870967741935</v>
      </c>
      <c r="H194" s="45" t="n">
        <v>29747.12903225806</v>
      </c>
      <c r="I194" s="45" t="n">
        <v>45316.1935483871</v>
      </c>
      <c r="J194" s="45" t="n">
        <v>58012.75504032258</v>
      </c>
      <c r="K194" s="45" t="n">
        <v>20439.83266129032</v>
      </c>
      <c r="L194" s="45" t="n">
        <v>167727.8870967742</v>
      </c>
      <c r="M194" s="45" t="n">
        <v>235124.1290322581</v>
      </c>
      <c r="N194" s="45" t="n">
        <v>4239.83870967742</v>
      </c>
      <c r="O194" s="45" t="n">
        <v>9394.612903225807</v>
      </c>
      <c r="P194" s="45" t="n">
        <v>33972.47429435484</v>
      </c>
      <c r="Q194" s="45" t="n">
        <v>403.1612903225807</v>
      </c>
      <c r="R194" s="45" t="n">
        <v>328.9306451612903</v>
      </c>
      <c r="S194" s="45" t="n">
        <v>646236.8313508064</v>
      </c>
      <c r="T194" s="50" t="n"/>
      <c r="U194" s="45" t="n">
        <v>204441.6451612903</v>
      </c>
      <c r="V194" s="45" t="n">
        <v>222272.4193548387</v>
      </c>
    </row>
    <row r="195" ht="12" customHeight="1">
      <c r="A195" s="44" t="n">
        <v>42401</v>
      </c>
      <c r="B195" s="45" t="n">
        <v>33862.31034482759</v>
      </c>
      <c r="C195" s="45" t="n">
        <v>0</v>
      </c>
      <c r="D195" s="45" t="n">
        <v>88.44827586206897</v>
      </c>
      <c r="E195" s="45" t="n">
        <v>5.248275862068965</v>
      </c>
      <c r="F195" s="45" t="n">
        <v>7072.596551724141</v>
      </c>
      <c r="G195" s="45" t="n">
        <v>1549.886206896552</v>
      </c>
      <c r="H195" s="45" t="n">
        <v>30660.79310344828</v>
      </c>
      <c r="I195" s="45" t="n">
        <v>44528.72413793104</v>
      </c>
      <c r="J195" s="45" t="n">
        <v>56610.71551724138</v>
      </c>
      <c r="K195" s="45" t="n">
        <v>19837.84159482759</v>
      </c>
      <c r="L195" s="45" t="n">
        <v>171201.7586206897</v>
      </c>
      <c r="M195" s="45" t="n">
        <v>228652.1206896552</v>
      </c>
      <c r="N195" s="45" t="n">
        <v>4208.206896551724</v>
      </c>
      <c r="O195" s="45" t="n">
        <v>9752.275862068966</v>
      </c>
      <c r="P195" s="45" t="n">
        <v>33758.05253232759</v>
      </c>
      <c r="Q195" s="45" t="n">
        <v>392.0689655172414</v>
      </c>
      <c r="R195" s="45" t="n">
        <v>328.9306896551724</v>
      </c>
      <c r="S195" s="45" t="n">
        <v>642509.9782650862</v>
      </c>
      <c r="T195" s="50" t="n"/>
      <c r="U195" s="45" t="n">
        <v>203932.5</v>
      </c>
      <c r="V195" s="45" t="n">
        <v>219786.6896551724</v>
      </c>
    </row>
    <row r="196" ht="12" customHeight="1">
      <c r="A196" s="44" t="n">
        <v>42430</v>
      </c>
      <c r="B196" s="45" t="n">
        <v>31806.09677419355</v>
      </c>
      <c r="C196" s="45" t="n">
        <v>0</v>
      </c>
      <c r="D196" s="45" t="n">
        <v>80.03225806451613</v>
      </c>
      <c r="E196" s="45" t="n">
        <v>4.867741935483871</v>
      </c>
      <c r="F196" s="45" t="n">
        <v>7049.780645161289</v>
      </c>
      <c r="G196" s="45" t="n">
        <v>1493.506451612903</v>
      </c>
      <c r="H196" s="45" t="n">
        <v>30328.8064516129</v>
      </c>
      <c r="I196" s="45" t="n">
        <v>43955.54838709677</v>
      </c>
      <c r="J196" s="45" t="n">
        <v>55184.90927419355</v>
      </c>
      <c r="K196" s="45" t="n">
        <v>19504.39314516129</v>
      </c>
      <c r="L196" s="45" t="n">
        <v>156931.2096774194</v>
      </c>
      <c r="M196" s="45" t="n">
        <v>236977.2258064516</v>
      </c>
      <c r="N196" s="45" t="n">
        <v>4275.935483870968</v>
      </c>
      <c r="O196" s="45" t="n">
        <v>9465.322580645161</v>
      </c>
      <c r="P196" s="45" t="n">
        <v>33600.63004032258</v>
      </c>
      <c r="Q196" s="45" t="n">
        <v>480.7741935483871</v>
      </c>
      <c r="R196" s="45" t="n">
        <v>328.9306451612903</v>
      </c>
      <c r="S196" s="45" t="n">
        <v>631467.9695564515</v>
      </c>
      <c r="T196" s="50" t="n"/>
      <c r="U196" s="45" t="n">
        <v>199208.3225806452</v>
      </c>
      <c r="V196" s="45" t="n">
        <v>218157.5967741935</v>
      </c>
    </row>
    <row r="197" ht="12" customHeight="1">
      <c r="A197" s="44" t="n">
        <v>42461</v>
      </c>
      <c r="B197" s="45" t="n">
        <v>30998.13333333334</v>
      </c>
      <c r="C197" s="45" t="n">
        <v>0</v>
      </c>
      <c r="D197" s="45" t="n">
        <v>94.3</v>
      </c>
      <c r="E197" s="45" t="n">
        <v>5.286666666666666</v>
      </c>
      <c r="F197" s="45" t="n">
        <v>6787.86333333333</v>
      </c>
      <c r="G197" s="45" t="n">
        <v>1592.56</v>
      </c>
      <c r="H197" s="45" t="n">
        <v>28902.16666666667</v>
      </c>
      <c r="I197" s="45" t="n">
        <v>43331.1</v>
      </c>
      <c r="J197" s="45" t="n">
        <v>53054.48333333333</v>
      </c>
      <c r="K197" s="45" t="n">
        <v>19061.46041666666</v>
      </c>
      <c r="L197" s="45" t="n">
        <v>97706.75</v>
      </c>
      <c r="M197" s="45" t="n">
        <v>246654.35</v>
      </c>
      <c r="N197" s="45" t="n">
        <v>3987.366666666667</v>
      </c>
      <c r="O197" s="45" t="n">
        <v>9101.799999999999</v>
      </c>
      <c r="P197" s="45" t="n">
        <v>35012.97604166667</v>
      </c>
      <c r="Q197" s="45" t="n">
        <v>438.6333333333333</v>
      </c>
      <c r="R197" s="45" t="n">
        <v>328.9306666666667</v>
      </c>
      <c r="S197" s="45" t="n">
        <v>577058.1604583334</v>
      </c>
      <c r="T197" s="50" t="n"/>
      <c r="U197" s="45" t="n">
        <v>139291.2666666667</v>
      </c>
      <c r="V197" s="45" t="n">
        <v>218569.9</v>
      </c>
    </row>
    <row r="198" ht="12" customHeight="1">
      <c r="A198" s="44" t="n">
        <v>42491</v>
      </c>
      <c r="B198" s="45" t="n">
        <v>32611.41935483871</v>
      </c>
      <c r="C198" s="45" t="n">
        <v>0</v>
      </c>
      <c r="D198" s="45" t="n">
        <v>99.29032258064517</v>
      </c>
      <c r="E198" s="45" t="n">
        <v>5.025806451612904</v>
      </c>
      <c r="F198" s="45" t="n">
        <v>6510.570967741935</v>
      </c>
      <c r="G198" s="45" t="n">
        <v>1524.467741935484</v>
      </c>
      <c r="H198" s="45" t="n">
        <v>27519.03225806452</v>
      </c>
      <c r="I198" s="45" t="n">
        <v>43152.06451612903</v>
      </c>
      <c r="J198" s="45" t="n">
        <v>51055.81451612903</v>
      </c>
      <c r="K198" s="45" t="n">
        <v>18787.81653225806</v>
      </c>
      <c r="L198" s="45" t="n">
        <v>55293.88306451613</v>
      </c>
      <c r="M198" s="45" t="n">
        <v>194251.7741935484</v>
      </c>
      <c r="N198" s="45" t="n">
        <v>3656.741935483871</v>
      </c>
      <c r="O198" s="45" t="n">
        <v>9349.445161290325</v>
      </c>
      <c r="P198" s="45" t="n">
        <v>34180.0841733871</v>
      </c>
      <c r="Q198" s="45" t="n">
        <v>401.0967741935484</v>
      </c>
      <c r="R198" s="45" t="n">
        <v>328.9306451612903</v>
      </c>
      <c r="S198" s="45" t="n">
        <v>478727.4579637098</v>
      </c>
      <c r="T198" s="50" t="n"/>
      <c r="U198" s="45" t="n">
        <v>84611.48387096774</v>
      </c>
      <c r="V198" s="45" t="n">
        <v>169303.935483871</v>
      </c>
    </row>
    <row r="199" ht="12" customHeight="1">
      <c r="A199" s="44" t="n">
        <v>42522</v>
      </c>
      <c r="B199" s="45" t="n">
        <v>23272.13333333334</v>
      </c>
      <c r="C199" s="45" t="n">
        <v>0</v>
      </c>
      <c r="D199" s="45" t="n">
        <v>99.33333333333333</v>
      </c>
      <c r="E199" s="45" t="n">
        <v>4.95</v>
      </c>
      <c r="F199" s="45" t="n">
        <v>6301.519999999996</v>
      </c>
      <c r="G199" s="45" t="n">
        <v>1529.486666666667</v>
      </c>
      <c r="H199" s="45" t="n">
        <v>26272.03333333333</v>
      </c>
      <c r="I199" s="45" t="n">
        <v>44693.83333333334</v>
      </c>
      <c r="J199" s="45" t="n">
        <v>50767.83125</v>
      </c>
      <c r="K199" s="45" t="n">
        <v>18780.35364583333</v>
      </c>
      <c r="L199" s="45" t="n">
        <v>93312.69166666667</v>
      </c>
      <c r="M199" s="45" t="n">
        <v>212613.0166666667</v>
      </c>
      <c r="N199" s="45" t="n">
        <v>3476.666666666667</v>
      </c>
      <c r="O199" s="45" t="n">
        <v>9499.969999999999</v>
      </c>
      <c r="P199" s="45" t="n">
        <v>35156.77552083333</v>
      </c>
      <c r="Q199" s="45" t="n">
        <v>405.3</v>
      </c>
      <c r="R199" s="45" t="n">
        <v>328.9306666666667</v>
      </c>
      <c r="S199" s="45" t="n">
        <v>526514.8260833335</v>
      </c>
      <c r="T199" s="50" t="n"/>
      <c r="U199" s="45" t="n">
        <v>119813.3916666667</v>
      </c>
      <c r="V199" s="45" t="n">
        <v>195517.4833333333</v>
      </c>
    </row>
    <row r="200" ht="12" customHeight="1">
      <c r="A200" s="44" t="n">
        <v>42552</v>
      </c>
      <c r="B200" s="45" t="n">
        <v>24809.32258064516</v>
      </c>
      <c r="C200" s="45" t="n">
        <v>0</v>
      </c>
      <c r="D200" s="45" t="n">
        <v>90.87096774193549</v>
      </c>
      <c r="E200" s="45" t="n">
        <v>4.699999999999999</v>
      </c>
      <c r="F200" s="45" t="n">
        <v>6177.367741935486</v>
      </c>
      <c r="G200" s="45" t="n">
        <v>1610.922580645161</v>
      </c>
      <c r="H200" s="45" t="n">
        <v>25607.54838709677</v>
      </c>
      <c r="I200" s="45" t="n">
        <v>45021.96774193548</v>
      </c>
      <c r="J200" s="45" t="n">
        <v>50540.26713709677</v>
      </c>
      <c r="K200" s="45" t="n">
        <v>18443.09324596774</v>
      </c>
      <c r="L200" s="45" t="n">
        <v>143639.3870967742</v>
      </c>
      <c r="M200" s="45" t="n">
        <v>247932.2741935484</v>
      </c>
      <c r="N200" s="45" t="n">
        <v>3399.16129032258</v>
      </c>
      <c r="O200" s="45" t="n">
        <v>9628.848387096776</v>
      </c>
      <c r="P200" s="45" t="n">
        <v>37165.61592741936</v>
      </c>
      <c r="Q200" s="45" t="n">
        <v>395.7741935483871</v>
      </c>
      <c r="R200" s="45" t="n">
        <v>328.9306451612903</v>
      </c>
      <c r="S200" s="45" t="n">
        <v>614796.0521169355</v>
      </c>
      <c r="T200" s="50" t="n"/>
      <c r="U200" s="45" t="n">
        <v>185592.8709677419</v>
      </c>
      <c r="V200" s="45" t="n">
        <v>223740.1129032258</v>
      </c>
    </row>
    <row r="201" ht="12" customHeight="1">
      <c r="A201" s="44" t="n">
        <v>42583</v>
      </c>
      <c r="B201" s="45" t="n">
        <v>38144.74193548387</v>
      </c>
      <c r="C201" s="45" t="n">
        <v>0</v>
      </c>
      <c r="D201" s="45" t="n">
        <v>106.5806451612903</v>
      </c>
      <c r="E201" s="45" t="n">
        <v>4.725806451612903</v>
      </c>
      <c r="F201" s="45" t="n">
        <v>6139.851612903223</v>
      </c>
      <c r="G201" s="45" t="n">
        <v>1500.88064516129</v>
      </c>
      <c r="H201" s="45" t="n">
        <v>25332.51612903226</v>
      </c>
      <c r="I201" s="45" t="n">
        <v>45257</v>
      </c>
      <c r="J201" s="45" t="n">
        <v>49770.20866935484</v>
      </c>
      <c r="K201" s="45" t="n">
        <v>18320.05141129032</v>
      </c>
      <c r="L201" s="45" t="n">
        <v>168451.5161290323</v>
      </c>
      <c r="M201" s="45" t="n">
        <v>243400.7258064516</v>
      </c>
      <c r="N201" s="45" t="n">
        <v>3499.548387096774</v>
      </c>
      <c r="O201" s="45" t="n">
        <v>9421.58064516129</v>
      </c>
      <c r="P201" s="45" t="n">
        <v>35258.8316532258</v>
      </c>
      <c r="Q201" s="45" t="n">
        <v>394.5483870967742</v>
      </c>
      <c r="R201" s="45" t="n">
        <v>328.9306451612903</v>
      </c>
      <c r="S201" s="45" t="n">
        <v>645332.2385080645</v>
      </c>
      <c r="T201" s="50" t="n"/>
      <c r="U201" s="45" t="n">
        <v>203411.6451612903</v>
      </c>
      <c r="V201" s="45" t="n">
        <v>230976.1935483871</v>
      </c>
    </row>
    <row r="202" ht="12" customHeight="1">
      <c r="A202" s="44" t="n">
        <v>42614</v>
      </c>
      <c r="B202" s="45" t="n">
        <v>37781.26666666667</v>
      </c>
      <c r="C202" s="45" t="n">
        <v>0</v>
      </c>
      <c r="D202" s="45" t="n">
        <v>119.4666666666667</v>
      </c>
      <c r="E202" s="45" t="n">
        <v>4.760000000000001</v>
      </c>
      <c r="F202" s="45" t="n">
        <v>6064.776666666664</v>
      </c>
      <c r="G202" s="45" t="n">
        <v>1549.66</v>
      </c>
      <c r="H202" s="45" t="n">
        <v>26317.76666666667</v>
      </c>
      <c r="I202" s="45" t="n">
        <v>46088.3</v>
      </c>
      <c r="J202" s="45" t="n">
        <v>48933.29270833333</v>
      </c>
      <c r="K202" s="45" t="n">
        <v>18222.98958333333</v>
      </c>
      <c r="L202" s="45" t="n">
        <v>168924.4833333333</v>
      </c>
      <c r="M202" s="45" t="n">
        <v>239836.3833333333</v>
      </c>
      <c r="N202" s="45" t="n">
        <v>3110.9</v>
      </c>
      <c r="O202" s="45" t="n">
        <v>8142.153333333334</v>
      </c>
      <c r="P202" s="45" t="n">
        <v>37260.89010416667</v>
      </c>
      <c r="Q202" s="45" t="n">
        <v>150.4333333333333</v>
      </c>
      <c r="R202" s="45" t="n">
        <v>328.9306666666667</v>
      </c>
      <c r="S202" s="45" t="n">
        <v>642836.4530625001</v>
      </c>
      <c r="T202" s="50" t="n"/>
      <c r="U202" s="45" t="n">
        <v>200552.7833333333</v>
      </c>
      <c r="V202" s="45" t="n">
        <v>230063.75</v>
      </c>
    </row>
    <row r="203" ht="12" customHeight="1">
      <c r="A203" s="44" t="n">
        <v>42644</v>
      </c>
      <c r="B203" s="45" t="n">
        <v>37592.25806451613</v>
      </c>
      <c r="C203" s="45" t="n">
        <v>0</v>
      </c>
      <c r="D203" s="45" t="n">
        <v>91.2258064516129</v>
      </c>
      <c r="E203" s="45" t="n">
        <v>4.596774193548387</v>
      </c>
      <c r="F203" s="45" t="n">
        <v>6002.500000000003</v>
      </c>
      <c r="G203" s="45" t="n">
        <v>1530.9</v>
      </c>
      <c r="H203" s="45" t="n">
        <v>26147.16129032258</v>
      </c>
      <c r="I203" s="45" t="n">
        <v>45970.16129032258</v>
      </c>
      <c r="J203" s="45" t="n">
        <v>49180.5816532258</v>
      </c>
      <c r="K203" s="45" t="n">
        <v>17961.34828629032</v>
      </c>
      <c r="L203" s="45" t="n">
        <v>176209.564516129</v>
      </c>
      <c r="M203" s="45" t="n">
        <v>242808.0806451613</v>
      </c>
      <c r="N203" s="45" t="n">
        <v>3381.677419354839</v>
      </c>
      <c r="O203" s="45" t="n">
        <v>8625.41935483871</v>
      </c>
      <c r="P203" s="45" t="n">
        <v>32475.53477822581</v>
      </c>
      <c r="Q203" s="45" t="n">
        <v>299.741935483871</v>
      </c>
      <c r="R203" s="45" t="n">
        <v>328.9306451612903</v>
      </c>
      <c r="S203" s="45" t="n">
        <v>648609.6824596775</v>
      </c>
      <c r="T203" s="50" t="n"/>
      <c r="U203" s="45" t="n">
        <v>210070.6129032258</v>
      </c>
      <c r="V203" s="45" t="n">
        <v>236210.4193548387</v>
      </c>
    </row>
    <row r="204" ht="12" customHeight="1">
      <c r="A204" s="44" t="n">
        <v>42675</v>
      </c>
      <c r="B204" s="45" t="n">
        <v>39225.73333333333</v>
      </c>
      <c r="C204" s="45" t="n">
        <v>0</v>
      </c>
      <c r="D204" s="45" t="n">
        <v>96.43333333333334</v>
      </c>
      <c r="E204" s="45" t="n">
        <v>4.35</v>
      </c>
      <c r="F204" s="45" t="n">
        <v>5894.023333333335</v>
      </c>
      <c r="G204" s="45" t="n">
        <v>1275.71</v>
      </c>
      <c r="H204" s="45" t="n">
        <v>27909.56666666667</v>
      </c>
      <c r="I204" s="45" t="n">
        <v>47352.06666666667</v>
      </c>
      <c r="J204" s="45" t="n">
        <v>49821.76458333333</v>
      </c>
      <c r="K204" s="45" t="n">
        <v>17647.94010416667</v>
      </c>
      <c r="L204" s="45" t="n">
        <v>194782.9666666667</v>
      </c>
      <c r="M204" s="45" t="n">
        <v>256615.55</v>
      </c>
      <c r="N204" s="45" t="n">
        <v>3498</v>
      </c>
      <c r="O204" s="45" t="n">
        <v>8976.6</v>
      </c>
      <c r="P204" s="45" t="n">
        <v>37462.453125</v>
      </c>
      <c r="Q204" s="45" t="n">
        <v>345.4333333333333</v>
      </c>
      <c r="R204" s="45" t="n">
        <v>328.9306666666667</v>
      </c>
      <c r="S204" s="45" t="n">
        <v>691237.5218125001</v>
      </c>
      <c r="T204" s="50" t="n"/>
      <c r="U204" s="45" t="n">
        <v>231348.9</v>
      </c>
      <c r="V204" s="45" t="n">
        <v>246202.5</v>
      </c>
    </row>
    <row r="205" ht="12" customHeight="1">
      <c r="A205" s="44" t="n">
        <v>42705</v>
      </c>
      <c r="B205" s="45" t="n">
        <v>37157.12903225807</v>
      </c>
      <c r="C205" s="45" t="n">
        <v>0</v>
      </c>
      <c r="D205" s="45" t="n">
        <v>77.93548387096774</v>
      </c>
      <c r="E205" s="45" t="n">
        <v>2.82258064516129</v>
      </c>
      <c r="F205" s="45" t="n">
        <v>5623.88709677419</v>
      </c>
      <c r="G205" s="45" t="n">
        <v>387.4548387096774</v>
      </c>
      <c r="H205" s="45" t="n">
        <v>28539.83870967742</v>
      </c>
      <c r="I205" s="45" t="n">
        <v>47506</v>
      </c>
      <c r="J205" s="45" t="n">
        <v>49695.70766129033</v>
      </c>
      <c r="K205" s="45" t="n">
        <v>17515.92540322581</v>
      </c>
      <c r="L205" s="45" t="n">
        <v>178688.7580645161</v>
      </c>
      <c r="M205" s="45" t="n">
        <v>248088.2903225806</v>
      </c>
      <c r="N205" s="45" t="n">
        <v>3597.096774193548</v>
      </c>
      <c r="O205" s="45" t="n">
        <v>9760.58064516129</v>
      </c>
      <c r="P205" s="45" t="n">
        <v>37386.81199596774</v>
      </c>
      <c r="Q205" s="45" t="n">
        <v>320.258064516129</v>
      </c>
      <c r="R205" s="45" t="n">
        <v>328.9306451612903</v>
      </c>
      <c r="S205" s="45" t="n">
        <v>664677.4273185484</v>
      </c>
      <c r="T205" s="50" t="n"/>
      <c r="U205" s="45" t="n">
        <v>205967.9032258065</v>
      </c>
      <c r="V205" s="45" t="n">
        <v>246612.2580645161</v>
      </c>
    </row>
    <row r="206" ht="12" customHeight="1">
      <c r="A206" s="44" t="n">
        <v>42736</v>
      </c>
      <c r="B206" s="45" t="n">
        <v>40195</v>
      </c>
      <c r="C206" s="45" t="n">
        <v>0</v>
      </c>
      <c r="D206" s="45" t="n">
        <v>79.25806451612904</v>
      </c>
      <c r="E206" s="45" t="n">
        <v>4.051612903225807</v>
      </c>
      <c r="F206" s="45" t="n">
        <v>5691.567741935489</v>
      </c>
      <c r="G206" s="45" t="n">
        <v>327.0741935483871</v>
      </c>
      <c r="H206" s="45" t="n">
        <v>29012.77419354839</v>
      </c>
      <c r="I206" s="45" t="n">
        <v>47140.16129032258</v>
      </c>
      <c r="J206" s="45" t="n">
        <v>50482.1370967742</v>
      </c>
      <c r="K206" s="45" t="n">
        <v>17710.98991935484</v>
      </c>
      <c r="L206" s="45" t="n">
        <v>183284.4193548387</v>
      </c>
      <c r="M206" s="45" t="n">
        <v>260843</v>
      </c>
      <c r="N206" s="45" t="n">
        <v>3436.806451612903</v>
      </c>
      <c r="O206" s="45" t="n">
        <v>9435.612903225807</v>
      </c>
      <c r="P206" s="45" t="n">
        <v>38794.96169354839</v>
      </c>
      <c r="Q206" s="45" t="n">
        <v>346.2903225806452</v>
      </c>
      <c r="R206" s="45" t="n">
        <v>372.0567741935484</v>
      </c>
      <c r="S206" s="45" t="n">
        <v>687156.1616129031</v>
      </c>
      <c r="T206" s="50" t="n"/>
      <c r="U206" s="45" t="n">
        <v>220883</v>
      </c>
      <c r="V206" s="45" t="n">
        <v>251010.435483871</v>
      </c>
    </row>
    <row r="207" ht="12" customHeight="1">
      <c r="A207" s="44" t="n">
        <v>42767</v>
      </c>
      <c r="B207" s="45" t="n">
        <v>37084.14285714286</v>
      </c>
      <c r="C207" s="45" t="n">
        <v>0</v>
      </c>
      <c r="D207" s="45" t="n">
        <v>59.42857142857143</v>
      </c>
      <c r="E207" s="45" t="n">
        <v>4.921428571428572</v>
      </c>
      <c r="F207" s="45" t="n">
        <v>5919.921428571425</v>
      </c>
      <c r="G207" s="45" t="n">
        <v>231.4678571428572</v>
      </c>
      <c r="H207" s="45" t="n">
        <v>30028</v>
      </c>
      <c r="I207" s="45" t="n">
        <v>47580.21428571428</v>
      </c>
      <c r="J207" s="45" t="n">
        <v>51511.9453125</v>
      </c>
      <c r="K207" s="45" t="n">
        <v>17972.15345982143</v>
      </c>
      <c r="L207" s="45" t="n">
        <v>183222.9285714286</v>
      </c>
      <c r="M207" s="45" t="n">
        <v>266872.7857142857</v>
      </c>
      <c r="N207" s="45" t="n">
        <v>3267.392857142857</v>
      </c>
      <c r="O207" s="45" t="n">
        <v>9725</v>
      </c>
      <c r="P207" s="45" t="n">
        <v>38387.54631696428</v>
      </c>
      <c r="Q207" s="45" t="n">
        <v>366.5714285714286</v>
      </c>
      <c r="R207" s="45" t="n">
        <v>372.0567857142857</v>
      </c>
      <c r="S207" s="45" t="n">
        <v>692606.4768750001</v>
      </c>
      <c r="T207" s="50" t="n"/>
      <c r="U207" s="45" t="n">
        <v>227137.6785714286</v>
      </c>
      <c r="V207" s="45" t="n">
        <v>250073.3928571429</v>
      </c>
    </row>
    <row r="208" ht="12" customHeight="1">
      <c r="A208" s="44" t="n">
        <v>42795</v>
      </c>
      <c r="B208" s="45" t="n">
        <v>37744.48387096774</v>
      </c>
      <c r="C208" s="45" t="n">
        <v>0</v>
      </c>
      <c r="D208" s="45" t="n">
        <v>111.2258064516129</v>
      </c>
      <c r="E208" s="45" t="n">
        <v>4.319354838709677</v>
      </c>
      <c r="F208" s="45" t="n">
        <v>5924.432258064518</v>
      </c>
      <c r="G208" s="45" t="n">
        <v>0</v>
      </c>
      <c r="H208" s="45" t="n">
        <v>30981.48387096774</v>
      </c>
      <c r="I208" s="45" t="n">
        <v>47889.93548387097</v>
      </c>
      <c r="J208" s="45" t="n">
        <v>52363.00907258064</v>
      </c>
      <c r="K208" s="45" t="n">
        <v>18201.61239919355</v>
      </c>
      <c r="L208" s="45" t="n">
        <v>153276.3064516129</v>
      </c>
      <c r="M208" s="45" t="n">
        <v>259562.9838709677</v>
      </c>
      <c r="N208" s="45" t="n">
        <v>3323.967741935484</v>
      </c>
      <c r="O208" s="45" t="n">
        <v>9732.096774193549</v>
      </c>
      <c r="P208" s="45" t="n">
        <v>39607.36743951613</v>
      </c>
      <c r="Q208" s="45" t="n">
        <v>340.7741935483871</v>
      </c>
      <c r="R208" s="45" t="n">
        <v>372.0567741935484</v>
      </c>
      <c r="S208" s="45" t="n">
        <v>659436.0553629033</v>
      </c>
      <c r="T208" s="50" t="n"/>
      <c r="U208" s="45" t="n">
        <v>187976.0161290323</v>
      </c>
      <c r="V208" s="45" t="n">
        <v>248336.064516129</v>
      </c>
    </row>
    <row r="209" ht="12" customHeight="1">
      <c r="A209" s="44" t="n">
        <v>42826</v>
      </c>
      <c r="B209" s="45" t="n">
        <v>34328.33333333334</v>
      </c>
      <c r="C209" s="45" t="n">
        <v>0</v>
      </c>
      <c r="D209" s="45" t="n">
        <v>87.33333333333333</v>
      </c>
      <c r="E209" s="45" t="n">
        <v>4.463333333333334</v>
      </c>
      <c r="F209" s="45" t="n">
        <v>6165.053333333335</v>
      </c>
      <c r="G209" s="45" t="n">
        <v>0</v>
      </c>
      <c r="H209" s="45" t="n">
        <v>30736.3</v>
      </c>
      <c r="I209" s="45" t="n">
        <v>47143.76666666667</v>
      </c>
      <c r="J209" s="45" t="n">
        <v>51921.88229166667</v>
      </c>
      <c r="K209" s="45" t="n">
        <v>18102.5203125</v>
      </c>
      <c r="L209" s="45" t="n">
        <v>117131.9666666667</v>
      </c>
      <c r="M209" s="45" t="n">
        <v>245607.7666666667</v>
      </c>
      <c r="N209" s="45" t="n">
        <v>3277.6</v>
      </c>
      <c r="O209" s="45" t="n">
        <v>9034.6</v>
      </c>
      <c r="P209" s="45" t="n">
        <v>39549.4359375</v>
      </c>
      <c r="Q209" s="45" t="n">
        <v>313</v>
      </c>
      <c r="R209" s="45" t="n">
        <v>372.0566666666667</v>
      </c>
      <c r="S209" s="45" t="n">
        <v>603776.0785416666</v>
      </c>
      <c r="T209" s="50" t="n"/>
      <c r="U209" s="45" t="n">
        <v>153942.1</v>
      </c>
      <c r="V209" s="45" t="n">
        <v>226227.8333333333</v>
      </c>
    </row>
    <row r="210" ht="12" customHeight="1">
      <c r="A210" s="44" t="n">
        <v>42856</v>
      </c>
      <c r="B210" s="45" t="n">
        <v>37777.45161290323</v>
      </c>
      <c r="C210" s="45" t="n">
        <v>0</v>
      </c>
      <c r="D210" s="45" t="n">
        <v>111.9032258064516</v>
      </c>
      <c r="E210" s="45" t="n">
        <v>4.66774193548387</v>
      </c>
      <c r="F210" s="45" t="n">
        <v>6062.151612903227</v>
      </c>
      <c r="G210" s="45" t="n">
        <v>0</v>
      </c>
      <c r="H210" s="45" t="n">
        <v>29776.12903225806</v>
      </c>
      <c r="I210" s="45" t="n">
        <v>45611</v>
      </c>
      <c r="J210" s="45" t="n">
        <v>51544.19556451613</v>
      </c>
      <c r="K210" s="45" t="n">
        <v>17660.22883064516</v>
      </c>
      <c r="L210" s="45" t="n">
        <v>142683.6129032258</v>
      </c>
      <c r="M210" s="45" t="n">
        <v>238482.8548387097</v>
      </c>
      <c r="N210" s="45" t="n">
        <v>3326.83870967742</v>
      </c>
      <c r="O210" s="45" t="n">
        <v>9801.23870967742</v>
      </c>
      <c r="P210" s="45" t="n">
        <v>40819.83820564516</v>
      </c>
      <c r="Q210" s="45" t="n">
        <v>334.4516129032258</v>
      </c>
      <c r="R210" s="45" t="n">
        <v>372.0567741935484</v>
      </c>
      <c r="S210" s="45" t="n">
        <v>624368.6193750001</v>
      </c>
      <c r="T210" s="50" t="n"/>
      <c r="U210" s="45" t="n">
        <v>186180.564516129</v>
      </c>
      <c r="V210" s="45" t="n">
        <v>214387.1451612903</v>
      </c>
    </row>
    <row r="211" ht="12" customHeight="1">
      <c r="A211" s="44" t="n">
        <v>42887</v>
      </c>
      <c r="B211" s="45" t="n">
        <v>38279.8</v>
      </c>
      <c r="C211" s="45" t="n">
        <v>0</v>
      </c>
      <c r="D211" s="45" t="n">
        <v>93.09999999999999</v>
      </c>
      <c r="E211" s="45" t="n">
        <v>4.976666666666667</v>
      </c>
      <c r="F211" s="45" t="n">
        <v>5951.103333333332</v>
      </c>
      <c r="G211" s="45" t="n">
        <v>0</v>
      </c>
      <c r="H211" s="45" t="n">
        <v>29799.83333333333</v>
      </c>
      <c r="I211" s="45" t="n">
        <v>46054.93333333333</v>
      </c>
      <c r="J211" s="45" t="n">
        <v>52245.528125</v>
      </c>
      <c r="K211" s="45" t="n">
        <v>17856.98958333333</v>
      </c>
      <c r="L211" s="45" t="n">
        <v>153826.0166666667</v>
      </c>
      <c r="M211" s="45" t="n">
        <v>242861.55</v>
      </c>
      <c r="N211" s="45" t="n">
        <v>3312.033333333333</v>
      </c>
      <c r="O211" s="45" t="n">
        <v>8729.666666666666</v>
      </c>
      <c r="P211" s="45" t="n">
        <v>41223.16302083333</v>
      </c>
      <c r="Q211" s="45" t="n">
        <v>378.1333333333333</v>
      </c>
      <c r="R211" s="45" t="n">
        <v>372.0566666666667</v>
      </c>
      <c r="S211" s="45" t="n">
        <v>640988.8840624999</v>
      </c>
      <c r="T211" s="50" t="n"/>
      <c r="U211" s="45" t="n">
        <v>187310.35</v>
      </c>
      <c r="V211" s="45" t="n">
        <v>230743.0833333333</v>
      </c>
    </row>
    <row r="212" ht="12" customHeight="1">
      <c r="A212" s="44" t="n">
        <v>42917</v>
      </c>
      <c r="B212" s="45" t="n">
        <v>35504.83870967742</v>
      </c>
      <c r="C212" s="45" t="n">
        <v>0</v>
      </c>
      <c r="D212" s="45" t="n">
        <v>87.70967741935483</v>
      </c>
      <c r="E212" s="45" t="n">
        <v>4.658064516129032</v>
      </c>
      <c r="F212" s="45" t="n">
        <v>5982.625806451616</v>
      </c>
      <c r="G212" s="45" t="n">
        <v>0</v>
      </c>
      <c r="H212" s="45" t="n">
        <v>30145.12903225806</v>
      </c>
      <c r="I212" s="45" t="n">
        <v>45714.77419354839</v>
      </c>
      <c r="J212" s="45" t="n">
        <v>51994.10483870967</v>
      </c>
      <c r="K212" s="45" t="n">
        <v>18255.27116935484</v>
      </c>
      <c r="L212" s="45" t="n">
        <v>166817.1451612903</v>
      </c>
      <c r="M212" s="45" t="n">
        <v>261379.6129032258</v>
      </c>
      <c r="N212" s="45" t="n">
        <v>3500.935483870968</v>
      </c>
      <c r="O212" s="45" t="n">
        <v>10856.93548387097</v>
      </c>
      <c r="P212" s="45" t="n">
        <v>44192.0816532258</v>
      </c>
      <c r="Q212" s="45" t="n">
        <v>328.6774193548387</v>
      </c>
      <c r="R212" s="45" t="n">
        <v>372.0567741935484</v>
      </c>
      <c r="S212" s="45" t="n">
        <v>675136.5563709676</v>
      </c>
      <c r="T212" s="50" t="n"/>
      <c r="U212" s="45" t="n">
        <v>211445.1129032258</v>
      </c>
      <c r="V212" s="45" t="n">
        <v>242370.2741935484</v>
      </c>
    </row>
    <row r="213" ht="12" customHeight="1">
      <c r="A213" s="44" t="n">
        <v>42948</v>
      </c>
      <c r="B213" s="45" t="n">
        <v>27488.64516129032</v>
      </c>
      <c r="C213" s="45" t="n">
        <v>0</v>
      </c>
      <c r="D213" s="45" t="n">
        <v>96.61290322580645</v>
      </c>
      <c r="E213" s="45" t="n">
        <v>3.596774193548387</v>
      </c>
      <c r="F213" s="45" t="n">
        <v>6229.606451612904</v>
      </c>
      <c r="G213" s="45" t="n">
        <v>0</v>
      </c>
      <c r="H213" s="45" t="n">
        <v>30649.61290322581</v>
      </c>
      <c r="I213" s="45" t="n">
        <v>46672.35483870967</v>
      </c>
      <c r="J213" s="45" t="n">
        <v>51460.63810483871</v>
      </c>
      <c r="K213" s="45" t="n">
        <v>18491.78679435484</v>
      </c>
      <c r="L213" s="45" t="n">
        <v>187708.3709677419</v>
      </c>
      <c r="M213" s="45" t="n">
        <v>274570.3225806452</v>
      </c>
      <c r="N213" s="45" t="n">
        <v>3682.870967741936</v>
      </c>
      <c r="O213" s="45" t="n">
        <v>12837.09677419355</v>
      </c>
      <c r="P213" s="45" t="n">
        <v>40761</v>
      </c>
      <c r="Q213" s="45" t="n">
        <v>176.0645161290323</v>
      </c>
      <c r="R213" s="45" t="n">
        <v>372.0567741935484</v>
      </c>
      <c r="S213" s="45" t="n">
        <v>701200.6365120969</v>
      </c>
      <c r="T213" s="50" t="n"/>
      <c r="U213" s="45" t="n">
        <v>234303.2096774194</v>
      </c>
      <c r="V213" s="45" t="n">
        <v>254674.8709677419</v>
      </c>
    </row>
    <row r="214" ht="12" customHeight="1">
      <c r="A214" s="44" t="n">
        <v>42979</v>
      </c>
      <c r="B214" s="45" t="n">
        <v>25102.26666666667</v>
      </c>
      <c r="C214" s="45" t="n">
        <v>0</v>
      </c>
      <c r="D214" s="45" t="n">
        <v>92.03333333333333</v>
      </c>
      <c r="E214" s="45" t="n">
        <v>3.386666666666666</v>
      </c>
      <c r="F214" s="45" t="n">
        <v>6317.829999999995</v>
      </c>
      <c r="G214" s="45" t="n">
        <v>0</v>
      </c>
      <c r="H214" s="45" t="n">
        <v>31534.06666666667</v>
      </c>
      <c r="I214" s="45" t="n">
        <v>45591.13333333333</v>
      </c>
      <c r="J214" s="45" t="n">
        <v>52719.89479166667</v>
      </c>
      <c r="K214" s="45" t="n">
        <v>18338.69270833333</v>
      </c>
      <c r="L214" s="45" t="n">
        <v>160360.05</v>
      </c>
      <c r="M214" s="45" t="n">
        <v>268652.3666666666</v>
      </c>
      <c r="N214" s="45" t="n">
        <v>3509.233333333333</v>
      </c>
      <c r="O214" s="45" t="n">
        <v>11955.3</v>
      </c>
      <c r="P214" s="45" t="n">
        <v>44850.9875</v>
      </c>
      <c r="Q214" s="45" t="n">
        <v>278.3333333333333</v>
      </c>
      <c r="R214" s="45" t="n">
        <v>372.0566666666667</v>
      </c>
      <c r="S214" s="45" t="n">
        <v>669677.6316666666</v>
      </c>
      <c r="T214" s="50" t="n"/>
      <c r="U214" s="45" t="n">
        <v>195292.4166666667</v>
      </c>
      <c r="V214" s="45" t="n">
        <v>255674.4333333333</v>
      </c>
    </row>
    <row r="215" ht="12" customHeight="1">
      <c r="A215" s="44" t="n">
        <v>43009</v>
      </c>
      <c r="B215" s="45" t="n">
        <v>34502.35483870967</v>
      </c>
      <c r="C215" s="45" t="n">
        <v>0</v>
      </c>
      <c r="D215" s="45" t="n">
        <v>84.16129032258064</v>
      </c>
      <c r="E215" s="45" t="n">
        <v>3.183870967741936</v>
      </c>
      <c r="F215" s="45" t="n">
        <v>6479.219354838711</v>
      </c>
      <c r="G215" s="45" t="n">
        <v>0</v>
      </c>
      <c r="H215" s="45" t="n">
        <v>31649.90322580645</v>
      </c>
      <c r="I215" s="45" t="n">
        <v>46192.8064516129</v>
      </c>
      <c r="J215" s="45" t="n">
        <v>54016.24294354839</v>
      </c>
      <c r="K215" s="45" t="n">
        <v>17879.97681451613</v>
      </c>
      <c r="L215" s="45" t="n">
        <v>143118.7580645161</v>
      </c>
      <c r="M215" s="45" t="n">
        <v>267540</v>
      </c>
      <c r="N215" s="45" t="n">
        <v>3240.645161290322</v>
      </c>
      <c r="O215" s="45" t="n">
        <v>16207.8064516129</v>
      </c>
      <c r="P215" s="45" t="n">
        <v>47367.54838709677</v>
      </c>
      <c r="Q215" s="45" t="n">
        <v>292.0645161290323</v>
      </c>
      <c r="R215" s="45" t="n">
        <v>372.0567741935484</v>
      </c>
      <c r="S215" s="45" t="n">
        <v>668946.7281451612</v>
      </c>
      <c r="T215" s="50" t="n"/>
      <c r="U215" s="45" t="n">
        <v>173748.0483870968</v>
      </c>
      <c r="V215" s="45" t="n">
        <v>257785.435483871</v>
      </c>
    </row>
    <row r="216" ht="12" customHeight="1">
      <c r="A216" s="44" t="n">
        <v>43040</v>
      </c>
      <c r="B216" s="45" t="n">
        <v>36298.03333333333</v>
      </c>
      <c r="C216" s="45" t="n">
        <v>304.5</v>
      </c>
      <c r="D216" s="45" t="n">
        <v>92</v>
      </c>
      <c r="E216" s="45" t="n">
        <v>3.09</v>
      </c>
      <c r="F216" s="45" t="n">
        <v>6649.246666666663</v>
      </c>
      <c r="G216" s="45" t="n">
        <v>0</v>
      </c>
      <c r="H216" s="45" t="n">
        <v>32322.6</v>
      </c>
      <c r="I216" s="45" t="n">
        <v>45433.83333333334</v>
      </c>
      <c r="J216" s="45" t="n">
        <v>56063.88958333333</v>
      </c>
      <c r="K216" s="45" t="n">
        <v>18631.76979166667</v>
      </c>
      <c r="L216" s="45" t="n">
        <v>172062.4166666667</v>
      </c>
      <c r="M216" s="45" t="n">
        <v>284659.7666666667</v>
      </c>
      <c r="N216" s="45" t="n">
        <v>3390.333333333333</v>
      </c>
      <c r="O216" s="45" t="n">
        <v>16721.86666666666</v>
      </c>
      <c r="P216" s="45" t="n">
        <v>48758.703125</v>
      </c>
      <c r="Q216" s="45" t="n">
        <v>266.8666666666667</v>
      </c>
      <c r="R216" s="45" t="n">
        <v>372.0566666666667</v>
      </c>
      <c r="S216" s="45" t="n">
        <v>722030.9725</v>
      </c>
      <c r="T216" s="50" t="n"/>
      <c r="U216" s="45" t="n">
        <v>225381.3666666667</v>
      </c>
      <c r="V216" s="45" t="n">
        <v>261557.8666666667</v>
      </c>
    </row>
    <row r="217" ht="12" customHeight="1">
      <c r="A217" s="44" t="n">
        <v>43070</v>
      </c>
      <c r="B217" s="45" t="n">
        <v>32818.87096774193</v>
      </c>
      <c r="C217" s="45" t="n">
        <v>3702.870967741936</v>
      </c>
      <c r="D217" s="45" t="n">
        <v>67.90322580645162</v>
      </c>
      <c r="E217" s="45" t="n">
        <v>4.341935483870968</v>
      </c>
      <c r="F217" s="45" t="n">
        <v>6674.554838709684</v>
      </c>
      <c r="G217" s="45" t="n">
        <v>0</v>
      </c>
      <c r="H217" s="45" t="n">
        <v>31986.16129032258</v>
      </c>
      <c r="I217" s="45" t="n">
        <v>44972.96774193548</v>
      </c>
      <c r="J217" s="45" t="n">
        <v>56815.96774193548</v>
      </c>
      <c r="K217" s="45" t="n">
        <v>18694.79637096774</v>
      </c>
      <c r="L217" s="45" t="n">
        <v>195161.4677419355</v>
      </c>
      <c r="M217" s="45" t="n">
        <v>272916.7419354839</v>
      </c>
      <c r="N217" s="45" t="n">
        <v>3273.387096774194</v>
      </c>
      <c r="O217" s="45" t="n">
        <v>18913.06451612903</v>
      </c>
      <c r="P217" s="45" t="n">
        <v>48390.49092741936</v>
      </c>
      <c r="Q217" s="45" t="n">
        <v>285.0967741935484</v>
      </c>
      <c r="R217" s="45" t="n">
        <v>372.0567741935484</v>
      </c>
      <c r="S217" s="45" t="n">
        <v>735050.7408467743</v>
      </c>
      <c r="T217" s="50" t="n"/>
      <c r="U217" s="45" t="n">
        <v>229981.3225806452</v>
      </c>
      <c r="V217" s="45" t="n">
        <v>263566.2419354839</v>
      </c>
    </row>
    <row r="218" ht="12" customHeight="1">
      <c r="A218" s="44" t="n">
        <v>43101</v>
      </c>
      <c r="B218" s="45" t="n">
        <v>31893</v>
      </c>
      <c r="C218" s="45" t="n">
        <v>4045.354838709678</v>
      </c>
      <c r="D218" s="45" t="n">
        <v>75.38709677419355</v>
      </c>
      <c r="E218" s="45" t="n">
        <v>5.932258064516129</v>
      </c>
      <c r="F218" s="45" t="n">
        <v>6671.290322580643</v>
      </c>
      <c r="G218" s="45" t="n">
        <v>0</v>
      </c>
      <c r="H218" s="45" t="n">
        <v>31724.61290322581</v>
      </c>
      <c r="I218" s="45" t="n">
        <v>45022.12903225807</v>
      </c>
      <c r="J218" s="45" t="n">
        <v>56498.74798387097</v>
      </c>
      <c r="K218" s="45" t="n">
        <v>18617</v>
      </c>
      <c r="L218" s="45" t="n">
        <v>165607.435483871</v>
      </c>
      <c r="M218" s="45" t="n">
        <v>277902.3870967742</v>
      </c>
      <c r="N218" s="45" t="n">
        <v>3457.967741935484</v>
      </c>
      <c r="O218" s="45" t="n">
        <v>13939.96774193548</v>
      </c>
      <c r="P218" s="45" t="n">
        <v>48033.02318548387</v>
      </c>
      <c r="Q218" s="45" t="n">
        <v>186.1935483870968</v>
      </c>
      <c r="R218" s="45" t="n">
        <v>487.5025806451613</v>
      </c>
      <c r="S218" s="45" t="n">
        <v>704167.9318145162</v>
      </c>
      <c r="T218" s="50" t="n"/>
      <c r="U218" s="45" t="n">
        <v>205098.6290322581</v>
      </c>
      <c r="V218" s="45" t="n">
        <v>258962.9193548387</v>
      </c>
    </row>
    <row r="219" ht="12" customHeight="1">
      <c r="A219" s="44" t="n">
        <v>43132</v>
      </c>
      <c r="B219" s="45" t="n">
        <v>35508.42857142857</v>
      </c>
      <c r="C219" s="45" t="n">
        <v>6961.5</v>
      </c>
      <c r="D219" s="45" t="n">
        <v>77.82142857142857</v>
      </c>
      <c r="E219" s="45" t="n">
        <v>4.732142857142857</v>
      </c>
      <c r="F219" s="45" t="n">
        <v>6525.107142857145</v>
      </c>
      <c r="G219" s="45" t="n">
        <v>0</v>
      </c>
      <c r="H219" s="45" t="n">
        <v>32306.10714285714</v>
      </c>
      <c r="I219" s="45" t="n">
        <v>45315.53571428572</v>
      </c>
      <c r="J219" s="45" t="n">
        <v>56947.03571428572</v>
      </c>
      <c r="K219" s="45" t="n">
        <v>18797.99665178571</v>
      </c>
      <c r="L219" s="45" t="n">
        <v>179078.7321428571</v>
      </c>
      <c r="M219" s="45" t="n">
        <v>280819.5178571428</v>
      </c>
      <c r="N219" s="45" t="n">
        <v>3305.035714285714</v>
      </c>
      <c r="O219" s="45" t="n">
        <v>13619.17857142857</v>
      </c>
      <c r="P219" s="45" t="n">
        <v>47964.28571428572</v>
      </c>
      <c r="Q219" s="45" t="n">
        <v>242.7857142857143</v>
      </c>
      <c r="R219" s="45" t="n">
        <v>487.5028571428571</v>
      </c>
      <c r="S219" s="45" t="n">
        <v>727961.3030803569</v>
      </c>
      <c r="T219" s="50" t="n"/>
      <c r="U219" s="45" t="n">
        <v>227700.625</v>
      </c>
      <c r="V219" s="45" t="n">
        <v>258032.2321428571</v>
      </c>
    </row>
    <row r="220" ht="12" customHeight="1">
      <c r="A220" s="44" t="n">
        <v>43160</v>
      </c>
      <c r="B220" s="45" t="n">
        <v>31538.77419354839</v>
      </c>
      <c r="C220" s="45" t="n">
        <v>7719.322580645161</v>
      </c>
      <c r="D220" s="45" t="n">
        <v>81.3225806451613</v>
      </c>
      <c r="E220" s="45" t="n">
        <v>5.703225806451614</v>
      </c>
      <c r="F220" s="45" t="n">
        <v>6954.996774193544</v>
      </c>
      <c r="G220" s="45" t="n">
        <v>0</v>
      </c>
      <c r="H220" s="45" t="n">
        <v>34457.32258064516</v>
      </c>
      <c r="I220" s="45" t="n">
        <v>45065.09677419355</v>
      </c>
      <c r="J220" s="45" t="n">
        <v>58136.19254032258</v>
      </c>
      <c r="K220" s="45" t="n">
        <v>18916.67439516129</v>
      </c>
      <c r="L220" s="45" t="n">
        <v>175203.6935483871</v>
      </c>
      <c r="M220" s="45" t="n">
        <v>287445.4193548387</v>
      </c>
      <c r="N220" s="45" t="n">
        <v>3176.451612903226</v>
      </c>
      <c r="O220" s="45" t="n">
        <v>15316.16129032258</v>
      </c>
      <c r="P220" s="45" t="n">
        <v>50548.23891129033</v>
      </c>
      <c r="Q220" s="45" t="n">
        <v>224.9032258064516</v>
      </c>
      <c r="R220" s="45" t="n">
        <v>487.5025806451613</v>
      </c>
      <c r="S220" s="45" t="n">
        <v>735277.7761693548</v>
      </c>
      <c r="T220" s="50" t="n"/>
      <c r="U220" s="45" t="n">
        <v>238194.1290322581</v>
      </c>
      <c r="V220" s="45" t="n">
        <v>249365.8387096774</v>
      </c>
    </row>
    <row r="221" ht="12" customHeight="1">
      <c r="A221" s="44" t="n">
        <v>43191</v>
      </c>
      <c r="B221" s="45" t="n">
        <v>32235.8</v>
      </c>
      <c r="C221" s="45" t="n">
        <v>8620.9</v>
      </c>
      <c r="D221" s="45" t="n">
        <v>84.96666666666667</v>
      </c>
      <c r="E221" s="45" t="n">
        <v>5.053333333333333</v>
      </c>
      <c r="F221" s="45" t="n">
        <v>6962.336666666664</v>
      </c>
      <c r="G221" s="45" t="n">
        <v>0</v>
      </c>
      <c r="H221" s="45" t="n">
        <v>33726.2</v>
      </c>
      <c r="I221" s="45" t="n">
        <v>43751.1</v>
      </c>
      <c r="J221" s="45" t="n">
        <v>59901.97083333333</v>
      </c>
      <c r="K221" s="45" t="n">
        <v>18474.13697916667</v>
      </c>
      <c r="L221" s="45" t="n">
        <v>132286.2166666667</v>
      </c>
      <c r="M221" s="45" t="n">
        <v>279325.3666666666</v>
      </c>
      <c r="N221" s="45" t="n">
        <v>2869.366666666667</v>
      </c>
      <c r="O221" s="45" t="n">
        <v>15749.9</v>
      </c>
      <c r="P221" s="45" t="n">
        <v>47214.03229166667</v>
      </c>
      <c r="Q221" s="45" t="n">
        <v>247.0333333333333</v>
      </c>
      <c r="R221" s="45" t="n">
        <v>487.5026666666666</v>
      </c>
      <c r="S221" s="45" t="n">
        <v>681941.8827708334</v>
      </c>
      <c r="T221" s="50" t="n"/>
      <c r="U221" s="45" t="n">
        <v>180188.7833333333</v>
      </c>
      <c r="V221" s="45" t="n">
        <v>249205.6666666667</v>
      </c>
    </row>
    <row r="222" ht="12" customHeight="1">
      <c r="A222" s="44" t="n">
        <v>43221</v>
      </c>
      <c r="B222" s="45" t="n">
        <v>30263.58064516129</v>
      </c>
      <c r="C222" s="45" t="n">
        <v>11058.25806451613</v>
      </c>
      <c r="D222" s="45" t="n">
        <v>79.61290322580645</v>
      </c>
      <c r="E222" s="45" t="n">
        <v>4.790322580645161</v>
      </c>
      <c r="F222" s="45" t="n">
        <v>6698.441935483873</v>
      </c>
      <c r="G222" s="45" t="n">
        <v>0</v>
      </c>
      <c r="H222" s="45" t="n">
        <v>32180.12903225806</v>
      </c>
      <c r="I222" s="45" t="n">
        <v>44077.51612903226</v>
      </c>
      <c r="J222" s="45" t="n">
        <v>59276.48991935484</v>
      </c>
      <c r="K222" s="45" t="n">
        <v>18574.39969758064</v>
      </c>
      <c r="L222" s="45" t="n">
        <v>152722.0483870968</v>
      </c>
      <c r="M222" s="45" t="n">
        <v>292819.2258064516</v>
      </c>
      <c r="N222" s="45" t="n">
        <v>3249.870967741936</v>
      </c>
      <c r="O222" s="45" t="n">
        <v>16833.77419354839</v>
      </c>
      <c r="P222" s="45" t="n">
        <v>45847.19758064516</v>
      </c>
      <c r="Q222" s="45" t="n">
        <v>0</v>
      </c>
      <c r="R222" s="45" t="n">
        <v>487.5025806451613</v>
      </c>
      <c r="S222" s="45" t="n">
        <v>714172.8381653227</v>
      </c>
      <c r="T222" s="50" t="n"/>
      <c r="U222" s="45" t="n">
        <v>218599.3225806452</v>
      </c>
      <c r="V222" s="45" t="n">
        <v>248474.0322580645</v>
      </c>
    </row>
    <row r="223" ht="12" customHeight="1">
      <c r="A223" s="44" t="n">
        <v>43252</v>
      </c>
      <c r="B223" s="45" t="n">
        <v>27570</v>
      </c>
      <c r="C223" s="45" t="n">
        <v>10911.43333333333</v>
      </c>
      <c r="D223" s="45" t="n">
        <v>87.83333333333333</v>
      </c>
      <c r="E223" s="45" t="n">
        <v>4.89</v>
      </c>
      <c r="F223" s="45" t="n">
        <v>6482.606666666673</v>
      </c>
      <c r="G223" s="45" t="n">
        <v>0</v>
      </c>
      <c r="H223" s="45" t="n">
        <v>30550.03333333333</v>
      </c>
      <c r="I223" s="45" t="n">
        <v>44748.06666666667</v>
      </c>
      <c r="J223" s="45" t="n">
        <v>57677.321875</v>
      </c>
      <c r="K223" s="45" t="n">
        <v>18257.33020833333</v>
      </c>
      <c r="L223" s="45" t="n">
        <v>167408.8166666667</v>
      </c>
      <c r="M223" s="45" t="n">
        <v>281430.7666666667</v>
      </c>
      <c r="N223" s="45" t="n">
        <v>3302.766666666667</v>
      </c>
      <c r="O223" s="45" t="n">
        <v>17037.33</v>
      </c>
      <c r="P223" s="45" t="n">
        <v>47213.590625</v>
      </c>
      <c r="Q223" s="45" t="n">
        <v>0</v>
      </c>
      <c r="R223" s="45" t="n">
        <v>487.5026666666666</v>
      </c>
      <c r="S223" s="45" t="n">
        <v>713170.2887083333</v>
      </c>
      <c r="T223" s="50" t="n"/>
      <c r="U223" s="45" t="n">
        <v>223895.6333333333</v>
      </c>
      <c r="V223" s="45" t="n">
        <v>244533.5333333333</v>
      </c>
    </row>
    <row r="224" ht="12" customHeight="1">
      <c r="A224" s="44" t="n">
        <v>43282</v>
      </c>
      <c r="B224" s="45" t="n">
        <v>30126.61290322581</v>
      </c>
      <c r="C224" s="45" t="n">
        <v>10962.41935483871</v>
      </c>
      <c r="D224" s="45" t="n">
        <v>80.58064516129032</v>
      </c>
      <c r="E224" s="45" t="n">
        <v>4.554838709677419</v>
      </c>
      <c r="F224" s="45" t="n">
        <v>6244.709677419353</v>
      </c>
      <c r="G224" s="45" t="n">
        <v>0</v>
      </c>
      <c r="H224" s="45" t="n">
        <v>30910.54838709677</v>
      </c>
      <c r="I224" s="45" t="n">
        <v>45815.90322580645</v>
      </c>
      <c r="J224" s="45" t="n">
        <v>58065.2752016129</v>
      </c>
      <c r="K224" s="45" t="n">
        <v>18783.3220766129</v>
      </c>
      <c r="L224" s="45" t="n">
        <v>160882.4032258065</v>
      </c>
      <c r="M224" s="45" t="n">
        <v>301040.4193548387</v>
      </c>
      <c r="N224" s="45" t="n">
        <v>3272.870967741936</v>
      </c>
      <c r="O224" s="45" t="n">
        <v>18831.83225806452</v>
      </c>
      <c r="P224" s="45" t="n">
        <v>50028.2752016129</v>
      </c>
      <c r="Q224" s="45" t="n">
        <v>0</v>
      </c>
      <c r="R224" s="45" t="n">
        <v>487.5025806451613</v>
      </c>
      <c r="S224" s="45" t="n">
        <v>735537.2298991936</v>
      </c>
      <c r="T224" s="50" t="n"/>
      <c r="U224" s="45" t="n">
        <v>226183.1935483871</v>
      </c>
      <c r="V224" s="45" t="n">
        <v>256361.4032258065</v>
      </c>
    </row>
    <row r="225" ht="12" customHeight="1">
      <c r="A225" s="44" t="n">
        <v>43313</v>
      </c>
      <c r="B225" s="45" t="n">
        <v>24487.45161290323</v>
      </c>
      <c r="C225" s="45" t="n">
        <v>10957.06451612903</v>
      </c>
      <c r="D225" s="45" t="n">
        <v>80.58064516129032</v>
      </c>
      <c r="E225" s="45" t="n">
        <v>4.196774193548387</v>
      </c>
      <c r="F225" s="45" t="n">
        <v>6396.538709677412</v>
      </c>
      <c r="G225" s="45" t="n">
        <v>0</v>
      </c>
      <c r="H225" s="45" t="n">
        <v>32133.48387096774</v>
      </c>
      <c r="I225" s="45" t="n">
        <v>45581.51612903226</v>
      </c>
      <c r="J225" s="45" t="n">
        <v>59878.45161290323</v>
      </c>
      <c r="K225" s="45" t="n">
        <v>18680.9939516129</v>
      </c>
      <c r="L225" s="45" t="n">
        <v>180377.2258064516</v>
      </c>
      <c r="M225" s="45" t="n">
        <v>316263.0967741936</v>
      </c>
      <c r="N225" s="45" t="n">
        <v>3830.341935483871</v>
      </c>
      <c r="O225" s="45" t="n">
        <v>16997.90322580645</v>
      </c>
      <c r="P225" s="45" t="n">
        <v>54246.83467741936</v>
      </c>
      <c r="Q225" s="45" t="n">
        <v>0</v>
      </c>
      <c r="R225" s="45" t="n">
        <v>487.5025806451613</v>
      </c>
      <c r="S225" s="45" t="n">
        <v>770403.1828225807</v>
      </c>
      <c r="T225" s="50" t="n"/>
      <c r="U225" s="45" t="n">
        <v>261915.9838709677</v>
      </c>
      <c r="V225" s="45" t="n">
        <v>260020.5322580645</v>
      </c>
    </row>
    <row r="226" ht="12" customHeight="1">
      <c r="A226" s="44" t="n">
        <v>43344</v>
      </c>
      <c r="B226" s="45" t="n">
        <v>13743.03333333333</v>
      </c>
      <c r="C226" s="45" t="n">
        <v>10629.06666666667</v>
      </c>
      <c r="D226" s="45" t="n">
        <v>89.93333333333334</v>
      </c>
      <c r="E226" s="45" t="n">
        <v>4.47</v>
      </c>
      <c r="F226" s="45" t="n">
        <v>6582.000000000005</v>
      </c>
      <c r="G226" s="45" t="n">
        <v>0</v>
      </c>
      <c r="H226" s="45" t="n">
        <v>32403.8</v>
      </c>
      <c r="I226" s="45" t="n">
        <v>45604.6</v>
      </c>
      <c r="J226" s="45" t="n">
        <v>59987.99791666667</v>
      </c>
      <c r="K226" s="45" t="n">
        <v>19142.25989583333</v>
      </c>
      <c r="L226" s="45" t="n">
        <v>141441.0833333333</v>
      </c>
      <c r="M226" s="45" t="n">
        <v>309033.1666666667</v>
      </c>
      <c r="N226" s="45" t="n">
        <v>3670.24</v>
      </c>
      <c r="O226" s="45" t="n">
        <v>16854.76666666667</v>
      </c>
      <c r="P226" s="45" t="n">
        <v>51994.49375</v>
      </c>
      <c r="Q226" s="45" t="n">
        <v>0</v>
      </c>
      <c r="R226" s="45" t="n">
        <v>487.5026666666666</v>
      </c>
      <c r="S226" s="45" t="n">
        <v>711668.4142291667</v>
      </c>
      <c r="T226" s="50" t="n"/>
      <c r="U226" s="45" t="n">
        <v>210124.8166666667</v>
      </c>
      <c r="V226" s="45" t="n">
        <v>260144.5333333333</v>
      </c>
    </row>
    <row r="227" ht="12" customHeight="1">
      <c r="A227" s="44" t="n">
        <v>43374</v>
      </c>
      <c r="B227" s="45" t="n">
        <v>20685.32258064516</v>
      </c>
      <c r="C227" s="45" t="n">
        <v>10969.25806451613</v>
      </c>
      <c r="D227" s="45" t="n">
        <v>88.2258064516129</v>
      </c>
      <c r="E227" s="45" t="n">
        <v>4.725806451612903</v>
      </c>
      <c r="F227" s="45" t="n">
        <v>6750.519354838712</v>
      </c>
      <c r="G227" s="45" t="n">
        <v>510.4935483870967</v>
      </c>
      <c r="H227" s="45" t="n">
        <v>32053.06451612903</v>
      </c>
      <c r="I227" s="45" t="n">
        <v>46093.51612903226</v>
      </c>
      <c r="J227" s="45" t="n">
        <v>60621.30745967742</v>
      </c>
      <c r="K227" s="45" t="n">
        <v>19079.01965725806</v>
      </c>
      <c r="L227" s="45" t="n">
        <v>176272.5806451613</v>
      </c>
      <c r="M227" s="45" t="n">
        <v>309494.7096774193</v>
      </c>
      <c r="N227" s="45" t="n">
        <v>3323</v>
      </c>
      <c r="O227" s="45" t="n">
        <v>14822.21935483871</v>
      </c>
      <c r="P227" s="45" t="n">
        <v>55876.78427419355</v>
      </c>
      <c r="Q227" s="45" t="n">
        <v>0</v>
      </c>
      <c r="R227" s="45" t="n">
        <v>487.5025806451613</v>
      </c>
      <c r="S227" s="45" t="n">
        <v>757132.2494556451</v>
      </c>
      <c r="T227" s="50" t="n"/>
      <c r="U227" s="45" t="n">
        <v>257265.3387096774</v>
      </c>
      <c r="V227" s="45" t="n">
        <v>254097.0322580645</v>
      </c>
    </row>
    <row r="228" ht="12" customHeight="1">
      <c r="A228" s="44" t="n">
        <v>43405</v>
      </c>
      <c r="B228" s="45" t="n">
        <v>17628.9</v>
      </c>
      <c r="C228" s="45" t="n">
        <v>11809.03333333333</v>
      </c>
      <c r="D228" s="45" t="n">
        <v>73.23333333333333</v>
      </c>
      <c r="E228" s="45" t="n">
        <v>4.353333333333333</v>
      </c>
      <c r="F228" s="45" t="n">
        <v>6812.130000000002</v>
      </c>
      <c r="G228" s="45" t="n">
        <v>1380.933333333333</v>
      </c>
      <c r="H228" s="45" t="n">
        <v>32798.26666666667</v>
      </c>
      <c r="I228" s="45" t="n">
        <v>46224.1</v>
      </c>
      <c r="J228" s="45" t="n">
        <v>61169.55625</v>
      </c>
      <c r="K228" s="45" t="n">
        <v>18457.29635416666</v>
      </c>
      <c r="L228" s="45" t="n">
        <v>197611.6833333333</v>
      </c>
      <c r="M228" s="45" t="n">
        <v>299619.8666666666</v>
      </c>
      <c r="N228" s="45" t="n">
        <v>3087.623333333333</v>
      </c>
      <c r="O228" s="45" t="n">
        <v>16181.06</v>
      </c>
      <c r="P228" s="45" t="n">
        <v>54287.390625</v>
      </c>
      <c r="Q228" s="45" t="n">
        <v>0</v>
      </c>
      <c r="R228" s="45" t="n">
        <v>487.5026666666666</v>
      </c>
      <c r="S228" s="45" t="n">
        <v>767632.9292291666</v>
      </c>
      <c r="T228" s="50" t="n"/>
      <c r="U228" s="45" t="n">
        <v>286893.6</v>
      </c>
      <c r="V228" s="45" t="n">
        <v>236235.45</v>
      </c>
    </row>
    <row r="229" ht="12" customHeight="1">
      <c r="A229" s="44" t="n">
        <v>43435</v>
      </c>
      <c r="B229" s="45" t="n">
        <v>26045.22580645161</v>
      </c>
      <c r="C229" s="45" t="n">
        <v>12867.41935483871</v>
      </c>
      <c r="D229" s="45" t="n">
        <v>66.41935483870968</v>
      </c>
      <c r="E229" s="45" t="n">
        <v>4.564516129032258</v>
      </c>
      <c r="F229" s="45" t="n">
        <v>7109.129032258059</v>
      </c>
      <c r="G229" s="45" t="n">
        <v>1327.483870967742</v>
      </c>
      <c r="H229" s="45" t="n">
        <v>32046.41935483871</v>
      </c>
      <c r="I229" s="45" t="n">
        <v>46202.77419354839</v>
      </c>
      <c r="J229" s="45" t="n">
        <v>61649.24193548387</v>
      </c>
      <c r="K229" s="45" t="n">
        <v>17852.66129032258</v>
      </c>
      <c r="L229" s="45" t="n">
        <v>186442.1290322581</v>
      </c>
      <c r="M229" s="45" t="n">
        <v>304683.2580645161</v>
      </c>
      <c r="N229" s="45" t="n">
        <v>3053.625806451613</v>
      </c>
      <c r="O229" s="45" t="n">
        <v>15980.5870967742</v>
      </c>
      <c r="P229" s="45" t="n">
        <v>54310.65423387097</v>
      </c>
      <c r="Q229" s="45" t="n">
        <v>0</v>
      </c>
      <c r="R229" s="45" t="n">
        <v>487.5025806451613</v>
      </c>
      <c r="S229" s="45" t="n">
        <v>770129.0955241936</v>
      </c>
      <c r="T229" s="50" t="n"/>
      <c r="U229" s="45" t="n">
        <v>270005.1290322581</v>
      </c>
      <c r="V229" s="45" t="n">
        <v>244932.935483871</v>
      </c>
    </row>
    <row r="230" ht="12" customHeight="1">
      <c r="A230" s="44" t="n">
        <v>43466</v>
      </c>
      <c r="B230" s="45" t="n">
        <v>26649.51612903226</v>
      </c>
      <c r="C230" s="45" t="n">
        <v>13434.93548387097</v>
      </c>
      <c r="D230" s="45" t="n">
        <v>75.38709677419355</v>
      </c>
      <c r="E230" s="45" t="n">
        <v>4.04516129032258</v>
      </c>
      <c r="F230" s="45" t="n">
        <v>7071.503225806454</v>
      </c>
      <c r="G230" s="45" t="n">
        <v>1210.693548387097</v>
      </c>
      <c r="H230" s="45" t="n">
        <v>31492.88064516128</v>
      </c>
      <c r="I230" s="45" t="n">
        <v>46631.34516129032</v>
      </c>
      <c r="J230" s="45" t="n">
        <v>59826.6310483871</v>
      </c>
      <c r="K230" s="45" t="n">
        <v>17595.06754032258</v>
      </c>
      <c r="L230" s="45" t="n">
        <v>192765.2741935484</v>
      </c>
      <c r="M230" s="45" t="n">
        <v>257774.3387096774</v>
      </c>
      <c r="N230" s="45" t="n">
        <v>2770.167741935484</v>
      </c>
      <c r="O230" s="45" t="n">
        <v>13168.28709677419</v>
      </c>
      <c r="P230" s="45" t="n">
        <v>52665.05846774193</v>
      </c>
      <c r="Q230" s="45" t="n">
        <v>0</v>
      </c>
      <c r="R230" s="45" t="n">
        <v>566.4312903225806</v>
      </c>
      <c r="S230" s="45" t="n">
        <v>723701.5625403225</v>
      </c>
      <c r="T230" s="51" t="n"/>
      <c r="U230" s="45" t="n">
        <v>245067.2580645161</v>
      </c>
      <c r="V230" s="45" t="n">
        <v>233918.0322580645</v>
      </c>
    </row>
    <row r="231" ht="12" customHeight="1">
      <c r="A231" s="44" t="n">
        <v>43497</v>
      </c>
      <c r="B231" s="45" t="n">
        <v>28197.82142857143</v>
      </c>
      <c r="C231" s="45" t="n">
        <v>12756.67857142857</v>
      </c>
      <c r="D231" s="45" t="n">
        <v>77.82142857142857</v>
      </c>
      <c r="E231" s="45" t="n">
        <v>3.864285714285714</v>
      </c>
      <c r="F231" s="45" t="n">
        <v>6901.203571428568</v>
      </c>
      <c r="G231" s="45" t="n">
        <v>1194.660714285714</v>
      </c>
      <c r="H231" s="45" t="n">
        <v>31259.92142857143</v>
      </c>
      <c r="I231" s="45" t="n">
        <v>45904.11785714286</v>
      </c>
      <c r="J231" s="45" t="n">
        <v>58609.15513392857</v>
      </c>
      <c r="K231" s="45" t="n">
        <v>17311.20647321429</v>
      </c>
      <c r="L231" s="45" t="n">
        <v>186035.2321428571</v>
      </c>
      <c r="M231" s="45" t="n">
        <v>270904.1964285714</v>
      </c>
      <c r="N231" s="45" t="n">
        <v>2769.2</v>
      </c>
      <c r="O231" s="45" t="n">
        <v>14041.19642857143</v>
      </c>
      <c r="P231" s="45" t="n">
        <v>50442.97767857143</v>
      </c>
      <c r="Q231" s="45" t="n">
        <v>0</v>
      </c>
      <c r="R231" s="45" t="n">
        <v>566.4310714285714</v>
      </c>
      <c r="S231" s="45" t="n">
        <v>726975.6846428572</v>
      </c>
      <c r="T231" s="51" t="n"/>
      <c r="U231" s="45" t="n">
        <v>239773</v>
      </c>
      <c r="V231" s="45" t="n">
        <v>244026.875</v>
      </c>
    </row>
    <row r="232" ht="12" customHeight="1">
      <c r="A232" s="44" t="n">
        <v>43525</v>
      </c>
      <c r="B232" s="45" t="n">
        <v>26095.03225806452</v>
      </c>
      <c r="C232" s="45" t="n">
        <v>15243.06451612903</v>
      </c>
      <c r="D232" s="45" t="n">
        <v>81.3225806451613</v>
      </c>
      <c r="E232" s="45" t="n">
        <v>3.845161290322581</v>
      </c>
      <c r="F232" s="45" t="n">
        <v>7479.816129032261</v>
      </c>
      <c r="G232" s="45" t="n">
        <v>1243.158064516129</v>
      </c>
      <c r="H232" s="45" t="n">
        <v>33049.96451612904</v>
      </c>
      <c r="I232" s="45" t="n">
        <v>46463.07419354839</v>
      </c>
      <c r="J232" s="45" t="n">
        <v>60721.26008064516</v>
      </c>
      <c r="K232" s="45" t="n">
        <v>17725.8966733871</v>
      </c>
      <c r="L232" s="45" t="n">
        <v>185418.1612903226</v>
      </c>
      <c r="M232" s="45" t="n">
        <v>274320.8387096774</v>
      </c>
      <c r="N232" s="45" t="n">
        <v>2760.822580645161</v>
      </c>
      <c r="O232" s="45" t="n">
        <v>14831.16129032259</v>
      </c>
      <c r="P232" s="45" t="n">
        <v>51379.38911290323</v>
      </c>
      <c r="Q232" s="45" t="n">
        <v>0</v>
      </c>
      <c r="R232" s="45" t="n">
        <v>566.4312903225806</v>
      </c>
      <c r="S232" s="45" t="n">
        <v>737383.2384475806</v>
      </c>
      <c r="T232" s="51" t="n"/>
      <c r="U232" s="45" t="n">
        <v>238347.5806451613</v>
      </c>
      <c r="V232" s="45" t="n">
        <v>245887.5483870968</v>
      </c>
    </row>
    <row r="233" ht="12" customHeight="1">
      <c r="A233" s="44" t="n">
        <v>43556</v>
      </c>
      <c r="B233" s="45" t="n">
        <v>25290.76666666667</v>
      </c>
      <c r="C233" s="45" t="n">
        <v>16123.43333333333</v>
      </c>
      <c r="D233" s="45" t="n">
        <v>84.96666666666667</v>
      </c>
      <c r="E233" s="45" t="n">
        <v>4.283333333333333</v>
      </c>
      <c r="F233" s="45" t="n">
        <v>7585.996666666661</v>
      </c>
      <c r="G233" s="45" t="n">
        <v>1188.16</v>
      </c>
      <c r="H233" s="45" t="n">
        <v>32909.72666666666</v>
      </c>
      <c r="I233" s="45" t="n">
        <v>45580.72333333332</v>
      </c>
      <c r="J233" s="45" t="n">
        <v>61607.65833333333</v>
      </c>
      <c r="K233" s="45" t="n">
        <v>17563.75625</v>
      </c>
      <c r="L233" s="45" t="n">
        <v>168891.4666666667</v>
      </c>
      <c r="M233" s="45" t="n">
        <v>302931</v>
      </c>
      <c r="N233" s="45" t="n">
        <v>2763.9</v>
      </c>
      <c r="O233" s="45" t="n">
        <v>16225.41333333334</v>
      </c>
      <c r="P233" s="45" t="n">
        <v>52768.62604166667</v>
      </c>
      <c r="Q233" s="45" t="n">
        <v>0</v>
      </c>
      <c r="R233" s="45" t="n">
        <v>566.4313333333333</v>
      </c>
      <c r="S233" s="45" t="n">
        <v>752086.3086250001</v>
      </c>
      <c r="T233" s="51" t="n"/>
      <c r="U233" s="45" t="n">
        <v>253209.5833333333</v>
      </c>
      <c r="V233" s="45" t="n">
        <v>243034.3166666667</v>
      </c>
    </row>
    <row r="234" ht="12" customHeight="1">
      <c r="A234" s="44" t="n">
        <v>43586</v>
      </c>
      <c r="B234" s="45" t="n">
        <v>24134.90322580645</v>
      </c>
      <c r="C234" s="45" t="n">
        <v>19142.29032258064</v>
      </c>
      <c r="D234" s="45" t="n">
        <v>79.61290322580645</v>
      </c>
      <c r="E234" s="45" t="n">
        <v>4.306451612903226</v>
      </c>
      <c r="F234" s="45" t="n">
        <v>7197.832258064515</v>
      </c>
      <c r="G234" s="45" t="n">
        <v>1205.58064516129</v>
      </c>
      <c r="H234" s="45" t="n">
        <v>31634.64193548387</v>
      </c>
      <c r="I234" s="45" t="n">
        <v>45570.39677419355</v>
      </c>
      <c r="J234" s="45" t="n">
        <v>59055.2620967742</v>
      </c>
      <c r="K234" s="45" t="n">
        <v>17921.40625</v>
      </c>
      <c r="L234" s="45" t="n">
        <v>166040.1612903226</v>
      </c>
      <c r="M234" s="45" t="n">
        <v>280539.6774193548</v>
      </c>
      <c r="N234" s="45" t="n">
        <v>2253.296774193548</v>
      </c>
      <c r="O234" s="45" t="n">
        <v>14786.27741935484</v>
      </c>
      <c r="P234" s="45" t="n">
        <v>54149.06754032258</v>
      </c>
      <c r="Q234" s="45" t="n">
        <v>0</v>
      </c>
      <c r="R234" s="45" t="n">
        <v>566.4312903225806</v>
      </c>
      <c r="S234" s="45" t="n">
        <v>724281.1445967741</v>
      </c>
      <c r="T234" s="51" t="n"/>
      <c r="U234" s="45" t="n">
        <v>244727.5806451613</v>
      </c>
      <c r="V234" s="45" t="n">
        <v>228157.7096774194</v>
      </c>
    </row>
    <row r="235" ht="12" customHeight="1">
      <c r="A235" s="44" t="n">
        <v>43617</v>
      </c>
      <c r="B235" s="45" t="n">
        <v>28110.46666666667</v>
      </c>
      <c r="C235" s="45" t="n">
        <v>18262.46666666667</v>
      </c>
      <c r="D235" s="45" t="n">
        <v>87.83333333333333</v>
      </c>
      <c r="E235" s="45" t="n">
        <v>3.066666666666667</v>
      </c>
      <c r="F235" s="45" t="n">
        <v>6895.063333333336</v>
      </c>
      <c r="G235" s="45" t="n">
        <v>1169.22</v>
      </c>
      <c r="H235" s="45" t="n">
        <v>30320.32</v>
      </c>
      <c r="I235" s="45" t="n">
        <v>42705.81333333333</v>
      </c>
      <c r="J235" s="45" t="n">
        <v>58094.265625</v>
      </c>
      <c r="K235" s="45" t="n">
        <v>17872.24635416667</v>
      </c>
      <c r="L235" s="45" t="n">
        <v>182296.8666666667</v>
      </c>
      <c r="M235" s="45" t="n">
        <v>290933.6333333334</v>
      </c>
      <c r="N235" s="45" t="n">
        <v>2558.84</v>
      </c>
      <c r="O235" s="45" t="n">
        <v>16026.37333333334</v>
      </c>
      <c r="P235" s="45" t="n">
        <v>51679.59791666667</v>
      </c>
      <c r="Q235" s="45" t="n">
        <v>0</v>
      </c>
      <c r="R235" s="45" t="n">
        <v>566.4313333333333</v>
      </c>
      <c r="S235" s="45" t="n">
        <v>747582.5045624999</v>
      </c>
      <c r="T235" s="51" t="n"/>
      <c r="U235" s="45" t="n">
        <v>257109.2666666667</v>
      </c>
      <c r="V235" s="45" t="n">
        <v>243143.3</v>
      </c>
    </row>
    <row r="236" ht="12" customHeight="1">
      <c r="A236" s="44" t="n">
        <v>43647</v>
      </c>
      <c r="B236" s="45" t="n">
        <v>18609.09677419355</v>
      </c>
      <c r="C236" s="45" t="n">
        <v>18424.45161290323</v>
      </c>
      <c r="D236" s="45" t="n">
        <v>78.96774193548387</v>
      </c>
      <c r="E236" s="45" t="n">
        <v>3.732258064516129</v>
      </c>
      <c r="F236" s="45" t="n">
        <v>6720.390322580644</v>
      </c>
      <c r="G236" s="45" t="n">
        <v>1159.432258064516</v>
      </c>
      <c r="H236" s="45" t="n">
        <v>29788.67419354838</v>
      </c>
      <c r="I236" s="45" t="n">
        <v>44514.03225806452</v>
      </c>
      <c r="J236" s="45" t="n">
        <v>58528.29233870967</v>
      </c>
      <c r="K236" s="45" t="n">
        <v>17762.9904233871</v>
      </c>
      <c r="L236" s="45" t="n">
        <v>198049.1290322581</v>
      </c>
      <c r="M236" s="45" t="n">
        <v>281403.8064516129</v>
      </c>
      <c r="N236" s="45" t="n">
        <v>2669.751612903226</v>
      </c>
      <c r="O236" s="45" t="n">
        <v>14878.4064516129</v>
      </c>
      <c r="P236" s="45" t="n">
        <v>52306.90725806452</v>
      </c>
      <c r="Q236" s="45" t="n">
        <v>0</v>
      </c>
      <c r="R236" s="45" t="n">
        <v>566.4312903225806</v>
      </c>
      <c r="S236" s="45" t="n">
        <v>745464.4922782257</v>
      </c>
      <c r="T236" s="51" t="n"/>
      <c r="U236" s="45" t="n">
        <v>263648.1451612903</v>
      </c>
      <c r="V236" s="45" t="n">
        <v>243611.2903225806</v>
      </c>
    </row>
    <row r="237" ht="12" customHeight="1">
      <c r="A237" s="44" t="n">
        <v>43678</v>
      </c>
      <c r="B237" s="45" t="n">
        <v>10807.67741935484</v>
      </c>
      <c r="C237" s="45" t="n">
        <v>20828.16129032258</v>
      </c>
      <c r="D237" s="45" t="n">
        <v>81.19354838709677</v>
      </c>
      <c r="E237" s="45" t="n">
        <v>4.264516129032257</v>
      </c>
      <c r="F237" s="45" t="n">
        <v>6779.400000000002</v>
      </c>
      <c r="G237" s="45" t="n">
        <v>1163.7</v>
      </c>
      <c r="H237" s="45" t="n">
        <v>29990.41612903226</v>
      </c>
      <c r="I237" s="45" t="n">
        <v>45545.5129032258</v>
      </c>
      <c r="J237" s="45" t="n">
        <v>58261.2933467742</v>
      </c>
      <c r="K237" s="45" t="n">
        <v>18164.04233870968</v>
      </c>
      <c r="L237" s="45" t="n">
        <v>192890.2258064516</v>
      </c>
      <c r="M237" s="45" t="n">
        <v>290526.6774193548</v>
      </c>
      <c r="N237" s="45" t="n">
        <v>2479.932258064516</v>
      </c>
      <c r="O237" s="45" t="n">
        <v>15325</v>
      </c>
      <c r="P237" s="45" t="n">
        <v>55142.16330645161</v>
      </c>
      <c r="Q237" s="45" t="n">
        <v>0</v>
      </c>
      <c r="R237" s="45" t="n">
        <v>566.4312903225806</v>
      </c>
      <c r="S237" s="45" t="n">
        <v>748556.0915725806</v>
      </c>
      <c r="T237" s="50" t="n"/>
      <c r="U237" s="45" t="n">
        <v>267738.1612903226</v>
      </c>
      <c r="V237" s="45" t="n">
        <v>243613.5806451613</v>
      </c>
    </row>
    <row r="238" ht="12" customHeight="1">
      <c r="A238" s="44" t="n">
        <v>43709</v>
      </c>
      <c r="B238" s="45" t="n">
        <v>13720.53333333333</v>
      </c>
      <c r="C238" s="45" t="n">
        <v>14136.03333333333</v>
      </c>
      <c r="D238" s="45" t="n">
        <v>89.93333333333334</v>
      </c>
      <c r="E238" s="45" t="n">
        <v>4.256666666666667</v>
      </c>
      <c r="F238" s="45" t="n">
        <v>6643.900000000002</v>
      </c>
      <c r="G238" s="45" t="n">
        <v>1132.136666666667</v>
      </c>
      <c r="H238" s="45" t="n">
        <v>29662.19</v>
      </c>
      <c r="I238" s="45" t="n">
        <v>46220.79</v>
      </c>
      <c r="J238" s="45" t="n">
        <v>58104.996875</v>
      </c>
      <c r="K238" s="45" t="n">
        <v>18262.85</v>
      </c>
      <c r="L238" s="45" t="n">
        <v>153904.0333333333</v>
      </c>
      <c r="M238" s="45" t="n">
        <v>314077.6333333334</v>
      </c>
      <c r="N238" s="45" t="n">
        <v>2434.866666666667</v>
      </c>
      <c r="O238" s="45" t="n">
        <v>15517.95333333334</v>
      </c>
      <c r="P238" s="45" t="n">
        <v>54198.68958333333</v>
      </c>
      <c r="Q238" s="45" t="n">
        <v>0</v>
      </c>
      <c r="R238" s="45" t="n">
        <v>566.4313333333333</v>
      </c>
      <c r="S238" s="45" t="n">
        <v>728677.2277916668</v>
      </c>
      <c r="T238" s="50" t="n"/>
      <c r="U238" s="45" t="n">
        <v>234917.95</v>
      </c>
      <c r="V238" s="45" t="n">
        <v>255605.45</v>
      </c>
    </row>
    <row r="239" ht="12" customHeight="1">
      <c r="A239" s="44" t="n">
        <v>43739</v>
      </c>
      <c r="B239" s="45" t="n">
        <v>28720.77419354839</v>
      </c>
      <c r="C239" s="45" t="n">
        <v>21849.87096774194</v>
      </c>
      <c r="D239" s="45" t="n">
        <v>88.2258064516129</v>
      </c>
      <c r="E239" s="45" t="n">
        <v>3.674193548387097</v>
      </c>
      <c r="F239" s="45" t="n">
        <v>6763.954838709677</v>
      </c>
      <c r="G239" s="45" t="n">
        <v>1143.396774193548</v>
      </c>
      <c r="H239" s="45" t="n">
        <v>30469.37419354838</v>
      </c>
      <c r="I239" s="45" t="n">
        <v>48283.72580645161</v>
      </c>
      <c r="J239" s="45" t="n">
        <v>59156.17036290323</v>
      </c>
      <c r="K239" s="45" t="n">
        <v>18075.38004032258</v>
      </c>
      <c r="L239" s="45" t="n">
        <v>143370.9032258065</v>
      </c>
      <c r="M239" s="45" t="n">
        <v>316054.8387096774</v>
      </c>
      <c r="N239" s="45" t="n">
        <v>2454.135483870968</v>
      </c>
      <c r="O239" s="45" t="n">
        <v>15101.76774193549</v>
      </c>
      <c r="P239" s="45" t="n">
        <v>54417.83467741936</v>
      </c>
      <c r="Q239" s="45" t="n">
        <v>0</v>
      </c>
      <c r="R239" s="45" t="n">
        <v>566.4312903225806</v>
      </c>
      <c r="S239" s="45" t="n">
        <v>746520.4583064516</v>
      </c>
      <c r="T239" s="50" t="n"/>
      <c r="U239" s="45" t="n">
        <v>215383.6451612903</v>
      </c>
      <c r="V239" s="45" t="n">
        <v>263539.6935483871</v>
      </c>
    </row>
    <row r="240" ht="12" customHeight="1">
      <c r="A240" s="44" t="n">
        <v>43770</v>
      </c>
      <c r="B240" s="45" t="n">
        <v>32296.06666666667</v>
      </c>
      <c r="C240" s="45" t="n">
        <v>21890.7</v>
      </c>
      <c r="D240" s="45" t="n">
        <v>73.23333333333333</v>
      </c>
      <c r="E240" s="45" t="n">
        <v>4.146666666666667</v>
      </c>
      <c r="F240" s="45" t="n">
        <v>6967.546666666673</v>
      </c>
      <c r="G240" s="45" t="n">
        <v>1283.963333333333</v>
      </c>
      <c r="H240" s="45" t="n">
        <v>31685.38</v>
      </c>
      <c r="I240" s="45" t="n">
        <v>47881.43000000001</v>
      </c>
      <c r="J240" s="45" t="n">
        <v>60513.40833333333</v>
      </c>
      <c r="K240" s="45" t="n">
        <v>18118.47395833333</v>
      </c>
      <c r="L240" s="45" t="n">
        <v>162833.2</v>
      </c>
      <c r="M240" s="45" t="n">
        <v>311931.9</v>
      </c>
      <c r="N240" s="45" t="n">
        <v>2442.83</v>
      </c>
      <c r="O240" s="45" t="n">
        <v>15320.96</v>
      </c>
      <c r="P240" s="45" t="n">
        <v>57774.06979166667</v>
      </c>
      <c r="Q240" s="45" t="n">
        <v>0</v>
      </c>
      <c r="R240" s="45" t="n">
        <v>566.4313333333333</v>
      </c>
      <c r="S240" s="45" t="n">
        <v>771583.7400833333</v>
      </c>
      <c r="T240" s="50" t="n"/>
      <c r="U240" s="45" t="n">
        <v>237827.7166666667</v>
      </c>
      <c r="V240" s="45" t="n">
        <v>258475.9666666667</v>
      </c>
      <c r="X240" s="52" t="n"/>
    </row>
    <row r="241" ht="12" customHeight="1">
      <c r="A241" s="44" t="n">
        <v>43800</v>
      </c>
      <c r="B241" s="45" t="n">
        <v>24280.61290322581</v>
      </c>
      <c r="C241" s="45" t="n">
        <v>20275.45161290323</v>
      </c>
      <c r="D241" s="45" t="n">
        <v>82.03225806451613</v>
      </c>
      <c r="E241" s="45" t="n">
        <v>4.014860215053764</v>
      </c>
      <c r="F241" s="45" t="n">
        <v>7160.490322580651</v>
      </c>
      <c r="G241" s="45" t="n">
        <v>1217.416129032258</v>
      </c>
      <c r="H241" s="45" t="n">
        <v>31638.86451612903</v>
      </c>
      <c r="I241" s="45" t="n">
        <v>48646.29032258064</v>
      </c>
      <c r="J241" s="45" t="n">
        <v>62348.11088709677</v>
      </c>
      <c r="K241" s="45" t="n">
        <v>17965.11592741936</v>
      </c>
      <c r="L241" s="45" t="n">
        <v>186406.4677419355</v>
      </c>
      <c r="M241" s="45" t="n">
        <v>313727.5161290322</v>
      </c>
      <c r="N241" s="45" t="n">
        <v>2473.003225806452</v>
      </c>
      <c r="O241" s="45" t="n">
        <v>15860.1870967742</v>
      </c>
      <c r="P241" s="45" t="n">
        <v>55554.91633064516</v>
      </c>
      <c r="Q241" s="45" t="n">
        <v>0</v>
      </c>
      <c r="R241" s="45" t="n">
        <v>566.4312903225806</v>
      </c>
      <c r="S241" s="45" t="n">
        <v>788206.9215537634</v>
      </c>
      <c r="T241" s="50" t="n"/>
      <c r="U241" s="45" t="n">
        <v>260094.6129032258</v>
      </c>
      <c r="V241" s="45" t="n">
        <v>265931.3870967742</v>
      </c>
      <c r="X241" s="52" t="n"/>
    </row>
    <row r="242" ht="12" customHeight="1">
      <c r="A242" s="44" t="n">
        <v>43831</v>
      </c>
      <c r="B242" s="45" t="n">
        <v>25158.87096774194</v>
      </c>
      <c r="C242" s="45" t="n">
        <v>21333.45161290323</v>
      </c>
      <c r="D242" s="45" t="n">
        <v>80.38709677419355</v>
      </c>
      <c r="E242" s="45" t="n">
        <v>5.296774193548386</v>
      </c>
      <c r="F242" s="45" t="n">
        <v>6934.064516129034</v>
      </c>
      <c r="G242" s="45" t="n">
        <v>1196.18064516129</v>
      </c>
      <c r="H242" s="45" t="n">
        <v>30317.08064516129</v>
      </c>
      <c r="I242" s="45" t="n">
        <v>48089.80322580645</v>
      </c>
      <c r="J242" s="45" t="n">
        <v>58245.1935483871</v>
      </c>
      <c r="K242" s="45" t="n">
        <v>19156.22631048387</v>
      </c>
      <c r="L242" s="45" t="n">
        <v>188797.1451612903</v>
      </c>
      <c r="M242" s="45" t="n">
        <v>294281.3548387097</v>
      </c>
      <c r="N242" s="45" t="n">
        <v>2383</v>
      </c>
      <c r="O242" s="45" t="n">
        <v>14955.32903225807</v>
      </c>
      <c r="P242" s="45" t="n">
        <v>51470.23689516129</v>
      </c>
      <c r="Q242" s="45" t="n">
        <v>0</v>
      </c>
      <c r="R242" s="45" t="n">
        <v>490.351935483871</v>
      </c>
      <c r="S242" s="45" t="n">
        <v>762893.9732056452</v>
      </c>
      <c r="T242" s="50" t="n"/>
      <c r="U242" s="45" t="n">
        <v>247374.4032258065</v>
      </c>
      <c r="V242" s="45" t="n">
        <v>260059.6129032258</v>
      </c>
      <c r="X242" s="52" t="n"/>
    </row>
    <row r="243" ht="12" customHeight="1">
      <c r="A243" s="44" t="n">
        <v>43862</v>
      </c>
      <c r="B243" s="45" t="n">
        <v>24360.20689655172</v>
      </c>
      <c r="C243" s="45" t="n">
        <v>22569.48275862069</v>
      </c>
      <c r="D243" s="45" t="n">
        <v>83.13793103448276</v>
      </c>
      <c r="E243" s="45" t="n">
        <v>5.620689655172414</v>
      </c>
      <c r="F243" s="45" t="n">
        <v>6986.317241379315</v>
      </c>
      <c r="G243" s="45" t="n">
        <v>1183.913793103448</v>
      </c>
      <c r="H243" s="45" t="n">
        <v>30980.04827586207</v>
      </c>
      <c r="I243" s="45" t="n">
        <v>48820.44482758621</v>
      </c>
      <c r="J243" s="45" t="n">
        <v>61014.55926724138</v>
      </c>
      <c r="K243" s="45" t="n">
        <v>19397.36206896552</v>
      </c>
      <c r="L243" s="45" t="n">
        <v>189320.8793103448</v>
      </c>
      <c r="M243" s="45" t="n">
        <v>298636.8620689655</v>
      </c>
      <c r="N243" s="45" t="n">
        <v>2390.448275862069</v>
      </c>
      <c r="O243" s="45" t="n">
        <v>15437.3</v>
      </c>
      <c r="P243" s="45" t="n">
        <v>55127.6411637931</v>
      </c>
      <c r="Q243" s="45" t="n">
        <v>0</v>
      </c>
      <c r="R243" s="45" t="n">
        <v>490.3520689655172</v>
      </c>
      <c r="S243" s="45" t="n">
        <v>776804.5766379312</v>
      </c>
      <c r="T243" s="50" t="n"/>
      <c r="U243" s="45" t="n">
        <v>257035.8275862069</v>
      </c>
      <c r="V243" s="45" t="n">
        <v>257049.8620689655</v>
      </c>
      <c r="X243" s="52" t="n"/>
    </row>
    <row r="244" ht="12" customHeight="1">
      <c r="A244" s="44" t="n">
        <v>43891</v>
      </c>
      <c r="B244" s="45" t="n">
        <v>24983.64516129032</v>
      </c>
      <c r="C244" s="45" t="n">
        <v>23244.74193548387</v>
      </c>
      <c r="D244" s="45" t="n">
        <v>80.06451612903226</v>
      </c>
      <c r="E244" s="45" t="n">
        <v>5.341935483870968</v>
      </c>
      <c r="F244" s="45" t="n">
        <v>7218.225806451607</v>
      </c>
      <c r="G244" s="45" t="n">
        <v>1156.412903225807</v>
      </c>
      <c r="H244" s="45" t="n">
        <v>32428.13225806451</v>
      </c>
      <c r="I244" s="45" t="n">
        <v>47370.81612903226</v>
      </c>
      <c r="J244" s="45" t="n">
        <v>59631.93245967742</v>
      </c>
      <c r="K244" s="45" t="n">
        <v>18693.46118951613</v>
      </c>
      <c r="L244" s="45" t="n">
        <v>184611.6451612903</v>
      </c>
      <c r="M244" s="45" t="n">
        <v>293294.4193548387</v>
      </c>
      <c r="N244" s="45" t="n">
        <v>2398.967741935485</v>
      </c>
      <c r="O244" s="45" t="n">
        <v>17363.82258064516</v>
      </c>
      <c r="P244" s="45" t="n">
        <v>52641.28326612903</v>
      </c>
      <c r="Q244" s="45" t="n">
        <v>0</v>
      </c>
      <c r="R244" s="45" t="n">
        <v>490.351935483871</v>
      </c>
      <c r="S244" s="45" t="n">
        <v>765613.2643346776</v>
      </c>
      <c r="T244" s="50" t="n"/>
      <c r="U244" s="45" t="n">
        <v>260655.7903225806</v>
      </c>
      <c r="V244" s="45" t="n">
        <v>241500.8387096774</v>
      </c>
      <c r="X244" s="52" t="n"/>
    </row>
    <row r="245" ht="12" customHeight="1">
      <c r="A245" s="44" t="n">
        <v>43922</v>
      </c>
      <c r="B245" s="45" t="n">
        <v>24725.33333333333</v>
      </c>
      <c r="C245" s="45" t="n">
        <v>23523.33333333333</v>
      </c>
      <c r="D245" s="45" t="n">
        <v>82.03333333333333</v>
      </c>
      <c r="E245" s="45" t="n">
        <v>2.453333333333333</v>
      </c>
      <c r="F245" s="45" t="n">
        <v>6470.443333333342</v>
      </c>
      <c r="G245" s="45" t="n">
        <v>999.5433333333333</v>
      </c>
      <c r="H245" s="45" t="n">
        <v>28916.45666666667</v>
      </c>
      <c r="I245" s="45" t="n">
        <v>34438.96333333333</v>
      </c>
      <c r="J245" s="45" t="n">
        <v>49579.24791666667</v>
      </c>
      <c r="K245" s="45" t="n">
        <v>13462.74322916667</v>
      </c>
      <c r="L245" s="45" t="n">
        <v>179650.3166666667</v>
      </c>
      <c r="M245" s="45" t="n">
        <v>235700.5333333333</v>
      </c>
      <c r="N245" s="45" t="n">
        <v>2234.366666666667</v>
      </c>
      <c r="O245" s="45" t="n">
        <v>16587.05333333333</v>
      </c>
      <c r="P245" s="45" t="n">
        <v>54173.58020833333</v>
      </c>
      <c r="Q245" s="45" t="n">
        <v>0</v>
      </c>
      <c r="R245" s="45" t="n">
        <v>490.352</v>
      </c>
      <c r="S245" s="45" t="n">
        <v>671036.7533541666</v>
      </c>
      <c r="T245" s="50" t="n"/>
      <c r="U245" s="45" t="n">
        <v>233190.2333333333</v>
      </c>
      <c r="V245" s="45" t="n">
        <v>207070.7333333333</v>
      </c>
      <c r="X245" s="52" t="n"/>
    </row>
    <row r="246" ht="12" customHeight="1">
      <c r="A246" s="44" t="n">
        <v>43952</v>
      </c>
      <c r="B246" s="45" t="n">
        <v>24159.48387096774</v>
      </c>
      <c r="C246" s="45" t="n">
        <v>23877.70967741936</v>
      </c>
      <c r="D246" s="45" t="n">
        <v>71.7741935483871</v>
      </c>
      <c r="E246" s="45" t="n">
        <v>0</v>
      </c>
      <c r="F246" s="45" t="n">
        <v>5341.358064516128</v>
      </c>
      <c r="G246" s="45" t="n">
        <v>809.1548387096774</v>
      </c>
      <c r="H246" s="45" t="n">
        <v>25698.84838709678</v>
      </c>
      <c r="I246" s="45" t="n">
        <v>31646.36774193548</v>
      </c>
      <c r="J246" s="45" t="n">
        <v>42096.57358870967</v>
      </c>
      <c r="K246" s="45" t="n">
        <v>9939.190524193549</v>
      </c>
      <c r="L246" s="45" t="n">
        <v>179365.3870967742</v>
      </c>
      <c r="M246" s="45" t="n">
        <v>216367.8225806452</v>
      </c>
      <c r="N246" s="45" t="n">
        <v>2139.870967741937</v>
      </c>
      <c r="O246" s="45" t="n">
        <v>15939.0935483871</v>
      </c>
      <c r="P246" s="45" t="n">
        <v>51665.75403225807</v>
      </c>
      <c r="Q246" s="45" t="n">
        <v>0</v>
      </c>
      <c r="R246" s="45" t="n">
        <v>490.351935483871</v>
      </c>
      <c r="S246" s="45" t="n">
        <v>629608.741048387</v>
      </c>
      <c r="T246" s="50" t="n"/>
      <c r="U246" s="45" t="n">
        <v>214254.9838709677</v>
      </c>
      <c r="V246" s="45" t="n">
        <v>202817.1935483871</v>
      </c>
      <c r="X246" s="52" t="n"/>
    </row>
    <row r="247" ht="12" customHeight="1">
      <c r="A247" s="44" t="n">
        <v>43983</v>
      </c>
      <c r="B247" s="45" t="n">
        <v>22656.5</v>
      </c>
      <c r="C247" s="45" t="n">
        <v>22691.33333333333</v>
      </c>
      <c r="D247" s="45" t="n">
        <v>79.66666666666667</v>
      </c>
      <c r="E247" s="45" t="n">
        <v>0</v>
      </c>
      <c r="F247" s="45" t="n">
        <v>5111.27</v>
      </c>
      <c r="G247" s="45" t="n">
        <v>996.73</v>
      </c>
      <c r="H247" s="45" t="n">
        <v>25820.92666666667</v>
      </c>
      <c r="I247" s="45" t="n">
        <v>36907.34666666666</v>
      </c>
      <c r="J247" s="45" t="n">
        <v>46812.10833333333</v>
      </c>
      <c r="K247" s="45" t="n">
        <v>13366.23697916667</v>
      </c>
      <c r="L247" s="45" t="n">
        <v>176270.2166666667</v>
      </c>
      <c r="M247" s="45" t="n">
        <v>245750.3333333333</v>
      </c>
      <c r="N247" s="45" t="n">
        <v>1978.333333333333</v>
      </c>
      <c r="O247" s="45" t="n">
        <v>16179.09333333333</v>
      </c>
      <c r="P247" s="45" t="n">
        <v>51785.92708333334</v>
      </c>
      <c r="Q247" s="45" t="n">
        <v>0</v>
      </c>
      <c r="R247" s="45" t="n">
        <v>490.352</v>
      </c>
      <c r="S247" s="45" t="n">
        <v>666896.3743958335</v>
      </c>
      <c r="T247" s="50" t="n"/>
      <c r="U247" s="45" t="n">
        <v>228321.0166666667</v>
      </c>
      <c r="V247" s="45" t="n">
        <v>215196.2333333333</v>
      </c>
      <c r="X247" s="52" t="n"/>
    </row>
    <row r="248" ht="12" customHeight="1">
      <c r="A248" s="44" t="n">
        <v>44013</v>
      </c>
      <c r="B248" s="45" t="n">
        <v>17481.54838709677</v>
      </c>
      <c r="C248" s="45" t="n">
        <v>24264.61290322581</v>
      </c>
      <c r="D248" s="45" t="n">
        <v>78.03225806451613</v>
      </c>
      <c r="E248" s="45" t="n">
        <v>0</v>
      </c>
      <c r="F248" s="45" t="n">
        <v>5392.651612903224</v>
      </c>
      <c r="G248" s="45" t="n">
        <v>938.241935483871</v>
      </c>
      <c r="H248" s="45" t="n">
        <v>25285.22903225806</v>
      </c>
      <c r="I248" s="45" t="n">
        <v>38383.63548387097</v>
      </c>
      <c r="J248" s="45" t="n">
        <v>49187.64213709677</v>
      </c>
      <c r="K248" s="45" t="n">
        <v>15166.44203629032</v>
      </c>
      <c r="L248" s="45" t="n">
        <v>156150.4516129032</v>
      </c>
      <c r="M248" s="45" t="n">
        <v>262459.6612903226</v>
      </c>
      <c r="N248" s="45" t="n">
        <v>2054.354838709678</v>
      </c>
      <c r="O248" s="45" t="n">
        <v>14910.55483870968</v>
      </c>
      <c r="P248" s="45" t="n">
        <v>51428.06451612903</v>
      </c>
      <c r="Q248" s="45" t="n">
        <v>0</v>
      </c>
      <c r="R248" s="45" t="n">
        <v>490.351935483871</v>
      </c>
      <c r="S248" s="45" t="n">
        <v>663671.4748185483</v>
      </c>
      <c r="T248" s="50" t="n"/>
      <c r="U248" s="45" t="n">
        <v>206563.2580645161</v>
      </c>
      <c r="V248" s="45" t="n">
        <v>235383.0322580645</v>
      </c>
      <c r="X248" s="52" t="n"/>
    </row>
    <row r="249" ht="12" customHeight="1">
      <c r="A249" s="44" t="n">
        <v>44044</v>
      </c>
      <c r="B249" s="45" t="n">
        <v>21513.83870967742</v>
      </c>
      <c r="C249" s="45" t="n">
        <v>22980.58064516129</v>
      </c>
      <c r="D249" s="45" t="n">
        <v>78.7741935483871</v>
      </c>
      <c r="E249" s="45" t="n">
        <v>0</v>
      </c>
      <c r="F249" s="45" t="n">
        <v>5697.57741935484</v>
      </c>
      <c r="G249" s="45" t="n">
        <v>0</v>
      </c>
      <c r="H249" s="45" t="n">
        <v>25138.90322580645</v>
      </c>
      <c r="I249" s="45" t="n">
        <v>42359.75161290322</v>
      </c>
      <c r="J249" s="45" t="n">
        <v>50167.2439516129</v>
      </c>
      <c r="K249" s="45" t="n">
        <v>16033.89969758065</v>
      </c>
      <c r="L249" s="45" t="n">
        <v>141054.8064516129</v>
      </c>
      <c r="M249" s="45" t="n">
        <v>265010.5</v>
      </c>
      <c r="N249" s="45" t="n">
        <v>2106.967741935484</v>
      </c>
      <c r="O249" s="45" t="n">
        <v>14595.74193548387</v>
      </c>
      <c r="P249" s="45" t="n">
        <v>50964.82560483871</v>
      </c>
      <c r="Q249" s="45" t="n">
        <v>0</v>
      </c>
      <c r="R249" s="45" t="n">
        <v>490.351935483871</v>
      </c>
      <c r="S249" s="45" t="n">
        <v>658193.7631250001</v>
      </c>
      <c r="T249" s="50" t="n"/>
      <c r="U249" s="45" t="n">
        <v>187828.0483870968</v>
      </c>
      <c r="V249" s="45" t="n">
        <v>239759.6290322581</v>
      </c>
      <c r="X249" s="52" t="n"/>
    </row>
    <row r="250" ht="12" customHeight="1">
      <c r="A250" s="44" t="n">
        <v>44075</v>
      </c>
      <c r="B250" s="45" t="n">
        <v>22905.4</v>
      </c>
      <c r="C250" s="45" t="n">
        <v>20884.9</v>
      </c>
      <c r="D250" s="45" t="n">
        <v>79.53333333333333</v>
      </c>
      <c r="E250" s="45" t="n">
        <v>0</v>
      </c>
      <c r="F250" s="45" t="n">
        <v>5788.940000000001</v>
      </c>
      <c r="G250" s="45" t="n">
        <v>0</v>
      </c>
      <c r="H250" s="45" t="n">
        <v>24842.98666666667</v>
      </c>
      <c r="I250" s="45" t="n">
        <v>44059.11</v>
      </c>
      <c r="J250" s="45" t="n">
        <v>49070.81875</v>
      </c>
      <c r="K250" s="45" t="n">
        <v>16329.98958333333</v>
      </c>
      <c r="L250" s="45" t="n">
        <v>157067.1666666667</v>
      </c>
      <c r="M250" s="45" t="n">
        <v>265290.05</v>
      </c>
      <c r="N250" s="45" t="n">
        <v>1813.4</v>
      </c>
      <c r="O250" s="45" t="n">
        <v>14721.79</v>
      </c>
      <c r="P250" s="45" t="n">
        <v>49598.69791666666</v>
      </c>
      <c r="Q250" s="45" t="n">
        <v>0</v>
      </c>
      <c r="R250" s="45" t="n">
        <v>490.352</v>
      </c>
      <c r="S250" s="45" t="n">
        <v>672943.1349166667</v>
      </c>
      <c r="T250" s="50" t="n"/>
      <c r="U250" s="45" t="n">
        <v>197074.3166666667</v>
      </c>
      <c r="V250" s="45" t="n">
        <v>248942.5166666667</v>
      </c>
      <c r="X250" s="52" t="n"/>
    </row>
    <row r="251" ht="12" customHeight="1">
      <c r="A251" s="44" t="n">
        <v>44105</v>
      </c>
      <c r="B251" s="45" t="n">
        <v>21398.83870967742</v>
      </c>
      <c r="C251" s="45" t="n">
        <v>20878.45161290323</v>
      </c>
      <c r="D251" s="45" t="n">
        <v>80.29032258064517</v>
      </c>
      <c r="E251" s="45" t="n">
        <v>0.04193548387096774</v>
      </c>
      <c r="F251" s="45" t="n">
        <v>5907.887096774188</v>
      </c>
      <c r="G251" s="45" t="n">
        <v>825.2612903225806</v>
      </c>
      <c r="H251" s="45" t="n">
        <v>24463.67096774193</v>
      </c>
      <c r="I251" s="45" t="n">
        <v>43852.4129032258</v>
      </c>
      <c r="J251" s="45" t="n">
        <v>49605.42741935484</v>
      </c>
      <c r="K251" s="45" t="n">
        <v>16153.37046370968</v>
      </c>
      <c r="L251" s="45" t="n">
        <v>161988.6129032258</v>
      </c>
      <c r="M251" s="45" t="n">
        <v>289852.064516129</v>
      </c>
      <c r="N251" s="45" t="n">
        <v>2137.7</v>
      </c>
      <c r="O251" s="45" t="n">
        <v>15735.23225806452</v>
      </c>
      <c r="P251" s="45" t="n">
        <v>55259.6129032258</v>
      </c>
      <c r="Q251" s="45" t="n">
        <v>0</v>
      </c>
      <c r="R251" s="45" t="n">
        <v>490.351935483871</v>
      </c>
      <c r="S251" s="45" t="n">
        <v>708629.2272379032</v>
      </c>
      <c r="T251" s="50" t="n"/>
      <c r="U251" s="45" t="n">
        <v>231010.5</v>
      </c>
      <c r="V251" s="45" t="n">
        <v>243774.935483871</v>
      </c>
      <c r="X251" s="52" t="n"/>
    </row>
    <row r="252" ht="12" customHeight="1">
      <c r="A252" s="44" t="n">
        <v>44136</v>
      </c>
      <c r="B252" s="45" t="n">
        <v>21659.7</v>
      </c>
      <c r="C252" s="45" t="n">
        <v>20580.33333333333</v>
      </c>
      <c r="D252" s="45" t="n">
        <v>81.06666666666666</v>
      </c>
      <c r="E252" s="45" t="n">
        <v>0.01</v>
      </c>
      <c r="F252" s="45" t="n">
        <v>5750.423333333334</v>
      </c>
      <c r="G252" s="45" t="n">
        <v>1045.433333333333</v>
      </c>
      <c r="H252" s="45" t="n">
        <v>24542.21333333333</v>
      </c>
      <c r="I252" s="45" t="n">
        <v>44866.97666666666</v>
      </c>
      <c r="J252" s="45" t="n">
        <v>50720.96979166667</v>
      </c>
      <c r="K252" s="45" t="n">
        <v>16153.1265625</v>
      </c>
      <c r="L252" s="45" t="n">
        <v>200769.0333333333</v>
      </c>
      <c r="M252" s="45" t="n">
        <v>300683.5333333333</v>
      </c>
      <c r="N252" s="45" t="n">
        <v>2135.576666666667</v>
      </c>
      <c r="O252" s="45" t="n">
        <v>15900.78333333333</v>
      </c>
      <c r="P252" s="45" t="n">
        <v>54392.76979166667</v>
      </c>
      <c r="Q252" s="45" t="n">
        <v>0</v>
      </c>
      <c r="R252" s="45" t="n">
        <v>490.352</v>
      </c>
      <c r="S252" s="45" t="n">
        <v>759772.3014791665</v>
      </c>
      <c r="T252" s="50" t="n"/>
      <c r="U252" s="45" t="n">
        <v>274404.6666666667</v>
      </c>
      <c r="V252" s="45" t="n">
        <v>255715.8</v>
      </c>
      <c r="X252" s="52" t="n"/>
    </row>
    <row r="253" ht="12" customHeight="1">
      <c r="A253" s="44" t="n">
        <v>44166</v>
      </c>
      <c r="B253" s="45" t="n">
        <v>21939.77419354839</v>
      </c>
      <c r="C253" s="45" t="n">
        <v>22457.41935483871</v>
      </c>
      <c r="D253" s="45" t="n">
        <v>81.87096774193549</v>
      </c>
      <c r="E253" s="45" t="n">
        <v>0.3451612903225806</v>
      </c>
      <c r="F253" s="45" t="n">
        <v>5801.741935483875</v>
      </c>
      <c r="G253" s="45" t="n">
        <v>1007.606451612903</v>
      </c>
      <c r="H253" s="45" t="n">
        <v>25281.5935483871</v>
      </c>
      <c r="I253" s="45" t="n">
        <v>44678.18709677419</v>
      </c>
      <c r="J253" s="45" t="n">
        <v>50977.34375</v>
      </c>
      <c r="K253" s="45" t="n">
        <v>16376.4002016129</v>
      </c>
      <c r="L253" s="45" t="n">
        <v>214584.4193548387</v>
      </c>
      <c r="M253" s="45" t="n">
        <v>310754.3548387097</v>
      </c>
      <c r="N253" s="45" t="n">
        <v>2143.445161290323</v>
      </c>
      <c r="O253" s="45" t="n">
        <v>15598.78064516129</v>
      </c>
      <c r="P253" s="45" t="n">
        <v>52965.01612903226</v>
      </c>
      <c r="Q253" s="45" t="n">
        <v>0</v>
      </c>
      <c r="R253" s="45" t="n">
        <v>490.351935483871</v>
      </c>
      <c r="S253" s="45" t="n">
        <v>785138.6507258065</v>
      </c>
      <c r="T253" s="50" t="n"/>
      <c r="U253" s="45" t="n">
        <v>293286.7096774193</v>
      </c>
      <c r="V253" s="45" t="n">
        <v>261770</v>
      </c>
      <c r="X253" s="52" t="n"/>
    </row>
    <row r="254" ht="12" customHeight="1">
      <c r="A254" s="44" t="n">
        <v>44197</v>
      </c>
      <c r="B254" s="45" t="n">
        <v>21774.87096774194</v>
      </c>
      <c r="C254" s="45" t="n">
        <v>24040.09677419355</v>
      </c>
      <c r="D254" s="45" t="n">
        <v>82.2258064516129</v>
      </c>
      <c r="E254" s="45" t="n">
        <v>2.474193548387097</v>
      </c>
      <c r="F254" s="45" t="n">
        <v>5670.525806451608</v>
      </c>
      <c r="G254" s="45" t="n">
        <v>989.2</v>
      </c>
      <c r="H254" s="45" t="n">
        <v>24672.93225806452</v>
      </c>
      <c r="I254" s="45" t="n">
        <v>43777.92903225806</v>
      </c>
      <c r="J254" s="45" t="n">
        <v>49640.84173387097</v>
      </c>
      <c r="K254" s="45" t="n">
        <v>16818.03578629032</v>
      </c>
      <c r="L254" s="45" t="n">
        <v>211528.1290322581</v>
      </c>
      <c r="M254" s="45" t="n">
        <v>304970.3225806452</v>
      </c>
      <c r="N254" s="45" t="n">
        <v>2074.996774193548</v>
      </c>
      <c r="O254" s="45" t="n">
        <v>15687.81290322581</v>
      </c>
      <c r="P254" s="45" t="n">
        <v>52729.2620967742</v>
      </c>
      <c r="Q254" s="45" t="n">
        <v>0</v>
      </c>
      <c r="R254" s="45" t="n">
        <v>558.67</v>
      </c>
      <c r="S254" s="45" t="n">
        <v>775018.3257459678</v>
      </c>
      <c r="U254" s="45" t="n">
        <v>281482.6451612903</v>
      </c>
      <c r="V254" s="45" t="n">
        <v>264469.2741935484</v>
      </c>
      <c r="X254" s="52" t="n"/>
    </row>
    <row r="255" ht="12" customHeight="1">
      <c r="A255" s="44" t="n">
        <v>44228</v>
      </c>
      <c r="B255" s="45" t="n">
        <v>21187.85714285714</v>
      </c>
      <c r="C255" s="45" t="n">
        <v>19015.53571428571</v>
      </c>
      <c r="D255" s="45" t="n">
        <v>82.60714285714286</v>
      </c>
      <c r="E255" s="45" t="n">
        <v>1.596428571428572</v>
      </c>
      <c r="F255" s="45" t="n">
        <v>5268.857142857146</v>
      </c>
      <c r="G255" s="45" t="n">
        <v>953.282142857143</v>
      </c>
      <c r="H255" s="45" t="n">
        <v>24534.35357142857</v>
      </c>
      <c r="I255" s="45" t="n">
        <v>43470.30357142857</v>
      </c>
      <c r="J255" s="45" t="n">
        <v>48013.76674107143</v>
      </c>
      <c r="K255" s="45" t="n">
        <v>16648.16462053571</v>
      </c>
      <c r="L255" s="45" t="n">
        <v>204723.3571428571</v>
      </c>
      <c r="M255" s="45" t="n">
        <v>287935.4285714286</v>
      </c>
      <c r="N255" s="45" t="n">
        <v>1969.382142857143</v>
      </c>
      <c r="O255" s="45" t="n">
        <v>15612.59642857143</v>
      </c>
      <c r="P255" s="45" t="n">
        <v>51640.15625</v>
      </c>
      <c r="Q255" s="45" t="n">
        <v>0</v>
      </c>
      <c r="R255" s="45" t="n">
        <v>558.67</v>
      </c>
      <c r="S255" s="45" t="n">
        <v>741615.9147544643</v>
      </c>
      <c r="U255" s="45" t="n">
        <v>258632.6428571429</v>
      </c>
      <c r="V255" s="45" t="n">
        <v>262846.9464285714</v>
      </c>
      <c r="X255" s="52" t="n"/>
    </row>
    <row r="256" ht="12" customHeight="1">
      <c r="A256" s="44" t="n">
        <v>44256</v>
      </c>
      <c r="B256" s="45" t="n">
        <v>20747.16129032258</v>
      </c>
      <c r="C256" s="45" t="n">
        <v>24335</v>
      </c>
      <c r="D256" s="45" t="n">
        <v>80.06451612903226</v>
      </c>
      <c r="E256" s="45" t="n">
        <v>0.7032258064516129</v>
      </c>
      <c r="F256" s="45" t="n">
        <v>6034.258064516127</v>
      </c>
      <c r="G256" s="45" t="n">
        <v>1009.390322580645</v>
      </c>
      <c r="H256" s="45" t="n">
        <v>26390.1</v>
      </c>
      <c r="I256" s="45" t="n">
        <v>45355.55161290322</v>
      </c>
      <c r="J256" s="45" t="n">
        <v>51124.57862903226</v>
      </c>
      <c r="K256" s="45" t="n">
        <v>17074.75806451613</v>
      </c>
      <c r="L256" s="45" t="n">
        <v>188685.3387096774</v>
      </c>
      <c r="M256" s="45" t="n">
        <v>308547.6451612903</v>
      </c>
      <c r="N256" s="45" t="n">
        <v>1989.093548387097</v>
      </c>
      <c r="O256" s="45" t="n">
        <v>15826.99032258065</v>
      </c>
      <c r="P256" s="45" t="n">
        <v>55623.24092741936</v>
      </c>
      <c r="Q256" s="45" t="n">
        <v>0</v>
      </c>
      <c r="R256" s="45" t="n">
        <v>558.67</v>
      </c>
      <c r="S256" s="45" t="n">
        <v>763382.5443951613</v>
      </c>
      <c r="U256" s="45" t="n">
        <v>256631.5322580645</v>
      </c>
      <c r="V256" s="45" t="n">
        <v>266848.2419354839</v>
      </c>
      <c r="X256" s="52" t="n"/>
    </row>
    <row r="257" ht="12" customHeight="1">
      <c r="A257" s="44" t="n">
        <v>44287</v>
      </c>
      <c r="B257" s="45" t="n">
        <v>19470.46666666667</v>
      </c>
      <c r="C257" s="45" t="n">
        <v>22509.76666666667</v>
      </c>
      <c r="D257" s="45" t="n">
        <v>82.8</v>
      </c>
      <c r="E257" s="45" t="n">
        <v>0.9466666666666667</v>
      </c>
      <c r="F257" s="45" t="n">
        <v>5978.376666666668</v>
      </c>
      <c r="G257" s="45" t="n">
        <v>1041.3</v>
      </c>
      <c r="H257" s="45" t="n">
        <v>26073.68</v>
      </c>
      <c r="I257" s="45" t="n">
        <v>45718.21666666667</v>
      </c>
      <c r="J257" s="45" t="n">
        <v>52106.32708333333</v>
      </c>
      <c r="K257" s="45" t="n">
        <v>17798.84010416667</v>
      </c>
      <c r="L257" s="45" t="n">
        <v>132050.4</v>
      </c>
      <c r="M257" s="45" t="n">
        <v>312446.7333333333</v>
      </c>
      <c r="N257" s="45" t="n">
        <v>1986.823333333333</v>
      </c>
      <c r="O257" s="45" t="n">
        <v>15912.19666666667</v>
      </c>
      <c r="P257" s="45" t="n">
        <v>56424.890625</v>
      </c>
      <c r="Q257" s="45" t="n">
        <v>0</v>
      </c>
      <c r="R257" s="45" t="n">
        <v>558.67</v>
      </c>
      <c r="S257" s="45" t="n">
        <v>710160.4344791666</v>
      </c>
      <c r="U257" s="45" t="n">
        <v>194422.6833333333</v>
      </c>
      <c r="V257" s="45" t="n">
        <v>268985.2833333333</v>
      </c>
      <c r="X257" s="52" t="n"/>
    </row>
    <row r="258" ht="12" customHeight="1">
      <c r="A258" s="44" t="n">
        <v>44317</v>
      </c>
      <c r="B258" s="45" t="n">
        <v>20482.77419354839</v>
      </c>
      <c r="C258" s="45" t="n">
        <v>21621.48387096774</v>
      </c>
      <c r="D258" s="45" t="n">
        <v>82.61290322580645</v>
      </c>
      <c r="E258" s="45" t="n">
        <v>0.02903225806451613</v>
      </c>
      <c r="F258" s="45" t="n">
        <v>5819.690322580646</v>
      </c>
      <c r="G258" s="45" t="n">
        <v>1055.348387096774</v>
      </c>
      <c r="H258" s="45" t="n">
        <v>25160.0806451613</v>
      </c>
      <c r="I258" s="45" t="n">
        <v>45375.53225806452</v>
      </c>
      <c r="J258" s="45" t="n">
        <v>49640.84173387097</v>
      </c>
      <c r="K258" s="45" t="n">
        <v>17872.94455645161</v>
      </c>
      <c r="L258" s="45" t="n">
        <v>168137.8387096774</v>
      </c>
      <c r="M258" s="45" t="n">
        <v>283966.4193548387</v>
      </c>
      <c r="N258" s="45" t="n">
        <v>1928.812903225806</v>
      </c>
      <c r="O258" s="45" t="n">
        <v>16169.9064516129</v>
      </c>
      <c r="P258" s="45" t="n">
        <v>55111.04637096774</v>
      </c>
      <c r="Q258" s="45" t="n">
        <v>0</v>
      </c>
      <c r="R258" s="45" t="n">
        <v>558.67</v>
      </c>
      <c r="S258" s="45" t="n">
        <v>712984.0316935484</v>
      </c>
      <c r="U258" s="45" t="n">
        <v>214473.7903225806</v>
      </c>
      <c r="V258" s="45" t="n">
        <v>263878.1451612903</v>
      </c>
      <c r="X258" s="52" t="n"/>
    </row>
    <row r="259" ht="12" customHeight="1">
      <c r="A259" s="44" t="n">
        <v>44348</v>
      </c>
      <c r="B259" s="45" t="n">
        <v>20750.6</v>
      </c>
      <c r="C259" s="45" t="n">
        <v>25177.03333333333</v>
      </c>
      <c r="D259" s="45" t="n">
        <v>82.40000000000001</v>
      </c>
      <c r="E259" s="45" t="n">
        <v>2.163333333333334</v>
      </c>
      <c r="F259" s="45" t="n">
        <v>5736.156666666668</v>
      </c>
      <c r="G259" s="45" t="n">
        <v>1025.293333333333</v>
      </c>
      <c r="H259" s="45" t="n">
        <v>24081.14333333333</v>
      </c>
      <c r="I259" s="45" t="n">
        <v>45313.62</v>
      </c>
      <c r="J259" s="45" t="n">
        <v>48955.76145833333</v>
      </c>
      <c r="K259" s="45" t="n">
        <v>17794.00625</v>
      </c>
      <c r="L259" s="45" t="n">
        <v>189456.85</v>
      </c>
      <c r="M259" s="45" t="n">
        <v>303523.1666666667</v>
      </c>
      <c r="N259" s="45" t="n">
        <v>1870.636666666667</v>
      </c>
      <c r="O259" s="45" t="n">
        <v>15756.01</v>
      </c>
      <c r="P259" s="45" t="n">
        <v>52806.70729166667</v>
      </c>
      <c r="Q259" s="45" t="n">
        <v>0</v>
      </c>
      <c r="R259" s="45" t="n">
        <v>558.67</v>
      </c>
      <c r="S259" s="45" t="n">
        <v>752890.2183333334</v>
      </c>
      <c r="U259" s="45" t="n">
        <v>263740.55</v>
      </c>
      <c r="V259" s="45" t="n">
        <v>257376.9</v>
      </c>
      <c r="X259" s="52" t="n"/>
    </row>
    <row r="260" ht="12" customHeight="1">
      <c r="A260" s="44" t="n">
        <v>44378</v>
      </c>
      <c r="B260" s="45" t="n">
        <v>19240.90322580645</v>
      </c>
      <c r="C260" s="45" t="n">
        <v>23752.90322580645</v>
      </c>
      <c r="D260" s="45" t="n">
        <v>83.03225806451613</v>
      </c>
      <c r="E260" s="45" t="n">
        <v>0.6516129032258065</v>
      </c>
      <c r="F260" s="45" t="n">
        <v>5547.861290322587</v>
      </c>
      <c r="G260" s="45" t="n">
        <v>250.1870967741935</v>
      </c>
      <c r="H260" s="45" t="n">
        <v>24044.62258064516</v>
      </c>
      <c r="I260" s="45" t="n">
        <v>45927.72580645161</v>
      </c>
      <c r="J260" s="45" t="n">
        <v>50098.14717741936</v>
      </c>
      <c r="K260" s="45" t="n">
        <v>18074.84879032258</v>
      </c>
      <c r="L260" s="45" t="n">
        <v>199077.5161290323</v>
      </c>
      <c r="M260" s="45" t="n">
        <v>302223.4516129032</v>
      </c>
      <c r="N260" s="45" t="n">
        <v>1591.135483870968</v>
      </c>
      <c r="O260" s="45" t="n">
        <v>15544.81612903226</v>
      </c>
      <c r="P260" s="45" t="n">
        <v>55287.36088709677</v>
      </c>
      <c r="Q260" s="45" t="n">
        <v>0</v>
      </c>
      <c r="R260" s="45" t="n">
        <v>558.67</v>
      </c>
      <c r="S260" s="45" t="n">
        <v>761303.8333064517</v>
      </c>
      <c r="U260" s="45" t="n">
        <v>266073.5161290322</v>
      </c>
      <c r="V260" s="45" t="n">
        <v>263326.0161290322</v>
      </c>
      <c r="X260" s="52" t="n"/>
    </row>
    <row r="261" ht="12" customHeight="1">
      <c r="A261" s="44" t="n">
        <v>44409</v>
      </c>
      <c r="B261" s="45" t="n">
        <v>19681.06451612903</v>
      </c>
      <c r="C261" s="45" t="n">
        <v>21208.8064516129</v>
      </c>
      <c r="D261" s="45" t="n">
        <v>84.09677419354838</v>
      </c>
      <c r="E261" s="45" t="n">
        <v>2.012903225806451</v>
      </c>
      <c r="F261" s="45" t="n">
        <v>5608.161290322578</v>
      </c>
      <c r="G261" s="45" t="n">
        <v>170.8096774193548</v>
      </c>
      <c r="H261" s="45" t="n">
        <v>24443.23225806452</v>
      </c>
      <c r="I261" s="45" t="n">
        <v>46161.21612903226</v>
      </c>
      <c r="J261" s="45" t="n">
        <v>52145.50302419355</v>
      </c>
      <c r="K261" s="45" t="n">
        <v>18466.67036290323</v>
      </c>
      <c r="L261" s="45" t="n">
        <v>174247.5806451613</v>
      </c>
      <c r="M261" s="45" t="n">
        <v>315969.2258064516</v>
      </c>
      <c r="N261" s="45" t="n">
        <v>1667.41935483871</v>
      </c>
      <c r="O261" s="45" t="n">
        <v>15453.2</v>
      </c>
      <c r="P261" s="45" t="n">
        <v>55701.27116935484</v>
      </c>
      <c r="Q261" s="45" t="n">
        <v>0</v>
      </c>
      <c r="R261" s="45" t="n">
        <v>558.67</v>
      </c>
      <c r="S261" s="45" t="n">
        <v>751568.9403629032</v>
      </c>
      <c r="U261" s="45" t="n">
        <v>248761.6612903226</v>
      </c>
      <c r="V261" s="45" t="n">
        <v>263416.435483871</v>
      </c>
      <c r="X261" s="52" t="n"/>
    </row>
    <row r="262" ht="12" customHeight="1">
      <c r="A262" s="44" t="n">
        <v>44440</v>
      </c>
      <c r="B262" s="45" t="n">
        <v>18223.3</v>
      </c>
      <c r="C262" s="45" t="n">
        <v>20477.73333333333</v>
      </c>
      <c r="D262" s="45" t="n">
        <v>83.46666666666667</v>
      </c>
      <c r="E262" s="45" t="n">
        <v>4.723333333333333</v>
      </c>
      <c r="F262" s="45" t="n">
        <v>6008.679999999998</v>
      </c>
      <c r="G262" s="45" t="n">
        <v>1043.743333333333</v>
      </c>
      <c r="H262" s="45" t="n">
        <v>24732.04333333333</v>
      </c>
      <c r="I262" s="45" t="n">
        <v>46052.78666666667</v>
      </c>
      <c r="J262" s="45" t="n">
        <v>52017.29895833333</v>
      </c>
      <c r="K262" s="45" t="n">
        <v>18239.39010416666</v>
      </c>
      <c r="L262" s="45" t="n">
        <v>173631.8666666667</v>
      </c>
      <c r="M262" s="45" t="n">
        <v>307296.0333333333</v>
      </c>
      <c r="N262" s="45" t="n">
        <v>1742.78</v>
      </c>
      <c r="O262" s="45" t="n">
        <v>15312.25666666667</v>
      </c>
      <c r="P262" s="45" t="n">
        <v>53866.28125</v>
      </c>
      <c r="Q262" s="45" t="n">
        <v>0</v>
      </c>
      <c r="R262" s="45" t="n">
        <v>558.67</v>
      </c>
      <c r="S262" s="45" t="n">
        <v>739291.0536458334</v>
      </c>
      <c r="U262" s="45" t="n">
        <v>242414.6833333333</v>
      </c>
      <c r="V262" s="45" t="n">
        <v>264639.95</v>
      </c>
      <c r="X262" s="52" t="n"/>
    </row>
    <row r="263" ht="12" customHeight="1">
      <c r="A263" s="44" t="n">
        <v>44470</v>
      </c>
      <c r="B263" s="45" t="n">
        <v>14689.03225806452</v>
      </c>
      <c r="C263" s="45" t="n">
        <v>20882.09677419355</v>
      </c>
      <c r="D263" s="45" t="n">
        <v>83.6774193548387</v>
      </c>
      <c r="E263" s="45" t="n">
        <v>3.174193548387097</v>
      </c>
      <c r="F263" s="45" t="n">
        <v>6063.02258064516</v>
      </c>
      <c r="G263" s="45" t="n">
        <v>1084.232258064516</v>
      </c>
      <c r="H263" s="45" t="n">
        <v>25291.6064516129</v>
      </c>
      <c r="I263" s="45" t="n">
        <v>46674.74193548388</v>
      </c>
      <c r="J263" s="45" t="n">
        <v>54262.06552419355</v>
      </c>
      <c r="K263" s="45" t="n">
        <v>18464.20010080645</v>
      </c>
      <c r="L263" s="45" t="n">
        <v>209111.8870967742</v>
      </c>
      <c r="M263" s="45" t="n">
        <v>316066.7419354839</v>
      </c>
      <c r="N263" s="45" t="n">
        <v>1884.529032258064</v>
      </c>
      <c r="O263" s="45" t="n">
        <v>14745.28064516129</v>
      </c>
      <c r="P263" s="45" t="n">
        <v>55631.53528225807</v>
      </c>
      <c r="Q263" s="45" t="n">
        <v>0</v>
      </c>
      <c r="R263" s="45" t="n">
        <v>558.67</v>
      </c>
      <c r="S263" s="45" t="n">
        <v>785496.4934879033</v>
      </c>
      <c r="U263" s="45" t="n">
        <v>283438.8064516129</v>
      </c>
      <c r="V263" s="45" t="n">
        <v>277735.6129032258</v>
      </c>
      <c r="X263" s="52" t="n"/>
    </row>
    <row r="264" ht="12" customHeight="1">
      <c r="A264" s="44" t="n">
        <v>44501</v>
      </c>
      <c r="B264" s="45" t="n">
        <v>15361.83333333333</v>
      </c>
      <c r="C264" s="45" t="n">
        <v>19877.8</v>
      </c>
      <c r="D264" s="45" t="n">
        <v>83.16666666666667</v>
      </c>
      <c r="E264" s="45" t="n">
        <v>7.433333333333334</v>
      </c>
      <c r="F264" s="45" t="n">
        <v>6171.12</v>
      </c>
      <c r="G264" s="45" t="n">
        <v>1060.516666666667</v>
      </c>
      <c r="H264" s="45" t="n">
        <v>25288.56666666667</v>
      </c>
      <c r="I264" s="45" t="n">
        <v>46621.06</v>
      </c>
      <c r="J264" s="45" t="n">
        <v>55020.86875</v>
      </c>
      <c r="K264" s="45" t="n">
        <v>18664.0296875</v>
      </c>
      <c r="L264" s="45" t="n">
        <v>206193.0166666667</v>
      </c>
      <c r="M264" s="45" t="n">
        <v>319923.7333333333</v>
      </c>
      <c r="N264" s="45" t="n">
        <v>1769.776666666667</v>
      </c>
      <c r="O264" s="45" t="n">
        <v>17138.48666666666</v>
      </c>
      <c r="P264" s="45" t="n">
        <v>56177.53125</v>
      </c>
      <c r="Q264" s="45" t="n">
        <v>0</v>
      </c>
      <c r="R264" s="45" t="n">
        <v>558.67</v>
      </c>
      <c r="S264" s="45" t="n">
        <v>789917.6096874999</v>
      </c>
      <c r="U264" s="45" t="n">
        <v>273930.2833333333</v>
      </c>
      <c r="V264" s="45" t="n">
        <v>279498.6166666666</v>
      </c>
      <c r="X264" s="52" t="n"/>
    </row>
    <row r="265" ht="12" customHeight="1">
      <c r="A265" s="44" t="n">
        <v>44531</v>
      </c>
      <c r="B265" s="45" t="n">
        <v>15694.51612903226</v>
      </c>
      <c r="C265" s="45" t="n">
        <v>21111.90322580645</v>
      </c>
      <c r="D265" s="45" t="n">
        <v>81.80645161290323</v>
      </c>
      <c r="E265" s="45" t="n">
        <v>3.9</v>
      </c>
      <c r="F265" s="45" t="n">
        <v>6155.648387096775</v>
      </c>
      <c r="G265" s="45" t="n">
        <v>980.4806451612903</v>
      </c>
      <c r="H265" s="45" t="n">
        <v>24405.00967741936</v>
      </c>
      <c r="I265" s="45" t="n">
        <v>46597.32580645162</v>
      </c>
      <c r="J265" s="45" t="n">
        <v>54193.20362903226</v>
      </c>
      <c r="K265" s="45" t="n">
        <v>18450.02268145161</v>
      </c>
      <c r="L265" s="45" t="n">
        <v>195522.1774193548</v>
      </c>
      <c r="M265" s="45" t="n">
        <v>300681.8709677419</v>
      </c>
      <c r="N265" s="45" t="n">
        <v>1775.541935483871</v>
      </c>
      <c r="O265" s="45" t="n">
        <v>16908.86129032258</v>
      </c>
      <c r="P265" s="45" t="n">
        <v>53328.96875</v>
      </c>
      <c r="Q265" s="45" t="n">
        <v>0</v>
      </c>
      <c r="R265" s="45" t="n">
        <v>558.67</v>
      </c>
      <c r="S265" s="45" t="n">
        <v>756449.9069959678</v>
      </c>
      <c r="U265" s="45" t="n">
        <v>251820.935483871</v>
      </c>
      <c r="V265" s="45" t="n">
        <v>272677.5806451613</v>
      </c>
      <c r="X265" s="52" t="n"/>
    </row>
    <row r="266" ht="12" customHeight="1">
      <c r="A266" s="44" t="n">
        <v>44562</v>
      </c>
      <c r="B266" s="45" t="n">
        <v>17261.90322580645</v>
      </c>
      <c r="C266" s="45" t="n">
        <v>20200.77419354839</v>
      </c>
      <c r="D266" s="45" t="n">
        <v>82.90322580645162</v>
      </c>
      <c r="E266" s="45" t="n">
        <v>6.029032258064515</v>
      </c>
      <c r="F266" s="45" t="n">
        <v>5907.941935483871</v>
      </c>
      <c r="G266" s="45" t="n">
        <v>1012.864516129032</v>
      </c>
      <c r="H266" s="45" t="n">
        <v>23972.50322580645</v>
      </c>
      <c r="I266" s="45" t="n">
        <v>45059.97096774194</v>
      </c>
      <c r="J266" s="45" t="n">
        <v>52478.92137096774</v>
      </c>
      <c r="K266" s="45" t="n">
        <v>19125.6935483871</v>
      </c>
      <c r="L266" s="45" t="n">
        <v>185818.9838709677</v>
      </c>
      <c r="M266" s="45" t="n">
        <v>297464.8387096774</v>
      </c>
      <c r="N266" s="45" t="n">
        <v>1718.654838709678</v>
      </c>
      <c r="O266" s="45" t="n">
        <v>16332.78064516129</v>
      </c>
      <c r="P266" s="45" t="n">
        <v>53989.90625</v>
      </c>
      <c r="Q266" s="45" t="n">
        <v>0</v>
      </c>
      <c r="R266" s="45" t="n">
        <v>560.9287096774194</v>
      </c>
      <c r="S266" s="45" t="n">
        <v>740995.598266129</v>
      </c>
      <c r="U266" s="45" t="n">
        <v>236497.5</v>
      </c>
      <c r="V266" s="45" t="n">
        <v>275753.4193548387</v>
      </c>
      <c r="X266" s="52" t="n"/>
      <c r="Y266" s="63" t="n"/>
    </row>
    <row r="267" ht="12" customHeight="1">
      <c r="A267" s="44" t="n">
        <v>44593</v>
      </c>
      <c r="B267" s="45" t="n">
        <v>17365.39285714286</v>
      </c>
      <c r="C267" s="45" t="n">
        <v>21361.10714285714</v>
      </c>
      <c r="D267" s="45" t="n">
        <v>83.64285714285714</v>
      </c>
      <c r="E267" s="45" t="n">
        <v>5</v>
      </c>
      <c r="F267" s="45" t="n">
        <v>5850.439285714279</v>
      </c>
      <c r="G267" s="45" t="n">
        <v>1002.275</v>
      </c>
      <c r="H267" s="45" t="n">
        <v>24646.36071428571</v>
      </c>
      <c r="I267" s="45" t="n">
        <v>45676.68214285715</v>
      </c>
      <c r="J267" s="45" t="n">
        <v>54351.82142857143</v>
      </c>
      <c r="K267" s="45" t="n">
        <v>20076.25055803571</v>
      </c>
      <c r="L267" s="45" t="n">
        <v>198050.25</v>
      </c>
      <c r="M267" s="45" t="n">
        <v>310814.9285714286</v>
      </c>
      <c r="N267" s="45" t="n">
        <v>1956.982142857143</v>
      </c>
      <c r="O267" s="45" t="n">
        <v>16253.58571428572</v>
      </c>
      <c r="P267" s="45" t="n">
        <v>56013.47767857143</v>
      </c>
      <c r="Q267" s="45" t="n">
        <v>0</v>
      </c>
      <c r="R267" s="45" t="n">
        <v>560.9289285714286</v>
      </c>
      <c r="S267" s="45" t="n">
        <v>774069.1250223215</v>
      </c>
      <c r="U267" s="45" t="n">
        <v>263372.75</v>
      </c>
      <c r="V267" s="45" t="n">
        <v>277085.6071428572</v>
      </c>
      <c r="X267" s="52" t="n"/>
      <c r="Y267" s="64" t="n"/>
    </row>
    <row r="268" ht="12" customHeight="1">
      <c r="A268" s="44" t="n">
        <v>44621</v>
      </c>
      <c r="B268" s="45" t="n">
        <v>18327.09677419355</v>
      </c>
      <c r="C268" s="45" t="n">
        <v>21556.25806451613</v>
      </c>
      <c r="D268" s="45" t="n">
        <v>84.7741935483871</v>
      </c>
      <c r="E268" s="45" t="n">
        <v>4.729032258064516</v>
      </c>
      <c r="F268" s="45" t="n">
        <v>6290.864516129034</v>
      </c>
      <c r="G268" s="45" t="n">
        <v>1004.506451612903</v>
      </c>
      <c r="H268" s="45" t="n">
        <v>26088.76129032258</v>
      </c>
      <c r="I268" s="45" t="n">
        <v>46844.21935483872</v>
      </c>
      <c r="J268" s="45" t="n">
        <v>56943.2308467742</v>
      </c>
      <c r="K268" s="45" t="n">
        <v>20707.40625</v>
      </c>
      <c r="L268" s="45" t="n">
        <v>193673.7741935484</v>
      </c>
      <c r="M268" s="45" t="n">
        <v>310871.7419354839</v>
      </c>
      <c r="N268" s="45" t="n">
        <v>1817.077419354839</v>
      </c>
      <c r="O268" s="45" t="n">
        <v>16548.94193548387</v>
      </c>
      <c r="P268" s="45" t="n">
        <v>57126.37701612903</v>
      </c>
      <c r="Q268" s="45" t="n">
        <v>0</v>
      </c>
      <c r="R268" s="45" t="n">
        <v>560.9287096774194</v>
      </c>
      <c r="S268" s="45" t="n">
        <v>778450.687983871</v>
      </c>
      <c r="U268" s="45" t="n">
        <v>255277.3709677419</v>
      </c>
      <c r="V268" s="45" t="n">
        <v>278145.9032258064</v>
      </c>
      <c r="X268" s="52" t="n"/>
    </row>
    <row r="269" ht="12" customHeight="1">
      <c r="A269" s="44" t="n">
        <v>44652</v>
      </c>
      <c r="B269" s="45" t="n">
        <v>17244.83333333333</v>
      </c>
      <c r="C269" s="45" t="n">
        <v>21810.1</v>
      </c>
      <c r="D269" s="45" t="n">
        <v>85.5</v>
      </c>
      <c r="E269" s="45" t="n">
        <v>3.306666666666667</v>
      </c>
      <c r="F269" s="45" t="n">
        <v>6035.589999999999</v>
      </c>
      <c r="G269" s="45" t="n">
        <v>1028.28</v>
      </c>
      <c r="H269" s="45" t="n">
        <v>24555.46666666667</v>
      </c>
      <c r="I269" s="45" t="n">
        <v>48418.92666666666</v>
      </c>
      <c r="J269" s="45" t="n">
        <v>59035.04375</v>
      </c>
      <c r="K269" s="45" t="n">
        <v>21275.69010416667</v>
      </c>
      <c r="L269" s="45" t="n">
        <v>179810.2333333333</v>
      </c>
      <c r="M269" s="45" t="n">
        <v>305429.5333333333</v>
      </c>
      <c r="N269" s="45" t="n">
        <v>1929.323333333333</v>
      </c>
      <c r="O269" s="45" t="n">
        <v>16164.02333333334</v>
      </c>
      <c r="P269" s="45" t="n">
        <v>57970.90104166666</v>
      </c>
      <c r="Q269" s="45" t="n">
        <v>0</v>
      </c>
      <c r="R269" s="45" t="n">
        <v>560.9286666666667</v>
      </c>
      <c r="S269" s="45" t="n">
        <v>761357.6802291665</v>
      </c>
      <c r="U269" s="45" t="n">
        <v>239068.7</v>
      </c>
      <c r="V269" s="45" t="n">
        <v>275898.7666666667</v>
      </c>
      <c r="Y269" s="57" t="n"/>
    </row>
    <row r="270" ht="12" customHeight="1">
      <c r="A270" s="44" t="n">
        <v>44682</v>
      </c>
      <c r="B270" s="45" t="n">
        <v>17254.48387096774</v>
      </c>
      <c r="C270" s="45" t="n">
        <v>21634.35483870968</v>
      </c>
      <c r="D270" s="45" t="n">
        <v>84.51612903225806</v>
      </c>
      <c r="E270" s="45" t="n">
        <v>3.932258064516129</v>
      </c>
      <c r="F270" s="45" t="n">
        <v>5913.106451612903</v>
      </c>
      <c r="G270" s="45" t="n">
        <v>996.0193548387097</v>
      </c>
      <c r="H270" s="45" t="n">
        <v>24374.38064516129</v>
      </c>
      <c r="I270" s="45" t="n">
        <v>47508.66129032258</v>
      </c>
      <c r="J270" s="45" t="n">
        <v>57032.75</v>
      </c>
      <c r="K270" s="45" t="n">
        <v>21604.36491935484</v>
      </c>
      <c r="L270" s="45" t="n">
        <v>164852.435483871</v>
      </c>
      <c r="M270" s="45" t="n">
        <v>295468.3870967742</v>
      </c>
      <c r="N270" s="45" t="n">
        <v>1877.690322580645</v>
      </c>
      <c r="O270" s="45" t="n">
        <v>15964.31612903225</v>
      </c>
      <c r="P270" s="45" t="n">
        <v>55786.00806451613</v>
      </c>
      <c r="Q270" s="45" t="n">
        <v>0</v>
      </c>
      <c r="R270" s="45" t="n">
        <v>560.9287096774194</v>
      </c>
      <c r="S270" s="45" t="n">
        <v>730916.3355645161</v>
      </c>
      <c r="U270" s="45" t="n">
        <v>235192.5</v>
      </c>
      <c r="V270" s="45" t="n">
        <v>250958.5161290323</v>
      </c>
      <c r="X270" s="52" t="n"/>
      <c r="Y270" s="65" t="n"/>
      <c r="AA270" s="52" t="n"/>
    </row>
    <row r="271" ht="12" customHeight="1">
      <c r="A271" s="44" t="n">
        <v>44713</v>
      </c>
      <c r="B271" s="45" t="n">
        <v>17209</v>
      </c>
      <c r="C271" s="45" t="n">
        <v>21615.93333333333</v>
      </c>
      <c r="D271" s="45" t="n">
        <v>81.86666666666666</v>
      </c>
      <c r="E271" s="45" t="n">
        <v>3.63</v>
      </c>
      <c r="F271" s="45" t="n">
        <v>5801.429999999997</v>
      </c>
      <c r="G271" s="45" t="n">
        <v>974.7199999999999</v>
      </c>
      <c r="H271" s="45" t="n">
        <v>23878.80666666667</v>
      </c>
      <c r="I271" s="45" t="n">
        <v>47446.27666666666</v>
      </c>
      <c r="J271" s="45" t="n">
        <v>56454.275</v>
      </c>
      <c r="K271" s="45" t="n">
        <v>21547.62604166667</v>
      </c>
      <c r="L271" s="45" t="n">
        <v>181016.5</v>
      </c>
      <c r="M271" s="45" t="n">
        <v>297000.8666666666</v>
      </c>
      <c r="N271" s="45" t="n">
        <v>1886.696666666667</v>
      </c>
      <c r="O271" s="45" t="n">
        <v>15508.29666666667</v>
      </c>
      <c r="P271" s="45" t="n">
        <v>54321.10520833333</v>
      </c>
      <c r="Q271" s="45" t="n">
        <v>0</v>
      </c>
      <c r="R271" s="45" t="n">
        <v>560.9286666666667</v>
      </c>
      <c r="S271" s="45" t="n">
        <v>745307.9582499998</v>
      </c>
      <c r="U271" s="45" t="n">
        <v>263623.05</v>
      </c>
      <c r="V271" s="45" t="n">
        <v>240639.5333333333</v>
      </c>
      <c r="X271" s="52" t="n"/>
      <c r="Y271" s="64" t="n"/>
    </row>
    <row r="272" ht="12" customHeight="1">
      <c r="A272" s="44" t="n">
        <v>44743</v>
      </c>
      <c r="B272" s="45" t="n">
        <v>15934.03225806452</v>
      </c>
      <c r="C272" s="45" t="n">
        <v>22159.51612903226</v>
      </c>
      <c r="D272" s="45" t="n">
        <v>83.38709677419355</v>
      </c>
      <c r="E272" s="45" t="n">
        <v>3.161290322580645</v>
      </c>
      <c r="F272" s="45" t="n">
        <v>5729.635483870966</v>
      </c>
      <c r="G272" s="45" t="n">
        <v>874.8548387096774</v>
      </c>
      <c r="H272" s="45" t="n">
        <v>23832.33548387096</v>
      </c>
      <c r="I272" s="45" t="n">
        <v>47513.77096774194</v>
      </c>
      <c r="J272" s="45" t="n">
        <v>56861.48286290323</v>
      </c>
      <c r="K272" s="45" t="n">
        <v>21457.71320564516</v>
      </c>
      <c r="L272" s="45" t="n">
        <v>186643.064516129</v>
      </c>
      <c r="M272" s="45" t="n">
        <v>323740.7419354839</v>
      </c>
      <c r="N272" s="45" t="n">
        <v>1825.809677419355</v>
      </c>
      <c r="O272" s="45" t="n">
        <v>15725.76774193548</v>
      </c>
      <c r="P272" s="45" t="n">
        <v>59822.98588709677</v>
      </c>
      <c r="Q272" s="45" t="n">
        <v>0</v>
      </c>
      <c r="R272" s="45" t="n">
        <v>560.9287096774194</v>
      </c>
      <c r="S272" s="45" t="n">
        <v>782769.1880846773</v>
      </c>
      <c r="U272" s="45" t="n">
        <v>262519.4032258064</v>
      </c>
      <c r="V272" s="45" t="n">
        <v>274080.5806451613</v>
      </c>
      <c r="X272" s="52" t="n"/>
    </row>
    <row r="273" ht="12" customHeight="1">
      <c r="A273" s="44" t="n">
        <v>44774</v>
      </c>
      <c r="B273" s="45" t="n">
        <v>14270.77419354839</v>
      </c>
      <c r="C273" s="45" t="n">
        <v>22279.70967741936</v>
      </c>
      <c r="D273" s="45" t="n">
        <v>79.93548387096774</v>
      </c>
      <c r="E273" s="45" t="n">
        <v>3.7</v>
      </c>
      <c r="F273" s="45" t="n">
        <v>5977.91935483871</v>
      </c>
      <c r="G273" s="45" t="n">
        <v>839.016129032258</v>
      </c>
      <c r="H273" s="45" t="n">
        <v>24698.45806451613</v>
      </c>
      <c r="I273" s="45" t="n">
        <v>47890.94838709678</v>
      </c>
      <c r="J273" s="45" t="n">
        <v>57927.0060483871</v>
      </c>
      <c r="K273" s="45" t="n">
        <v>21756.04838709677</v>
      </c>
      <c r="L273" s="45" t="n">
        <v>180232.2419354839</v>
      </c>
      <c r="M273" s="45" t="n">
        <v>334287.4516129032</v>
      </c>
      <c r="N273" s="45" t="n">
        <v>1741.645161290323</v>
      </c>
      <c r="O273" s="45" t="n">
        <v>15529.15806451613</v>
      </c>
      <c r="P273" s="45" t="n">
        <v>58830.31048387097</v>
      </c>
      <c r="Q273" s="45" t="n">
        <v>0</v>
      </c>
      <c r="R273" s="45" t="n">
        <v>560.9287096774194</v>
      </c>
      <c r="S273" s="45" t="n">
        <v>786905.2516935484</v>
      </c>
      <c r="U273" s="45" t="n">
        <v>264911.935483871</v>
      </c>
      <c r="V273" s="45" t="n">
        <v>275014.0322580645</v>
      </c>
      <c r="X273" s="52" t="n"/>
    </row>
    <row r="274" ht="12" customHeight="1">
      <c r="A274" s="44" t="n">
        <v>44805</v>
      </c>
      <c r="B274" s="45" t="n">
        <v>5672.1</v>
      </c>
      <c r="C274" s="45" t="n">
        <v>22062.23333333333</v>
      </c>
      <c r="D274" s="45" t="n">
        <v>81.43333333333334</v>
      </c>
      <c r="E274" s="45" t="n">
        <v>3.483333333333333</v>
      </c>
      <c r="F274" s="45" t="n">
        <v>6091.313333333334</v>
      </c>
      <c r="G274" s="45" t="n">
        <v>727.7233333333334</v>
      </c>
      <c r="H274" s="45" t="n">
        <v>25262.1</v>
      </c>
      <c r="I274" s="45" t="n">
        <v>48771.04000000001</v>
      </c>
      <c r="J274" s="45" t="n">
        <v>57010.63854166667</v>
      </c>
      <c r="K274" s="45" t="n">
        <v>21677.26666666667</v>
      </c>
      <c r="L274" s="45" t="n">
        <v>176389.15</v>
      </c>
      <c r="M274" s="45" t="n">
        <v>347547.3</v>
      </c>
      <c r="N274" s="45" t="n">
        <v>1686.6</v>
      </c>
      <c r="O274" s="45" t="n">
        <v>13956.53666666667</v>
      </c>
      <c r="P274" s="45" t="n">
        <v>59457.690625</v>
      </c>
      <c r="Q274" s="45" t="n">
        <v>0</v>
      </c>
      <c r="R274" s="45" t="n">
        <v>560.9286666666667</v>
      </c>
      <c r="S274" s="45" t="n">
        <v>786957.5378333332</v>
      </c>
      <c r="U274" s="45" t="n">
        <v>269356.7166666667</v>
      </c>
      <c r="V274" s="45" t="n">
        <v>273837.9333333333</v>
      </c>
    </row>
    <row r="275" ht="12" customHeight="1">
      <c r="A275" s="44" t="n">
        <v>44835</v>
      </c>
      <c r="B275" s="45" t="n">
        <v>5821.903225806452</v>
      </c>
      <c r="C275" s="45" t="n">
        <v>23174.67741935484</v>
      </c>
      <c r="D275" s="45" t="n">
        <v>83.35483870967742</v>
      </c>
      <c r="E275" s="45" t="n">
        <v>3.345161290322581</v>
      </c>
      <c r="F275" s="45" t="n">
        <v>6301.764516129031</v>
      </c>
      <c r="G275" s="45" t="n">
        <v>723.3774193548387</v>
      </c>
      <c r="H275" s="45" t="n">
        <v>25435.8064516129</v>
      </c>
      <c r="I275" s="45" t="n">
        <v>47943.4</v>
      </c>
      <c r="J275" s="45" t="n">
        <v>59192.51814516129</v>
      </c>
      <c r="K275" s="45" t="n">
        <v>21615.30997983871</v>
      </c>
      <c r="L275" s="45" t="n">
        <v>174438.7096774194</v>
      </c>
      <c r="M275" s="45" t="n">
        <v>341803.1935483871</v>
      </c>
      <c r="N275" s="45" t="n">
        <v>1774.032258064516</v>
      </c>
      <c r="O275" s="45" t="n">
        <v>16493.08387096774</v>
      </c>
      <c r="P275" s="45" t="n">
        <v>60797.14717741936</v>
      </c>
      <c r="Q275" s="45" t="n">
        <v>0</v>
      </c>
      <c r="R275" s="45" t="n">
        <v>560.9287096774194</v>
      </c>
      <c r="S275" s="45" t="n">
        <v>786162.5523991935</v>
      </c>
      <c r="U275" s="45" t="n">
        <v>258728.9677419355</v>
      </c>
      <c r="V275" s="45" t="n">
        <v>284039.4516129032</v>
      </c>
    </row>
    <row r="276" ht="12" customHeight="1">
      <c r="A276" s="44" t="n">
        <v>44866</v>
      </c>
      <c r="B276" s="45" t="n">
        <v>16137.13333333333</v>
      </c>
      <c r="C276" s="45" t="n">
        <v>22430.86666666666</v>
      </c>
      <c r="D276" s="45" t="n">
        <v>82.83333333333333</v>
      </c>
      <c r="E276" s="45" t="n">
        <v>4.093333333333334</v>
      </c>
      <c r="F276" s="45" t="n">
        <v>6261.370000000001</v>
      </c>
      <c r="G276" s="45" t="n">
        <v>694.5599999999999</v>
      </c>
      <c r="H276" s="45" t="n">
        <v>25674.31</v>
      </c>
      <c r="I276" s="45" t="n">
        <v>47873.77333333333</v>
      </c>
      <c r="J276" s="45" t="n">
        <v>59029.025</v>
      </c>
      <c r="K276" s="45" t="n">
        <v>21086.78645833333</v>
      </c>
      <c r="L276" s="45" t="n">
        <v>211286.1</v>
      </c>
      <c r="M276" s="45" t="n">
        <v>323903.7666666667</v>
      </c>
      <c r="N276" s="45" t="n">
        <v>1790.766666666667</v>
      </c>
      <c r="O276" s="45" t="n">
        <v>17348.96666666667</v>
      </c>
      <c r="P276" s="45" t="n">
        <v>61257.15104166666</v>
      </c>
      <c r="Q276" s="45" t="n">
        <v>0</v>
      </c>
      <c r="R276" s="45" t="n">
        <v>560.9286666666667</v>
      </c>
      <c r="S276" s="45" t="n">
        <v>815422.4311666667</v>
      </c>
      <c r="U276" s="45" t="n">
        <v>279132.75</v>
      </c>
      <c r="V276" s="45" t="n">
        <v>284696.3333333333</v>
      </c>
    </row>
    <row r="277" ht="12" customHeight="1">
      <c r="A277" s="44" t="n">
        <v>44896</v>
      </c>
      <c r="B277" s="45" t="n">
        <v>15145.54838709677</v>
      </c>
      <c r="C277" s="45" t="n">
        <v>22606.67741935484</v>
      </c>
      <c r="D277" s="45" t="n">
        <v>78.16129032258064</v>
      </c>
      <c r="E277" s="45" t="n">
        <v>3.958064516129032</v>
      </c>
      <c r="F277" s="45" t="n">
        <v>6357.970967741941</v>
      </c>
      <c r="G277" s="45" t="n">
        <v>690.4193548387096</v>
      </c>
      <c r="H277" s="45" t="n">
        <v>24552.18064516129</v>
      </c>
      <c r="I277" s="45" t="n">
        <v>47104.18387096774</v>
      </c>
      <c r="J277" s="45" t="n">
        <v>58739.47379032258</v>
      </c>
      <c r="K277" s="45" t="n">
        <v>20190.63205645161</v>
      </c>
      <c r="L277" s="45" t="n">
        <v>195988.0322580645</v>
      </c>
      <c r="M277" s="45" t="n">
        <v>317067.8064516129</v>
      </c>
      <c r="N277" s="45" t="n">
        <v>1724.064516129032</v>
      </c>
      <c r="O277" s="45" t="n">
        <v>10983.14516129032</v>
      </c>
      <c r="P277" s="45" t="n">
        <v>60958.44657258064</v>
      </c>
      <c r="Q277" s="45" t="n">
        <v>0</v>
      </c>
      <c r="R277" s="45" t="n">
        <v>560.9287096774194</v>
      </c>
      <c r="S277" s="45" t="n">
        <v>782751.629516129</v>
      </c>
      <c r="U277" s="45" t="n">
        <v>258469.3225806452</v>
      </c>
      <c r="V277" s="45" t="n">
        <v>282451.064516129</v>
      </c>
      <c r="X277" s="52" t="n"/>
    </row>
    <row r="278" ht="12" customHeight="1">
      <c r="A278" s="44" t="n">
        <v>44927</v>
      </c>
      <c r="B278" s="45" t="n">
        <v>15104.29032258065</v>
      </c>
      <c r="C278" s="45" t="n">
        <v>22190.64516129032</v>
      </c>
      <c r="D278" s="45" t="n">
        <v>79.2258064516129</v>
      </c>
      <c r="E278" s="45" t="n">
        <v>4.087096774193548</v>
      </c>
      <c r="F278" s="45" t="n">
        <v>6456.945161290319</v>
      </c>
      <c r="G278" s="45" t="n">
        <v>674.1419354838711</v>
      </c>
      <c r="H278" s="45" t="n">
        <v>24759.54838709677</v>
      </c>
      <c r="I278" s="45" t="n">
        <v>46869.30322580646</v>
      </c>
      <c r="J278" s="45" t="n">
        <v>58982.09173387097</v>
      </c>
      <c r="K278" s="45" t="n">
        <v>23059.49747983871</v>
      </c>
      <c r="L278" s="45" t="n">
        <v>183513.3387096774</v>
      </c>
      <c r="M278" s="45" t="n">
        <v>317371.5161290322</v>
      </c>
      <c r="N278" s="45" t="n">
        <v>1732.516129032258</v>
      </c>
      <c r="O278" s="45" t="n">
        <v>15354.46774193548</v>
      </c>
      <c r="P278" s="45" t="n">
        <v>57699.30544354839</v>
      </c>
      <c r="Q278" s="45" t="n">
        <v>0</v>
      </c>
      <c r="R278" s="45" t="n">
        <v>572.761935483871</v>
      </c>
      <c r="S278" s="45" t="n">
        <v>774423.6823991935</v>
      </c>
      <c r="U278" s="45" t="n">
        <v>245990.4516129032</v>
      </c>
      <c r="V278" s="45" t="n">
        <v>282278.1612903226</v>
      </c>
    </row>
    <row r="279" ht="12" customHeight="1">
      <c r="A279" s="44" t="n">
        <v>44958</v>
      </c>
      <c r="B279" s="45" t="n">
        <v>14169.92857142857</v>
      </c>
      <c r="C279" s="45" t="n">
        <v>18841.78571428571</v>
      </c>
      <c r="D279" s="45" t="n">
        <v>79.89285714285714</v>
      </c>
      <c r="E279" s="45" t="n">
        <v>3.867857142857143</v>
      </c>
      <c r="F279" s="45" t="n">
        <v>6219.185714285712</v>
      </c>
      <c r="G279" s="45" t="n">
        <v>645.4178571428572</v>
      </c>
      <c r="H279" s="45" t="n">
        <v>25713.01428571429</v>
      </c>
      <c r="I279" s="45" t="n">
        <v>47160.91428571429</v>
      </c>
      <c r="J279" s="45" t="n">
        <v>59389.4375</v>
      </c>
      <c r="K279" s="45" t="n">
        <v>23695.30747767857</v>
      </c>
      <c r="L279" s="45" t="n">
        <v>205299.2678571429</v>
      </c>
      <c r="M279" s="45" t="n">
        <v>311396.5357142857</v>
      </c>
      <c r="N279" s="45" t="n">
        <v>1743.928571428571</v>
      </c>
      <c r="O279" s="45" t="n">
        <v>14596.79285714286</v>
      </c>
      <c r="P279" s="45" t="n">
        <v>57209.84598214286</v>
      </c>
      <c r="Q279" s="45" t="n">
        <v>0</v>
      </c>
      <c r="R279" s="45" t="n">
        <v>572.7617857142857</v>
      </c>
      <c r="S279" s="45" t="n">
        <v>786737.8848883929</v>
      </c>
      <c r="U279" s="45" t="n">
        <v>263814.9642857143</v>
      </c>
      <c r="V279" s="45" t="n">
        <v>282894.7678571428</v>
      </c>
    </row>
    <row r="280" ht="12" customHeight="1">
      <c r="A280" s="44" t="n">
        <v>44986</v>
      </c>
      <c r="B280" s="45" t="n">
        <v>11608.35483870968</v>
      </c>
      <c r="C280" s="45" t="n">
        <v>18777.61290322581</v>
      </c>
      <c r="D280" s="45" t="n">
        <v>80.61290322580645</v>
      </c>
      <c r="E280" s="45" t="n">
        <v>3.625806451612903</v>
      </c>
      <c r="F280" s="45" t="n">
        <v>6113.545161290322</v>
      </c>
      <c r="G280" s="45" t="n">
        <v>620.0935483870968</v>
      </c>
      <c r="H280" s="45" t="n">
        <v>26031.3935483871</v>
      </c>
      <c r="I280" s="45" t="n">
        <v>47108.93225806452</v>
      </c>
      <c r="J280" s="45" t="n">
        <v>60554.26411290323</v>
      </c>
      <c r="K280" s="45" t="n">
        <v>23554.6875</v>
      </c>
      <c r="L280" s="45" t="n">
        <v>205035.3870967742</v>
      </c>
      <c r="M280" s="45" t="n">
        <v>312652.0967741936</v>
      </c>
      <c r="N280" s="45" t="n">
        <v>1720.645161290323</v>
      </c>
      <c r="O280" s="45" t="n">
        <v>16142.78387096774</v>
      </c>
      <c r="P280" s="45" t="n">
        <v>57831.82661290323</v>
      </c>
      <c r="Q280" s="45" t="n">
        <v>0</v>
      </c>
      <c r="R280" s="45" t="n">
        <v>572.761935483871</v>
      </c>
      <c r="S280" s="45" t="n">
        <v>788408.6240322581</v>
      </c>
      <c r="U280" s="45" t="n">
        <v>267179.8387096774</v>
      </c>
      <c r="V280" s="45" t="n">
        <v>282395.5161290322</v>
      </c>
    </row>
    <row r="281" ht="12" customHeight="1">
      <c r="A281" s="44" t="n">
        <v>45017</v>
      </c>
      <c r="B281" s="45" t="n">
        <v>12688.03333333333</v>
      </c>
      <c r="C281" s="45" t="n">
        <v>21921.8</v>
      </c>
      <c r="D281" s="45" t="n">
        <v>80.5</v>
      </c>
      <c r="E281" s="45" t="n">
        <v>2.376666666666666</v>
      </c>
      <c r="F281" s="45" t="n">
        <v>5965.513333333335</v>
      </c>
      <c r="G281" s="45" t="n">
        <v>669.3833333333333</v>
      </c>
      <c r="H281" s="45" t="n">
        <v>25149.81666666667</v>
      </c>
      <c r="I281" s="45" t="n">
        <v>47492.06666666667</v>
      </c>
      <c r="J281" s="45" t="n">
        <v>61083.03333333333</v>
      </c>
      <c r="K281" s="45" t="n">
        <v>23435.36041666667</v>
      </c>
      <c r="L281" s="45" t="n">
        <v>178425.25</v>
      </c>
      <c r="M281" s="45" t="n">
        <v>286798.2</v>
      </c>
      <c r="N281" s="45" t="n">
        <v>1869.133333333333</v>
      </c>
      <c r="O281" s="45" t="n">
        <v>16644.18666666667</v>
      </c>
      <c r="P281" s="45" t="n">
        <v>57261.86666666667</v>
      </c>
      <c r="Q281" s="45" t="n">
        <v>0</v>
      </c>
      <c r="R281" s="45" t="n">
        <v>572.7620000000001</v>
      </c>
      <c r="S281" s="45" t="n">
        <v>740059.2824166666</v>
      </c>
      <c r="U281" s="45" t="n">
        <v>232317.0166666667</v>
      </c>
      <c r="V281" s="45" t="n">
        <v>266677.05</v>
      </c>
    </row>
    <row r="282" ht="12" customHeight="1">
      <c r="A282" s="44" t="n">
        <v>45047</v>
      </c>
      <c r="B282" s="45" t="n">
        <v>13449.70967741935</v>
      </c>
      <c r="C282" s="45" t="n">
        <v>20915.41935483871</v>
      </c>
      <c r="D282" s="45" t="n">
        <v>77.16129032258064</v>
      </c>
      <c r="E282" s="45" t="n">
        <v>0</v>
      </c>
      <c r="F282" s="45" t="n">
        <v>6415.506451612901</v>
      </c>
      <c r="G282" s="45" t="n">
        <v>619.9354838709677</v>
      </c>
      <c r="H282" s="45" t="n">
        <v>24161.3064516129</v>
      </c>
      <c r="I282" s="45" t="n">
        <v>47552.28387096774</v>
      </c>
      <c r="J282" s="45" t="n">
        <v>53046.2560483871</v>
      </c>
      <c r="K282" s="45" t="n">
        <v>22853.62298387097</v>
      </c>
      <c r="L282" s="45" t="n">
        <v>171156.3870967742</v>
      </c>
      <c r="M282" s="45" t="n">
        <v>286834.3225806452</v>
      </c>
      <c r="N282" s="45" t="n">
        <v>1263.677419354839</v>
      </c>
      <c r="O282" s="45" t="n">
        <v>14636.0935483871</v>
      </c>
      <c r="P282" s="45" t="n">
        <v>49120.44657258064</v>
      </c>
      <c r="Q282" s="45" t="n">
        <v>0</v>
      </c>
      <c r="R282" s="45" t="n">
        <v>572.761935483871</v>
      </c>
      <c r="S282" s="45" t="n">
        <v>712674.8907661289</v>
      </c>
      <c r="U282" s="45" t="n">
        <v>218664.5483870968</v>
      </c>
      <c r="V282" s="45" t="n">
        <v>268063.6612903226</v>
      </c>
    </row>
    <row r="283" ht="12" customHeight="1">
      <c r="A283" s="44" t="n">
        <v>45078</v>
      </c>
      <c r="B283" s="45" t="n">
        <v>12204.5</v>
      </c>
      <c r="C283" s="45" t="n">
        <v>20297.7</v>
      </c>
      <c r="D283" s="45" t="n">
        <v>77.83333333333333</v>
      </c>
      <c r="E283" s="45" t="n">
        <v>0</v>
      </c>
      <c r="F283" s="45" t="n">
        <v>6130.436666666669</v>
      </c>
      <c r="G283" s="45" t="n">
        <v>637.4166666666666</v>
      </c>
      <c r="H283" s="45" t="n">
        <v>23561.20333333333</v>
      </c>
      <c r="I283" s="45" t="n">
        <v>46999.23999999999</v>
      </c>
      <c r="J283" s="45" t="n">
        <v>55139.79791666667</v>
      </c>
      <c r="K283" s="45" t="n">
        <v>22157.17708333333</v>
      </c>
      <c r="L283" s="45" t="n">
        <v>182274.85</v>
      </c>
      <c r="M283" s="45" t="n">
        <v>304669.8666666666</v>
      </c>
      <c r="N283" s="45" t="n">
        <v>1406.033333333333</v>
      </c>
      <c r="O283" s="45" t="n">
        <v>15207.30000000001</v>
      </c>
      <c r="P283" s="45" t="n">
        <v>54994.88958333333</v>
      </c>
      <c r="Q283" s="45" t="n">
        <v>0</v>
      </c>
      <c r="R283" s="45" t="n">
        <v>572.7620000000001</v>
      </c>
      <c r="S283" s="45" t="n">
        <v>746331.0065833334</v>
      </c>
      <c r="U283" s="45" t="n">
        <v>239450.0166666667</v>
      </c>
      <c r="V283" s="45" t="n">
        <v>278242.5666666667</v>
      </c>
    </row>
    <row r="284" ht="12" customHeight="1">
      <c r="A284" s="44" t="n">
        <v>45108</v>
      </c>
      <c r="B284" s="45" t="n">
        <v>13895.35483870968</v>
      </c>
      <c r="C284" s="45" t="n">
        <v>19921.8064516129</v>
      </c>
      <c r="D284" s="45" t="n">
        <v>78.87096774193549</v>
      </c>
      <c r="E284" s="45" t="n">
        <v>0</v>
      </c>
      <c r="F284" s="45" t="n">
        <v>6019.790322580645</v>
      </c>
      <c r="G284" s="45" t="n">
        <v>658.9000000000001</v>
      </c>
      <c r="H284" s="45" t="n">
        <v>24331.48709677419</v>
      </c>
      <c r="I284" s="45" t="n">
        <v>47220.01612903226</v>
      </c>
      <c r="J284" s="45" t="n">
        <v>59202.70766129033</v>
      </c>
      <c r="K284" s="45" t="n">
        <v>22739.06451612903</v>
      </c>
      <c r="L284" s="45" t="n">
        <v>217002.5161290323</v>
      </c>
      <c r="M284" s="45" t="n">
        <v>309469.935483871</v>
      </c>
      <c r="N284" s="45" t="n">
        <v>1311.645161290323</v>
      </c>
      <c r="O284" s="45" t="n">
        <v>15426.17096774194</v>
      </c>
      <c r="P284" s="45" t="n">
        <v>58509.04233870967</v>
      </c>
      <c r="Q284" s="45" t="n">
        <v>0</v>
      </c>
      <c r="R284" s="45" t="n">
        <v>572.761935483871</v>
      </c>
      <c r="S284" s="45" t="n">
        <v>796360.0700000002</v>
      </c>
      <c r="U284" s="45" t="n">
        <v>278945.8709677419</v>
      </c>
      <c r="V284" s="45" t="n">
        <v>282628.5806451613</v>
      </c>
    </row>
    <row r="285" ht="12" customHeight="1">
      <c r="A285" s="44" t="n">
        <v>45139</v>
      </c>
      <c r="B285" s="45" t="n">
        <v>13565.16129032258</v>
      </c>
      <c r="C285" s="45" t="n">
        <v>19334.1935483871</v>
      </c>
      <c r="D285" s="45" t="n">
        <v>76.64516129032258</v>
      </c>
      <c r="E285" s="45" t="n">
        <v>0</v>
      </c>
      <c r="F285" s="45" t="n">
        <v>5834.619354838707</v>
      </c>
      <c r="G285" s="45" t="n">
        <v>644.0967741935484</v>
      </c>
      <c r="H285" s="45" t="n">
        <v>24789.59032258065</v>
      </c>
      <c r="I285" s="45" t="n">
        <v>46801.74193548387</v>
      </c>
      <c r="J285" s="45" t="n">
        <v>60868.75504032258</v>
      </c>
      <c r="K285" s="45" t="n">
        <v>22607.63205645161</v>
      </c>
      <c r="L285" s="45" t="n">
        <v>209244.2096774194</v>
      </c>
      <c r="M285" s="45" t="n">
        <v>312633.4193548387</v>
      </c>
      <c r="N285" s="45" t="n">
        <v>1303.41935483871</v>
      </c>
      <c r="O285" s="45" t="n">
        <v>17235.30322580645</v>
      </c>
      <c r="P285" s="45" t="n">
        <v>60349.6058467742</v>
      </c>
      <c r="Q285" s="45" t="n">
        <v>0</v>
      </c>
      <c r="R285" s="45" t="n">
        <v>572.761935483871</v>
      </c>
      <c r="S285" s="45" t="n">
        <v>795861.1548790322</v>
      </c>
      <c r="U285" s="45" t="n">
        <v>269677.0322580645</v>
      </c>
      <c r="V285" s="45" t="n">
        <v>287582.6774193548</v>
      </c>
    </row>
    <row r="286" ht="12" customHeight="1">
      <c r="A286" s="44" t="n">
        <v>45170</v>
      </c>
      <c r="B286" s="45" t="n">
        <v>13185.43333333333</v>
      </c>
      <c r="C286" s="45" t="n">
        <v>4875.2</v>
      </c>
      <c r="D286" s="45" t="n">
        <v>78</v>
      </c>
      <c r="E286" s="45" t="n">
        <v>0</v>
      </c>
      <c r="F286" s="45" t="n">
        <v>5727.090000000002</v>
      </c>
      <c r="G286" s="45" t="n">
        <v>655.49</v>
      </c>
      <c r="H286" s="45" t="n">
        <v>25464.06333333334</v>
      </c>
      <c r="I286" s="45" t="n">
        <v>45634.38</v>
      </c>
      <c r="J286" s="45" t="n">
        <v>60069.14895833333</v>
      </c>
      <c r="K286" s="45" t="n">
        <v>22863.11041666667</v>
      </c>
      <c r="L286" s="45" t="n">
        <v>171545.6666666667</v>
      </c>
      <c r="M286" s="45" t="n">
        <v>350245.0666666667</v>
      </c>
      <c r="N286" s="45" t="n">
        <v>1085.8</v>
      </c>
      <c r="O286" s="45" t="n">
        <v>16568.58666666667</v>
      </c>
      <c r="P286" s="45" t="n">
        <v>57285.40625</v>
      </c>
      <c r="Q286" s="45" t="n">
        <v>0</v>
      </c>
      <c r="R286" s="45" t="n">
        <v>572.7620000000001</v>
      </c>
      <c r="S286" s="45" t="n">
        <v>775855.2042916667</v>
      </c>
      <c r="U286" s="45" t="n">
        <v>264560.7333333333</v>
      </c>
      <c r="V286" s="45" t="n">
        <v>281910.2</v>
      </c>
    </row>
    <row r="287" ht="12" customHeight="1">
      <c r="A287" s="44" t="n">
        <v>45200</v>
      </c>
      <c r="B287" s="45" t="n">
        <v>12343.93548387097</v>
      </c>
      <c r="C287" s="45" t="n">
        <v>18031.87096774194</v>
      </c>
      <c r="D287" s="45" t="n">
        <v>79</v>
      </c>
      <c r="E287" s="45" t="n">
        <v>0</v>
      </c>
      <c r="F287" s="45" t="n">
        <v>6122.196774193543</v>
      </c>
      <c r="G287" s="45" t="n">
        <v>629.683870967742</v>
      </c>
      <c r="H287" s="45" t="n">
        <v>25482.71935483871</v>
      </c>
      <c r="I287" s="45" t="n">
        <v>46583.03225806452</v>
      </c>
      <c r="J287" s="45" t="n">
        <v>60560.8870967742</v>
      </c>
      <c r="K287" s="45" t="n">
        <v>23330.88760080645</v>
      </c>
      <c r="L287" s="45" t="n">
        <v>168503.9193548387</v>
      </c>
      <c r="M287" s="45" t="n">
        <v>343120.8064516129</v>
      </c>
      <c r="N287" s="45" t="n">
        <v>1294.096774193548</v>
      </c>
      <c r="O287" s="45" t="n">
        <v>17964.86451612903</v>
      </c>
      <c r="P287" s="45" t="n">
        <v>63343.57358870967</v>
      </c>
      <c r="Q287" s="45" t="n">
        <v>0</v>
      </c>
      <c r="R287" s="45" t="n">
        <v>572.761935483871</v>
      </c>
      <c r="S287" s="45" t="n">
        <v>787964.2360282259</v>
      </c>
      <c r="U287" s="45" t="n">
        <v>249697.064516129</v>
      </c>
      <c r="V287" s="45" t="n">
        <v>285797.3548387097</v>
      </c>
    </row>
    <row r="288" ht="12" customHeight="1">
      <c r="A288" s="44" t="n">
        <v>45231</v>
      </c>
      <c r="B288" s="45" t="n">
        <v>11779.33333333333</v>
      </c>
      <c r="C288" s="45" t="n">
        <v>20108.5</v>
      </c>
      <c r="D288" s="45" t="n">
        <v>79.7</v>
      </c>
      <c r="E288" s="45" t="n">
        <v>0</v>
      </c>
      <c r="F288" s="45" t="n">
        <v>6256.34</v>
      </c>
      <c r="G288" s="45" t="n">
        <v>625.8633333333333</v>
      </c>
      <c r="H288" s="45" t="n">
        <v>25103.34</v>
      </c>
      <c r="I288" s="45" t="n">
        <v>47672.46666666667</v>
      </c>
      <c r="J288" s="45" t="n">
        <v>61650.68125</v>
      </c>
      <c r="K288" s="45" t="n">
        <v>23480.27291666666</v>
      </c>
      <c r="L288" s="45" t="n">
        <v>216377.6666666667</v>
      </c>
      <c r="M288" s="45" t="n">
        <v>347793</v>
      </c>
      <c r="N288" s="45" t="n">
        <v>1358.366666666667</v>
      </c>
      <c r="O288" s="45" t="n">
        <v>19128.48333333334</v>
      </c>
      <c r="P288" s="45" t="n">
        <v>64009.809375</v>
      </c>
      <c r="Q288" s="45" t="n">
        <v>0</v>
      </c>
      <c r="R288" s="45" t="n">
        <v>572.7620000000001</v>
      </c>
      <c r="S288" s="45" t="n">
        <v>845996.5855416666</v>
      </c>
      <c r="U288" s="45" t="n">
        <v>309127.5</v>
      </c>
      <c r="V288" s="45" t="n">
        <v>291446.8</v>
      </c>
    </row>
    <row r="289" ht="12" customHeight="1">
      <c r="A289" s="44" t="n">
        <v>45261</v>
      </c>
      <c r="B289" s="45" t="n">
        <v>13607.87096774194</v>
      </c>
      <c r="C289" s="45" t="n">
        <v>18968.58064516129</v>
      </c>
      <c r="D289" s="45" t="n">
        <v>80</v>
      </c>
      <c r="E289" s="45" t="n">
        <v>0</v>
      </c>
      <c r="F289" s="45" t="n">
        <v>6225.561290322581</v>
      </c>
      <c r="G289" s="45" t="n">
        <v>614.6129032258065</v>
      </c>
      <c r="H289" s="45" t="n">
        <v>24963.09677419355</v>
      </c>
      <c r="I289" s="45" t="n">
        <v>48594.27419354839</v>
      </c>
      <c r="J289" s="45" t="n">
        <v>62681.75705645161</v>
      </c>
      <c r="K289" s="45" t="n">
        <v>23539.10635080645</v>
      </c>
      <c r="L289" s="45" t="n">
        <v>223178.5967741935</v>
      </c>
      <c r="M289" s="45" t="n">
        <v>344686.3225806452</v>
      </c>
      <c r="N289" s="45" t="n">
        <v>1544.548387096774</v>
      </c>
      <c r="O289" s="45" t="n">
        <v>19493.89677419355</v>
      </c>
      <c r="P289" s="45" t="n">
        <v>66272.04637096774</v>
      </c>
      <c r="Q289" s="45" t="n">
        <v>0</v>
      </c>
      <c r="R289" s="45" t="n">
        <v>572.761935483871</v>
      </c>
      <c r="S289" s="45" t="n">
        <v>855023.0330040322</v>
      </c>
      <c r="U289" s="45" t="n">
        <v>303796.5161290322</v>
      </c>
      <c r="V289" s="45" t="n">
        <v>298746.7419354839</v>
      </c>
    </row>
    <row r="290" ht="12" customHeight="1">
      <c r="A290" s="44" t="n">
        <v>45292</v>
      </c>
      <c r="B290" s="45" t="n">
        <v>10959.48387096774</v>
      </c>
      <c r="C290" s="45" t="n">
        <v>19261.90322580645</v>
      </c>
      <c r="D290" s="45" t="n">
        <v>76.29032258064517</v>
      </c>
      <c r="E290" s="45" t="n">
        <v>4.474193548387096</v>
      </c>
      <c r="F290" s="45" t="n">
        <v>5943.135483870965</v>
      </c>
      <c r="G290" s="45" t="n">
        <v>608.7967741935485</v>
      </c>
      <c r="H290" s="45" t="n">
        <v>23359.97741935484</v>
      </c>
      <c r="I290" s="45" t="n">
        <v>47401.1935483871</v>
      </c>
      <c r="J290" s="45" t="n">
        <v>57177.61189516129</v>
      </c>
      <c r="K290" s="45" t="n">
        <v>23488.82560483871</v>
      </c>
      <c r="L290" s="45" t="n">
        <v>202817.0967741935</v>
      </c>
      <c r="M290" s="45" t="n">
        <v>310846.2580645161</v>
      </c>
      <c r="N290" s="45" t="n">
        <v>1506</v>
      </c>
      <c r="O290" s="45" t="n">
        <v>19509.53548387097</v>
      </c>
      <c r="P290" s="45" t="n">
        <v>59736.09576612903</v>
      </c>
      <c r="Q290" s="45" t="n">
        <v>0</v>
      </c>
      <c r="R290" s="45" t="n"/>
      <c r="S290" s="45" t="n">
        <v>782696.6784274194</v>
      </c>
      <c r="U290" s="45" t="n">
        <v>259424.2419354839</v>
      </c>
      <c r="V290" s="45" t="n">
        <v>289729.1612903226</v>
      </c>
    </row>
    <row r="291" ht="12" customHeight="1">
      <c r="A291" s="44" t="n">
        <v>45323</v>
      </c>
      <c r="B291" s="45" t="n">
        <v>15775.96551724138</v>
      </c>
      <c r="C291" s="45" t="n">
        <v>17954.44827586207</v>
      </c>
      <c r="D291" s="45" t="n">
        <v>80.37931034482759</v>
      </c>
      <c r="E291" s="45" t="n">
        <v>4.010344827586207</v>
      </c>
      <c r="F291" s="45" t="n">
        <v>6061.465517241381</v>
      </c>
      <c r="G291" s="45" t="n">
        <v>575.0862068965517</v>
      </c>
      <c r="H291" s="45" t="n">
        <v>24458.24482758621</v>
      </c>
      <c r="I291" s="45" t="n">
        <v>48200.84827586207</v>
      </c>
      <c r="J291" s="45" t="n">
        <v>60127.57543103449</v>
      </c>
      <c r="K291" s="45" t="n">
        <v>24839.41648706896</v>
      </c>
      <c r="L291" s="45" t="n">
        <v>205905.0862068966</v>
      </c>
      <c r="M291" s="45" t="n">
        <v>325799.1379310345</v>
      </c>
      <c r="N291" s="45" t="n">
        <v>1592.103448275862</v>
      </c>
      <c r="O291" s="45" t="n">
        <v>19556.71034482759</v>
      </c>
      <c r="P291" s="45" t="n">
        <v>60404.31465517241</v>
      </c>
      <c r="Q291" s="45" t="n">
        <v>0</v>
      </c>
      <c r="R291" s="45" t="n"/>
      <c r="S291" s="45" t="n">
        <v>811334.7927801724</v>
      </c>
      <c r="U291" s="45" t="n">
        <v>269111.775862069</v>
      </c>
      <c r="V291" s="45" t="n">
        <v>294867.0689655172</v>
      </c>
    </row>
    <row r="292" ht="12" customHeight="1">
      <c r="A292" s="44" t="n">
        <v>45352</v>
      </c>
      <c r="B292" s="45" t="n">
        <v>12430.64516129032</v>
      </c>
      <c r="C292" s="45" t="n">
        <v>17831.83870967742</v>
      </c>
      <c r="D292" s="45" t="n">
        <v>82.7741935483871</v>
      </c>
      <c r="E292" s="45" t="n">
        <v>3.538709677419355</v>
      </c>
      <c r="F292" s="45" t="n">
        <v>6235.387096774201</v>
      </c>
      <c r="G292" s="45" t="n">
        <v>645.4741935483871</v>
      </c>
      <c r="H292" s="45" t="n">
        <v>24994.31935483871</v>
      </c>
      <c r="I292" s="45" t="n">
        <v>48117.78064516129</v>
      </c>
      <c r="J292" s="45" t="n">
        <v>61958.22076612903</v>
      </c>
      <c r="K292" s="45" t="n">
        <v>25007.15826612903</v>
      </c>
      <c r="L292" s="45" t="n">
        <v>205836.8709677419</v>
      </c>
      <c r="M292" s="45" t="n">
        <v>337501.0322580645</v>
      </c>
      <c r="N292" s="45" t="n">
        <v>1491.645161290323</v>
      </c>
      <c r="O292" s="45" t="n">
        <v>19843.15161290323</v>
      </c>
      <c r="P292" s="45" t="n">
        <v>60234.45564516129</v>
      </c>
      <c r="Q292" s="45" t="n">
        <v>0</v>
      </c>
      <c r="R292" s="45" t="n"/>
      <c r="S292" s="45" t="n">
        <v>822214.2927419355</v>
      </c>
      <c r="U292" s="45" t="n">
        <v>281652.3870967742</v>
      </c>
      <c r="V292" s="45" t="n">
        <v>295115.4193548387</v>
      </c>
    </row>
    <row r="293" ht="12" customHeight="1">
      <c r="A293" s="44" t="n">
        <v>45383</v>
      </c>
      <c r="B293" s="45" t="n">
        <v>18389.23333333333</v>
      </c>
      <c r="C293" s="45" t="n">
        <v>16570.73333333333</v>
      </c>
      <c r="D293" s="45" t="n">
        <v>81.90000000000001</v>
      </c>
      <c r="E293" s="45" t="n">
        <v>4.593333333333334</v>
      </c>
      <c r="F293" s="45" t="n">
        <v>6104.156666666665</v>
      </c>
      <c r="G293" s="45" t="n">
        <v>634.7533333333333</v>
      </c>
      <c r="H293" s="45" t="n">
        <v>24979.14333333333</v>
      </c>
      <c r="I293" s="45" t="n">
        <v>48371.06999999999</v>
      </c>
      <c r="J293" s="45" t="n">
        <v>62286.78541666667</v>
      </c>
      <c r="K293" s="45" t="n">
        <v>24215.353125</v>
      </c>
      <c r="L293" s="45" t="n">
        <v>195371.45</v>
      </c>
      <c r="M293" s="45" t="n">
        <v>330465.9666666667</v>
      </c>
      <c r="N293" s="45" t="n">
        <v>1868.3</v>
      </c>
      <c r="O293" s="45" t="n">
        <v>20041.20333333333</v>
      </c>
      <c r="P293" s="45" t="n">
        <v>61274.90833333333</v>
      </c>
      <c r="Q293" s="45" t="n">
        <v>0</v>
      </c>
      <c r="R293" s="45" t="n"/>
      <c r="S293" s="45" t="n">
        <v>810659.5502083334</v>
      </c>
      <c r="U293" s="45" t="n">
        <v>264776.3</v>
      </c>
      <c r="V293" s="45" t="n">
        <v>291881.5666666667</v>
      </c>
    </row>
    <row r="294" ht="12" customHeight="1">
      <c r="A294" s="44" t="n">
        <v>45413</v>
      </c>
      <c r="B294" s="45" t="n">
        <v>15175.96774193548</v>
      </c>
      <c r="C294" s="45" t="n">
        <v>17052.58064516129</v>
      </c>
      <c r="D294" s="45" t="n">
        <v>80.48387096774194</v>
      </c>
      <c r="E294" s="45" t="n">
        <v>3.232258064516129</v>
      </c>
      <c r="F294" s="45" t="n">
        <v>5856.364516129031</v>
      </c>
      <c r="G294" s="45" t="n">
        <v>655.2741935483871</v>
      </c>
      <c r="H294" s="45" t="n">
        <v>23943.27096774194</v>
      </c>
      <c r="I294" s="45" t="n">
        <v>48227.81612903225</v>
      </c>
      <c r="J294" s="45" t="n">
        <v>60682.10685483871</v>
      </c>
      <c r="K294" s="45" t="n">
        <v>24897.23790322581</v>
      </c>
      <c r="L294" s="45" t="n">
        <v>162612.3225806452</v>
      </c>
      <c r="M294" s="45" t="n">
        <v>325103.6774193548</v>
      </c>
      <c r="N294" s="45" t="n">
        <v>1571.193548387097</v>
      </c>
      <c r="O294" s="45" t="n">
        <v>19337.14193548387</v>
      </c>
      <c r="P294" s="45" t="n">
        <v>57953.00302419355</v>
      </c>
      <c r="Q294" s="45" t="n">
        <v>0</v>
      </c>
      <c r="R294" s="45" t="n"/>
      <c r="S294" s="45" t="n">
        <v>763151.6735887098</v>
      </c>
      <c r="U294" s="45" t="n">
        <v>221259.7096774194</v>
      </c>
      <c r="V294" s="45" t="n">
        <v>291260.5806451613</v>
      </c>
    </row>
    <row r="295" ht="12" customHeight="1">
      <c r="A295" s="44" t="n">
        <v>45444</v>
      </c>
      <c r="B295" s="45" t="n">
        <v>12979.1</v>
      </c>
      <c r="C295" s="45" t="n">
        <v>17007.93333333333</v>
      </c>
      <c r="D295" s="45" t="n">
        <v>79.33333333333333</v>
      </c>
      <c r="E295" s="45" t="n">
        <v>2.183333333333333</v>
      </c>
      <c r="F295" s="45" t="n">
        <v>5799.473333333332</v>
      </c>
      <c r="G295" s="45" t="n">
        <v>624.9233333333334</v>
      </c>
      <c r="H295" s="45" t="n">
        <v>23043.38333333334</v>
      </c>
      <c r="I295" s="45" t="n">
        <v>47015.13333333333</v>
      </c>
      <c r="J295" s="45" t="n">
        <v>58429.70520833333</v>
      </c>
      <c r="K295" s="45" t="n">
        <v>25589.11302083333</v>
      </c>
      <c r="L295" s="45" t="n">
        <v>188903.4166666667</v>
      </c>
      <c r="M295" s="45" t="n">
        <v>332487.8666666666</v>
      </c>
      <c r="N295" s="45" t="n">
        <v>1626.8</v>
      </c>
      <c r="O295" s="45" t="n">
        <v>19943.90333333334</v>
      </c>
      <c r="P295" s="45" t="n">
        <v>60541.3875</v>
      </c>
      <c r="Q295" s="45" t="n">
        <v>0</v>
      </c>
      <c r="R295" s="45" t="n"/>
      <c r="S295" s="45" t="n">
        <v>794073.6557291667</v>
      </c>
      <c r="U295" s="45" t="n">
        <v>254651.4666666667</v>
      </c>
      <c r="V295" s="45" t="n">
        <v>298938.4666666667</v>
      </c>
    </row>
    <row r="296" ht="12" customHeight="1">
      <c r="A296" s="44" t="n">
        <v>45474</v>
      </c>
      <c r="B296" s="45" t="n">
        <v>16268.90322580645</v>
      </c>
      <c r="C296" s="45" t="n">
        <v>17877.54838709677</v>
      </c>
      <c r="D296" s="45" t="n">
        <v>78.58064516129032</v>
      </c>
      <c r="E296" s="45" t="n">
        <v>3.235483870967742</v>
      </c>
      <c r="F296" s="45" t="n">
        <v>5867.074193548392</v>
      </c>
      <c r="G296" s="45" t="n">
        <v>556.3516129032258</v>
      </c>
      <c r="H296" s="45" t="n">
        <v>22819.25806451613</v>
      </c>
      <c r="I296" s="45" t="n">
        <v>46681.66774193548</v>
      </c>
      <c r="J296" s="45" t="n">
        <v>58316.34375</v>
      </c>
      <c r="K296" s="45" t="n">
        <v>25049.77419354839</v>
      </c>
      <c r="L296" s="45" t="n">
        <v>210898.0322580645</v>
      </c>
      <c r="M296" s="45" t="n">
        <v>329266.6451612903</v>
      </c>
      <c r="N296" s="45" t="n">
        <v>1470</v>
      </c>
      <c r="O296" s="45" t="n">
        <v>18854.60322580646</v>
      </c>
      <c r="P296" s="45" t="n">
        <v>60809.60786290323</v>
      </c>
      <c r="Q296" s="45" t="n">
        <v>0</v>
      </c>
      <c r="R296" s="45" t="n"/>
      <c r="S296" s="45" t="n">
        <v>814817.6258064517</v>
      </c>
      <c r="U296" s="45" t="n">
        <v>281392.8709677419</v>
      </c>
      <c r="V296" s="45" t="n">
        <v>290561.5161290322</v>
      </c>
    </row>
    <row r="297" ht="12" customHeight="1">
      <c r="A297" s="44" t="n">
        <v>45505</v>
      </c>
      <c r="B297" s="45" t="n">
        <v>17754.12903225806</v>
      </c>
      <c r="C297" s="45" t="n">
        <v>18517.70967741936</v>
      </c>
      <c r="D297" s="45" t="n">
        <v>79.41935483870968</v>
      </c>
      <c r="E297" s="45" t="n">
        <v>2.145161290322581</v>
      </c>
      <c r="F297" s="45" t="n">
        <v>5861.709677419355</v>
      </c>
      <c r="G297" s="45" t="n">
        <v>621.9967741935484</v>
      </c>
      <c r="H297" s="45" t="n">
        <v>23667.82580645161</v>
      </c>
      <c r="I297" s="45" t="n">
        <v>47274.72258064517</v>
      </c>
      <c r="J297" s="45" t="n">
        <v>59574.30544354839</v>
      </c>
      <c r="K297" s="45" t="n">
        <v>25275.08618951613</v>
      </c>
      <c r="L297" s="45" t="n">
        <v>218775.3548387097</v>
      </c>
      <c r="M297" s="45" t="n">
        <v>324172.7419354839</v>
      </c>
      <c r="N297" s="45" t="n">
        <v>1989.258064516129</v>
      </c>
      <c r="O297" s="45" t="n">
        <v>20545.0741935484</v>
      </c>
      <c r="P297" s="45" t="n">
        <v>65093.03830645161</v>
      </c>
      <c r="Q297" s="45" t="n">
        <v>0</v>
      </c>
      <c r="R297" s="45" t="n"/>
      <c r="S297" s="45" t="n">
        <v>829204.5170362904</v>
      </c>
      <c r="U297" s="45" t="n">
        <v>296114.5483870968</v>
      </c>
      <c r="V297" s="45" t="n">
        <v>280577.7419354839</v>
      </c>
    </row>
    <row r="298" ht="12" customHeight="1">
      <c r="A298" s="44" t="n">
        <v>45536</v>
      </c>
      <c r="B298" s="45" t="n">
        <v>14776.63333333333</v>
      </c>
      <c r="C298" s="45" t="n">
        <v>19963.26666666667</v>
      </c>
      <c r="D298" s="45" t="n">
        <v>78.66666666666667</v>
      </c>
      <c r="E298" s="45" t="n"/>
      <c r="F298" s="45" t="n">
        <v>5776.430000000005</v>
      </c>
      <c r="G298" s="45" t="n">
        <v>621.3199999999999</v>
      </c>
      <c r="H298" s="45" t="n">
        <v>23938.23333333334</v>
      </c>
      <c r="I298" s="45" t="n">
        <v>45197.77333333333</v>
      </c>
      <c r="J298" s="45" t="n">
        <v>58857.528125</v>
      </c>
      <c r="K298" s="45" t="n">
        <v>24818.77604166667</v>
      </c>
      <c r="L298" s="45" t="n">
        <v>191671.4</v>
      </c>
      <c r="M298" s="45" t="n">
        <v>316994.9</v>
      </c>
      <c r="N298" s="45" t="n">
        <v>2052.066666666667</v>
      </c>
      <c r="O298" s="45" t="n">
        <v>20639.81666666667</v>
      </c>
      <c r="P298" s="45" t="n">
        <v>60077.39791666667</v>
      </c>
      <c r="Q298" s="45" t="n">
        <v>0</v>
      </c>
      <c r="R298" s="45" t="n"/>
      <c r="S298" s="45" t="n">
        <v>785464.20875</v>
      </c>
      <c r="U298" s="45" t="n">
        <v>273901.9833333333</v>
      </c>
      <c r="V298" s="45" t="n">
        <v>269745.35</v>
      </c>
    </row>
    <row r="299" ht="12" customHeight="1">
      <c r="A299" s="44" t="n">
        <v>45566</v>
      </c>
      <c r="B299" s="45" t="n">
        <v>12177.38709677419</v>
      </c>
      <c r="C299" s="45" t="n">
        <v>19072.25806451613</v>
      </c>
      <c r="D299" s="45" t="n">
        <v>80.29032258064517</v>
      </c>
      <c r="E299" s="45" t="n"/>
      <c r="F299" s="45" t="n">
        <v>5680.480645161294</v>
      </c>
      <c r="G299" s="45" t="n">
        <v>602.9354838709677</v>
      </c>
      <c r="H299" s="45" t="n">
        <v>24448.42580645161</v>
      </c>
      <c r="I299" s="45" t="n">
        <v>46982.31290322581</v>
      </c>
      <c r="J299" s="45" t="n">
        <v>61811.83669354839</v>
      </c>
      <c r="K299" s="45" t="n">
        <v>24797.64415322581</v>
      </c>
      <c r="L299" s="45" t="n">
        <v>198899.564516129</v>
      </c>
      <c r="M299" s="45" t="n">
        <v>357247.2580645161</v>
      </c>
      <c r="N299" s="45" t="n">
        <v>1905.548387096774</v>
      </c>
      <c r="O299" s="45" t="n">
        <v>20045.67096774194</v>
      </c>
      <c r="P299" s="45" t="n">
        <v>66868.18346774194</v>
      </c>
      <c r="Q299" s="45" t="n">
        <v>0</v>
      </c>
      <c r="R299" s="45" t="n"/>
      <c r="S299" s="45" t="n">
        <v>840619.7965725807</v>
      </c>
      <c r="U299" s="45" t="n">
        <v>278626.1290322581</v>
      </c>
      <c r="V299" s="45" t="n">
        <v>305441.7096774193</v>
      </c>
    </row>
    <row r="300" ht="12" customHeight="1">
      <c r="A300" s="44" t="n">
        <v>45597</v>
      </c>
      <c r="B300" s="45" t="n">
        <v>13877</v>
      </c>
      <c r="C300" s="45" t="n">
        <v>18423.06666666667</v>
      </c>
      <c r="D300" s="45" t="n"/>
      <c r="E300" s="45" t="n"/>
      <c r="F300" s="45" t="n">
        <v>5530.850000000003</v>
      </c>
      <c r="G300" s="45" t="n">
        <v>596.0366666666666</v>
      </c>
      <c r="H300" s="45" t="n">
        <v>24528.63333333334</v>
      </c>
      <c r="I300" s="45" t="n">
        <v>46869.48333333332</v>
      </c>
      <c r="J300" s="45" t="n">
        <v>64273.27291666667</v>
      </c>
      <c r="K300" s="45" t="n">
        <v>24294.52916666667</v>
      </c>
      <c r="L300" s="45" t="n">
        <v>217903.5166666667</v>
      </c>
      <c r="M300" s="45" t="n">
        <v>344809.5666666667</v>
      </c>
      <c r="N300" s="45" t="n">
        <v>1950.533333333333</v>
      </c>
      <c r="O300" s="45" t="n">
        <v>21518.55000000001</v>
      </c>
      <c r="P300" s="45" t="n">
        <v>68928.39999999999</v>
      </c>
      <c r="Q300" s="45" t="n">
        <v>0</v>
      </c>
      <c r="R300" s="45" t="n"/>
      <c r="S300" s="45" t="n">
        <v>853503.43875</v>
      </c>
      <c r="U300" s="45" t="n">
        <v>292165.5</v>
      </c>
      <c r="V300" s="45" t="n">
        <v>306429.6666666667</v>
      </c>
    </row>
    <row r="301" ht="12" customHeight="1">
      <c r="A301" s="44" t="n">
        <v>45627</v>
      </c>
      <c r="B301" s="45" t="n">
        <v>19247.41935483871</v>
      </c>
      <c r="C301" s="45" t="n">
        <v>19200.1935483871</v>
      </c>
      <c r="D301" s="45" t="n"/>
      <c r="E301" s="45" t="n"/>
      <c r="F301" s="45" t="n"/>
      <c r="G301" s="45" t="n">
        <v>586.1741935483872</v>
      </c>
      <c r="H301" s="45" t="n">
        <v>24198.48387096774</v>
      </c>
      <c r="I301" s="45" t="n">
        <v>47057.35161290323</v>
      </c>
      <c r="J301" s="45" t="n">
        <v>64646.0504032258</v>
      </c>
      <c r="K301" s="45" t="n">
        <v>24035.79284274194</v>
      </c>
      <c r="L301" s="45" t="n">
        <v>225978.8064516129</v>
      </c>
      <c r="M301" s="45" t="n">
        <v>347134.3548387097</v>
      </c>
      <c r="N301" s="45" t="n">
        <v>1876.58064516129</v>
      </c>
      <c r="O301" s="45" t="n">
        <v>23949.62258064517</v>
      </c>
      <c r="P301" s="45" t="n">
        <v>67432.69858870968</v>
      </c>
      <c r="Q301" s="45" t="n">
        <v>0</v>
      </c>
      <c r="R301" s="45" t="n"/>
      <c r="S301" s="45" t="n">
        <v>865343.5289314517</v>
      </c>
      <c r="U301" s="45" t="n">
        <v>297465.5161290322</v>
      </c>
      <c r="V301" s="45" t="n">
        <v>310677.7741935484</v>
      </c>
    </row>
    <row r="302" ht="12" customHeight="1">
      <c r="A302" s="44" t="n">
        <v>45658</v>
      </c>
      <c r="B302" s="45" t="n">
        <v>16873.87096774194</v>
      </c>
      <c r="C302" s="45" t="n">
        <v>20415.54838709677</v>
      </c>
      <c r="D302" s="45" t="n"/>
      <c r="E302" s="45" t="n"/>
      <c r="F302" s="45" t="n"/>
      <c r="G302" s="45" t="n"/>
      <c r="H302" s="45" t="n"/>
      <c r="I302" s="45" t="n"/>
      <c r="J302" s="45" t="n">
        <v>63296.37096774193</v>
      </c>
      <c r="K302" s="45" t="n">
        <v>24070.42036290323</v>
      </c>
      <c r="L302" s="45" t="n">
        <v>227139.4193548387</v>
      </c>
      <c r="M302" s="45" t="n">
        <v>338423.6774193548</v>
      </c>
      <c r="N302" s="45" t="n">
        <v>1755.967741935484</v>
      </c>
      <c r="O302" s="45" t="n">
        <v>6577.741935483871</v>
      </c>
      <c r="P302" s="45" t="n">
        <v>66438.42641129032</v>
      </c>
      <c r="Q302" s="45" t="n">
        <v>0</v>
      </c>
      <c r="R302" s="45" t="n"/>
      <c r="S302" s="45" t="n">
        <v>764991.443548387</v>
      </c>
      <c r="U302" s="45" t="n">
        <v>288490.7096774193</v>
      </c>
      <c r="V302" s="45" t="n">
        <v>310740.3225806452</v>
      </c>
    </row>
    <row r="303" ht="12" customHeight="1">
      <c r="A303" s="44" t="n">
        <v>45689</v>
      </c>
      <c r="B303" s="45" t="n"/>
      <c r="C303" s="45" t="n"/>
      <c r="D303" s="45" t="n"/>
      <c r="E303" s="45" t="n"/>
      <c r="F303" s="45" t="n"/>
      <c r="G303" s="45" t="n"/>
      <c r="H303" s="45" t="n"/>
      <c r="I303" s="45" t="n"/>
      <c r="J303" s="45" t="n"/>
      <c r="K303" s="45" t="n"/>
      <c r="L303" s="45" t="n"/>
      <c r="M303" s="45" t="n"/>
      <c r="N303" s="45" t="n"/>
      <c r="O303" s="45" t="n"/>
      <c r="P303" s="45" t="n"/>
      <c r="Q303" s="45" t="n"/>
      <c r="R303" s="45" t="n"/>
      <c r="S303" s="45" t="n"/>
      <c r="U303" s="45" t="n"/>
      <c r="V303" s="45" t="n"/>
    </row>
    <row r="304" ht="12" customHeight="1">
      <c r="A304" s="44" t="n">
        <v>45717</v>
      </c>
      <c r="B304" s="45" t="n"/>
      <c r="C304" s="45" t="n"/>
      <c r="D304" s="45" t="n"/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5" t="n"/>
      <c r="U304" s="45" t="n"/>
      <c r="V304" s="45" t="n"/>
    </row>
    <row r="305" ht="12" customHeight="1">
      <c r="A305" s="44" t="n">
        <v>45748</v>
      </c>
      <c r="B305" s="45" t="n"/>
      <c r="C305" s="45" t="n"/>
      <c r="D305" s="45" t="n"/>
      <c r="E305" s="45" t="n"/>
      <c r="F305" s="45" t="n"/>
      <c r="G305" s="45" t="n"/>
      <c r="H305" s="45" t="n"/>
      <c r="I305" s="45" t="n"/>
      <c r="J305" s="45" t="n"/>
      <c r="K305" s="45" t="n"/>
      <c r="L305" s="45" t="n"/>
      <c r="M305" s="45" t="n"/>
      <c r="N305" s="45" t="n"/>
      <c r="O305" s="45" t="n"/>
      <c r="P305" s="45" t="n"/>
      <c r="Q305" s="45" t="n"/>
      <c r="R305" s="45" t="n"/>
      <c r="S305" s="45" t="n"/>
      <c r="U305" s="45" t="n"/>
      <c r="V305" s="45" t="n"/>
    </row>
    <row r="306" ht="12" customHeight="1">
      <c r="A306" s="44" t="n">
        <v>45778</v>
      </c>
      <c r="B306" s="45" t="n"/>
      <c r="C306" s="45" t="n"/>
      <c r="D306" s="45" t="n"/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5" t="n"/>
      <c r="U306" s="45" t="n"/>
      <c r="V306" s="45" t="n"/>
    </row>
    <row r="307" ht="12" customHeight="1">
      <c r="A307" s="44" t="n">
        <v>45809</v>
      </c>
      <c r="B307" s="45" t="n"/>
      <c r="C307" s="45" t="n"/>
      <c r="D307" s="45" t="n"/>
      <c r="E307" s="45" t="n"/>
      <c r="F307" s="45" t="n"/>
      <c r="G307" s="45" t="n"/>
      <c r="H307" s="45" t="n"/>
      <c r="I307" s="45" t="n"/>
      <c r="J307" s="45" t="n"/>
      <c r="K307" s="45" t="n"/>
      <c r="L307" s="45" t="n"/>
      <c r="M307" s="45" t="n"/>
      <c r="N307" s="45" t="n"/>
      <c r="O307" s="45" t="n"/>
      <c r="P307" s="45" t="n"/>
      <c r="Q307" s="45" t="n"/>
      <c r="R307" s="45" t="n"/>
      <c r="S307" s="45" t="n"/>
      <c r="U307" s="45" t="n"/>
      <c r="V307" s="45" t="n"/>
    </row>
    <row r="308" ht="12" customHeight="1">
      <c r="A308" s="44" t="n">
        <v>45839</v>
      </c>
      <c r="B308" s="45" t="n"/>
      <c r="C308" s="45" t="n"/>
      <c r="D308" s="45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5" t="n"/>
      <c r="U308" s="45" t="n"/>
      <c r="V308" s="45" t="n"/>
    </row>
    <row r="309" ht="12" customHeight="1">
      <c r="A309" s="44" t="n">
        <v>45870</v>
      </c>
      <c r="B309" s="45" t="n"/>
      <c r="C309" s="45" t="n"/>
      <c r="D309" s="45" t="n"/>
      <c r="E309" s="45" t="n"/>
      <c r="F309" s="45" t="n"/>
      <c r="G309" s="45" t="n"/>
      <c r="H309" s="45" t="n"/>
      <c r="I309" s="45" t="n"/>
      <c r="J309" s="45" t="n"/>
      <c r="K309" s="45" t="n"/>
      <c r="L309" s="45" t="n"/>
      <c r="M309" s="45" t="n"/>
      <c r="N309" s="45" t="n"/>
      <c r="O309" s="45" t="n"/>
      <c r="P309" s="45" t="n"/>
      <c r="Q309" s="45" t="n"/>
      <c r="R309" s="45" t="n"/>
      <c r="S309" s="45" t="n"/>
      <c r="U309" s="45" t="n"/>
      <c r="V309" s="45" t="n"/>
    </row>
    <row r="310" ht="12" customHeight="1">
      <c r="A310" s="44" t="n">
        <v>45901</v>
      </c>
      <c r="B310" s="45" t="n"/>
      <c r="C310" s="45" t="n"/>
      <c r="D310" s="45" t="n"/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5" t="n"/>
      <c r="U310" s="45" t="n"/>
      <c r="V310" s="45" t="n"/>
    </row>
    <row r="311" ht="12" customHeight="1">
      <c r="A311" s="44" t="n">
        <v>45931</v>
      </c>
      <c r="B311" s="45" t="n"/>
      <c r="C311" s="45" t="n"/>
      <c r="D311" s="45" t="n"/>
      <c r="E311" s="45" t="n"/>
      <c r="F311" s="45" t="n"/>
      <c r="G311" s="45" t="n"/>
      <c r="H311" s="45" t="n"/>
      <c r="I311" s="45" t="n"/>
      <c r="J311" s="45" t="n"/>
      <c r="K311" s="45" t="n"/>
      <c r="L311" s="45" t="n"/>
      <c r="M311" s="45" t="n"/>
      <c r="N311" s="45" t="n"/>
      <c r="O311" s="45" t="n"/>
      <c r="P311" s="45" t="n"/>
      <c r="Q311" s="45" t="n"/>
      <c r="R311" s="45" t="n"/>
      <c r="S311" s="45" t="n"/>
      <c r="U311" s="45" t="n"/>
      <c r="V311" s="45" t="n"/>
    </row>
    <row r="312" ht="12" customHeight="1">
      <c r="A312" s="44" t="n">
        <v>45962</v>
      </c>
      <c r="B312" s="45" t="n"/>
      <c r="C312" s="45" t="n"/>
      <c r="D312" s="45" t="n"/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5" t="n"/>
      <c r="U312" s="45" t="n"/>
      <c r="V312" s="45" t="n"/>
    </row>
    <row r="313" ht="12" customHeight="1">
      <c r="A313" s="44" t="n">
        <v>45992</v>
      </c>
      <c r="B313" s="45" t="n"/>
      <c r="C313" s="45" t="n"/>
      <c r="D313" s="45" t="n"/>
      <c r="E313" s="45" t="n"/>
      <c r="F313" s="45" t="n"/>
      <c r="G313" s="45" t="n"/>
      <c r="H313" s="45" t="n"/>
      <c r="I313" s="45" t="n"/>
      <c r="J313" s="45" t="n"/>
      <c r="K313" s="45" t="n"/>
      <c r="L313" s="45" t="n"/>
      <c r="M313" s="45" t="n"/>
      <c r="N313" s="45" t="n"/>
      <c r="O313" s="45" t="n"/>
      <c r="P313" s="45" t="n"/>
      <c r="Q313" s="45" t="n"/>
      <c r="R313" s="45" t="n"/>
      <c r="S313" s="45" t="n"/>
      <c r="U313" s="45" t="n"/>
      <c r="V313" s="45" t="n"/>
    </row>
  </sheetData>
  <pageMargins left="0.7" right="0.7" top="0.75" bottom="0.75" header="0.3" footer="0.3"/>
  <pageSetup orientation="portrait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313"/>
  <sheetViews>
    <sheetView workbookViewId="0">
      <pane xSplit="1" ySplit="1" topLeftCell="B277" activePane="bottomRight" state="frozen"/>
      <selection pane="topRight" activeCell="A1" sqref="A1"/>
      <selection pane="bottomLeft" activeCell="A1" sqref="A1"/>
      <selection pane="bottomRight" activeCell="Q308" sqref="Q308"/>
    </sheetView>
  </sheetViews>
  <sheetFormatPr baseColWidth="8" defaultColWidth="9.5" defaultRowHeight="10.5"/>
  <cols>
    <col width="7.5" bestFit="1" customWidth="1" style="42" min="1" max="1"/>
    <col width="7.83203125" bestFit="1" customWidth="1" min="2" max="2"/>
    <col width="9.1640625" bestFit="1" customWidth="1" min="3" max="3"/>
    <col width="5.6640625" bestFit="1" customWidth="1" min="4" max="4"/>
    <col width="4.1640625" customWidth="1" min="5" max="5"/>
    <col width="6.6640625" bestFit="1" customWidth="1" min="6" max="7"/>
    <col width="11.1640625" bestFit="1" customWidth="1" min="8" max="8"/>
    <col width="8.83203125" bestFit="1" customWidth="1" min="9" max="9"/>
    <col width="12" bestFit="1" customWidth="1" min="10" max="10"/>
    <col width="13.5" bestFit="1" customWidth="1" min="11" max="11"/>
    <col width="11.6640625" bestFit="1" customWidth="1" min="12" max="12"/>
    <col width="16" bestFit="1" customWidth="1" min="13" max="13"/>
    <col width="7.83203125" bestFit="1" customWidth="1" min="14" max="14"/>
    <col width="7.6640625" bestFit="1" customWidth="1" min="15" max="15"/>
    <col width="7.83203125" bestFit="1" customWidth="1" min="16" max="17"/>
    <col width="7.6640625" bestFit="1" customWidth="1" min="18" max="18"/>
    <col width="11.83203125" bestFit="1" customWidth="1" min="19" max="19"/>
    <col width="18.33203125" bestFit="1" customWidth="1" min="21" max="22"/>
    <col width="10.1640625" bestFit="1" customWidth="1" min="23" max="23"/>
    <col width="11.6640625" customWidth="1" min="24" max="24"/>
  </cols>
  <sheetData>
    <row r="1" ht="12" customHeight="1">
      <c r="A1" s="42" t="inlineStr">
        <is>
          <t>Month</t>
        </is>
      </c>
      <c r="B1" s="43" t="inlineStr">
        <is>
          <t>NL Light</t>
        </is>
      </c>
      <c r="C1" s="43" t="inlineStr">
        <is>
          <t>NL Heavy</t>
        </is>
      </c>
      <c r="D1" s="43" t="inlineStr">
        <is>
          <t>ON</t>
        </is>
      </c>
      <c r="E1" s="43" t="inlineStr">
        <is>
          <t>NB</t>
        </is>
      </c>
      <c r="F1" s="43" t="inlineStr">
        <is>
          <t>MB</t>
        </is>
      </c>
      <c r="G1" s="43" t="inlineStr">
        <is>
          <t>NWT</t>
        </is>
      </c>
      <c r="H1" s="43" t="inlineStr">
        <is>
          <t>SK light</t>
        </is>
      </c>
      <c r="I1" s="43" t="inlineStr">
        <is>
          <t>SK heavy</t>
        </is>
      </c>
      <c r="J1" s="43" t="inlineStr">
        <is>
          <t>AB conv light</t>
        </is>
      </c>
      <c r="K1" s="43" t="inlineStr">
        <is>
          <t>AB conv heavy</t>
        </is>
      </c>
      <c r="L1" s="43" t="inlineStr">
        <is>
          <t>AB upgraded</t>
        </is>
      </c>
      <c r="M1" s="43" t="inlineStr">
        <is>
          <t xml:space="preserve">AB non-upgraded </t>
        </is>
      </c>
      <c r="N1" s="43" t="inlineStr">
        <is>
          <t>BC Light</t>
        </is>
      </c>
      <c r="O1" s="43" t="inlineStr">
        <is>
          <t>BC cond</t>
        </is>
      </c>
      <c r="P1" s="43" t="inlineStr">
        <is>
          <t>AB cond</t>
        </is>
      </c>
      <c r="Q1" s="43" t="inlineStr">
        <is>
          <t>NS cond</t>
        </is>
      </c>
      <c r="R1" s="43" t="inlineStr">
        <is>
          <t>SK cond</t>
        </is>
      </c>
      <c r="S1" s="43" t="inlineStr">
        <is>
          <t>Canada Total</t>
        </is>
      </c>
      <c r="U1" s="43" t="inlineStr">
        <is>
          <t>Raw Mined Bitumen</t>
        </is>
      </c>
      <c r="V1" s="43" t="inlineStr">
        <is>
          <t>Raw In Situ Bitumen</t>
        </is>
      </c>
    </row>
    <row r="2" ht="12" customHeight="1">
      <c r="A2" s="44" t="n">
        <v>36526</v>
      </c>
      <c r="B2" s="37">
        <f>'HIST - cubic meters per day'!B2*6.2898</f>
        <v/>
      </c>
      <c r="C2" s="37">
        <f>'HIST - cubic meters per day'!C2*6.2898</f>
        <v/>
      </c>
      <c r="D2" s="37">
        <f>'HIST - cubic meters per day'!D2*6.2898</f>
        <v/>
      </c>
      <c r="E2" s="37" t="n"/>
      <c r="F2" s="37">
        <f>'HIST - cubic meters per day'!F2*6.2898</f>
        <v/>
      </c>
      <c r="G2" s="37">
        <f>'HIST - cubic meters per day'!G2*6.2898</f>
        <v/>
      </c>
      <c r="H2" s="37">
        <f>'HIST - cubic meters per day'!H2*6.2898</f>
        <v/>
      </c>
      <c r="I2" s="37">
        <f>'HIST - cubic meters per day'!I2*6.2898</f>
        <v/>
      </c>
      <c r="J2" s="37">
        <f>'HIST - cubic meters per day'!J2*6.2898</f>
        <v/>
      </c>
      <c r="K2" s="37">
        <f>'HIST - cubic meters per day'!K2*6.2898</f>
        <v/>
      </c>
      <c r="L2" s="37">
        <f>'HIST - cubic meters per day'!L2*6.2898</f>
        <v/>
      </c>
      <c r="M2" s="37">
        <f>'HIST - cubic meters per day'!M2*6.2898</f>
        <v/>
      </c>
      <c r="N2" s="37">
        <f>'HIST - cubic meters per day'!N2*6.2898</f>
        <v/>
      </c>
      <c r="O2" s="37">
        <f>'HIST - cubic meters per day'!O2*6.2898</f>
        <v/>
      </c>
      <c r="P2" s="37">
        <f>'HIST - cubic meters per day'!P2*6.2898</f>
        <v/>
      </c>
      <c r="Q2" s="37">
        <f>'HIST - cubic meters per day'!Q2*6.2898</f>
        <v/>
      </c>
      <c r="R2" s="37">
        <f>'HIST - cubic meters per day'!R2*6.2898</f>
        <v/>
      </c>
      <c r="S2" s="46">
        <f>'HIST - cubic meters per day'!S2*6.2898</f>
        <v/>
      </c>
    </row>
    <row r="3" ht="12" customHeight="1">
      <c r="A3" s="44" t="n">
        <v>36557</v>
      </c>
      <c r="B3" s="37">
        <f>'HIST - cubic meters per day'!B3*6.2898</f>
        <v/>
      </c>
      <c r="C3" s="37">
        <f>'HIST - cubic meters per day'!C3*6.2898</f>
        <v/>
      </c>
      <c r="D3" s="37">
        <f>'HIST - cubic meters per day'!D3*6.2898</f>
        <v/>
      </c>
      <c r="E3" s="37" t="n"/>
      <c r="F3" s="37">
        <f>'HIST - cubic meters per day'!F3*6.2898</f>
        <v/>
      </c>
      <c r="G3" s="37">
        <f>'HIST - cubic meters per day'!G3*6.2898</f>
        <v/>
      </c>
      <c r="H3" s="37">
        <f>'HIST - cubic meters per day'!H3*6.2898</f>
        <v/>
      </c>
      <c r="I3" s="37">
        <f>'HIST - cubic meters per day'!I3*6.2898</f>
        <v/>
      </c>
      <c r="J3" s="37">
        <f>'HIST - cubic meters per day'!J3*6.2898</f>
        <v/>
      </c>
      <c r="K3" s="37">
        <f>'HIST - cubic meters per day'!K3*6.2898</f>
        <v/>
      </c>
      <c r="L3" s="37">
        <f>'HIST - cubic meters per day'!L3*6.2898</f>
        <v/>
      </c>
      <c r="M3" s="37">
        <f>'HIST - cubic meters per day'!M3*6.2898</f>
        <v/>
      </c>
      <c r="N3" s="37">
        <f>'HIST - cubic meters per day'!N3*6.2898</f>
        <v/>
      </c>
      <c r="O3" s="37">
        <f>'HIST - cubic meters per day'!O3*6.2898</f>
        <v/>
      </c>
      <c r="P3" s="37">
        <f>'HIST - cubic meters per day'!P3*6.2898</f>
        <v/>
      </c>
      <c r="Q3" s="37">
        <f>'HIST - cubic meters per day'!Q3*6.2898</f>
        <v/>
      </c>
      <c r="R3" s="37">
        <f>'HIST - cubic meters per day'!R3*6.2898</f>
        <v/>
      </c>
      <c r="S3" s="46">
        <f>'HIST - cubic meters per day'!S3*6.2898</f>
        <v/>
      </c>
    </row>
    <row r="4" ht="12" customHeight="1">
      <c r="A4" s="44" t="n">
        <v>36586</v>
      </c>
      <c r="B4" s="37">
        <f>'HIST - cubic meters per day'!B4*6.2898</f>
        <v/>
      </c>
      <c r="C4" s="37">
        <f>'HIST - cubic meters per day'!C4*6.2898</f>
        <v/>
      </c>
      <c r="D4" s="37">
        <f>'HIST - cubic meters per day'!D4*6.2898</f>
        <v/>
      </c>
      <c r="E4" s="37" t="n"/>
      <c r="F4" s="37">
        <f>'HIST - cubic meters per day'!F4*6.2898</f>
        <v/>
      </c>
      <c r="G4" s="37">
        <f>'HIST - cubic meters per day'!G4*6.2898</f>
        <v/>
      </c>
      <c r="H4" s="37">
        <f>'HIST - cubic meters per day'!H4*6.2898</f>
        <v/>
      </c>
      <c r="I4" s="37">
        <f>'HIST - cubic meters per day'!I4*6.2898</f>
        <v/>
      </c>
      <c r="J4" s="37">
        <f>'HIST - cubic meters per day'!J4*6.2898</f>
        <v/>
      </c>
      <c r="K4" s="37">
        <f>'HIST - cubic meters per day'!K4*6.2898</f>
        <v/>
      </c>
      <c r="L4" s="37">
        <f>'HIST - cubic meters per day'!L4*6.2898</f>
        <v/>
      </c>
      <c r="M4" s="37">
        <f>'HIST - cubic meters per day'!M4*6.2898</f>
        <v/>
      </c>
      <c r="N4" s="37">
        <f>'HIST - cubic meters per day'!N4*6.2898</f>
        <v/>
      </c>
      <c r="O4" s="37">
        <f>'HIST - cubic meters per day'!O4*6.2898</f>
        <v/>
      </c>
      <c r="P4" s="37">
        <f>'HIST - cubic meters per day'!P4*6.2898</f>
        <v/>
      </c>
      <c r="Q4" s="37">
        <f>'HIST - cubic meters per day'!Q4*6.2898</f>
        <v/>
      </c>
      <c r="R4" s="37">
        <f>'HIST - cubic meters per day'!R4*6.2898</f>
        <v/>
      </c>
      <c r="S4" s="46">
        <f>'HIST - cubic meters per day'!S4*6.2898</f>
        <v/>
      </c>
    </row>
    <row r="5" ht="12" customHeight="1">
      <c r="A5" s="44" t="n">
        <v>36617</v>
      </c>
      <c r="B5" s="37">
        <f>'HIST - cubic meters per day'!B5*6.2898</f>
        <v/>
      </c>
      <c r="C5" s="37">
        <f>'HIST - cubic meters per day'!C5*6.2898</f>
        <v/>
      </c>
      <c r="D5" s="37">
        <f>'HIST - cubic meters per day'!D5*6.2898</f>
        <v/>
      </c>
      <c r="E5" s="37" t="n"/>
      <c r="F5" s="37">
        <f>'HIST - cubic meters per day'!F5*6.2898</f>
        <v/>
      </c>
      <c r="G5" s="37">
        <f>'HIST - cubic meters per day'!G5*6.2898</f>
        <v/>
      </c>
      <c r="H5" s="37">
        <f>'HIST - cubic meters per day'!H5*6.2898</f>
        <v/>
      </c>
      <c r="I5" s="37">
        <f>'HIST - cubic meters per day'!I5*6.2898</f>
        <v/>
      </c>
      <c r="J5" s="37">
        <f>'HIST - cubic meters per day'!J5*6.2898</f>
        <v/>
      </c>
      <c r="K5" s="37">
        <f>'HIST - cubic meters per day'!K5*6.2898</f>
        <v/>
      </c>
      <c r="L5" s="37">
        <f>'HIST - cubic meters per day'!L5*6.2898</f>
        <v/>
      </c>
      <c r="M5" s="37">
        <f>'HIST - cubic meters per day'!M5*6.2898</f>
        <v/>
      </c>
      <c r="N5" s="37">
        <f>'HIST - cubic meters per day'!N5*6.2898</f>
        <v/>
      </c>
      <c r="O5" s="37">
        <f>'HIST - cubic meters per day'!O5*6.2898</f>
        <v/>
      </c>
      <c r="P5" s="37">
        <f>'HIST - cubic meters per day'!P5*6.2898</f>
        <v/>
      </c>
      <c r="Q5" s="37">
        <f>'HIST - cubic meters per day'!Q5*6.2898</f>
        <v/>
      </c>
      <c r="R5" s="37">
        <f>'HIST - cubic meters per day'!R5*6.2898</f>
        <v/>
      </c>
      <c r="S5" s="46">
        <f>'HIST - cubic meters per day'!S5*6.2898</f>
        <v/>
      </c>
    </row>
    <row r="6" ht="12" customHeight="1">
      <c r="A6" s="44" t="n">
        <v>36647</v>
      </c>
      <c r="B6" s="37">
        <f>'HIST - cubic meters per day'!B6*6.2898</f>
        <v/>
      </c>
      <c r="C6" s="37">
        <f>'HIST - cubic meters per day'!C6*6.2898</f>
        <v/>
      </c>
      <c r="D6" s="37">
        <f>'HIST - cubic meters per day'!D6*6.2898</f>
        <v/>
      </c>
      <c r="E6" s="37" t="n"/>
      <c r="F6" s="37">
        <f>'HIST - cubic meters per day'!F6*6.2898</f>
        <v/>
      </c>
      <c r="G6" s="37">
        <f>'HIST - cubic meters per day'!G6*6.2898</f>
        <v/>
      </c>
      <c r="H6" s="37">
        <f>'HIST - cubic meters per day'!H6*6.2898</f>
        <v/>
      </c>
      <c r="I6" s="37">
        <f>'HIST - cubic meters per day'!I6*6.2898</f>
        <v/>
      </c>
      <c r="J6" s="37">
        <f>'HIST - cubic meters per day'!J6*6.2898</f>
        <v/>
      </c>
      <c r="K6" s="37">
        <f>'HIST - cubic meters per day'!K6*6.2898</f>
        <v/>
      </c>
      <c r="L6" s="37">
        <f>'HIST - cubic meters per day'!L6*6.2898</f>
        <v/>
      </c>
      <c r="M6" s="37">
        <f>'HIST - cubic meters per day'!M6*6.2898</f>
        <v/>
      </c>
      <c r="N6" s="37">
        <f>'HIST - cubic meters per day'!N6*6.2898</f>
        <v/>
      </c>
      <c r="O6" s="37">
        <f>'HIST - cubic meters per day'!O6*6.2898</f>
        <v/>
      </c>
      <c r="P6" s="37">
        <f>'HIST - cubic meters per day'!P6*6.2898</f>
        <v/>
      </c>
      <c r="Q6" s="37">
        <f>'HIST - cubic meters per day'!Q6*6.2898</f>
        <v/>
      </c>
      <c r="R6" s="37">
        <f>'HIST - cubic meters per day'!R6*6.2898</f>
        <v/>
      </c>
      <c r="S6" s="46">
        <f>'HIST - cubic meters per day'!S6*6.2898</f>
        <v/>
      </c>
    </row>
    <row r="7" ht="12" customHeight="1">
      <c r="A7" s="44" t="n">
        <v>36678</v>
      </c>
      <c r="B7" s="37">
        <f>'HIST - cubic meters per day'!B7*6.2898</f>
        <v/>
      </c>
      <c r="C7" s="37">
        <f>'HIST - cubic meters per day'!C7*6.2898</f>
        <v/>
      </c>
      <c r="D7" s="37">
        <f>'HIST - cubic meters per day'!D7*6.2898</f>
        <v/>
      </c>
      <c r="E7" s="37" t="n"/>
      <c r="F7" s="37">
        <f>'HIST - cubic meters per day'!F7*6.2898</f>
        <v/>
      </c>
      <c r="G7" s="37">
        <f>'HIST - cubic meters per day'!G7*6.2898</f>
        <v/>
      </c>
      <c r="H7" s="37">
        <f>'HIST - cubic meters per day'!H7*6.2898</f>
        <v/>
      </c>
      <c r="I7" s="37">
        <f>'HIST - cubic meters per day'!I7*6.2898</f>
        <v/>
      </c>
      <c r="J7" s="37">
        <f>'HIST - cubic meters per day'!J7*6.2898</f>
        <v/>
      </c>
      <c r="K7" s="37">
        <f>'HIST - cubic meters per day'!K7*6.2898</f>
        <v/>
      </c>
      <c r="L7" s="37">
        <f>'HIST - cubic meters per day'!L7*6.2898</f>
        <v/>
      </c>
      <c r="M7" s="37">
        <f>'HIST - cubic meters per day'!M7*6.2898</f>
        <v/>
      </c>
      <c r="N7" s="37">
        <f>'HIST - cubic meters per day'!N7*6.2898</f>
        <v/>
      </c>
      <c r="O7" s="37">
        <f>'HIST - cubic meters per day'!O7*6.2898</f>
        <v/>
      </c>
      <c r="P7" s="37">
        <f>'HIST - cubic meters per day'!P7*6.2898</f>
        <v/>
      </c>
      <c r="Q7" s="37">
        <f>'HIST - cubic meters per day'!Q7*6.2898</f>
        <v/>
      </c>
      <c r="R7" s="37">
        <f>'HIST - cubic meters per day'!R7*6.2898</f>
        <v/>
      </c>
      <c r="S7" s="46">
        <f>'HIST - cubic meters per day'!S7*6.2898</f>
        <v/>
      </c>
    </row>
    <row r="8" ht="12" customHeight="1">
      <c r="A8" s="44" t="n">
        <v>36708</v>
      </c>
      <c r="B8" s="37">
        <f>'HIST - cubic meters per day'!B8*6.2898</f>
        <v/>
      </c>
      <c r="C8" s="37">
        <f>'HIST - cubic meters per day'!C8*6.2898</f>
        <v/>
      </c>
      <c r="D8" s="37">
        <f>'HIST - cubic meters per day'!D8*6.2898</f>
        <v/>
      </c>
      <c r="E8" s="37" t="n"/>
      <c r="F8" s="37">
        <f>'HIST - cubic meters per day'!F8*6.2898</f>
        <v/>
      </c>
      <c r="G8" s="37">
        <f>'HIST - cubic meters per day'!G8*6.2898</f>
        <v/>
      </c>
      <c r="H8" s="37">
        <f>'HIST - cubic meters per day'!H8*6.2898</f>
        <v/>
      </c>
      <c r="I8" s="37">
        <f>'HIST - cubic meters per day'!I8*6.2898</f>
        <v/>
      </c>
      <c r="J8" s="37">
        <f>'HIST - cubic meters per day'!J8*6.2898</f>
        <v/>
      </c>
      <c r="K8" s="37">
        <f>'HIST - cubic meters per day'!K8*6.2898</f>
        <v/>
      </c>
      <c r="L8" s="37">
        <f>'HIST - cubic meters per day'!L8*6.2898</f>
        <v/>
      </c>
      <c r="M8" s="37">
        <f>'HIST - cubic meters per day'!M8*6.2898</f>
        <v/>
      </c>
      <c r="N8" s="37">
        <f>'HIST - cubic meters per day'!N8*6.2898</f>
        <v/>
      </c>
      <c r="O8" s="37">
        <f>'HIST - cubic meters per day'!O8*6.2898</f>
        <v/>
      </c>
      <c r="P8" s="37">
        <f>'HIST - cubic meters per day'!P8*6.2898</f>
        <v/>
      </c>
      <c r="Q8" s="37">
        <f>'HIST - cubic meters per day'!Q8*6.2898</f>
        <v/>
      </c>
      <c r="R8" s="37">
        <f>'HIST - cubic meters per day'!R8*6.2898</f>
        <v/>
      </c>
      <c r="S8" s="46">
        <f>'HIST - cubic meters per day'!S8*6.2898</f>
        <v/>
      </c>
    </row>
    <row r="9" ht="12" customHeight="1">
      <c r="A9" s="44" t="n">
        <v>36739</v>
      </c>
      <c r="B9" s="37">
        <f>'HIST - cubic meters per day'!B9*6.2898</f>
        <v/>
      </c>
      <c r="C9" s="37">
        <f>'HIST - cubic meters per day'!C9*6.2898</f>
        <v/>
      </c>
      <c r="D9" s="37">
        <f>'HIST - cubic meters per day'!D9*6.2898</f>
        <v/>
      </c>
      <c r="E9" s="37" t="n"/>
      <c r="F9" s="37">
        <f>'HIST - cubic meters per day'!F9*6.2898</f>
        <v/>
      </c>
      <c r="G9" s="37">
        <f>'HIST - cubic meters per day'!G9*6.2898</f>
        <v/>
      </c>
      <c r="H9" s="37">
        <f>'HIST - cubic meters per day'!H9*6.2898</f>
        <v/>
      </c>
      <c r="I9" s="37">
        <f>'HIST - cubic meters per day'!I9*6.2898</f>
        <v/>
      </c>
      <c r="J9" s="37">
        <f>'HIST - cubic meters per day'!J9*6.2898</f>
        <v/>
      </c>
      <c r="K9" s="37">
        <f>'HIST - cubic meters per day'!K9*6.2898</f>
        <v/>
      </c>
      <c r="L9" s="37">
        <f>'HIST - cubic meters per day'!L9*6.2898</f>
        <v/>
      </c>
      <c r="M9" s="37">
        <f>'HIST - cubic meters per day'!M9*6.2898</f>
        <v/>
      </c>
      <c r="N9" s="37">
        <f>'HIST - cubic meters per day'!N9*6.2898</f>
        <v/>
      </c>
      <c r="O9" s="37">
        <f>'HIST - cubic meters per day'!O9*6.2898</f>
        <v/>
      </c>
      <c r="P9" s="37">
        <f>'HIST - cubic meters per day'!P9*6.2898</f>
        <v/>
      </c>
      <c r="Q9" s="37">
        <f>'HIST - cubic meters per day'!Q9*6.2898</f>
        <v/>
      </c>
      <c r="R9" s="37">
        <f>'HIST - cubic meters per day'!R9*6.2898</f>
        <v/>
      </c>
      <c r="S9" s="46">
        <f>'HIST - cubic meters per day'!S9*6.2898</f>
        <v/>
      </c>
    </row>
    <row r="10" ht="12" customHeight="1">
      <c r="A10" s="44" t="n">
        <v>36770</v>
      </c>
      <c r="B10" s="37">
        <f>'HIST - cubic meters per day'!B10*6.2898</f>
        <v/>
      </c>
      <c r="C10" s="37">
        <f>'HIST - cubic meters per day'!C10*6.2898</f>
        <v/>
      </c>
      <c r="D10" s="37">
        <f>'HIST - cubic meters per day'!D10*6.2898</f>
        <v/>
      </c>
      <c r="E10" s="37" t="n"/>
      <c r="F10" s="37">
        <f>'HIST - cubic meters per day'!F10*6.2898</f>
        <v/>
      </c>
      <c r="G10" s="37">
        <f>'HIST - cubic meters per day'!G10*6.2898</f>
        <v/>
      </c>
      <c r="H10" s="37">
        <f>'HIST - cubic meters per day'!H10*6.2898</f>
        <v/>
      </c>
      <c r="I10" s="37">
        <f>'HIST - cubic meters per day'!I10*6.2898</f>
        <v/>
      </c>
      <c r="J10" s="37">
        <f>'HIST - cubic meters per day'!J10*6.2898</f>
        <v/>
      </c>
      <c r="K10" s="37">
        <f>'HIST - cubic meters per day'!K10*6.2898</f>
        <v/>
      </c>
      <c r="L10" s="37">
        <f>'HIST - cubic meters per day'!L10*6.2898</f>
        <v/>
      </c>
      <c r="M10" s="37">
        <f>'HIST - cubic meters per day'!M10*6.2898</f>
        <v/>
      </c>
      <c r="N10" s="37">
        <f>'HIST - cubic meters per day'!N10*6.2898</f>
        <v/>
      </c>
      <c r="O10" s="37">
        <f>'HIST - cubic meters per day'!O10*6.2898</f>
        <v/>
      </c>
      <c r="P10" s="37">
        <f>'HIST - cubic meters per day'!P10*6.2898</f>
        <v/>
      </c>
      <c r="Q10" s="37">
        <f>'HIST - cubic meters per day'!Q10*6.2898</f>
        <v/>
      </c>
      <c r="R10" s="37">
        <f>'HIST - cubic meters per day'!R10*6.2898</f>
        <v/>
      </c>
      <c r="S10" s="46">
        <f>'HIST - cubic meters per day'!S10*6.2898</f>
        <v/>
      </c>
    </row>
    <row r="11" ht="12" customHeight="1">
      <c r="A11" s="44" t="n">
        <v>36800</v>
      </c>
      <c r="B11" s="37">
        <f>'HIST - cubic meters per day'!B11*6.2898</f>
        <v/>
      </c>
      <c r="C11" s="37">
        <f>'HIST - cubic meters per day'!C11*6.2898</f>
        <v/>
      </c>
      <c r="D11" s="37">
        <f>'HIST - cubic meters per day'!D11*6.2898</f>
        <v/>
      </c>
      <c r="E11" s="37" t="n"/>
      <c r="F11" s="37">
        <f>'HIST - cubic meters per day'!F11*6.2898</f>
        <v/>
      </c>
      <c r="G11" s="37">
        <f>'HIST - cubic meters per day'!G11*6.2898</f>
        <v/>
      </c>
      <c r="H11" s="37">
        <f>'HIST - cubic meters per day'!H11*6.2898</f>
        <v/>
      </c>
      <c r="I11" s="37">
        <f>'HIST - cubic meters per day'!I11*6.2898</f>
        <v/>
      </c>
      <c r="J11" s="37">
        <f>'HIST - cubic meters per day'!J11*6.2898</f>
        <v/>
      </c>
      <c r="K11" s="37">
        <f>'HIST - cubic meters per day'!K11*6.2898</f>
        <v/>
      </c>
      <c r="L11" s="37">
        <f>'HIST - cubic meters per day'!L11*6.2898</f>
        <v/>
      </c>
      <c r="M11" s="37">
        <f>'HIST - cubic meters per day'!M11*6.2898</f>
        <v/>
      </c>
      <c r="N11" s="37">
        <f>'HIST - cubic meters per day'!N11*6.2898</f>
        <v/>
      </c>
      <c r="O11" s="37">
        <f>'HIST - cubic meters per day'!O11*6.2898</f>
        <v/>
      </c>
      <c r="P11" s="37">
        <f>'HIST - cubic meters per day'!P11*6.2898</f>
        <v/>
      </c>
      <c r="Q11" s="37">
        <f>'HIST - cubic meters per day'!Q11*6.2898</f>
        <v/>
      </c>
      <c r="R11" s="37">
        <f>'HIST - cubic meters per day'!R11*6.2898</f>
        <v/>
      </c>
      <c r="S11" s="46">
        <f>'HIST - cubic meters per day'!S11*6.2898</f>
        <v/>
      </c>
    </row>
    <row r="12" ht="12" customHeight="1">
      <c r="A12" s="44" t="n">
        <v>36831</v>
      </c>
      <c r="B12" s="37">
        <f>'HIST - cubic meters per day'!B12*6.2898</f>
        <v/>
      </c>
      <c r="C12" s="37">
        <f>'HIST - cubic meters per day'!C12*6.2898</f>
        <v/>
      </c>
      <c r="D12" s="37">
        <f>'HIST - cubic meters per day'!D12*6.2898</f>
        <v/>
      </c>
      <c r="E12" s="37" t="n"/>
      <c r="F12" s="37">
        <f>'HIST - cubic meters per day'!F12*6.2898</f>
        <v/>
      </c>
      <c r="G12" s="37">
        <f>'HIST - cubic meters per day'!G12*6.2898</f>
        <v/>
      </c>
      <c r="H12" s="37">
        <f>'HIST - cubic meters per day'!H12*6.2898</f>
        <v/>
      </c>
      <c r="I12" s="37">
        <f>'HIST - cubic meters per day'!I12*6.2898</f>
        <v/>
      </c>
      <c r="J12" s="37">
        <f>'HIST - cubic meters per day'!J12*6.2898</f>
        <v/>
      </c>
      <c r="K12" s="37">
        <f>'HIST - cubic meters per day'!K12*6.2898</f>
        <v/>
      </c>
      <c r="L12" s="37">
        <f>'HIST - cubic meters per day'!L12*6.2898</f>
        <v/>
      </c>
      <c r="M12" s="37">
        <f>'HIST - cubic meters per day'!M12*6.2898</f>
        <v/>
      </c>
      <c r="N12" s="37">
        <f>'HIST - cubic meters per day'!N12*6.2898</f>
        <v/>
      </c>
      <c r="O12" s="37">
        <f>'HIST - cubic meters per day'!O12*6.2898</f>
        <v/>
      </c>
      <c r="P12" s="37">
        <f>'HIST - cubic meters per day'!P12*6.2898</f>
        <v/>
      </c>
      <c r="Q12" s="37">
        <f>'HIST - cubic meters per day'!Q12*6.2898</f>
        <v/>
      </c>
      <c r="R12" s="37">
        <f>'HIST - cubic meters per day'!R12*6.2898</f>
        <v/>
      </c>
      <c r="S12" s="46">
        <f>'HIST - cubic meters per day'!S12*6.2898</f>
        <v/>
      </c>
    </row>
    <row r="13" ht="12" customHeight="1">
      <c r="A13" s="44" t="n">
        <v>36861</v>
      </c>
      <c r="B13" s="37">
        <f>'HIST - cubic meters per day'!B13*6.2898</f>
        <v/>
      </c>
      <c r="C13" s="37">
        <f>'HIST - cubic meters per day'!C13*6.2898</f>
        <v/>
      </c>
      <c r="D13" s="37">
        <f>'HIST - cubic meters per day'!D13*6.2898</f>
        <v/>
      </c>
      <c r="E13" s="37" t="n"/>
      <c r="F13" s="37">
        <f>'HIST - cubic meters per day'!F13*6.2898</f>
        <v/>
      </c>
      <c r="G13" s="37">
        <f>'HIST - cubic meters per day'!G13*6.2898</f>
        <v/>
      </c>
      <c r="H13" s="37">
        <f>'HIST - cubic meters per day'!H13*6.2898</f>
        <v/>
      </c>
      <c r="I13" s="37">
        <f>'HIST - cubic meters per day'!I13*6.2898</f>
        <v/>
      </c>
      <c r="J13" s="37">
        <f>'HIST - cubic meters per day'!J13*6.2898</f>
        <v/>
      </c>
      <c r="K13" s="37">
        <f>'HIST - cubic meters per day'!K13*6.2898</f>
        <v/>
      </c>
      <c r="L13" s="37">
        <f>'HIST - cubic meters per day'!L13*6.2898</f>
        <v/>
      </c>
      <c r="M13" s="37">
        <f>'HIST - cubic meters per day'!M13*6.2898</f>
        <v/>
      </c>
      <c r="N13" s="37">
        <f>'HIST - cubic meters per day'!N13*6.2898</f>
        <v/>
      </c>
      <c r="O13" s="37">
        <f>'HIST - cubic meters per day'!O13*6.2898</f>
        <v/>
      </c>
      <c r="P13" s="37">
        <f>'HIST - cubic meters per day'!P13*6.2898</f>
        <v/>
      </c>
      <c r="Q13" s="37">
        <f>'HIST - cubic meters per day'!Q13*6.2898</f>
        <v/>
      </c>
      <c r="R13" s="37">
        <f>'HIST - cubic meters per day'!R13*6.2898</f>
        <v/>
      </c>
      <c r="S13" s="46">
        <f>'HIST - cubic meters per day'!S13*6.2898</f>
        <v/>
      </c>
    </row>
    <row r="14" ht="12" customHeight="1">
      <c r="A14" s="44" t="n">
        <v>36892</v>
      </c>
      <c r="B14" s="37">
        <f>'HIST - cubic meters per day'!B14*6.2898</f>
        <v/>
      </c>
      <c r="C14" s="37">
        <f>'HIST - cubic meters per day'!C14*6.2898</f>
        <v/>
      </c>
      <c r="D14" s="37">
        <f>'HIST - cubic meters per day'!D14*6.2898</f>
        <v/>
      </c>
      <c r="E14" s="37" t="n"/>
      <c r="F14" s="37">
        <f>'HIST - cubic meters per day'!F14*6.2898</f>
        <v/>
      </c>
      <c r="G14" s="37">
        <f>'HIST - cubic meters per day'!G14*6.2898</f>
        <v/>
      </c>
      <c r="H14" s="37">
        <f>'HIST - cubic meters per day'!H14*6.2898</f>
        <v/>
      </c>
      <c r="I14" s="37">
        <f>'HIST - cubic meters per day'!I14*6.2898</f>
        <v/>
      </c>
      <c r="J14" s="37">
        <f>'HIST - cubic meters per day'!J14*6.2898</f>
        <v/>
      </c>
      <c r="K14" s="37">
        <f>'HIST - cubic meters per day'!K14*6.2898</f>
        <v/>
      </c>
      <c r="L14" s="37">
        <f>'HIST - cubic meters per day'!L14*6.2898</f>
        <v/>
      </c>
      <c r="M14" s="37">
        <f>'HIST - cubic meters per day'!M14*6.2898</f>
        <v/>
      </c>
      <c r="N14" s="37">
        <f>'HIST - cubic meters per day'!N14*6.2898</f>
        <v/>
      </c>
      <c r="O14" s="37">
        <f>'HIST - cubic meters per day'!O14*6.2898</f>
        <v/>
      </c>
      <c r="P14" s="37">
        <f>'HIST - cubic meters per day'!P14*6.2898</f>
        <v/>
      </c>
      <c r="Q14" s="37">
        <f>'HIST - cubic meters per day'!Q14*6.2898</f>
        <v/>
      </c>
      <c r="R14" s="37">
        <f>'HIST - cubic meters per day'!R14*6.2898</f>
        <v/>
      </c>
      <c r="S14" s="46">
        <f>'HIST - cubic meters per day'!S14*6.2898</f>
        <v/>
      </c>
    </row>
    <row r="15" ht="12" customHeight="1">
      <c r="A15" s="44" t="n">
        <v>36923</v>
      </c>
      <c r="B15" s="37">
        <f>'HIST - cubic meters per day'!B15*6.2898</f>
        <v/>
      </c>
      <c r="C15" s="37">
        <f>'HIST - cubic meters per day'!C15*6.2898</f>
        <v/>
      </c>
      <c r="D15" s="37">
        <f>'HIST - cubic meters per day'!D15*6.2898</f>
        <v/>
      </c>
      <c r="E15" s="37" t="n"/>
      <c r="F15" s="37">
        <f>'HIST - cubic meters per day'!F15*6.2898</f>
        <v/>
      </c>
      <c r="G15" s="37">
        <f>'HIST - cubic meters per day'!G15*6.2898</f>
        <v/>
      </c>
      <c r="H15" s="37">
        <f>'HIST - cubic meters per day'!H15*6.2898</f>
        <v/>
      </c>
      <c r="I15" s="37">
        <f>'HIST - cubic meters per day'!I15*6.2898</f>
        <v/>
      </c>
      <c r="J15" s="37">
        <f>'HIST - cubic meters per day'!J15*6.2898</f>
        <v/>
      </c>
      <c r="K15" s="37">
        <f>'HIST - cubic meters per day'!K15*6.2898</f>
        <v/>
      </c>
      <c r="L15" s="37">
        <f>'HIST - cubic meters per day'!L15*6.2898</f>
        <v/>
      </c>
      <c r="M15" s="37">
        <f>'HIST - cubic meters per day'!M15*6.2898</f>
        <v/>
      </c>
      <c r="N15" s="37">
        <f>'HIST - cubic meters per day'!N15*6.2898</f>
        <v/>
      </c>
      <c r="O15" s="37">
        <f>'HIST - cubic meters per day'!O15*6.2898</f>
        <v/>
      </c>
      <c r="P15" s="37">
        <f>'HIST - cubic meters per day'!P15*6.2898</f>
        <v/>
      </c>
      <c r="Q15" s="37">
        <f>'HIST - cubic meters per day'!Q15*6.2898</f>
        <v/>
      </c>
      <c r="R15" s="37">
        <f>'HIST - cubic meters per day'!R15*6.2898</f>
        <v/>
      </c>
      <c r="S15" s="46">
        <f>'HIST - cubic meters per day'!S15*6.2898</f>
        <v/>
      </c>
    </row>
    <row r="16" ht="12" customHeight="1">
      <c r="A16" s="44" t="n">
        <v>36951</v>
      </c>
      <c r="B16" s="37">
        <f>'HIST - cubic meters per day'!B16*6.2898</f>
        <v/>
      </c>
      <c r="C16" s="37">
        <f>'HIST - cubic meters per day'!C16*6.2898</f>
        <v/>
      </c>
      <c r="D16" s="37">
        <f>'HIST - cubic meters per day'!D16*6.2898</f>
        <v/>
      </c>
      <c r="E16" s="37" t="n"/>
      <c r="F16" s="37">
        <f>'HIST - cubic meters per day'!F16*6.2898</f>
        <v/>
      </c>
      <c r="G16" s="37">
        <f>'HIST - cubic meters per day'!G16*6.2898</f>
        <v/>
      </c>
      <c r="H16" s="37">
        <f>'HIST - cubic meters per day'!H16*6.2898</f>
        <v/>
      </c>
      <c r="I16" s="37">
        <f>'HIST - cubic meters per day'!I16*6.2898</f>
        <v/>
      </c>
      <c r="J16" s="37">
        <f>'HIST - cubic meters per day'!J16*6.2898</f>
        <v/>
      </c>
      <c r="K16" s="37">
        <f>'HIST - cubic meters per day'!K16*6.2898</f>
        <v/>
      </c>
      <c r="L16" s="37">
        <f>'HIST - cubic meters per day'!L16*6.2898</f>
        <v/>
      </c>
      <c r="M16" s="37">
        <f>'HIST - cubic meters per day'!M16*6.2898</f>
        <v/>
      </c>
      <c r="N16" s="37">
        <f>'HIST - cubic meters per day'!N16*6.2898</f>
        <v/>
      </c>
      <c r="O16" s="37">
        <f>'HIST - cubic meters per day'!O16*6.2898</f>
        <v/>
      </c>
      <c r="P16" s="37">
        <f>'HIST - cubic meters per day'!P16*6.2898</f>
        <v/>
      </c>
      <c r="Q16" s="37">
        <f>'HIST - cubic meters per day'!Q16*6.2898</f>
        <v/>
      </c>
      <c r="R16" s="37">
        <f>'HIST - cubic meters per day'!R16*6.2898</f>
        <v/>
      </c>
      <c r="S16" s="46">
        <f>'HIST - cubic meters per day'!S16*6.2898</f>
        <v/>
      </c>
    </row>
    <row r="17" ht="12" customHeight="1">
      <c r="A17" s="44" t="n">
        <v>36982</v>
      </c>
      <c r="B17" s="37">
        <f>'HIST - cubic meters per day'!B17*6.2898</f>
        <v/>
      </c>
      <c r="C17" s="37">
        <f>'HIST - cubic meters per day'!C17*6.2898</f>
        <v/>
      </c>
      <c r="D17" s="37">
        <f>'HIST - cubic meters per day'!D17*6.2898</f>
        <v/>
      </c>
      <c r="E17" s="37" t="n"/>
      <c r="F17" s="37">
        <f>'HIST - cubic meters per day'!F17*6.2898</f>
        <v/>
      </c>
      <c r="G17" s="37">
        <f>'HIST - cubic meters per day'!G17*6.2898</f>
        <v/>
      </c>
      <c r="H17" s="37">
        <f>'HIST - cubic meters per day'!H17*6.2898</f>
        <v/>
      </c>
      <c r="I17" s="37">
        <f>'HIST - cubic meters per day'!I17*6.2898</f>
        <v/>
      </c>
      <c r="J17" s="37">
        <f>'HIST - cubic meters per day'!J17*6.2898</f>
        <v/>
      </c>
      <c r="K17" s="37">
        <f>'HIST - cubic meters per day'!K17*6.2898</f>
        <v/>
      </c>
      <c r="L17" s="37">
        <f>'HIST - cubic meters per day'!L17*6.2898</f>
        <v/>
      </c>
      <c r="M17" s="37">
        <f>'HIST - cubic meters per day'!M17*6.2898</f>
        <v/>
      </c>
      <c r="N17" s="37">
        <f>'HIST - cubic meters per day'!N17*6.2898</f>
        <v/>
      </c>
      <c r="O17" s="37">
        <f>'HIST - cubic meters per day'!O17*6.2898</f>
        <v/>
      </c>
      <c r="P17" s="37">
        <f>'HIST - cubic meters per day'!P17*6.2898</f>
        <v/>
      </c>
      <c r="Q17" s="37">
        <f>'HIST - cubic meters per day'!Q17*6.2898</f>
        <v/>
      </c>
      <c r="R17" s="37">
        <f>'HIST - cubic meters per day'!R17*6.2898</f>
        <v/>
      </c>
      <c r="S17" s="46">
        <f>'HIST - cubic meters per day'!S17*6.2898</f>
        <v/>
      </c>
    </row>
    <row r="18" ht="12" customHeight="1">
      <c r="A18" s="44" t="n">
        <v>37012</v>
      </c>
      <c r="B18" s="37">
        <f>'HIST - cubic meters per day'!B18*6.2898</f>
        <v/>
      </c>
      <c r="C18" s="37">
        <f>'HIST - cubic meters per day'!C18*6.2898</f>
        <v/>
      </c>
      <c r="D18" s="37">
        <f>'HIST - cubic meters per day'!D18*6.2898</f>
        <v/>
      </c>
      <c r="E18" s="37" t="n"/>
      <c r="F18" s="37">
        <f>'HIST - cubic meters per day'!F18*6.2898</f>
        <v/>
      </c>
      <c r="G18" s="37">
        <f>'HIST - cubic meters per day'!G18*6.2898</f>
        <v/>
      </c>
      <c r="H18" s="37">
        <f>'HIST - cubic meters per day'!H18*6.2898</f>
        <v/>
      </c>
      <c r="I18" s="37">
        <f>'HIST - cubic meters per day'!I18*6.2898</f>
        <v/>
      </c>
      <c r="J18" s="37">
        <f>'HIST - cubic meters per day'!J18*6.2898</f>
        <v/>
      </c>
      <c r="K18" s="37">
        <f>'HIST - cubic meters per day'!K18*6.2898</f>
        <v/>
      </c>
      <c r="L18" s="37">
        <f>'HIST - cubic meters per day'!L18*6.2898</f>
        <v/>
      </c>
      <c r="M18" s="37">
        <f>'HIST - cubic meters per day'!M18*6.2898</f>
        <v/>
      </c>
      <c r="N18" s="37">
        <f>'HIST - cubic meters per day'!N18*6.2898</f>
        <v/>
      </c>
      <c r="O18" s="37">
        <f>'HIST - cubic meters per day'!O18*6.2898</f>
        <v/>
      </c>
      <c r="P18" s="37">
        <f>'HIST - cubic meters per day'!P18*6.2898</f>
        <v/>
      </c>
      <c r="Q18" s="37">
        <f>'HIST - cubic meters per day'!Q18*6.2898</f>
        <v/>
      </c>
      <c r="R18" s="37">
        <f>'HIST - cubic meters per day'!R18*6.2898</f>
        <v/>
      </c>
      <c r="S18" s="46">
        <f>'HIST - cubic meters per day'!S18*6.2898</f>
        <v/>
      </c>
    </row>
    <row r="19" ht="12" customHeight="1">
      <c r="A19" s="44" t="n">
        <v>37043</v>
      </c>
      <c r="B19" s="37">
        <f>'HIST - cubic meters per day'!B19*6.2898</f>
        <v/>
      </c>
      <c r="C19" s="37">
        <f>'HIST - cubic meters per day'!C19*6.2898</f>
        <v/>
      </c>
      <c r="D19" s="37">
        <f>'HIST - cubic meters per day'!D19*6.2898</f>
        <v/>
      </c>
      <c r="E19" s="37" t="n"/>
      <c r="F19" s="37">
        <f>'HIST - cubic meters per day'!F19*6.2898</f>
        <v/>
      </c>
      <c r="G19" s="37">
        <f>'HIST - cubic meters per day'!G19*6.2898</f>
        <v/>
      </c>
      <c r="H19" s="37">
        <f>'HIST - cubic meters per day'!H19*6.2898</f>
        <v/>
      </c>
      <c r="I19" s="37">
        <f>'HIST - cubic meters per day'!I19*6.2898</f>
        <v/>
      </c>
      <c r="J19" s="37">
        <f>'HIST - cubic meters per day'!J19*6.2898</f>
        <v/>
      </c>
      <c r="K19" s="37">
        <f>'HIST - cubic meters per day'!K19*6.2898</f>
        <v/>
      </c>
      <c r="L19" s="37">
        <f>'HIST - cubic meters per day'!L19*6.2898</f>
        <v/>
      </c>
      <c r="M19" s="37">
        <f>'HIST - cubic meters per day'!M19*6.2898</f>
        <v/>
      </c>
      <c r="N19" s="37">
        <f>'HIST - cubic meters per day'!N19*6.2898</f>
        <v/>
      </c>
      <c r="O19" s="37">
        <f>'HIST - cubic meters per day'!O19*6.2898</f>
        <v/>
      </c>
      <c r="P19" s="37">
        <f>'HIST - cubic meters per day'!P19*6.2898</f>
        <v/>
      </c>
      <c r="Q19" s="37">
        <f>'HIST - cubic meters per day'!Q19*6.2898</f>
        <v/>
      </c>
      <c r="R19" s="37">
        <f>'HIST - cubic meters per day'!R19*6.2898</f>
        <v/>
      </c>
      <c r="S19" s="46">
        <f>'HIST - cubic meters per day'!S19*6.2898</f>
        <v/>
      </c>
    </row>
    <row r="20" ht="12" customHeight="1">
      <c r="A20" s="44" t="n">
        <v>37073</v>
      </c>
      <c r="B20" s="37">
        <f>'HIST - cubic meters per day'!B20*6.2898</f>
        <v/>
      </c>
      <c r="C20" s="37">
        <f>'HIST - cubic meters per day'!C20*6.2898</f>
        <v/>
      </c>
      <c r="D20" s="37">
        <f>'HIST - cubic meters per day'!D20*6.2898</f>
        <v/>
      </c>
      <c r="E20" s="37" t="n"/>
      <c r="F20" s="37">
        <f>'HIST - cubic meters per day'!F20*6.2898</f>
        <v/>
      </c>
      <c r="G20" s="37">
        <f>'HIST - cubic meters per day'!G20*6.2898</f>
        <v/>
      </c>
      <c r="H20" s="37">
        <f>'HIST - cubic meters per day'!H20*6.2898</f>
        <v/>
      </c>
      <c r="I20" s="37">
        <f>'HIST - cubic meters per day'!I20*6.2898</f>
        <v/>
      </c>
      <c r="J20" s="37">
        <f>'HIST - cubic meters per day'!J20*6.2898</f>
        <v/>
      </c>
      <c r="K20" s="37">
        <f>'HIST - cubic meters per day'!K20*6.2898</f>
        <v/>
      </c>
      <c r="L20" s="37">
        <f>'HIST - cubic meters per day'!L20*6.2898</f>
        <v/>
      </c>
      <c r="M20" s="37">
        <f>'HIST - cubic meters per day'!M20*6.2898</f>
        <v/>
      </c>
      <c r="N20" s="37">
        <f>'HIST - cubic meters per day'!N20*6.2898</f>
        <v/>
      </c>
      <c r="O20" s="37">
        <f>'HIST - cubic meters per day'!O20*6.2898</f>
        <v/>
      </c>
      <c r="P20" s="37">
        <f>'HIST - cubic meters per day'!P20*6.2898</f>
        <v/>
      </c>
      <c r="Q20" s="37">
        <f>'HIST - cubic meters per day'!Q20*6.2898</f>
        <v/>
      </c>
      <c r="R20" s="37">
        <f>'HIST - cubic meters per day'!R20*6.2898</f>
        <v/>
      </c>
      <c r="S20" s="46">
        <f>'HIST - cubic meters per day'!S20*6.2898</f>
        <v/>
      </c>
    </row>
    <row r="21" ht="12" customHeight="1">
      <c r="A21" s="44" t="n">
        <v>37104</v>
      </c>
      <c r="B21" s="37">
        <f>'HIST - cubic meters per day'!B21*6.2898</f>
        <v/>
      </c>
      <c r="C21" s="37">
        <f>'HIST - cubic meters per day'!C21*6.2898</f>
        <v/>
      </c>
      <c r="D21" s="37">
        <f>'HIST - cubic meters per day'!D21*6.2898</f>
        <v/>
      </c>
      <c r="E21" s="37" t="n"/>
      <c r="F21" s="37">
        <f>'HIST - cubic meters per day'!F21*6.2898</f>
        <v/>
      </c>
      <c r="G21" s="37">
        <f>'HIST - cubic meters per day'!G21*6.2898</f>
        <v/>
      </c>
      <c r="H21" s="37">
        <f>'HIST - cubic meters per day'!H21*6.2898</f>
        <v/>
      </c>
      <c r="I21" s="37">
        <f>'HIST - cubic meters per day'!I21*6.2898</f>
        <v/>
      </c>
      <c r="J21" s="37">
        <f>'HIST - cubic meters per day'!J21*6.2898</f>
        <v/>
      </c>
      <c r="K21" s="37">
        <f>'HIST - cubic meters per day'!K21*6.2898</f>
        <v/>
      </c>
      <c r="L21" s="37">
        <f>'HIST - cubic meters per day'!L21*6.2898</f>
        <v/>
      </c>
      <c r="M21" s="37">
        <f>'HIST - cubic meters per day'!M21*6.2898</f>
        <v/>
      </c>
      <c r="N21" s="37">
        <f>'HIST - cubic meters per day'!N21*6.2898</f>
        <v/>
      </c>
      <c r="O21" s="37">
        <f>'HIST - cubic meters per day'!O21*6.2898</f>
        <v/>
      </c>
      <c r="P21" s="37">
        <f>'HIST - cubic meters per day'!P21*6.2898</f>
        <v/>
      </c>
      <c r="Q21" s="37">
        <f>'HIST - cubic meters per day'!Q21*6.2898</f>
        <v/>
      </c>
      <c r="R21" s="37">
        <f>'HIST - cubic meters per day'!R21*6.2898</f>
        <v/>
      </c>
      <c r="S21" s="46">
        <f>'HIST - cubic meters per day'!S21*6.2898</f>
        <v/>
      </c>
    </row>
    <row r="22" ht="12" customHeight="1">
      <c r="A22" s="44" t="n">
        <v>37135</v>
      </c>
      <c r="B22" s="37">
        <f>'HIST - cubic meters per day'!B22*6.2898</f>
        <v/>
      </c>
      <c r="C22" s="37">
        <f>'HIST - cubic meters per day'!C22*6.2898</f>
        <v/>
      </c>
      <c r="D22" s="37">
        <f>'HIST - cubic meters per day'!D22*6.2898</f>
        <v/>
      </c>
      <c r="E22" s="37" t="n"/>
      <c r="F22" s="37">
        <f>'HIST - cubic meters per day'!F22*6.2898</f>
        <v/>
      </c>
      <c r="G22" s="37">
        <f>'HIST - cubic meters per day'!G22*6.2898</f>
        <v/>
      </c>
      <c r="H22" s="37">
        <f>'HIST - cubic meters per day'!H22*6.2898</f>
        <v/>
      </c>
      <c r="I22" s="37">
        <f>'HIST - cubic meters per day'!I22*6.2898</f>
        <v/>
      </c>
      <c r="J22" s="37">
        <f>'HIST - cubic meters per day'!J22*6.2898</f>
        <v/>
      </c>
      <c r="K22" s="37">
        <f>'HIST - cubic meters per day'!K22*6.2898</f>
        <v/>
      </c>
      <c r="L22" s="37">
        <f>'HIST - cubic meters per day'!L22*6.2898</f>
        <v/>
      </c>
      <c r="M22" s="37">
        <f>'HIST - cubic meters per day'!M22*6.2898</f>
        <v/>
      </c>
      <c r="N22" s="37">
        <f>'HIST - cubic meters per day'!N22*6.2898</f>
        <v/>
      </c>
      <c r="O22" s="37">
        <f>'HIST - cubic meters per day'!O22*6.2898</f>
        <v/>
      </c>
      <c r="P22" s="37">
        <f>'HIST - cubic meters per day'!P22*6.2898</f>
        <v/>
      </c>
      <c r="Q22" s="37">
        <f>'HIST - cubic meters per day'!Q22*6.2898</f>
        <v/>
      </c>
      <c r="R22" s="37">
        <f>'HIST - cubic meters per day'!R22*6.2898</f>
        <v/>
      </c>
      <c r="S22" s="46">
        <f>'HIST - cubic meters per day'!S22*6.2898</f>
        <v/>
      </c>
    </row>
    <row r="23" ht="12" customHeight="1">
      <c r="A23" s="44" t="n">
        <v>37165</v>
      </c>
      <c r="B23" s="37">
        <f>'HIST - cubic meters per day'!B23*6.2898</f>
        <v/>
      </c>
      <c r="C23" s="37">
        <f>'HIST - cubic meters per day'!C23*6.2898</f>
        <v/>
      </c>
      <c r="D23" s="37">
        <f>'HIST - cubic meters per day'!D23*6.2898</f>
        <v/>
      </c>
      <c r="E23" s="37" t="n"/>
      <c r="F23" s="37">
        <f>'HIST - cubic meters per day'!F23*6.2898</f>
        <v/>
      </c>
      <c r="G23" s="37">
        <f>'HIST - cubic meters per day'!G23*6.2898</f>
        <v/>
      </c>
      <c r="H23" s="37">
        <f>'HIST - cubic meters per day'!H23*6.2898</f>
        <v/>
      </c>
      <c r="I23" s="37">
        <f>'HIST - cubic meters per day'!I23*6.2898</f>
        <v/>
      </c>
      <c r="J23" s="37">
        <f>'HIST - cubic meters per day'!J23*6.2898</f>
        <v/>
      </c>
      <c r="K23" s="37">
        <f>'HIST - cubic meters per day'!K23*6.2898</f>
        <v/>
      </c>
      <c r="L23" s="37">
        <f>'HIST - cubic meters per day'!L23*6.2898</f>
        <v/>
      </c>
      <c r="M23" s="37">
        <f>'HIST - cubic meters per day'!M23*6.2898</f>
        <v/>
      </c>
      <c r="N23" s="37">
        <f>'HIST - cubic meters per day'!N23*6.2898</f>
        <v/>
      </c>
      <c r="O23" s="37">
        <f>'HIST - cubic meters per day'!O23*6.2898</f>
        <v/>
      </c>
      <c r="P23" s="37">
        <f>'HIST - cubic meters per day'!P23*6.2898</f>
        <v/>
      </c>
      <c r="Q23" s="37">
        <f>'HIST - cubic meters per day'!Q23*6.2898</f>
        <v/>
      </c>
      <c r="R23" s="37">
        <f>'HIST - cubic meters per day'!R23*6.2898</f>
        <v/>
      </c>
      <c r="S23" s="46">
        <f>'HIST - cubic meters per day'!S23*6.2898</f>
        <v/>
      </c>
    </row>
    <row r="24" ht="12" customHeight="1">
      <c r="A24" s="44" t="n">
        <v>37196</v>
      </c>
      <c r="B24" s="37">
        <f>'HIST - cubic meters per day'!B24*6.2898</f>
        <v/>
      </c>
      <c r="C24" s="37">
        <f>'HIST - cubic meters per day'!C24*6.2898</f>
        <v/>
      </c>
      <c r="D24" s="37">
        <f>'HIST - cubic meters per day'!D24*6.2898</f>
        <v/>
      </c>
      <c r="E24" s="37" t="n"/>
      <c r="F24" s="37">
        <f>'HIST - cubic meters per day'!F24*6.2898</f>
        <v/>
      </c>
      <c r="G24" s="37">
        <f>'HIST - cubic meters per day'!G24*6.2898</f>
        <v/>
      </c>
      <c r="H24" s="37">
        <f>'HIST - cubic meters per day'!H24*6.2898</f>
        <v/>
      </c>
      <c r="I24" s="37">
        <f>'HIST - cubic meters per day'!I24*6.2898</f>
        <v/>
      </c>
      <c r="J24" s="37">
        <f>'HIST - cubic meters per day'!J24*6.2898</f>
        <v/>
      </c>
      <c r="K24" s="37">
        <f>'HIST - cubic meters per day'!K24*6.2898</f>
        <v/>
      </c>
      <c r="L24" s="37">
        <f>'HIST - cubic meters per day'!L24*6.2898</f>
        <v/>
      </c>
      <c r="M24" s="37">
        <f>'HIST - cubic meters per day'!M24*6.2898</f>
        <v/>
      </c>
      <c r="N24" s="37">
        <f>'HIST - cubic meters per day'!N24*6.2898</f>
        <v/>
      </c>
      <c r="O24" s="37">
        <f>'HIST - cubic meters per day'!O24*6.2898</f>
        <v/>
      </c>
      <c r="P24" s="37">
        <f>'HIST - cubic meters per day'!P24*6.2898</f>
        <v/>
      </c>
      <c r="Q24" s="37">
        <f>'HIST - cubic meters per day'!Q24*6.2898</f>
        <v/>
      </c>
      <c r="R24" s="37">
        <f>'HIST - cubic meters per day'!R24*6.2898</f>
        <v/>
      </c>
      <c r="S24" s="46">
        <f>'HIST - cubic meters per day'!S24*6.2898</f>
        <v/>
      </c>
    </row>
    <row r="25" ht="12" customHeight="1">
      <c r="A25" s="44" t="n">
        <v>37226</v>
      </c>
      <c r="B25" s="37">
        <f>'HIST - cubic meters per day'!B25*6.2898</f>
        <v/>
      </c>
      <c r="C25" s="37">
        <f>'HIST - cubic meters per day'!C25*6.2898</f>
        <v/>
      </c>
      <c r="D25" s="37">
        <f>'HIST - cubic meters per day'!D25*6.2898</f>
        <v/>
      </c>
      <c r="E25" s="37" t="n"/>
      <c r="F25" s="37">
        <f>'HIST - cubic meters per day'!F25*6.2898</f>
        <v/>
      </c>
      <c r="G25" s="37">
        <f>'HIST - cubic meters per day'!G25*6.2898</f>
        <v/>
      </c>
      <c r="H25" s="37">
        <f>'HIST - cubic meters per day'!H25*6.2898</f>
        <v/>
      </c>
      <c r="I25" s="37">
        <f>'HIST - cubic meters per day'!I25*6.2898</f>
        <v/>
      </c>
      <c r="J25" s="37">
        <f>'HIST - cubic meters per day'!J25*6.2898</f>
        <v/>
      </c>
      <c r="K25" s="37">
        <f>'HIST - cubic meters per day'!K25*6.2898</f>
        <v/>
      </c>
      <c r="L25" s="37">
        <f>'HIST - cubic meters per day'!L25*6.2898</f>
        <v/>
      </c>
      <c r="M25" s="37">
        <f>'HIST - cubic meters per day'!M25*6.2898</f>
        <v/>
      </c>
      <c r="N25" s="37">
        <f>'HIST - cubic meters per day'!N25*6.2898</f>
        <v/>
      </c>
      <c r="O25" s="37">
        <f>'HIST - cubic meters per day'!O25*6.2898</f>
        <v/>
      </c>
      <c r="P25" s="37">
        <f>'HIST - cubic meters per day'!P25*6.2898</f>
        <v/>
      </c>
      <c r="Q25" s="37">
        <f>'HIST - cubic meters per day'!Q25*6.2898</f>
        <v/>
      </c>
      <c r="R25" s="37">
        <f>'HIST - cubic meters per day'!R25*6.2898</f>
        <v/>
      </c>
      <c r="S25" s="46">
        <f>'HIST - cubic meters per day'!S25*6.2898</f>
        <v/>
      </c>
    </row>
    <row r="26" ht="12" customHeight="1">
      <c r="A26" s="44" t="n">
        <v>37257</v>
      </c>
      <c r="B26" s="37">
        <f>'HIST - cubic meters per day'!B26*6.2898</f>
        <v/>
      </c>
      <c r="C26" s="37">
        <f>'HIST - cubic meters per day'!C26*6.2898</f>
        <v/>
      </c>
      <c r="D26" s="37">
        <f>'HIST - cubic meters per day'!D26*6.2898</f>
        <v/>
      </c>
      <c r="E26" s="37" t="n"/>
      <c r="F26" s="37">
        <f>'HIST - cubic meters per day'!F26*6.2898</f>
        <v/>
      </c>
      <c r="G26" s="37">
        <f>'HIST - cubic meters per day'!G26*6.2898</f>
        <v/>
      </c>
      <c r="H26" s="37">
        <f>'HIST - cubic meters per day'!H26*6.2898</f>
        <v/>
      </c>
      <c r="I26" s="37">
        <f>'HIST - cubic meters per day'!I26*6.2898</f>
        <v/>
      </c>
      <c r="J26" s="37">
        <f>'HIST - cubic meters per day'!J26*6.2898</f>
        <v/>
      </c>
      <c r="K26" s="37">
        <f>'HIST - cubic meters per day'!K26*6.2898</f>
        <v/>
      </c>
      <c r="L26" s="37">
        <f>'HIST - cubic meters per day'!L26*6.2898</f>
        <v/>
      </c>
      <c r="M26" s="37">
        <f>'HIST - cubic meters per day'!M26*6.2898</f>
        <v/>
      </c>
      <c r="N26" s="37">
        <f>'HIST - cubic meters per day'!N26*6.2898</f>
        <v/>
      </c>
      <c r="O26" s="37">
        <f>'HIST - cubic meters per day'!O26*6.2898</f>
        <v/>
      </c>
      <c r="P26" s="37">
        <f>'HIST - cubic meters per day'!P26*6.2898</f>
        <v/>
      </c>
      <c r="Q26" s="37">
        <f>'HIST - cubic meters per day'!Q26*6.2898</f>
        <v/>
      </c>
      <c r="R26" s="37">
        <f>'HIST - cubic meters per day'!R26*6.2898</f>
        <v/>
      </c>
      <c r="S26" s="46">
        <f>'HIST - cubic meters per day'!S26*6.2898</f>
        <v/>
      </c>
    </row>
    <row r="27" ht="12" customHeight="1">
      <c r="A27" s="44" t="n">
        <v>37288</v>
      </c>
      <c r="B27" s="37">
        <f>'HIST - cubic meters per day'!B27*6.2898</f>
        <v/>
      </c>
      <c r="C27" s="37">
        <f>'HIST - cubic meters per day'!C27*6.2898</f>
        <v/>
      </c>
      <c r="D27" s="37">
        <f>'HIST - cubic meters per day'!D27*6.2898</f>
        <v/>
      </c>
      <c r="E27" s="37" t="n"/>
      <c r="F27" s="37">
        <f>'HIST - cubic meters per day'!F27*6.2898</f>
        <v/>
      </c>
      <c r="G27" s="37">
        <f>'HIST - cubic meters per day'!G27*6.2898</f>
        <v/>
      </c>
      <c r="H27" s="37">
        <f>'HIST - cubic meters per day'!H27*6.2898</f>
        <v/>
      </c>
      <c r="I27" s="37">
        <f>'HIST - cubic meters per day'!I27*6.2898</f>
        <v/>
      </c>
      <c r="J27" s="37">
        <f>'HIST - cubic meters per day'!J27*6.2898</f>
        <v/>
      </c>
      <c r="K27" s="37">
        <f>'HIST - cubic meters per day'!K27*6.2898</f>
        <v/>
      </c>
      <c r="L27" s="37">
        <f>'HIST - cubic meters per day'!L27*6.2898</f>
        <v/>
      </c>
      <c r="M27" s="37">
        <f>'HIST - cubic meters per day'!M27*6.2898</f>
        <v/>
      </c>
      <c r="N27" s="37">
        <f>'HIST - cubic meters per day'!N27*6.2898</f>
        <v/>
      </c>
      <c r="O27" s="37">
        <f>'HIST - cubic meters per day'!O27*6.2898</f>
        <v/>
      </c>
      <c r="P27" s="37">
        <f>'HIST - cubic meters per day'!P27*6.2898</f>
        <v/>
      </c>
      <c r="Q27" s="37">
        <f>'HIST - cubic meters per day'!Q27*6.2898</f>
        <v/>
      </c>
      <c r="R27" s="37">
        <f>'HIST - cubic meters per day'!R27*6.2898</f>
        <v/>
      </c>
      <c r="S27" s="46">
        <f>'HIST - cubic meters per day'!S27*6.2898</f>
        <v/>
      </c>
    </row>
    <row r="28" ht="12" customHeight="1">
      <c r="A28" s="44" t="n">
        <v>37316</v>
      </c>
      <c r="B28" s="37">
        <f>'HIST - cubic meters per day'!B28*6.2898</f>
        <v/>
      </c>
      <c r="C28" s="37">
        <f>'HIST - cubic meters per day'!C28*6.2898</f>
        <v/>
      </c>
      <c r="D28" s="37">
        <f>'HIST - cubic meters per day'!D28*6.2898</f>
        <v/>
      </c>
      <c r="E28" s="37" t="n"/>
      <c r="F28" s="37">
        <f>'HIST - cubic meters per day'!F28*6.2898</f>
        <v/>
      </c>
      <c r="G28" s="37">
        <f>'HIST - cubic meters per day'!G28*6.2898</f>
        <v/>
      </c>
      <c r="H28" s="37">
        <f>'HIST - cubic meters per day'!H28*6.2898</f>
        <v/>
      </c>
      <c r="I28" s="37">
        <f>'HIST - cubic meters per day'!I28*6.2898</f>
        <v/>
      </c>
      <c r="J28" s="37">
        <f>'HIST - cubic meters per day'!J28*6.2898</f>
        <v/>
      </c>
      <c r="K28" s="37">
        <f>'HIST - cubic meters per day'!K28*6.2898</f>
        <v/>
      </c>
      <c r="L28" s="37">
        <f>'HIST - cubic meters per day'!L28*6.2898</f>
        <v/>
      </c>
      <c r="M28" s="37">
        <f>'HIST - cubic meters per day'!M28*6.2898</f>
        <v/>
      </c>
      <c r="N28" s="37">
        <f>'HIST - cubic meters per day'!N28*6.2898</f>
        <v/>
      </c>
      <c r="O28" s="37">
        <f>'HIST - cubic meters per day'!O28*6.2898</f>
        <v/>
      </c>
      <c r="P28" s="37">
        <f>'HIST - cubic meters per day'!P28*6.2898</f>
        <v/>
      </c>
      <c r="Q28" s="37">
        <f>'HIST - cubic meters per day'!Q28*6.2898</f>
        <v/>
      </c>
      <c r="R28" s="37">
        <f>'HIST - cubic meters per day'!R28*6.2898</f>
        <v/>
      </c>
      <c r="S28" s="46">
        <f>'HIST - cubic meters per day'!S28*6.2898</f>
        <v/>
      </c>
    </row>
    <row r="29" ht="12" customHeight="1">
      <c r="A29" s="44" t="n">
        <v>37347</v>
      </c>
      <c r="B29" s="37">
        <f>'HIST - cubic meters per day'!B29*6.2898</f>
        <v/>
      </c>
      <c r="C29" s="37">
        <f>'HIST - cubic meters per day'!C29*6.2898</f>
        <v/>
      </c>
      <c r="D29" s="37">
        <f>'HIST - cubic meters per day'!D29*6.2898</f>
        <v/>
      </c>
      <c r="E29" s="37" t="n"/>
      <c r="F29" s="37">
        <f>'HIST - cubic meters per day'!F29*6.2898</f>
        <v/>
      </c>
      <c r="G29" s="37">
        <f>'HIST - cubic meters per day'!G29*6.2898</f>
        <v/>
      </c>
      <c r="H29" s="37">
        <f>'HIST - cubic meters per day'!H29*6.2898</f>
        <v/>
      </c>
      <c r="I29" s="37">
        <f>'HIST - cubic meters per day'!I29*6.2898</f>
        <v/>
      </c>
      <c r="J29" s="37">
        <f>'HIST - cubic meters per day'!J29*6.2898</f>
        <v/>
      </c>
      <c r="K29" s="37">
        <f>'HIST - cubic meters per day'!K29*6.2898</f>
        <v/>
      </c>
      <c r="L29" s="37">
        <f>'HIST - cubic meters per day'!L29*6.2898</f>
        <v/>
      </c>
      <c r="M29" s="37">
        <f>'HIST - cubic meters per day'!M29*6.2898</f>
        <v/>
      </c>
      <c r="N29" s="37">
        <f>'HIST - cubic meters per day'!N29*6.2898</f>
        <v/>
      </c>
      <c r="O29" s="37">
        <f>'HIST - cubic meters per day'!O29*6.2898</f>
        <v/>
      </c>
      <c r="P29" s="37">
        <f>'HIST - cubic meters per day'!P29*6.2898</f>
        <v/>
      </c>
      <c r="Q29" s="37">
        <f>'HIST - cubic meters per day'!Q29*6.2898</f>
        <v/>
      </c>
      <c r="R29" s="37">
        <f>'HIST - cubic meters per day'!R29*6.2898</f>
        <v/>
      </c>
      <c r="S29" s="46">
        <f>'HIST - cubic meters per day'!S29*6.2898</f>
        <v/>
      </c>
    </row>
    <row r="30" ht="12" customHeight="1">
      <c r="A30" s="44" t="n">
        <v>37377</v>
      </c>
      <c r="B30" s="37">
        <f>'HIST - cubic meters per day'!B30*6.2898</f>
        <v/>
      </c>
      <c r="C30" s="37">
        <f>'HIST - cubic meters per day'!C30*6.2898</f>
        <v/>
      </c>
      <c r="D30" s="37">
        <f>'HIST - cubic meters per day'!D30*6.2898</f>
        <v/>
      </c>
      <c r="E30" s="37" t="n"/>
      <c r="F30" s="37">
        <f>'HIST - cubic meters per day'!F30*6.2898</f>
        <v/>
      </c>
      <c r="G30" s="37">
        <f>'HIST - cubic meters per day'!G30*6.2898</f>
        <v/>
      </c>
      <c r="H30" s="37">
        <f>'HIST - cubic meters per day'!H30*6.2898</f>
        <v/>
      </c>
      <c r="I30" s="37">
        <f>'HIST - cubic meters per day'!I30*6.2898</f>
        <v/>
      </c>
      <c r="J30" s="37">
        <f>'HIST - cubic meters per day'!J30*6.2898</f>
        <v/>
      </c>
      <c r="K30" s="37">
        <f>'HIST - cubic meters per day'!K30*6.2898</f>
        <v/>
      </c>
      <c r="L30" s="37">
        <f>'HIST - cubic meters per day'!L30*6.2898</f>
        <v/>
      </c>
      <c r="M30" s="37">
        <f>'HIST - cubic meters per day'!M30*6.2898</f>
        <v/>
      </c>
      <c r="N30" s="37">
        <f>'HIST - cubic meters per day'!N30*6.2898</f>
        <v/>
      </c>
      <c r="O30" s="37">
        <f>'HIST - cubic meters per day'!O30*6.2898</f>
        <v/>
      </c>
      <c r="P30" s="37">
        <f>'HIST - cubic meters per day'!P30*6.2898</f>
        <v/>
      </c>
      <c r="Q30" s="37">
        <f>'HIST - cubic meters per day'!Q30*6.2898</f>
        <v/>
      </c>
      <c r="R30" s="37">
        <f>'HIST - cubic meters per day'!R30*6.2898</f>
        <v/>
      </c>
      <c r="S30" s="46">
        <f>'HIST - cubic meters per day'!S30*6.2898</f>
        <v/>
      </c>
    </row>
    <row r="31" ht="12" customHeight="1">
      <c r="A31" s="44" t="n">
        <v>37408</v>
      </c>
      <c r="B31" s="37">
        <f>'HIST - cubic meters per day'!B31*6.2898</f>
        <v/>
      </c>
      <c r="C31" s="37">
        <f>'HIST - cubic meters per day'!C31*6.2898</f>
        <v/>
      </c>
      <c r="D31" s="37">
        <f>'HIST - cubic meters per day'!D31*6.2898</f>
        <v/>
      </c>
      <c r="E31" s="37" t="n"/>
      <c r="F31" s="37">
        <f>'HIST - cubic meters per day'!F31*6.2898</f>
        <v/>
      </c>
      <c r="G31" s="37">
        <f>'HIST - cubic meters per day'!G31*6.2898</f>
        <v/>
      </c>
      <c r="H31" s="37">
        <f>'HIST - cubic meters per day'!H31*6.2898</f>
        <v/>
      </c>
      <c r="I31" s="37">
        <f>'HIST - cubic meters per day'!I31*6.2898</f>
        <v/>
      </c>
      <c r="J31" s="37">
        <f>'HIST - cubic meters per day'!J31*6.2898</f>
        <v/>
      </c>
      <c r="K31" s="37">
        <f>'HIST - cubic meters per day'!K31*6.2898</f>
        <v/>
      </c>
      <c r="L31" s="37">
        <f>'HIST - cubic meters per day'!L31*6.2898</f>
        <v/>
      </c>
      <c r="M31" s="37">
        <f>'HIST - cubic meters per day'!M31*6.2898</f>
        <v/>
      </c>
      <c r="N31" s="37">
        <f>'HIST - cubic meters per day'!N31*6.2898</f>
        <v/>
      </c>
      <c r="O31" s="37">
        <f>'HIST - cubic meters per day'!O31*6.2898</f>
        <v/>
      </c>
      <c r="P31" s="37">
        <f>'HIST - cubic meters per day'!P31*6.2898</f>
        <v/>
      </c>
      <c r="Q31" s="37">
        <f>'HIST - cubic meters per day'!Q31*6.2898</f>
        <v/>
      </c>
      <c r="R31" s="37">
        <f>'HIST - cubic meters per day'!R31*6.2898</f>
        <v/>
      </c>
      <c r="S31" s="46">
        <f>'HIST - cubic meters per day'!S31*6.2898</f>
        <v/>
      </c>
    </row>
    <row r="32" ht="12" customHeight="1">
      <c r="A32" s="44" t="n">
        <v>37438</v>
      </c>
      <c r="B32" s="37">
        <f>'HIST - cubic meters per day'!B32*6.2898</f>
        <v/>
      </c>
      <c r="C32" s="37">
        <f>'HIST - cubic meters per day'!C32*6.2898</f>
        <v/>
      </c>
      <c r="D32" s="37">
        <f>'HIST - cubic meters per day'!D32*6.2898</f>
        <v/>
      </c>
      <c r="E32" s="37" t="n"/>
      <c r="F32" s="37">
        <f>'HIST - cubic meters per day'!F32*6.2898</f>
        <v/>
      </c>
      <c r="G32" s="37">
        <f>'HIST - cubic meters per day'!G32*6.2898</f>
        <v/>
      </c>
      <c r="H32" s="37">
        <f>'HIST - cubic meters per day'!H32*6.2898</f>
        <v/>
      </c>
      <c r="I32" s="37">
        <f>'HIST - cubic meters per day'!I32*6.2898</f>
        <v/>
      </c>
      <c r="J32" s="37">
        <f>'HIST - cubic meters per day'!J32*6.2898</f>
        <v/>
      </c>
      <c r="K32" s="37">
        <f>'HIST - cubic meters per day'!K32*6.2898</f>
        <v/>
      </c>
      <c r="L32" s="37">
        <f>'HIST - cubic meters per day'!L32*6.2898</f>
        <v/>
      </c>
      <c r="M32" s="37">
        <f>'HIST - cubic meters per day'!M32*6.2898</f>
        <v/>
      </c>
      <c r="N32" s="37">
        <f>'HIST - cubic meters per day'!N32*6.2898</f>
        <v/>
      </c>
      <c r="O32" s="37">
        <f>'HIST - cubic meters per day'!O32*6.2898</f>
        <v/>
      </c>
      <c r="P32" s="37">
        <f>'HIST - cubic meters per day'!P32*6.2898</f>
        <v/>
      </c>
      <c r="Q32" s="37">
        <f>'HIST - cubic meters per day'!Q32*6.2898</f>
        <v/>
      </c>
      <c r="R32" s="37">
        <f>'HIST - cubic meters per day'!R32*6.2898</f>
        <v/>
      </c>
      <c r="S32" s="46">
        <f>'HIST - cubic meters per day'!S32*6.2898</f>
        <v/>
      </c>
    </row>
    <row r="33" ht="12" customHeight="1">
      <c r="A33" s="44" t="n">
        <v>37469</v>
      </c>
      <c r="B33" s="37">
        <f>'HIST - cubic meters per day'!B33*6.2898</f>
        <v/>
      </c>
      <c r="C33" s="37">
        <f>'HIST - cubic meters per day'!C33*6.2898</f>
        <v/>
      </c>
      <c r="D33" s="37">
        <f>'HIST - cubic meters per day'!D33*6.2898</f>
        <v/>
      </c>
      <c r="E33" s="37" t="n"/>
      <c r="F33" s="37">
        <f>'HIST - cubic meters per day'!F33*6.2898</f>
        <v/>
      </c>
      <c r="G33" s="37">
        <f>'HIST - cubic meters per day'!G33*6.2898</f>
        <v/>
      </c>
      <c r="H33" s="37">
        <f>'HIST - cubic meters per day'!H33*6.2898</f>
        <v/>
      </c>
      <c r="I33" s="37">
        <f>'HIST - cubic meters per day'!I33*6.2898</f>
        <v/>
      </c>
      <c r="J33" s="37">
        <f>'HIST - cubic meters per day'!J33*6.2898</f>
        <v/>
      </c>
      <c r="K33" s="37">
        <f>'HIST - cubic meters per day'!K33*6.2898</f>
        <v/>
      </c>
      <c r="L33" s="37">
        <f>'HIST - cubic meters per day'!L33*6.2898</f>
        <v/>
      </c>
      <c r="M33" s="37">
        <f>'HIST - cubic meters per day'!M33*6.2898</f>
        <v/>
      </c>
      <c r="N33" s="37">
        <f>'HIST - cubic meters per day'!N33*6.2898</f>
        <v/>
      </c>
      <c r="O33" s="37">
        <f>'HIST - cubic meters per day'!O33*6.2898</f>
        <v/>
      </c>
      <c r="P33" s="37">
        <f>'HIST - cubic meters per day'!P33*6.2898</f>
        <v/>
      </c>
      <c r="Q33" s="37">
        <f>'HIST - cubic meters per day'!Q33*6.2898</f>
        <v/>
      </c>
      <c r="R33" s="37">
        <f>'HIST - cubic meters per day'!R33*6.2898</f>
        <v/>
      </c>
      <c r="S33" s="46">
        <f>'HIST - cubic meters per day'!S33*6.2898</f>
        <v/>
      </c>
    </row>
    <row r="34" ht="12" customHeight="1">
      <c r="A34" s="44" t="n">
        <v>37500</v>
      </c>
      <c r="B34" s="37">
        <f>'HIST - cubic meters per day'!B34*6.2898</f>
        <v/>
      </c>
      <c r="C34" s="37">
        <f>'HIST - cubic meters per day'!C34*6.2898</f>
        <v/>
      </c>
      <c r="D34" s="37">
        <f>'HIST - cubic meters per day'!D34*6.2898</f>
        <v/>
      </c>
      <c r="E34" s="37" t="n"/>
      <c r="F34" s="37">
        <f>'HIST - cubic meters per day'!F34*6.2898</f>
        <v/>
      </c>
      <c r="G34" s="37">
        <f>'HIST - cubic meters per day'!G34*6.2898</f>
        <v/>
      </c>
      <c r="H34" s="37">
        <f>'HIST - cubic meters per day'!H34*6.2898</f>
        <v/>
      </c>
      <c r="I34" s="37">
        <f>'HIST - cubic meters per day'!I34*6.2898</f>
        <v/>
      </c>
      <c r="J34" s="37">
        <f>'HIST - cubic meters per day'!J34*6.2898</f>
        <v/>
      </c>
      <c r="K34" s="37">
        <f>'HIST - cubic meters per day'!K34*6.2898</f>
        <v/>
      </c>
      <c r="L34" s="37">
        <f>'HIST - cubic meters per day'!L34*6.2898</f>
        <v/>
      </c>
      <c r="M34" s="37">
        <f>'HIST - cubic meters per day'!M34*6.2898</f>
        <v/>
      </c>
      <c r="N34" s="37">
        <f>'HIST - cubic meters per day'!N34*6.2898</f>
        <v/>
      </c>
      <c r="O34" s="37">
        <f>'HIST - cubic meters per day'!O34*6.2898</f>
        <v/>
      </c>
      <c r="P34" s="37">
        <f>'HIST - cubic meters per day'!P34*6.2898</f>
        <v/>
      </c>
      <c r="Q34" s="37">
        <f>'HIST - cubic meters per day'!Q34*6.2898</f>
        <v/>
      </c>
      <c r="R34" s="37">
        <f>'HIST - cubic meters per day'!R34*6.2898</f>
        <v/>
      </c>
      <c r="S34" s="46">
        <f>'HIST - cubic meters per day'!S34*6.2898</f>
        <v/>
      </c>
    </row>
    <row r="35" ht="12" customHeight="1">
      <c r="A35" s="44" t="n">
        <v>37530</v>
      </c>
      <c r="B35" s="37">
        <f>'HIST - cubic meters per day'!B35*6.2898</f>
        <v/>
      </c>
      <c r="C35" s="37">
        <f>'HIST - cubic meters per day'!C35*6.2898</f>
        <v/>
      </c>
      <c r="D35" s="37">
        <f>'HIST - cubic meters per day'!D35*6.2898</f>
        <v/>
      </c>
      <c r="E35" s="37" t="n"/>
      <c r="F35" s="37">
        <f>'HIST - cubic meters per day'!F35*6.2898</f>
        <v/>
      </c>
      <c r="G35" s="37">
        <f>'HIST - cubic meters per day'!G35*6.2898</f>
        <v/>
      </c>
      <c r="H35" s="37">
        <f>'HIST - cubic meters per day'!H35*6.2898</f>
        <v/>
      </c>
      <c r="I35" s="37">
        <f>'HIST - cubic meters per day'!I35*6.2898</f>
        <v/>
      </c>
      <c r="J35" s="37">
        <f>'HIST - cubic meters per day'!J35*6.2898</f>
        <v/>
      </c>
      <c r="K35" s="37">
        <f>'HIST - cubic meters per day'!K35*6.2898</f>
        <v/>
      </c>
      <c r="L35" s="37">
        <f>'HIST - cubic meters per day'!L35*6.2898</f>
        <v/>
      </c>
      <c r="M35" s="37">
        <f>'HIST - cubic meters per day'!M35*6.2898</f>
        <v/>
      </c>
      <c r="N35" s="37">
        <f>'HIST - cubic meters per day'!N35*6.2898</f>
        <v/>
      </c>
      <c r="O35" s="37">
        <f>'HIST - cubic meters per day'!O35*6.2898</f>
        <v/>
      </c>
      <c r="P35" s="37">
        <f>'HIST - cubic meters per day'!P35*6.2898</f>
        <v/>
      </c>
      <c r="Q35" s="37">
        <f>'HIST - cubic meters per day'!Q35*6.2898</f>
        <v/>
      </c>
      <c r="R35" s="37">
        <f>'HIST - cubic meters per day'!R35*6.2898</f>
        <v/>
      </c>
      <c r="S35" s="46">
        <f>'HIST - cubic meters per day'!S35*6.2898</f>
        <v/>
      </c>
    </row>
    <row r="36" ht="12" customHeight="1">
      <c r="A36" s="44" t="n">
        <v>37561</v>
      </c>
      <c r="B36" s="37">
        <f>'HIST - cubic meters per day'!B36*6.2898</f>
        <v/>
      </c>
      <c r="C36" s="37">
        <f>'HIST - cubic meters per day'!C36*6.2898</f>
        <v/>
      </c>
      <c r="D36" s="37">
        <f>'HIST - cubic meters per day'!D36*6.2898</f>
        <v/>
      </c>
      <c r="E36" s="37" t="n"/>
      <c r="F36" s="37">
        <f>'HIST - cubic meters per day'!F36*6.2898</f>
        <v/>
      </c>
      <c r="G36" s="37">
        <f>'HIST - cubic meters per day'!G36*6.2898</f>
        <v/>
      </c>
      <c r="H36" s="37">
        <f>'HIST - cubic meters per day'!H36*6.2898</f>
        <v/>
      </c>
      <c r="I36" s="37">
        <f>'HIST - cubic meters per day'!I36*6.2898</f>
        <v/>
      </c>
      <c r="J36" s="37">
        <f>'HIST - cubic meters per day'!J36*6.2898</f>
        <v/>
      </c>
      <c r="K36" s="37">
        <f>'HIST - cubic meters per day'!K36*6.2898</f>
        <v/>
      </c>
      <c r="L36" s="37">
        <f>'HIST - cubic meters per day'!L36*6.2898</f>
        <v/>
      </c>
      <c r="M36" s="37">
        <f>'HIST - cubic meters per day'!M36*6.2898</f>
        <v/>
      </c>
      <c r="N36" s="37">
        <f>'HIST - cubic meters per day'!N36*6.2898</f>
        <v/>
      </c>
      <c r="O36" s="37">
        <f>'HIST - cubic meters per day'!O36*6.2898</f>
        <v/>
      </c>
      <c r="P36" s="37">
        <f>'HIST - cubic meters per day'!P36*6.2898</f>
        <v/>
      </c>
      <c r="Q36" s="37">
        <f>'HIST - cubic meters per day'!Q36*6.2898</f>
        <v/>
      </c>
      <c r="R36" s="37">
        <f>'HIST - cubic meters per day'!R36*6.2898</f>
        <v/>
      </c>
      <c r="S36" s="46">
        <f>'HIST - cubic meters per day'!S36*6.2898</f>
        <v/>
      </c>
    </row>
    <row r="37" ht="12" customHeight="1">
      <c r="A37" s="44" t="n">
        <v>37591</v>
      </c>
      <c r="B37" s="37">
        <f>'HIST - cubic meters per day'!B37*6.2898</f>
        <v/>
      </c>
      <c r="C37" s="37">
        <f>'HIST - cubic meters per day'!C37*6.2898</f>
        <v/>
      </c>
      <c r="D37" s="37">
        <f>'HIST - cubic meters per day'!D37*6.2898</f>
        <v/>
      </c>
      <c r="E37" s="37" t="n"/>
      <c r="F37" s="37">
        <f>'HIST - cubic meters per day'!F37*6.2898</f>
        <v/>
      </c>
      <c r="G37" s="37">
        <f>'HIST - cubic meters per day'!G37*6.2898</f>
        <v/>
      </c>
      <c r="H37" s="37">
        <f>'HIST - cubic meters per day'!H37*6.2898</f>
        <v/>
      </c>
      <c r="I37" s="37">
        <f>'HIST - cubic meters per day'!I37*6.2898</f>
        <v/>
      </c>
      <c r="J37" s="37">
        <f>'HIST - cubic meters per day'!J37*6.2898</f>
        <v/>
      </c>
      <c r="K37" s="37">
        <f>'HIST - cubic meters per day'!K37*6.2898</f>
        <v/>
      </c>
      <c r="L37" s="37">
        <f>'HIST - cubic meters per day'!L37*6.2898</f>
        <v/>
      </c>
      <c r="M37" s="37">
        <f>'HIST - cubic meters per day'!M37*6.2898</f>
        <v/>
      </c>
      <c r="N37" s="37">
        <f>'HIST - cubic meters per day'!N37*6.2898</f>
        <v/>
      </c>
      <c r="O37" s="37">
        <f>'HIST - cubic meters per day'!O37*6.2898</f>
        <v/>
      </c>
      <c r="P37" s="37">
        <f>'HIST - cubic meters per day'!P37*6.2898</f>
        <v/>
      </c>
      <c r="Q37" s="37">
        <f>'HIST - cubic meters per day'!Q37*6.2898</f>
        <v/>
      </c>
      <c r="R37" s="37">
        <f>'HIST - cubic meters per day'!R37*6.2898</f>
        <v/>
      </c>
      <c r="S37" s="46">
        <f>'HIST - cubic meters per day'!S37*6.2898</f>
        <v/>
      </c>
    </row>
    <row r="38" ht="12" customHeight="1">
      <c r="A38" s="44" t="n">
        <v>37622</v>
      </c>
      <c r="B38" s="37">
        <f>'HIST - cubic meters per day'!B38*6.2898</f>
        <v/>
      </c>
      <c r="C38" s="37">
        <f>'HIST - cubic meters per day'!C38*6.2898</f>
        <v/>
      </c>
      <c r="D38" s="37">
        <f>'HIST - cubic meters per day'!D38*6.2898</f>
        <v/>
      </c>
      <c r="E38" s="37" t="n"/>
      <c r="F38" s="37">
        <f>'HIST - cubic meters per day'!F38*6.2898</f>
        <v/>
      </c>
      <c r="G38" s="37">
        <f>'HIST - cubic meters per day'!G38*6.2898</f>
        <v/>
      </c>
      <c r="H38" s="37">
        <f>'HIST - cubic meters per day'!H38*6.2898</f>
        <v/>
      </c>
      <c r="I38" s="37">
        <f>'HIST - cubic meters per day'!I38*6.2898</f>
        <v/>
      </c>
      <c r="J38" s="37">
        <f>'HIST - cubic meters per day'!J38*6.2898</f>
        <v/>
      </c>
      <c r="K38" s="37">
        <f>'HIST - cubic meters per day'!K38*6.2898</f>
        <v/>
      </c>
      <c r="L38" s="37">
        <f>'HIST - cubic meters per day'!L38*6.2898</f>
        <v/>
      </c>
      <c r="M38" s="37">
        <f>'HIST - cubic meters per day'!M38*6.2898</f>
        <v/>
      </c>
      <c r="N38" s="37">
        <f>'HIST - cubic meters per day'!N38*6.2898</f>
        <v/>
      </c>
      <c r="O38" s="37">
        <f>'HIST - cubic meters per day'!O38*6.2898</f>
        <v/>
      </c>
      <c r="P38" s="37">
        <f>'HIST - cubic meters per day'!P38*6.2898</f>
        <v/>
      </c>
      <c r="Q38" s="37">
        <f>'HIST - cubic meters per day'!Q38*6.2898</f>
        <v/>
      </c>
      <c r="R38" s="37">
        <f>'HIST - cubic meters per day'!R38*6.2898</f>
        <v/>
      </c>
      <c r="S38" s="46">
        <f>'HIST - cubic meters per day'!S38*6.2898</f>
        <v/>
      </c>
    </row>
    <row r="39" ht="12" customHeight="1">
      <c r="A39" s="44" t="n">
        <v>37653</v>
      </c>
      <c r="B39" s="37">
        <f>'HIST - cubic meters per day'!B39*6.2898</f>
        <v/>
      </c>
      <c r="C39" s="37">
        <f>'HIST - cubic meters per day'!C39*6.2898</f>
        <v/>
      </c>
      <c r="D39" s="37">
        <f>'HIST - cubic meters per day'!D39*6.2898</f>
        <v/>
      </c>
      <c r="E39" s="37" t="n"/>
      <c r="F39" s="37">
        <f>'HIST - cubic meters per day'!F39*6.2898</f>
        <v/>
      </c>
      <c r="G39" s="37">
        <f>'HIST - cubic meters per day'!G39*6.2898</f>
        <v/>
      </c>
      <c r="H39" s="37">
        <f>'HIST - cubic meters per day'!H39*6.2898</f>
        <v/>
      </c>
      <c r="I39" s="37">
        <f>'HIST - cubic meters per day'!I39*6.2898</f>
        <v/>
      </c>
      <c r="J39" s="37">
        <f>'HIST - cubic meters per day'!J39*6.2898</f>
        <v/>
      </c>
      <c r="K39" s="37">
        <f>'HIST - cubic meters per day'!K39*6.2898</f>
        <v/>
      </c>
      <c r="L39" s="37">
        <f>'HIST - cubic meters per day'!L39*6.2898</f>
        <v/>
      </c>
      <c r="M39" s="37">
        <f>'HIST - cubic meters per day'!M39*6.2898</f>
        <v/>
      </c>
      <c r="N39" s="37">
        <f>'HIST - cubic meters per day'!N39*6.2898</f>
        <v/>
      </c>
      <c r="O39" s="37">
        <f>'HIST - cubic meters per day'!O39*6.2898</f>
        <v/>
      </c>
      <c r="P39" s="37">
        <f>'HIST - cubic meters per day'!P39*6.2898</f>
        <v/>
      </c>
      <c r="Q39" s="37">
        <f>'HIST - cubic meters per day'!Q39*6.2898</f>
        <v/>
      </c>
      <c r="R39" s="37">
        <f>'HIST - cubic meters per day'!R39*6.2898</f>
        <v/>
      </c>
      <c r="S39" s="46">
        <f>'HIST - cubic meters per day'!S39*6.2898</f>
        <v/>
      </c>
    </row>
    <row r="40" ht="12" customHeight="1">
      <c r="A40" s="44" t="n">
        <v>37681</v>
      </c>
      <c r="B40" s="37">
        <f>'HIST - cubic meters per day'!B40*6.2898</f>
        <v/>
      </c>
      <c r="C40" s="37">
        <f>'HIST - cubic meters per day'!C40*6.2898</f>
        <v/>
      </c>
      <c r="D40" s="37">
        <f>'HIST - cubic meters per day'!D40*6.2898</f>
        <v/>
      </c>
      <c r="E40" s="37" t="n"/>
      <c r="F40" s="37">
        <f>'HIST - cubic meters per day'!F40*6.2898</f>
        <v/>
      </c>
      <c r="G40" s="37">
        <f>'HIST - cubic meters per day'!G40*6.2898</f>
        <v/>
      </c>
      <c r="H40" s="37">
        <f>'HIST - cubic meters per day'!H40*6.2898</f>
        <v/>
      </c>
      <c r="I40" s="37">
        <f>'HIST - cubic meters per day'!I40*6.2898</f>
        <v/>
      </c>
      <c r="J40" s="37">
        <f>'HIST - cubic meters per day'!J40*6.2898</f>
        <v/>
      </c>
      <c r="K40" s="37">
        <f>'HIST - cubic meters per day'!K40*6.2898</f>
        <v/>
      </c>
      <c r="L40" s="37">
        <f>'HIST - cubic meters per day'!L40*6.2898</f>
        <v/>
      </c>
      <c r="M40" s="37">
        <f>'HIST - cubic meters per day'!M40*6.2898</f>
        <v/>
      </c>
      <c r="N40" s="37">
        <f>'HIST - cubic meters per day'!N40*6.2898</f>
        <v/>
      </c>
      <c r="O40" s="37">
        <f>'HIST - cubic meters per day'!O40*6.2898</f>
        <v/>
      </c>
      <c r="P40" s="37">
        <f>'HIST - cubic meters per day'!P40*6.2898</f>
        <v/>
      </c>
      <c r="Q40" s="37">
        <f>'HIST - cubic meters per day'!Q40*6.2898</f>
        <v/>
      </c>
      <c r="R40" s="37">
        <f>'HIST - cubic meters per day'!R40*6.2898</f>
        <v/>
      </c>
      <c r="S40" s="46">
        <f>'HIST - cubic meters per day'!S40*6.2898</f>
        <v/>
      </c>
    </row>
    <row r="41" ht="12" customHeight="1">
      <c r="A41" s="44" t="n">
        <v>37712</v>
      </c>
      <c r="B41" s="37">
        <f>'HIST - cubic meters per day'!B41*6.2898</f>
        <v/>
      </c>
      <c r="C41" s="37">
        <f>'HIST - cubic meters per day'!C41*6.2898</f>
        <v/>
      </c>
      <c r="D41" s="37">
        <f>'HIST - cubic meters per day'!D41*6.2898</f>
        <v/>
      </c>
      <c r="E41" s="37" t="n"/>
      <c r="F41" s="37">
        <f>'HIST - cubic meters per day'!F41*6.2898</f>
        <v/>
      </c>
      <c r="G41" s="37">
        <f>'HIST - cubic meters per day'!G41*6.2898</f>
        <v/>
      </c>
      <c r="H41" s="37">
        <f>'HIST - cubic meters per day'!H41*6.2898</f>
        <v/>
      </c>
      <c r="I41" s="37">
        <f>'HIST - cubic meters per day'!I41*6.2898</f>
        <v/>
      </c>
      <c r="J41" s="37">
        <f>'HIST - cubic meters per day'!J41*6.2898</f>
        <v/>
      </c>
      <c r="K41" s="37">
        <f>'HIST - cubic meters per day'!K41*6.2898</f>
        <v/>
      </c>
      <c r="L41" s="37">
        <f>'HIST - cubic meters per day'!L41*6.2898</f>
        <v/>
      </c>
      <c r="M41" s="37">
        <f>'HIST - cubic meters per day'!M41*6.2898</f>
        <v/>
      </c>
      <c r="N41" s="37">
        <f>'HIST - cubic meters per day'!N41*6.2898</f>
        <v/>
      </c>
      <c r="O41" s="37">
        <f>'HIST - cubic meters per day'!O41*6.2898</f>
        <v/>
      </c>
      <c r="P41" s="37">
        <f>'HIST - cubic meters per day'!P41*6.2898</f>
        <v/>
      </c>
      <c r="Q41" s="37">
        <f>'HIST - cubic meters per day'!Q41*6.2898</f>
        <v/>
      </c>
      <c r="R41" s="37">
        <f>'HIST - cubic meters per day'!R41*6.2898</f>
        <v/>
      </c>
      <c r="S41" s="46">
        <f>'HIST - cubic meters per day'!S41*6.2898</f>
        <v/>
      </c>
    </row>
    <row r="42" ht="12" customHeight="1">
      <c r="A42" s="44" t="n">
        <v>37742</v>
      </c>
      <c r="B42" s="37">
        <f>'HIST - cubic meters per day'!B42*6.2898</f>
        <v/>
      </c>
      <c r="C42" s="37">
        <f>'HIST - cubic meters per day'!C42*6.2898</f>
        <v/>
      </c>
      <c r="D42" s="37">
        <f>'HIST - cubic meters per day'!D42*6.2898</f>
        <v/>
      </c>
      <c r="E42" s="37" t="n"/>
      <c r="F42" s="37">
        <f>'HIST - cubic meters per day'!F42*6.2898</f>
        <v/>
      </c>
      <c r="G42" s="37">
        <f>'HIST - cubic meters per day'!G42*6.2898</f>
        <v/>
      </c>
      <c r="H42" s="37">
        <f>'HIST - cubic meters per day'!H42*6.2898</f>
        <v/>
      </c>
      <c r="I42" s="37">
        <f>'HIST - cubic meters per day'!I42*6.2898</f>
        <v/>
      </c>
      <c r="J42" s="37">
        <f>'HIST - cubic meters per day'!J42*6.2898</f>
        <v/>
      </c>
      <c r="K42" s="37">
        <f>'HIST - cubic meters per day'!K42*6.2898</f>
        <v/>
      </c>
      <c r="L42" s="37">
        <f>'HIST - cubic meters per day'!L42*6.2898</f>
        <v/>
      </c>
      <c r="M42" s="37">
        <f>'HIST - cubic meters per day'!M42*6.2898</f>
        <v/>
      </c>
      <c r="N42" s="37">
        <f>'HIST - cubic meters per day'!N42*6.2898</f>
        <v/>
      </c>
      <c r="O42" s="37">
        <f>'HIST - cubic meters per day'!O42*6.2898</f>
        <v/>
      </c>
      <c r="P42" s="37">
        <f>'HIST - cubic meters per day'!P42*6.2898</f>
        <v/>
      </c>
      <c r="Q42" s="37">
        <f>'HIST - cubic meters per day'!Q42*6.2898</f>
        <v/>
      </c>
      <c r="R42" s="37">
        <f>'HIST - cubic meters per day'!R42*6.2898</f>
        <v/>
      </c>
      <c r="S42" s="46">
        <f>'HIST - cubic meters per day'!S42*6.2898</f>
        <v/>
      </c>
    </row>
    <row r="43" ht="12" customHeight="1">
      <c r="A43" s="44" t="n">
        <v>37773</v>
      </c>
      <c r="B43" s="37">
        <f>'HIST - cubic meters per day'!B43*6.2898</f>
        <v/>
      </c>
      <c r="C43" s="37">
        <f>'HIST - cubic meters per day'!C43*6.2898</f>
        <v/>
      </c>
      <c r="D43" s="37">
        <f>'HIST - cubic meters per day'!D43*6.2898</f>
        <v/>
      </c>
      <c r="E43" s="37" t="n"/>
      <c r="F43" s="37">
        <f>'HIST - cubic meters per day'!F43*6.2898</f>
        <v/>
      </c>
      <c r="G43" s="37">
        <f>'HIST - cubic meters per day'!G43*6.2898</f>
        <v/>
      </c>
      <c r="H43" s="37">
        <f>'HIST - cubic meters per day'!H43*6.2898</f>
        <v/>
      </c>
      <c r="I43" s="37">
        <f>'HIST - cubic meters per day'!I43*6.2898</f>
        <v/>
      </c>
      <c r="J43" s="37">
        <f>'HIST - cubic meters per day'!J43*6.2898</f>
        <v/>
      </c>
      <c r="K43" s="37">
        <f>'HIST - cubic meters per day'!K43*6.2898</f>
        <v/>
      </c>
      <c r="L43" s="37">
        <f>'HIST - cubic meters per day'!L43*6.2898</f>
        <v/>
      </c>
      <c r="M43" s="37">
        <f>'HIST - cubic meters per day'!M43*6.2898</f>
        <v/>
      </c>
      <c r="N43" s="37">
        <f>'HIST - cubic meters per day'!N43*6.2898</f>
        <v/>
      </c>
      <c r="O43" s="37">
        <f>'HIST - cubic meters per day'!O43*6.2898</f>
        <v/>
      </c>
      <c r="P43" s="37">
        <f>'HIST - cubic meters per day'!P43*6.2898</f>
        <v/>
      </c>
      <c r="Q43" s="37">
        <f>'HIST - cubic meters per day'!Q43*6.2898</f>
        <v/>
      </c>
      <c r="R43" s="37">
        <f>'HIST - cubic meters per day'!R43*6.2898</f>
        <v/>
      </c>
      <c r="S43" s="46">
        <f>'HIST - cubic meters per day'!S43*6.2898</f>
        <v/>
      </c>
    </row>
    <row r="44" ht="12" customHeight="1">
      <c r="A44" s="44" t="n">
        <v>37803</v>
      </c>
      <c r="B44" s="37">
        <f>'HIST - cubic meters per day'!B44*6.2898</f>
        <v/>
      </c>
      <c r="C44" s="37">
        <f>'HIST - cubic meters per day'!C44*6.2898</f>
        <v/>
      </c>
      <c r="D44" s="37">
        <f>'HIST - cubic meters per day'!D44*6.2898</f>
        <v/>
      </c>
      <c r="E44" s="37" t="n"/>
      <c r="F44" s="37">
        <f>'HIST - cubic meters per day'!F44*6.2898</f>
        <v/>
      </c>
      <c r="G44" s="37">
        <f>'HIST - cubic meters per day'!G44*6.2898</f>
        <v/>
      </c>
      <c r="H44" s="37">
        <f>'HIST - cubic meters per day'!H44*6.2898</f>
        <v/>
      </c>
      <c r="I44" s="37">
        <f>'HIST - cubic meters per day'!I44*6.2898</f>
        <v/>
      </c>
      <c r="J44" s="37">
        <f>'HIST - cubic meters per day'!J44*6.2898</f>
        <v/>
      </c>
      <c r="K44" s="37">
        <f>'HIST - cubic meters per day'!K44*6.2898</f>
        <v/>
      </c>
      <c r="L44" s="37">
        <f>'HIST - cubic meters per day'!L44*6.2898</f>
        <v/>
      </c>
      <c r="M44" s="37">
        <f>'HIST - cubic meters per day'!M44*6.2898</f>
        <v/>
      </c>
      <c r="N44" s="37">
        <f>'HIST - cubic meters per day'!N44*6.2898</f>
        <v/>
      </c>
      <c r="O44" s="37">
        <f>'HIST - cubic meters per day'!O44*6.2898</f>
        <v/>
      </c>
      <c r="P44" s="37">
        <f>'HIST - cubic meters per day'!P44*6.2898</f>
        <v/>
      </c>
      <c r="Q44" s="37">
        <f>'HIST - cubic meters per day'!Q44*6.2898</f>
        <v/>
      </c>
      <c r="R44" s="37">
        <f>'HIST - cubic meters per day'!R44*6.2898</f>
        <v/>
      </c>
      <c r="S44" s="46">
        <f>'HIST - cubic meters per day'!S44*6.2898</f>
        <v/>
      </c>
    </row>
    <row r="45" ht="12" customHeight="1">
      <c r="A45" s="44" t="n">
        <v>37834</v>
      </c>
      <c r="B45" s="37">
        <f>'HIST - cubic meters per day'!B45*6.2898</f>
        <v/>
      </c>
      <c r="C45" s="37">
        <f>'HIST - cubic meters per day'!C45*6.2898</f>
        <v/>
      </c>
      <c r="D45" s="37">
        <f>'HIST - cubic meters per day'!D45*6.2898</f>
        <v/>
      </c>
      <c r="E45" s="37" t="n"/>
      <c r="F45" s="37">
        <f>'HIST - cubic meters per day'!F45*6.2898</f>
        <v/>
      </c>
      <c r="G45" s="37">
        <f>'HIST - cubic meters per day'!G45*6.2898</f>
        <v/>
      </c>
      <c r="H45" s="37">
        <f>'HIST - cubic meters per day'!H45*6.2898</f>
        <v/>
      </c>
      <c r="I45" s="37">
        <f>'HIST - cubic meters per day'!I45*6.2898</f>
        <v/>
      </c>
      <c r="J45" s="37">
        <f>'HIST - cubic meters per day'!J45*6.2898</f>
        <v/>
      </c>
      <c r="K45" s="37">
        <f>'HIST - cubic meters per day'!K45*6.2898</f>
        <v/>
      </c>
      <c r="L45" s="37">
        <f>'HIST - cubic meters per day'!L45*6.2898</f>
        <v/>
      </c>
      <c r="M45" s="37">
        <f>'HIST - cubic meters per day'!M45*6.2898</f>
        <v/>
      </c>
      <c r="N45" s="37">
        <f>'HIST - cubic meters per day'!N45*6.2898</f>
        <v/>
      </c>
      <c r="O45" s="37">
        <f>'HIST - cubic meters per day'!O45*6.2898</f>
        <v/>
      </c>
      <c r="P45" s="37">
        <f>'HIST - cubic meters per day'!P45*6.2898</f>
        <v/>
      </c>
      <c r="Q45" s="37">
        <f>'HIST - cubic meters per day'!Q45*6.2898</f>
        <v/>
      </c>
      <c r="R45" s="37">
        <f>'HIST - cubic meters per day'!R45*6.2898</f>
        <v/>
      </c>
      <c r="S45" s="46">
        <f>'HIST - cubic meters per day'!S45*6.2898</f>
        <v/>
      </c>
    </row>
    <row r="46" ht="12" customHeight="1">
      <c r="A46" s="44" t="n">
        <v>37865</v>
      </c>
      <c r="B46" s="37">
        <f>'HIST - cubic meters per day'!B46*6.2898</f>
        <v/>
      </c>
      <c r="C46" s="37">
        <f>'HIST - cubic meters per day'!C46*6.2898</f>
        <v/>
      </c>
      <c r="D46" s="37">
        <f>'HIST - cubic meters per day'!D46*6.2898</f>
        <v/>
      </c>
      <c r="E46" s="37" t="n"/>
      <c r="F46" s="37">
        <f>'HIST - cubic meters per day'!F46*6.2898</f>
        <v/>
      </c>
      <c r="G46" s="37">
        <f>'HIST - cubic meters per day'!G46*6.2898</f>
        <v/>
      </c>
      <c r="H46" s="37">
        <f>'HIST - cubic meters per day'!H46*6.2898</f>
        <v/>
      </c>
      <c r="I46" s="37">
        <f>'HIST - cubic meters per day'!I46*6.2898</f>
        <v/>
      </c>
      <c r="J46" s="37">
        <f>'HIST - cubic meters per day'!J46*6.2898</f>
        <v/>
      </c>
      <c r="K46" s="37">
        <f>'HIST - cubic meters per day'!K46*6.2898</f>
        <v/>
      </c>
      <c r="L46" s="37">
        <f>'HIST - cubic meters per day'!L46*6.2898</f>
        <v/>
      </c>
      <c r="M46" s="37">
        <f>'HIST - cubic meters per day'!M46*6.2898</f>
        <v/>
      </c>
      <c r="N46" s="37">
        <f>'HIST - cubic meters per day'!N46*6.2898</f>
        <v/>
      </c>
      <c r="O46" s="37">
        <f>'HIST - cubic meters per day'!O46*6.2898</f>
        <v/>
      </c>
      <c r="P46" s="37">
        <f>'HIST - cubic meters per day'!P46*6.2898</f>
        <v/>
      </c>
      <c r="Q46" s="37">
        <f>'HIST - cubic meters per day'!Q46*6.2898</f>
        <v/>
      </c>
      <c r="R46" s="37">
        <f>'HIST - cubic meters per day'!R46*6.2898</f>
        <v/>
      </c>
      <c r="S46" s="46">
        <f>'HIST - cubic meters per day'!S46*6.2898</f>
        <v/>
      </c>
    </row>
    <row r="47" ht="12" customHeight="1">
      <c r="A47" s="44" t="n">
        <v>37895</v>
      </c>
      <c r="B47" s="37">
        <f>'HIST - cubic meters per day'!B47*6.2898</f>
        <v/>
      </c>
      <c r="C47" s="37">
        <f>'HIST - cubic meters per day'!C47*6.2898</f>
        <v/>
      </c>
      <c r="D47" s="37">
        <f>'HIST - cubic meters per day'!D47*6.2898</f>
        <v/>
      </c>
      <c r="E47" s="37" t="n"/>
      <c r="F47" s="37">
        <f>'HIST - cubic meters per day'!F47*6.2898</f>
        <v/>
      </c>
      <c r="G47" s="37">
        <f>'HIST - cubic meters per day'!G47*6.2898</f>
        <v/>
      </c>
      <c r="H47" s="37">
        <f>'HIST - cubic meters per day'!H47*6.2898</f>
        <v/>
      </c>
      <c r="I47" s="37">
        <f>'HIST - cubic meters per day'!I47*6.2898</f>
        <v/>
      </c>
      <c r="J47" s="37">
        <f>'HIST - cubic meters per day'!J47*6.2898</f>
        <v/>
      </c>
      <c r="K47" s="37">
        <f>'HIST - cubic meters per day'!K47*6.2898</f>
        <v/>
      </c>
      <c r="L47" s="37">
        <f>'HIST - cubic meters per day'!L47*6.2898</f>
        <v/>
      </c>
      <c r="M47" s="37">
        <f>'HIST - cubic meters per day'!M47*6.2898</f>
        <v/>
      </c>
      <c r="N47" s="37">
        <f>'HIST - cubic meters per day'!N47*6.2898</f>
        <v/>
      </c>
      <c r="O47" s="37">
        <f>'HIST - cubic meters per day'!O47*6.2898</f>
        <v/>
      </c>
      <c r="P47" s="37">
        <f>'HIST - cubic meters per day'!P47*6.2898</f>
        <v/>
      </c>
      <c r="Q47" s="37">
        <f>'HIST - cubic meters per day'!Q47*6.2898</f>
        <v/>
      </c>
      <c r="R47" s="37">
        <f>'HIST - cubic meters per day'!R47*6.2898</f>
        <v/>
      </c>
      <c r="S47" s="46">
        <f>'HIST - cubic meters per day'!S47*6.2898</f>
        <v/>
      </c>
    </row>
    <row r="48" ht="12" customHeight="1">
      <c r="A48" s="44" t="n">
        <v>37926</v>
      </c>
      <c r="B48" s="37">
        <f>'HIST - cubic meters per day'!B48*6.2898</f>
        <v/>
      </c>
      <c r="C48" s="37">
        <f>'HIST - cubic meters per day'!C48*6.2898</f>
        <v/>
      </c>
      <c r="D48" s="37">
        <f>'HIST - cubic meters per day'!D48*6.2898</f>
        <v/>
      </c>
      <c r="E48" s="37" t="n"/>
      <c r="F48" s="37">
        <f>'HIST - cubic meters per day'!F48*6.2898</f>
        <v/>
      </c>
      <c r="G48" s="37">
        <f>'HIST - cubic meters per day'!G48*6.2898</f>
        <v/>
      </c>
      <c r="H48" s="37">
        <f>'HIST - cubic meters per day'!H48*6.2898</f>
        <v/>
      </c>
      <c r="I48" s="37">
        <f>'HIST - cubic meters per day'!I48*6.2898</f>
        <v/>
      </c>
      <c r="J48" s="37">
        <f>'HIST - cubic meters per day'!J48*6.2898</f>
        <v/>
      </c>
      <c r="K48" s="37">
        <f>'HIST - cubic meters per day'!K48*6.2898</f>
        <v/>
      </c>
      <c r="L48" s="37">
        <f>'HIST - cubic meters per day'!L48*6.2898</f>
        <v/>
      </c>
      <c r="M48" s="37">
        <f>'HIST - cubic meters per day'!M48*6.2898</f>
        <v/>
      </c>
      <c r="N48" s="37">
        <f>'HIST - cubic meters per day'!N48*6.2898</f>
        <v/>
      </c>
      <c r="O48" s="37">
        <f>'HIST - cubic meters per day'!O48*6.2898</f>
        <v/>
      </c>
      <c r="P48" s="37">
        <f>'HIST - cubic meters per day'!P48*6.2898</f>
        <v/>
      </c>
      <c r="Q48" s="37">
        <f>'HIST - cubic meters per day'!Q48*6.2898</f>
        <v/>
      </c>
      <c r="R48" s="37">
        <f>'HIST - cubic meters per day'!R48*6.2898</f>
        <v/>
      </c>
      <c r="S48" s="46">
        <f>'HIST - cubic meters per day'!S48*6.2898</f>
        <v/>
      </c>
    </row>
    <row r="49" ht="12" customHeight="1">
      <c r="A49" s="44" t="n">
        <v>37956</v>
      </c>
      <c r="B49" s="37">
        <f>'HIST - cubic meters per day'!B49*6.2898</f>
        <v/>
      </c>
      <c r="C49" s="37">
        <f>'HIST - cubic meters per day'!C49*6.2898</f>
        <v/>
      </c>
      <c r="D49" s="37">
        <f>'HIST - cubic meters per day'!D49*6.2898</f>
        <v/>
      </c>
      <c r="E49" s="37" t="n"/>
      <c r="F49" s="37">
        <f>'HIST - cubic meters per day'!F49*6.2898</f>
        <v/>
      </c>
      <c r="G49" s="37">
        <f>'HIST - cubic meters per day'!G49*6.2898</f>
        <v/>
      </c>
      <c r="H49" s="37">
        <f>'HIST - cubic meters per day'!H49*6.2898</f>
        <v/>
      </c>
      <c r="I49" s="37">
        <f>'HIST - cubic meters per day'!I49*6.2898</f>
        <v/>
      </c>
      <c r="J49" s="37">
        <f>'HIST - cubic meters per day'!J49*6.2898</f>
        <v/>
      </c>
      <c r="K49" s="37">
        <f>'HIST - cubic meters per day'!K49*6.2898</f>
        <v/>
      </c>
      <c r="L49" s="37">
        <f>'HIST - cubic meters per day'!L49*6.2898</f>
        <v/>
      </c>
      <c r="M49" s="37">
        <f>'HIST - cubic meters per day'!M49*6.2898</f>
        <v/>
      </c>
      <c r="N49" s="37">
        <f>'HIST - cubic meters per day'!N49*6.2898</f>
        <v/>
      </c>
      <c r="O49" s="37">
        <f>'HIST - cubic meters per day'!O49*6.2898</f>
        <v/>
      </c>
      <c r="P49" s="37">
        <f>'HIST - cubic meters per day'!P49*6.2898</f>
        <v/>
      </c>
      <c r="Q49" s="37">
        <f>'HIST - cubic meters per day'!Q49*6.2898</f>
        <v/>
      </c>
      <c r="R49" s="37">
        <f>'HIST - cubic meters per day'!R49*6.2898</f>
        <v/>
      </c>
      <c r="S49" s="46">
        <f>'HIST - cubic meters per day'!S49*6.2898</f>
        <v/>
      </c>
    </row>
    <row r="50" ht="12" customHeight="1">
      <c r="A50" s="44" t="n">
        <v>37987</v>
      </c>
      <c r="B50" s="37">
        <f>'HIST - cubic meters per day'!B50*6.2898</f>
        <v/>
      </c>
      <c r="C50" s="37">
        <f>'HIST - cubic meters per day'!C50*6.2898</f>
        <v/>
      </c>
      <c r="D50" s="37">
        <f>'HIST - cubic meters per day'!D50*6.2898</f>
        <v/>
      </c>
      <c r="E50" s="37" t="n"/>
      <c r="F50" s="37">
        <f>'HIST - cubic meters per day'!F50*6.2898</f>
        <v/>
      </c>
      <c r="G50" s="37">
        <f>'HIST - cubic meters per day'!G50*6.2898</f>
        <v/>
      </c>
      <c r="H50" s="37">
        <f>'HIST - cubic meters per day'!H50*6.2898</f>
        <v/>
      </c>
      <c r="I50" s="37">
        <f>'HIST - cubic meters per day'!I50*6.2898</f>
        <v/>
      </c>
      <c r="J50" s="37">
        <f>'HIST - cubic meters per day'!J50*6.2898</f>
        <v/>
      </c>
      <c r="K50" s="37">
        <f>'HIST - cubic meters per day'!K50*6.2898</f>
        <v/>
      </c>
      <c r="L50" s="37">
        <f>'HIST - cubic meters per day'!L50*6.2898</f>
        <v/>
      </c>
      <c r="M50" s="37">
        <f>'HIST - cubic meters per day'!M50*6.2898</f>
        <v/>
      </c>
      <c r="N50" s="37">
        <f>'HIST - cubic meters per day'!N50*6.2898</f>
        <v/>
      </c>
      <c r="O50" s="37">
        <f>'HIST - cubic meters per day'!O50*6.2898</f>
        <v/>
      </c>
      <c r="P50" s="37">
        <f>'HIST - cubic meters per day'!P50*6.2898</f>
        <v/>
      </c>
      <c r="Q50" s="37">
        <f>'HIST - cubic meters per day'!Q50*6.2898</f>
        <v/>
      </c>
      <c r="R50" s="37">
        <f>'HIST - cubic meters per day'!R50*6.2898</f>
        <v/>
      </c>
      <c r="S50" s="46">
        <f>'HIST - cubic meters per day'!S50*6.2898</f>
        <v/>
      </c>
    </row>
    <row r="51" ht="12" customHeight="1">
      <c r="A51" s="44" t="n">
        <v>38018</v>
      </c>
      <c r="B51" s="37">
        <f>'HIST - cubic meters per day'!B51*6.2898</f>
        <v/>
      </c>
      <c r="C51" s="37">
        <f>'HIST - cubic meters per day'!C51*6.2898</f>
        <v/>
      </c>
      <c r="D51" s="37">
        <f>'HIST - cubic meters per day'!D51*6.2898</f>
        <v/>
      </c>
      <c r="E51" s="37" t="n"/>
      <c r="F51" s="37">
        <f>'HIST - cubic meters per day'!F51*6.2898</f>
        <v/>
      </c>
      <c r="G51" s="37">
        <f>'HIST - cubic meters per day'!G51*6.2898</f>
        <v/>
      </c>
      <c r="H51" s="37">
        <f>'HIST - cubic meters per day'!H51*6.2898</f>
        <v/>
      </c>
      <c r="I51" s="37">
        <f>'HIST - cubic meters per day'!I51*6.2898</f>
        <v/>
      </c>
      <c r="J51" s="37">
        <f>'HIST - cubic meters per day'!J51*6.2898</f>
        <v/>
      </c>
      <c r="K51" s="37">
        <f>'HIST - cubic meters per day'!K51*6.2898</f>
        <v/>
      </c>
      <c r="L51" s="37">
        <f>'HIST - cubic meters per day'!L51*6.2898</f>
        <v/>
      </c>
      <c r="M51" s="37">
        <f>'HIST - cubic meters per day'!M51*6.2898</f>
        <v/>
      </c>
      <c r="N51" s="37">
        <f>'HIST - cubic meters per day'!N51*6.2898</f>
        <v/>
      </c>
      <c r="O51" s="37">
        <f>'HIST - cubic meters per day'!O51*6.2898</f>
        <v/>
      </c>
      <c r="P51" s="37">
        <f>'HIST - cubic meters per day'!P51*6.2898</f>
        <v/>
      </c>
      <c r="Q51" s="37">
        <f>'HIST - cubic meters per day'!Q51*6.2898</f>
        <v/>
      </c>
      <c r="R51" s="37">
        <f>'HIST - cubic meters per day'!R51*6.2898</f>
        <v/>
      </c>
      <c r="S51" s="46">
        <f>'HIST - cubic meters per day'!S51*6.2898</f>
        <v/>
      </c>
    </row>
    <row r="52" ht="12" customHeight="1">
      <c r="A52" s="44" t="n">
        <v>38047</v>
      </c>
      <c r="B52" s="37">
        <f>'HIST - cubic meters per day'!B52*6.2898</f>
        <v/>
      </c>
      <c r="C52" s="37">
        <f>'HIST - cubic meters per day'!C52*6.2898</f>
        <v/>
      </c>
      <c r="D52" s="37">
        <f>'HIST - cubic meters per day'!D52*6.2898</f>
        <v/>
      </c>
      <c r="E52" s="37" t="n"/>
      <c r="F52" s="37">
        <f>'HIST - cubic meters per day'!F52*6.2898</f>
        <v/>
      </c>
      <c r="G52" s="37">
        <f>'HIST - cubic meters per day'!G52*6.2898</f>
        <v/>
      </c>
      <c r="H52" s="37">
        <f>'HIST - cubic meters per day'!H52*6.2898</f>
        <v/>
      </c>
      <c r="I52" s="37">
        <f>'HIST - cubic meters per day'!I52*6.2898</f>
        <v/>
      </c>
      <c r="J52" s="37">
        <f>'HIST - cubic meters per day'!J52*6.2898</f>
        <v/>
      </c>
      <c r="K52" s="37">
        <f>'HIST - cubic meters per day'!K52*6.2898</f>
        <v/>
      </c>
      <c r="L52" s="37">
        <f>'HIST - cubic meters per day'!L52*6.2898</f>
        <v/>
      </c>
      <c r="M52" s="37">
        <f>'HIST - cubic meters per day'!M52*6.2898</f>
        <v/>
      </c>
      <c r="N52" s="37">
        <f>'HIST - cubic meters per day'!N52*6.2898</f>
        <v/>
      </c>
      <c r="O52" s="37">
        <f>'HIST - cubic meters per day'!O52*6.2898</f>
        <v/>
      </c>
      <c r="P52" s="37">
        <f>'HIST - cubic meters per day'!P52*6.2898</f>
        <v/>
      </c>
      <c r="Q52" s="37">
        <f>'HIST - cubic meters per day'!Q52*6.2898</f>
        <v/>
      </c>
      <c r="R52" s="37">
        <f>'HIST - cubic meters per day'!R52*6.2898</f>
        <v/>
      </c>
      <c r="S52" s="46">
        <f>'HIST - cubic meters per day'!S52*6.2898</f>
        <v/>
      </c>
    </row>
    <row r="53" ht="12" customHeight="1">
      <c r="A53" s="44" t="n">
        <v>38078</v>
      </c>
      <c r="B53" s="37">
        <f>'HIST - cubic meters per day'!B53*6.2898</f>
        <v/>
      </c>
      <c r="C53" s="37">
        <f>'HIST - cubic meters per day'!C53*6.2898</f>
        <v/>
      </c>
      <c r="D53" s="37">
        <f>'HIST - cubic meters per day'!D53*6.2898</f>
        <v/>
      </c>
      <c r="E53" s="37" t="n"/>
      <c r="F53" s="37">
        <f>'HIST - cubic meters per day'!F53*6.2898</f>
        <v/>
      </c>
      <c r="G53" s="37">
        <f>'HIST - cubic meters per day'!G53*6.2898</f>
        <v/>
      </c>
      <c r="H53" s="37">
        <f>'HIST - cubic meters per day'!H53*6.2898</f>
        <v/>
      </c>
      <c r="I53" s="37">
        <f>'HIST - cubic meters per day'!I53*6.2898</f>
        <v/>
      </c>
      <c r="J53" s="37">
        <f>'HIST - cubic meters per day'!J53*6.2898</f>
        <v/>
      </c>
      <c r="K53" s="37">
        <f>'HIST - cubic meters per day'!K53*6.2898</f>
        <v/>
      </c>
      <c r="L53" s="37">
        <f>'HIST - cubic meters per day'!L53*6.2898</f>
        <v/>
      </c>
      <c r="M53" s="37">
        <f>'HIST - cubic meters per day'!M53*6.2898</f>
        <v/>
      </c>
      <c r="N53" s="37">
        <f>'HIST - cubic meters per day'!N53*6.2898</f>
        <v/>
      </c>
      <c r="O53" s="37">
        <f>'HIST - cubic meters per day'!O53*6.2898</f>
        <v/>
      </c>
      <c r="P53" s="37">
        <f>'HIST - cubic meters per day'!P53*6.2898</f>
        <v/>
      </c>
      <c r="Q53" s="37">
        <f>'HIST - cubic meters per day'!Q53*6.2898</f>
        <v/>
      </c>
      <c r="R53" s="37">
        <f>'HIST - cubic meters per day'!R53*6.2898</f>
        <v/>
      </c>
      <c r="S53" s="46">
        <f>'HIST - cubic meters per day'!S53*6.2898</f>
        <v/>
      </c>
    </row>
    <row r="54" ht="12" customHeight="1">
      <c r="A54" s="44" t="n">
        <v>38108</v>
      </c>
      <c r="B54" s="37">
        <f>'HIST - cubic meters per day'!B54*6.2898</f>
        <v/>
      </c>
      <c r="C54" s="37">
        <f>'HIST - cubic meters per day'!C54*6.2898</f>
        <v/>
      </c>
      <c r="D54" s="37">
        <f>'HIST - cubic meters per day'!D54*6.2898</f>
        <v/>
      </c>
      <c r="E54" s="37" t="n"/>
      <c r="F54" s="37">
        <f>'HIST - cubic meters per day'!F54*6.2898</f>
        <v/>
      </c>
      <c r="G54" s="37">
        <f>'HIST - cubic meters per day'!G54*6.2898</f>
        <v/>
      </c>
      <c r="H54" s="37">
        <f>'HIST - cubic meters per day'!H54*6.2898</f>
        <v/>
      </c>
      <c r="I54" s="37">
        <f>'HIST - cubic meters per day'!I54*6.2898</f>
        <v/>
      </c>
      <c r="J54" s="37">
        <f>'HIST - cubic meters per day'!J54*6.2898</f>
        <v/>
      </c>
      <c r="K54" s="37">
        <f>'HIST - cubic meters per day'!K54*6.2898</f>
        <v/>
      </c>
      <c r="L54" s="37">
        <f>'HIST - cubic meters per day'!L54*6.2898</f>
        <v/>
      </c>
      <c r="M54" s="37">
        <f>'HIST - cubic meters per day'!M54*6.2898</f>
        <v/>
      </c>
      <c r="N54" s="37">
        <f>'HIST - cubic meters per day'!N54*6.2898</f>
        <v/>
      </c>
      <c r="O54" s="37">
        <f>'HIST - cubic meters per day'!O54*6.2898</f>
        <v/>
      </c>
      <c r="P54" s="37">
        <f>'HIST - cubic meters per day'!P54*6.2898</f>
        <v/>
      </c>
      <c r="Q54" s="37">
        <f>'HIST - cubic meters per day'!Q54*6.2898</f>
        <v/>
      </c>
      <c r="R54" s="37">
        <f>'HIST - cubic meters per day'!R54*6.2898</f>
        <v/>
      </c>
      <c r="S54" s="46">
        <f>'HIST - cubic meters per day'!S54*6.2898</f>
        <v/>
      </c>
    </row>
    <row r="55" ht="12" customHeight="1">
      <c r="A55" s="44" t="n">
        <v>38139</v>
      </c>
      <c r="B55" s="37">
        <f>'HIST - cubic meters per day'!B55*6.2898</f>
        <v/>
      </c>
      <c r="C55" s="37">
        <f>'HIST - cubic meters per day'!C55*6.2898</f>
        <v/>
      </c>
      <c r="D55" s="37">
        <f>'HIST - cubic meters per day'!D55*6.2898</f>
        <v/>
      </c>
      <c r="E55" s="37" t="n"/>
      <c r="F55" s="37">
        <f>'HIST - cubic meters per day'!F55*6.2898</f>
        <v/>
      </c>
      <c r="G55" s="37">
        <f>'HIST - cubic meters per day'!G55*6.2898</f>
        <v/>
      </c>
      <c r="H55" s="37">
        <f>'HIST - cubic meters per day'!H55*6.2898</f>
        <v/>
      </c>
      <c r="I55" s="37">
        <f>'HIST - cubic meters per day'!I55*6.2898</f>
        <v/>
      </c>
      <c r="J55" s="37">
        <f>'HIST - cubic meters per day'!J55*6.2898</f>
        <v/>
      </c>
      <c r="K55" s="37">
        <f>'HIST - cubic meters per day'!K55*6.2898</f>
        <v/>
      </c>
      <c r="L55" s="37">
        <f>'HIST - cubic meters per day'!L55*6.2898</f>
        <v/>
      </c>
      <c r="M55" s="37">
        <f>'HIST - cubic meters per day'!M55*6.2898</f>
        <v/>
      </c>
      <c r="N55" s="37">
        <f>'HIST - cubic meters per day'!N55*6.2898</f>
        <v/>
      </c>
      <c r="O55" s="37">
        <f>'HIST - cubic meters per day'!O55*6.2898</f>
        <v/>
      </c>
      <c r="P55" s="37">
        <f>'HIST - cubic meters per day'!P55*6.2898</f>
        <v/>
      </c>
      <c r="Q55" s="37">
        <f>'HIST - cubic meters per day'!Q55*6.2898</f>
        <v/>
      </c>
      <c r="R55" s="37">
        <f>'HIST - cubic meters per day'!R55*6.2898</f>
        <v/>
      </c>
      <c r="S55" s="46">
        <f>'HIST - cubic meters per day'!S55*6.2898</f>
        <v/>
      </c>
    </row>
    <row r="56" ht="12" customHeight="1">
      <c r="A56" s="44" t="n">
        <v>38169</v>
      </c>
      <c r="B56" s="37">
        <f>'HIST - cubic meters per day'!B56*6.2898</f>
        <v/>
      </c>
      <c r="C56" s="37">
        <f>'HIST - cubic meters per day'!C56*6.2898</f>
        <v/>
      </c>
      <c r="D56" s="37">
        <f>'HIST - cubic meters per day'!D56*6.2898</f>
        <v/>
      </c>
      <c r="E56" s="37" t="n"/>
      <c r="F56" s="37">
        <f>'HIST - cubic meters per day'!F56*6.2898</f>
        <v/>
      </c>
      <c r="G56" s="37">
        <f>'HIST - cubic meters per day'!G56*6.2898</f>
        <v/>
      </c>
      <c r="H56" s="37">
        <f>'HIST - cubic meters per day'!H56*6.2898</f>
        <v/>
      </c>
      <c r="I56" s="37">
        <f>'HIST - cubic meters per day'!I56*6.2898</f>
        <v/>
      </c>
      <c r="J56" s="37">
        <f>'HIST - cubic meters per day'!J56*6.2898</f>
        <v/>
      </c>
      <c r="K56" s="37">
        <f>'HIST - cubic meters per day'!K56*6.2898</f>
        <v/>
      </c>
      <c r="L56" s="37">
        <f>'HIST - cubic meters per day'!L56*6.2898</f>
        <v/>
      </c>
      <c r="M56" s="37">
        <f>'HIST - cubic meters per day'!M56*6.2898</f>
        <v/>
      </c>
      <c r="N56" s="37">
        <f>'HIST - cubic meters per day'!N56*6.2898</f>
        <v/>
      </c>
      <c r="O56" s="37">
        <f>'HIST - cubic meters per day'!O56*6.2898</f>
        <v/>
      </c>
      <c r="P56" s="37">
        <f>'HIST - cubic meters per day'!P56*6.2898</f>
        <v/>
      </c>
      <c r="Q56" s="37">
        <f>'HIST - cubic meters per day'!Q56*6.2898</f>
        <v/>
      </c>
      <c r="R56" s="37">
        <f>'HIST - cubic meters per day'!R56*6.2898</f>
        <v/>
      </c>
      <c r="S56" s="46">
        <f>'HIST - cubic meters per day'!S56*6.2898</f>
        <v/>
      </c>
    </row>
    <row r="57" ht="12" customHeight="1">
      <c r="A57" s="44" t="n">
        <v>38200</v>
      </c>
      <c r="B57" s="37">
        <f>'HIST - cubic meters per day'!B57*6.2898</f>
        <v/>
      </c>
      <c r="C57" s="37">
        <f>'HIST - cubic meters per day'!C57*6.2898</f>
        <v/>
      </c>
      <c r="D57" s="37">
        <f>'HIST - cubic meters per day'!D57*6.2898</f>
        <v/>
      </c>
      <c r="E57" s="37" t="n"/>
      <c r="F57" s="37">
        <f>'HIST - cubic meters per day'!F57*6.2898</f>
        <v/>
      </c>
      <c r="G57" s="37">
        <f>'HIST - cubic meters per day'!G57*6.2898</f>
        <v/>
      </c>
      <c r="H57" s="37">
        <f>'HIST - cubic meters per day'!H57*6.2898</f>
        <v/>
      </c>
      <c r="I57" s="37">
        <f>'HIST - cubic meters per day'!I57*6.2898</f>
        <v/>
      </c>
      <c r="J57" s="37">
        <f>'HIST - cubic meters per day'!J57*6.2898</f>
        <v/>
      </c>
      <c r="K57" s="37">
        <f>'HIST - cubic meters per day'!K57*6.2898</f>
        <v/>
      </c>
      <c r="L57" s="37">
        <f>'HIST - cubic meters per day'!L57*6.2898</f>
        <v/>
      </c>
      <c r="M57" s="37">
        <f>'HIST - cubic meters per day'!M57*6.2898</f>
        <v/>
      </c>
      <c r="N57" s="37">
        <f>'HIST - cubic meters per day'!N57*6.2898</f>
        <v/>
      </c>
      <c r="O57" s="37">
        <f>'HIST - cubic meters per day'!O57*6.2898</f>
        <v/>
      </c>
      <c r="P57" s="37">
        <f>'HIST - cubic meters per day'!P57*6.2898</f>
        <v/>
      </c>
      <c r="Q57" s="37">
        <f>'HIST - cubic meters per day'!Q57*6.2898</f>
        <v/>
      </c>
      <c r="R57" s="37">
        <f>'HIST - cubic meters per day'!R57*6.2898</f>
        <v/>
      </c>
      <c r="S57" s="46">
        <f>'HIST - cubic meters per day'!S57*6.2898</f>
        <v/>
      </c>
    </row>
    <row r="58" ht="12" customHeight="1">
      <c r="A58" s="44" t="n">
        <v>38231</v>
      </c>
      <c r="B58" s="37">
        <f>'HIST - cubic meters per day'!B58*6.2898</f>
        <v/>
      </c>
      <c r="C58" s="37">
        <f>'HIST - cubic meters per day'!C58*6.2898</f>
        <v/>
      </c>
      <c r="D58" s="37">
        <f>'HIST - cubic meters per day'!D58*6.2898</f>
        <v/>
      </c>
      <c r="E58" s="37" t="n"/>
      <c r="F58" s="37">
        <f>'HIST - cubic meters per day'!F58*6.2898</f>
        <v/>
      </c>
      <c r="G58" s="37">
        <f>'HIST - cubic meters per day'!G58*6.2898</f>
        <v/>
      </c>
      <c r="H58" s="37">
        <f>'HIST - cubic meters per day'!H58*6.2898</f>
        <v/>
      </c>
      <c r="I58" s="37">
        <f>'HIST - cubic meters per day'!I58*6.2898</f>
        <v/>
      </c>
      <c r="J58" s="37">
        <f>'HIST - cubic meters per day'!J58*6.2898</f>
        <v/>
      </c>
      <c r="K58" s="37">
        <f>'HIST - cubic meters per day'!K58*6.2898</f>
        <v/>
      </c>
      <c r="L58" s="37">
        <f>'HIST - cubic meters per day'!L58*6.2898</f>
        <v/>
      </c>
      <c r="M58" s="37">
        <f>'HIST - cubic meters per day'!M58*6.2898</f>
        <v/>
      </c>
      <c r="N58" s="37">
        <f>'HIST - cubic meters per day'!N58*6.2898</f>
        <v/>
      </c>
      <c r="O58" s="37">
        <f>'HIST - cubic meters per day'!O58*6.2898</f>
        <v/>
      </c>
      <c r="P58" s="37">
        <f>'HIST - cubic meters per day'!P58*6.2898</f>
        <v/>
      </c>
      <c r="Q58" s="37">
        <f>'HIST - cubic meters per day'!Q58*6.2898</f>
        <v/>
      </c>
      <c r="R58" s="37">
        <f>'HIST - cubic meters per day'!R58*6.2898</f>
        <v/>
      </c>
      <c r="S58" s="46">
        <f>'HIST - cubic meters per day'!S58*6.2898</f>
        <v/>
      </c>
    </row>
    <row r="59" ht="12" customHeight="1">
      <c r="A59" s="44" t="n">
        <v>38261</v>
      </c>
      <c r="B59" s="37">
        <f>'HIST - cubic meters per day'!B59*6.2898</f>
        <v/>
      </c>
      <c r="C59" s="37">
        <f>'HIST - cubic meters per day'!C59*6.2898</f>
        <v/>
      </c>
      <c r="D59" s="37">
        <f>'HIST - cubic meters per day'!D59*6.2898</f>
        <v/>
      </c>
      <c r="E59" s="37" t="n"/>
      <c r="F59" s="37">
        <f>'HIST - cubic meters per day'!F59*6.2898</f>
        <v/>
      </c>
      <c r="G59" s="37">
        <f>'HIST - cubic meters per day'!G59*6.2898</f>
        <v/>
      </c>
      <c r="H59" s="37">
        <f>'HIST - cubic meters per day'!H59*6.2898</f>
        <v/>
      </c>
      <c r="I59" s="37">
        <f>'HIST - cubic meters per day'!I59*6.2898</f>
        <v/>
      </c>
      <c r="J59" s="37">
        <f>'HIST - cubic meters per day'!J59*6.2898</f>
        <v/>
      </c>
      <c r="K59" s="37">
        <f>'HIST - cubic meters per day'!K59*6.2898</f>
        <v/>
      </c>
      <c r="L59" s="37">
        <f>'HIST - cubic meters per day'!L59*6.2898</f>
        <v/>
      </c>
      <c r="M59" s="37">
        <f>'HIST - cubic meters per day'!M59*6.2898</f>
        <v/>
      </c>
      <c r="N59" s="37">
        <f>'HIST - cubic meters per day'!N59*6.2898</f>
        <v/>
      </c>
      <c r="O59" s="37">
        <f>'HIST - cubic meters per day'!O59*6.2898</f>
        <v/>
      </c>
      <c r="P59" s="37">
        <f>'HIST - cubic meters per day'!P59*6.2898</f>
        <v/>
      </c>
      <c r="Q59" s="37">
        <f>'HIST - cubic meters per day'!Q59*6.2898</f>
        <v/>
      </c>
      <c r="R59" s="37">
        <f>'HIST - cubic meters per day'!R59*6.2898</f>
        <v/>
      </c>
      <c r="S59" s="46">
        <f>'HIST - cubic meters per day'!S59*6.2898</f>
        <v/>
      </c>
    </row>
    <row r="60" ht="12" customHeight="1">
      <c r="A60" s="44" t="n">
        <v>38292</v>
      </c>
      <c r="B60" s="37">
        <f>'HIST - cubic meters per day'!B60*6.2898</f>
        <v/>
      </c>
      <c r="C60" s="37">
        <f>'HIST - cubic meters per day'!C60*6.2898</f>
        <v/>
      </c>
      <c r="D60" s="37">
        <f>'HIST - cubic meters per day'!D60*6.2898</f>
        <v/>
      </c>
      <c r="E60" s="37" t="n"/>
      <c r="F60" s="37">
        <f>'HIST - cubic meters per day'!F60*6.2898</f>
        <v/>
      </c>
      <c r="G60" s="37">
        <f>'HIST - cubic meters per day'!G60*6.2898</f>
        <v/>
      </c>
      <c r="H60" s="37">
        <f>'HIST - cubic meters per day'!H60*6.2898</f>
        <v/>
      </c>
      <c r="I60" s="37">
        <f>'HIST - cubic meters per day'!I60*6.2898</f>
        <v/>
      </c>
      <c r="J60" s="37">
        <f>'HIST - cubic meters per day'!J60*6.2898</f>
        <v/>
      </c>
      <c r="K60" s="37">
        <f>'HIST - cubic meters per day'!K60*6.2898</f>
        <v/>
      </c>
      <c r="L60" s="37">
        <f>'HIST - cubic meters per day'!L60*6.2898</f>
        <v/>
      </c>
      <c r="M60" s="37">
        <f>'HIST - cubic meters per day'!M60*6.2898</f>
        <v/>
      </c>
      <c r="N60" s="37">
        <f>'HIST - cubic meters per day'!N60*6.2898</f>
        <v/>
      </c>
      <c r="O60" s="37">
        <f>'HIST - cubic meters per day'!O60*6.2898</f>
        <v/>
      </c>
      <c r="P60" s="37">
        <f>'HIST - cubic meters per day'!P60*6.2898</f>
        <v/>
      </c>
      <c r="Q60" s="37">
        <f>'HIST - cubic meters per day'!Q60*6.2898</f>
        <v/>
      </c>
      <c r="R60" s="37">
        <f>'HIST - cubic meters per day'!R60*6.2898</f>
        <v/>
      </c>
      <c r="S60" s="46">
        <f>'HIST - cubic meters per day'!S60*6.2898</f>
        <v/>
      </c>
    </row>
    <row r="61" ht="12" customHeight="1">
      <c r="A61" s="44" t="n">
        <v>38322</v>
      </c>
      <c r="B61" s="37">
        <f>'HIST - cubic meters per day'!B61*6.2898</f>
        <v/>
      </c>
      <c r="C61" s="37">
        <f>'HIST - cubic meters per day'!C61*6.2898</f>
        <v/>
      </c>
      <c r="D61" s="37">
        <f>'HIST - cubic meters per day'!D61*6.2898</f>
        <v/>
      </c>
      <c r="E61" s="37" t="n"/>
      <c r="F61" s="37">
        <f>'HIST - cubic meters per day'!F61*6.2898</f>
        <v/>
      </c>
      <c r="G61" s="37">
        <f>'HIST - cubic meters per day'!G61*6.2898</f>
        <v/>
      </c>
      <c r="H61" s="37">
        <f>'HIST - cubic meters per day'!H61*6.2898</f>
        <v/>
      </c>
      <c r="I61" s="37">
        <f>'HIST - cubic meters per day'!I61*6.2898</f>
        <v/>
      </c>
      <c r="J61" s="37">
        <f>'HIST - cubic meters per day'!J61*6.2898</f>
        <v/>
      </c>
      <c r="K61" s="37">
        <f>'HIST - cubic meters per day'!K61*6.2898</f>
        <v/>
      </c>
      <c r="L61" s="37">
        <f>'HIST - cubic meters per day'!L61*6.2898</f>
        <v/>
      </c>
      <c r="M61" s="37">
        <f>'HIST - cubic meters per day'!M61*6.2898</f>
        <v/>
      </c>
      <c r="N61" s="37">
        <f>'HIST - cubic meters per day'!N61*6.2898</f>
        <v/>
      </c>
      <c r="O61" s="37">
        <f>'HIST - cubic meters per day'!O61*6.2898</f>
        <v/>
      </c>
      <c r="P61" s="37">
        <f>'HIST - cubic meters per day'!P61*6.2898</f>
        <v/>
      </c>
      <c r="Q61" s="37">
        <f>'HIST - cubic meters per day'!Q61*6.2898</f>
        <v/>
      </c>
      <c r="R61" s="37">
        <f>'HIST - cubic meters per day'!R61*6.2898</f>
        <v/>
      </c>
      <c r="S61" s="46">
        <f>'HIST - cubic meters per day'!S61*6.2898</f>
        <v/>
      </c>
    </row>
    <row r="62" ht="12" customHeight="1">
      <c r="A62" s="44" t="n">
        <v>38353</v>
      </c>
      <c r="B62" s="37">
        <f>'HIST - cubic meters per day'!B62*6.2898</f>
        <v/>
      </c>
      <c r="C62" s="37">
        <f>'HIST - cubic meters per day'!C62*6.2898</f>
        <v/>
      </c>
      <c r="D62" s="37">
        <f>'HIST - cubic meters per day'!D62*6.2898</f>
        <v/>
      </c>
      <c r="E62" s="37" t="n"/>
      <c r="F62" s="37">
        <f>'HIST - cubic meters per day'!F62*6.2898</f>
        <v/>
      </c>
      <c r="G62" s="37">
        <f>'HIST - cubic meters per day'!G62*6.2898</f>
        <v/>
      </c>
      <c r="H62" s="37">
        <f>'HIST - cubic meters per day'!H62*6.2898</f>
        <v/>
      </c>
      <c r="I62" s="37">
        <f>'HIST - cubic meters per day'!I62*6.2898</f>
        <v/>
      </c>
      <c r="J62" s="37">
        <f>'HIST - cubic meters per day'!J62*6.2898</f>
        <v/>
      </c>
      <c r="K62" s="37">
        <f>'HIST - cubic meters per day'!K62*6.2898</f>
        <v/>
      </c>
      <c r="L62" s="37">
        <f>'HIST - cubic meters per day'!L62*6.2898</f>
        <v/>
      </c>
      <c r="M62" s="37">
        <f>'HIST - cubic meters per day'!M62*6.2898</f>
        <v/>
      </c>
      <c r="N62" s="37">
        <f>'HIST - cubic meters per day'!N62*6.2898</f>
        <v/>
      </c>
      <c r="O62" s="37">
        <f>'HIST - cubic meters per day'!O62*6.2898</f>
        <v/>
      </c>
      <c r="P62" s="37">
        <f>'HIST - cubic meters per day'!P62*6.2898</f>
        <v/>
      </c>
      <c r="Q62" s="37">
        <f>'HIST - cubic meters per day'!Q62*6.2898</f>
        <v/>
      </c>
      <c r="R62" s="37">
        <f>'HIST - cubic meters per day'!R62*6.2898</f>
        <v/>
      </c>
      <c r="S62" s="46">
        <f>'HIST - cubic meters per day'!S62*6.2898</f>
        <v/>
      </c>
    </row>
    <row r="63" ht="12" customHeight="1">
      <c r="A63" s="44" t="n">
        <v>38384</v>
      </c>
      <c r="B63" s="37">
        <f>'HIST - cubic meters per day'!B63*6.2898</f>
        <v/>
      </c>
      <c r="C63" s="37">
        <f>'HIST - cubic meters per day'!C63*6.2898</f>
        <v/>
      </c>
      <c r="D63" s="37">
        <f>'HIST - cubic meters per day'!D63*6.2898</f>
        <v/>
      </c>
      <c r="E63" s="37" t="n"/>
      <c r="F63" s="37">
        <f>'HIST - cubic meters per day'!F63*6.2898</f>
        <v/>
      </c>
      <c r="G63" s="37">
        <f>'HIST - cubic meters per day'!G63*6.2898</f>
        <v/>
      </c>
      <c r="H63" s="37">
        <f>'HIST - cubic meters per day'!H63*6.2898</f>
        <v/>
      </c>
      <c r="I63" s="37">
        <f>'HIST - cubic meters per day'!I63*6.2898</f>
        <v/>
      </c>
      <c r="J63" s="37">
        <f>'HIST - cubic meters per day'!J63*6.2898</f>
        <v/>
      </c>
      <c r="K63" s="37">
        <f>'HIST - cubic meters per day'!K63*6.2898</f>
        <v/>
      </c>
      <c r="L63" s="37">
        <f>'HIST - cubic meters per day'!L63*6.2898</f>
        <v/>
      </c>
      <c r="M63" s="37">
        <f>'HIST - cubic meters per day'!M63*6.2898</f>
        <v/>
      </c>
      <c r="N63" s="37">
        <f>'HIST - cubic meters per day'!N63*6.2898</f>
        <v/>
      </c>
      <c r="O63" s="37">
        <f>'HIST - cubic meters per day'!O63*6.2898</f>
        <v/>
      </c>
      <c r="P63" s="37">
        <f>'HIST - cubic meters per day'!P63*6.2898</f>
        <v/>
      </c>
      <c r="Q63" s="37">
        <f>'HIST - cubic meters per day'!Q63*6.2898</f>
        <v/>
      </c>
      <c r="R63" s="37">
        <f>'HIST - cubic meters per day'!R63*6.2898</f>
        <v/>
      </c>
      <c r="S63" s="46">
        <f>'HIST - cubic meters per day'!S63*6.2898</f>
        <v/>
      </c>
    </row>
    <row r="64" ht="12" customHeight="1">
      <c r="A64" s="44" t="n">
        <v>38412</v>
      </c>
      <c r="B64" s="37">
        <f>'HIST - cubic meters per day'!B64*6.2898</f>
        <v/>
      </c>
      <c r="C64" s="37">
        <f>'HIST - cubic meters per day'!C64*6.2898</f>
        <v/>
      </c>
      <c r="D64" s="37">
        <f>'HIST - cubic meters per day'!D64*6.2898</f>
        <v/>
      </c>
      <c r="E64" s="37" t="n"/>
      <c r="F64" s="37">
        <f>'HIST - cubic meters per day'!F64*6.2898</f>
        <v/>
      </c>
      <c r="G64" s="37">
        <f>'HIST - cubic meters per day'!G64*6.2898</f>
        <v/>
      </c>
      <c r="H64" s="37">
        <f>'HIST - cubic meters per day'!H64*6.2898</f>
        <v/>
      </c>
      <c r="I64" s="37">
        <f>'HIST - cubic meters per day'!I64*6.2898</f>
        <v/>
      </c>
      <c r="J64" s="37">
        <f>'HIST - cubic meters per day'!J64*6.2898</f>
        <v/>
      </c>
      <c r="K64" s="37">
        <f>'HIST - cubic meters per day'!K64*6.2898</f>
        <v/>
      </c>
      <c r="L64" s="37">
        <f>'HIST - cubic meters per day'!L64*6.2898</f>
        <v/>
      </c>
      <c r="M64" s="37">
        <f>'HIST - cubic meters per day'!M64*6.2898</f>
        <v/>
      </c>
      <c r="N64" s="37">
        <f>'HIST - cubic meters per day'!N64*6.2898</f>
        <v/>
      </c>
      <c r="O64" s="37">
        <f>'HIST - cubic meters per day'!O64*6.2898</f>
        <v/>
      </c>
      <c r="P64" s="37">
        <f>'HIST - cubic meters per day'!P64*6.2898</f>
        <v/>
      </c>
      <c r="Q64" s="37">
        <f>'HIST - cubic meters per day'!Q64*6.2898</f>
        <v/>
      </c>
      <c r="R64" s="37">
        <f>'HIST - cubic meters per day'!R64*6.2898</f>
        <v/>
      </c>
      <c r="S64" s="46">
        <f>'HIST - cubic meters per day'!S64*6.2898</f>
        <v/>
      </c>
    </row>
    <row r="65" ht="12" customHeight="1">
      <c r="A65" s="44" t="n">
        <v>38443</v>
      </c>
      <c r="B65" s="37">
        <f>'HIST - cubic meters per day'!B65*6.2898</f>
        <v/>
      </c>
      <c r="C65" s="37">
        <f>'HIST - cubic meters per day'!C65*6.2898</f>
        <v/>
      </c>
      <c r="D65" s="37">
        <f>'HIST - cubic meters per day'!D65*6.2898</f>
        <v/>
      </c>
      <c r="E65" s="37" t="n"/>
      <c r="F65" s="37">
        <f>'HIST - cubic meters per day'!F65*6.2898</f>
        <v/>
      </c>
      <c r="G65" s="37">
        <f>'HIST - cubic meters per day'!G65*6.2898</f>
        <v/>
      </c>
      <c r="H65" s="37">
        <f>'HIST - cubic meters per day'!H65*6.2898</f>
        <v/>
      </c>
      <c r="I65" s="37">
        <f>'HIST - cubic meters per day'!I65*6.2898</f>
        <v/>
      </c>
      <c r="J65" s="37">
        <f>'HIST - cubic meters per day'!J65*6.2898</f>
        <v/>
      </c>
      <c r="K65" s="37">
        <f>'HIST - cubic meters per day'!K65*6.2898</f>
        <v/>
      </c>
      <c r="L65" s="37">
        <f>'HIST - cubic meters per day'!L65*6.2898</f>
        <v/>
      </c>
      <c r="M65" s="37">
        <f>'HIST - cubic meters per day'!M65*6.2898</f>
        <v/>
      </c>
      <c r="N65" s="37">
        <f>'HIST - cubic meters per day'!N65*6.2898</f>
        <v/>
      </c>
      <c r="O65" s="37">
        <f>'HIST - cubic meters per day'!O65*6.2898</f>
        <v/>
      </c>
      <c r="P65" s="37">
        <f>'HIST - cubic meters per day'!P65*6.2898</f>
        <v/>
      </c>
      <c r="Q65" s="37">
        <f>'HIST - cubic meters per day'!Q65*6.2898</f>
        <v/>
      </c>
      <c r="R65" s="37">
        <f>'HIST - cubic meters per day'!R65*6.2898</f>
        <v/>
      </c>
      <c r="S65" s="46">
        <f>'HIST - cubic meters per day'!S65*6.2898</f>
        <v/>
      </c>
    </row>
    <row r="66" ht="12" customHeight="1">
      <c r="A66" s="44" t="n">
        <v>38473</v>
      </c>
      <c r="B66" s="37">
        <f>'HIST - cubic meters per day'!B66*6.2898</f>
        <v/>
      </c>
      <c r="C66" s="37">
        <f>'HIST - cubic meters per day'!C66*6.2898</f>
        <v/>
      </c>
      <c r="D66" s="37">
        <f>'HIST - cubic meters per day'!D66*6.2898</f>
        <v/>
      </c>
      <c r="E66" s="37" t="n"/>
      <c r="F66" s="37">
        <f>'HIST - cubic meters per day'!F66*6.2898</f>
        <v/>
      </c>
      <c r="G66" s="37">
        <f>'HIST - cubic meters per day'!G66*6.2898</f>
        <v/>
      </c>
      <c r="H66" s="37">
        <f>'HIST - cubic meters per day'!H66*6.2898</f>
        <v/>
      </c>
      <c r="I66" s="37">
        <f>'HIST - cubic meters per day'!I66*6.2898</f>
        <v/>
      </c>
      <c r="J66" s="37">
        <f>'HIST - cubic meters per day'!J66*6.2898</f>
        <v/>
      </c>
      <c r="K66" s="37">
        <f>'HIST - cubic meters per day'!K66*6.2898</f>
        <v/>
      </c>
      <c r="L66" s="37">
        <f>'HIST - cubic meters per day'!L66*6.2898</f>
        <v/>
      </c>
      <c r="M66" s="37">
        <f>'HIST - cubic meters per day'!M66*6.2898</f>
        <v/>
      </c>
      <c r="N66" s="37">
        <f>'HIST - cubic meters per day'!N66*6.2898</f>
        <v/>
      </c>
      <c r="O66" s="37">
        <f>'HIST - cubic meters per day'!O66*6.2898</f>
        <v/>
      </c>
      <c r="P66" s="37">
        <f>'HIST - cubic meters per day'!P66*6.2898</f>
        <v/>
      </c>
      <c r="Q66" s="37">
        <f>'HIST - cubic meters per day'!Q66*6.2898</f>
        <v/>
      </c>
      <c r="R66" s="37">
        <f>'HIST - cubic meters per day'!R66*6.2898</f>
        <v/>
      </c>
      <c r="S66" s="46">
        <f>'HIST - cubic meters per day'!S66*6.2898</f>
        <v/>
      </c>
    </row>
    <row r="67" ht="12" customHeight="1">
      <c r="A67" s="44" t="n">
        <v>38504</v>
      </c>
      <c r="B67" s="37">
        <f>'HIST - cubic meters per day'!B67*6.2898</f>
        <v/>
      </c>
      <c r="C67" s="37">
        <f>'HIST - cubic meters per day'!C67*6.2898</f>
        <v/>
      </c>
      <c r="D67" s="37">
        <f>'HIST - cubic meters per day'!D67*6.2898</f>
        <v/>
      </c>
      <c r="E67" s="37" t="n"/>
      <c r="F67" s="37">
        <f>'HIST - cubic meters per day'!F67*6.2898</f>
        <v/>
      </c>
      <c r="G67" s="37">
        <f>'HIST - cubic meters per day'!G67*6.2898</f>
        <v/>
      </c>
      <c r="H67" s="37">
        <f>'HIST - cubic meters per day'!H67*6.2898</f>
        <v/>
      </c>
      <c r="I67" s="37">
        <f>'HIST - cubic meters per day'!I67*6.2898</f>
        <v/>
      </c>
      <c r="J67" s="37">
        <f>'HIST - cubic meters per day'!J67*6.2898</f>
        <v/>
      </c>
      <c r="K67" s="37">
        <f>'HIST - cubic meters per day'!K67*6.2898</f>
        <v/>
      </c>
      <c r="L67" s="37">
        <f>'HIST - cubic meters per day'!L67*6.2898</f>
        <v/>
      </c>
      <c r="M67" s="37">
        <f>'HIST - cubic meters per day'!M67*6.2898</f>
        <v/>
      </c>
      <c r="N67" s="37">
        <f>'HIST - cubic meters per day'!N67*6.2898</f>
        <v/>
      </c>
      <c r="O67" s="37">
        <f>'HIST - cubic meters per day'!O67*6.2898</f>
        <v/>
      </c>
      <c r="P67" s="37">
        <f>'HIST - cubic meters per day'!P67*6.2898</f>
        <v/>
      </c>
      <c r="Q67" s="37">
        <f>'HIST - cubic meters per day'!Q67*6.2898</f>
        <v/>
      </c>
      <c r="R67" s="37">
        <f>'HIST - cubic meters per day'!R67*6.2898</f>
        <v/>
      </c>
      <c r="S67" s="46">
        <f>'HIST - cubic meters per day'!S67*6.2898</f>
        <v/>
      </c>
    </row>
    <row r="68" ht="12" customHeight="1">
      <c r="A68" s="44" t="n">
        <v>38534</v>
      </c>
      <c r="B68" s="37">
        <f>'HIST - cubic meters per day'!B68*6.2898</f>
        <v/>
      </c>
      <c r="C68" s="37">
        <f>'HIST - cubic meters per day'!C68*6.2898</f>
        <v/>
      </c>
      <c r="D68" s="37">
        <f>'HIST - cubic meters per day'!D68*6.2898</f>
        <v/>
      </c>
      <c r="E68" s="37" t="n"/>
      <c r="F68" s="37">
        <f>'HIST - cubic meters per day'!F68*6.2898</f>
        <v/>
      </c>
      <c r="G68" s="37">
        <f>'HIST - cubic meters per day'!G68*6.2898</f>
        <v/>
      </c>
      <c r="H68" s="37">
        <f>'HIST - cubic meters per day'!H68*6.2898</f>
        <v/>
      </c>
      <c r="I68" s="37">
        <f>'HIST - cubic meters per day'!I68*6.2898</f>
        <v/>
      </c>
      <c r="J68" s="37">
        <f>'HIST - cubic meters per day'!J68*6.2898</f>
        <v/>
      </c>
      <c r="K68" s="37">
        <f>'HIST - cubic meters per day'!K68*6.2898</f>
        <v/>
      </c>
      <c r="L68" s="37">
        <f>'HIST - cubic meters per day'!L68*6.2898</f>
        <v/>
      </c>
      <c r="M68" s="37">
        <f>'HIST - cubic meters per day'!M68*6.2898</f>
        <v/>
      </c>
      <c r="N68" s="37">
        <f>'HIST - cubic meters per day'!N68*6.2898</f>
        <v/>
      </c>
      <c r="O68" s="37">
        <f>'HIST - cubic meters per day'!O68*6.2898</f>
        <v/>
      </c>
      <c r="P68" s="37">
        <f>'HIST - cubic meters per day'!P68*6.2898</f>
        <v/>
      </c>
      <c r="Q68" s="37">
        <f>'HIST - cubic meters per day'!Q68*6.2898</f>
        <v/>
      </c>
      <c r="R68" s="37">
        <f>'HIST - cubic meters per day'!R68*6.2898</f>
        <v/>
      </c>
      <c r="S68" s="46">
        <f>'HIST - cubic meters per day'!S68*6.2898</f>
        <v/>
      </c>
    </row>
    <row r="69" ht="12" customHeight="1">
      <c r="A69" s="44" t="n">
        <v>38565</v>
      </c>
      <c r="B69" s="37">
        <f>'HIST - cubic meters per day'!B69*6.2898</f>
        <v/>
      </c>
      <c r="C69" s="37">
        <f>'HIST - cubic meters per day'!C69*6.2898</f>
        <v/>
      </c>
      <c r="D69" s="37">
        <f>'HIST - cubic meters per day'!D69*6.2898</f>
        <v/>
      </c>
      <c r="E69" s="37" t="n"/>
      <c r="F69" s="37">
        <f>'HIST - cubic meters per day'!F69*6.2898</f>
        <v/>
      </c>
      <c r="G69" s="37">
        <f>'HIST - cubic meters per day'!G69*6.2898</f>
        <v/>
      </c>
      <c r="H69" s="37">
        <f>'HIST - cubic meters per day'!H69*6.2898</f>
        <v/>
      </c>
      <c r="I69" s="37">
        <f>'HIST - cubic meters per day'!I69*6.2898</f>
        <v/>
      </c>
      <c r="J69" s="37">
        <f>'HIST - cubic meters per day'!J69*6.2898</f>
        <v/>
      </c>
      <c r="K69" s="37">
        <f>'HIST - cubic meters per day'!K69*6.2898</f>
        <v/>
      </c>
      <c r="L69" s="37">
        <f>'HIST - cubic meters per day'!L69*6.2898</f>
        <v/>
      </c>
      <c r="M69" s="37">
        <f>'HIST - cubic meters per day'!M69*6.2898</f>
        <v/>
      </c>
      <c r="N69" s="37">
        <f>'HIST - cubic meters per day'!N69*6.2898</f>
        <v/>
      </c>
      <c r="O69" s="37">
        <f>'HIST - cubic meters per day'!O69*6.2898</f>
        <v/>
      </c>
      <c r="P69" s="37">
        <f>'HIST - cubic meters per day'!P69*6.2898</f>
        <v/>
      </c>
      <c r="Q69" s="37">
        <f>'HIST - cubic meters per day'!Q69*6.2898</f>
        <v/>
      </c>
      <c r="R69" s="37">
        <f>'HIST - cubic meters per day'!R69*6.2898</f>
        <v/>
      </c>
      <c r="S69" s="46">
        <f>'HIST - cubic meters per day'!S69*6.2898</f>
        <v/>
      </c>
    </row>
    <row r="70" ht="12" customHeight="1">
      <c r="A70" s="44" t="n">
        <v>38596</v>
      </c>
      <c r="B70" s="37">
        <f>'HIST - cubic meters per day'!B70*6.2898</f>
        <v/>
      </c>
      <c r="C70" s="37">
        <f>'HIST - cubic meters per day'!C70*6.2898</f>
        <v/>
      </c>
      <c r="D70" s="37">
        <f>'HIST - cubic meters per day'!D70*6.2898</f>
        <v/>
      </c>
      <c r="E70" s="37" t="n"/>
      <c r="F70" s="37">
        <f>'HIST - cubic meters per day'!F70*6.2898</f>
        <v/>
      </c>
      <c r="G70" s="37">
        <f>'HIST - cubic meters per day'!G70*6.2898</f>
        <v/>
      </c>
      <c r="H70" s="37">
        <f>'HIST - cubic meters per day'!H70*6.2898</f>
        <v/>
      </c>
      <c r="I70" s="37">
        <f>'HIST - cubic meters per day'!I70*6.2898</f>
        <v/>
      </c>
      <c r="J70" s="37">
        <f>'HIST - cubic meters per day'!J70*6.2898</f>
        <v/>
      </c>
      <c r="K70" s="37">
        <f>'HIST - cubic meters per day'!K70*6.2898</f>
        <v/>
      </c>
      <c r="L70" s="37">
        <f>'HIST - cubic meters per day'!L70*6.2898</f>
        <v/>
      </c>
      <c r="M70" s="37">
        <f>'HIST - cubic meters per day'!M70*6.2898</f>
        <v/>
      </c>
      <c r="N70" s="37">
        <f>'HIST - cubic meters per day'!N70*6.2898</f>
        <v/>
      </c>
      <c r="O70" s="37">
        <f>'HIST - cubic meters per day'!O70*6.2898</f>
        <v/>
      </c>
      <c r="P70" s="37">
        <f>'HIST - cubic meters per day'!P70*6.2898</f>
        <v/>
      </c>
      <c r="Q70" s="37">
        <f>'HIST - cubic meters per day'!Q70*6.2898</f>
        <v/>
      </c>
      <c r="R70" s="37">
        <f>'HIST - cubic meters per day'!R70*6.2898</f>
        <v/>
      </c>
      <c r="S70" s="46">
        <f>'HIST - cubic meters per day'!S70*6.2898</f>
        <v/>
      </c>
    </row>
    <row r="71" ht="12" customHeight="1">
      <c r="A71" s="44" t="n">
        <v>38626</v>
      </c>
      <c r="B71" s="37">
        <f>'HIST - cubic meters per day'!B71*6.2898</f>
        <v/>
      </c>
      <c r="C71" s="37">
        <f>'HIST - cubic meters per day'!C71*6.2898</f>
        <v/>
      </c>
      <c r="D71" s="37">
        <f>'HIST - cubic meters per day'!D71*6.2898</f>
        <v/>
      </c>
      <c r="E71" s="37" t="n"/>
      <c r="F71" s="37">
        <f>'HIST - cubic meters per day'!F71*6.2898</f>
        <v/>
      </c>
      <c r="G71" s="37">
        <f>'HIST - cubic meters per day'!G71*6.2898</f>
        <v/>
      </c>
      <c r="H71" s="37">
        <f>'HIST - cubic meters per day'!H71*6.2898</f>
        <v/>
      </c>
      <c r="I71" s="37">
        <f>'HIST - cubic meters per day'!I71*6.2898</f>
        <v/>
      </c>
      <c r="J71" s="37">
        <f>'HIST - cubic meters per day'!J71*6.2898</f>
        <v/>
      </c>
      <c r="K71" s="37">
        <f>'HIST - cubic meters per day'!K71*6.2898</f>
        <v/>
      </c>
      <c r="L71" s="37">
        <f>'HIST - cubic meters per day'!L71*6.2898</f>
        <v/>
      </c>
      <c r="M71" s="37">
        <f>'HIST - cubic meters per day'!M71*6.2898</f>
        <v/>
      </c>
      <c r="N71" s="37">
        <f>'HIST - cubic meters per day'!N71*6.2898</f>
        <v/>
      </c>
      <c r="O71" s="37">
        <f>'HIST - cubic meters per day'!O71*6.2898</f>
        <v/>
      </c>
      <c r="P71" s="37">
        <f>'HIST - cubic meters per day'!P71*6.2898</f>
        <v/>
      </c>
      <c r="Q71" s="37">
        <f>'HIST - cubic meters per day'!Q71*6.2898</f>
        <v/>
      </c>
      <c r="R71" s="37">
        <f>'HIST - cubic meters per day'!R71*6.2898</f>
        <v/>
      </c>
      <c r="S71" s="46">
        <f>'HIST - cubic meters per day'!S71*6.2898</f>
        <v/>
      </c>
    </row>
    <row r="72" ht="12" customHeight="1">
      <c r="A72" s="44" t="n">
        <v>38657</v>
      </c>
      <c r="B72" s="37">
        <f>'HIST - cubic meters per day'!B72*6.2898</f>
        <v/>
      </c>
      <c r="C72" s="37">
        <f>'HIST - cubic meters per day'!C72*6.2898</f>
        <v/>
      </c>
      <c r="D72" s="37">
        <f>'HIST - cubic meters per day'!D72*6.2898</f>
        <v/>
      </c>
      <c r="E72" s="37" t="n"/>
      <c r="F72" s="37">
        <f>'HIST - cubic meters per day'!F72*6.2898</f>
        <v/>
      </c>
      <c r="G72" s="37">
        <f>'HIST - cubic meters per day'!G72*6.2898</f>
        <v/>
      </c>
      <c r="H72" s="37">
        <f>'HIST - cubic meters per day'!H72*6.2898</f>
        <v/>
      </c>
      <c r="I72" s="37">
        <f>'HIST - cubic meters per day'!I72*6.2898</f>
        <v/>
      </c>
      <c r="J72" s="37">
        <f>'HIST - cubic meters per day'!J72*6.2898</f>
        <v/>
      </c>
      <c r="K72" s="37">
        <f>'HIST - cubic meters per day'!K72*6.2898</f>
        <v/>
      </c>
      <c r="L72" s="37">
        <f>'HIST - cubic meters per day'!L72*6.2898</f>
        <v/>
      </c>
      <c r="M72" s="37">
        <f>'HIST - cubic meters per day'!M72*6.2898</f>
        <v/>
      </c>
      <c r="N72" s="37">
        <f>'HIST - cubic meters per day'!N72*6.2898</f>
        <v/>
      </c>
      <c r="O72" s="37">
        <f>'HIST - cubic meters per day'!O72*6.2898</f>
        <v/>
      </c>
      <c r="P72" s="37">
        <f>'HIST - cubic meters per day'!P72*6.2898</f>
        <v/>
      </c>
      <c r="Q72" s="37">
        <f>'HIST - cubic meters per day'!Q72*6.2898</f>
        <v/>
      </c>
      <c r="R72" s="37">
        <f>'HIST - cubic meters per day'!R72*6.2898</f>
        <v/>
      </c>
      <c r="S72" s="46">
        <f>'HIST - cubic meters per day'!S72*6.2898</f>
        <v/>
      </c>
    </row>
    <row r="73" ht="12" customHeight="1">
      <c r="A73" s="44" t="n">
        <v>38687</v>
      </c>
      <c r="B73" s="37">
        <f>'HIST - cubic meters per day'!B73*6.2898</f>
        <v/>
      </c>
      <c r="C73" s="37">
        <f>'HIST - cubic meters per day'!C73*6.2898</f>
        <v/>
      </c>
      <c r="D73" s="37">
        <f>'HIST - cubic meters per day'!D73*6.2898</f>
        <v/>
      </c>
      <c r="E73" s="37" t="n"/>
      <c r="F73" s="37">
        <f>'HIST - cubic meters per day'!F73*6.2898</f>
        <v/>
      </c>
      <c r="G73" s="37">
        <f>'HIST - cubic meters per day'!G73*6.2898</f>
        <v/>
      </c>
      <c r="H73" s="37">
        <f>'HIST - cubic meters per day'!H73*6.2898</f>
        <v/>
      </c>
      <c r="I73" s="37">
        <f>'HIST - cubic meters per day'!I73*6.2898</f>
        <v/>
      </c>
      <c r="J73" s="37">
        <f>'HIST - cubic meters per day'!J73*6.2898</f>
        <v/>
      </c>
      <c r="K73" s="37">
        <f>'HIST - cubic meters per day'!K73*6.2898</f>
        <v/>
      </c>
      <c r="L73" s="37">
        <f>'HIST - cubic meters per day'!L73*6.2898</f>
        <v/>
      </c>
      <c r="M73" s="37">
        <f>'HIST - cubic meters per day'!M73*6.2898</f>
        <v/>
      </c>
      <c r="N73" s="37">
        <f>'HIST - cubic meters per day'!N73*6.2898</f>
        <v/>
      </c>
      <c r="O73" s="37">
        <f>'HIST - cubic meters per day'!O73*6.2898</f>
        <v/>
      </c>
      <c r="P73" s="37">
        <f>'HIST - cubic meters per day'!P73*6.2898</f>
        <v/>
      </c>
      <c r="Q73" s="37">
        <f>'HIST - cubic meters per day'!Q73*6.2898</f>
        <v/>
      </c>
      <c r="R73" s="37">
        <f>'HIST - cubic meters per day'!R73*6.2898</f>
        <v/>
      </c>
      <c r="S73" s="46">
        <f>'HIST - cubic meters per day'!S73*6.2898</f>
        <v/>
      </c>
    </row>
    <row r="74" ht="12" customHeight="1">
      <c r="A74" s="44" t="n">
        <v>38718</v>
      </c>
      <c r="B74" s="37">
        <f>'HIST - cubic meters per day'!B74*6.2898</f>
        <v/>
      </c>
      <c r="C74" s="37">
        <f>'HIST - cubic meters per day'!C74*6.2898</f>
        <v/>
      </c>
      <c r="D74" s="37">
        <f>'HIST - cubic meters per day'!D74*6.2898</f>
        <v/>
      </c>
      <c r="E74" s="37" t="n"/>
      <c r="F74" s="37">
        <f>'HIST - cubic meters per day'!F74*6.2898</f>
        <v/>
      </c>
      <c r="G74" s="37">
        <f>'HIST - cubic meters per day'!G74*6.2898</f>
        <v/>
      </c>
      <c r="H74" s="37">
        <f>'HIST - cubic meters per day'!H74*6.2898</f>
        <v/>
      </c>
      <c r="I74" s="37">
        <f>'HIST - cubic meters per day'!I74*6.2898</f>
        <v/>
      </c>
      <c r="J74" s="37">
        <f>'HIST - cubic meters per day'!J74*6.2898</f>
        <v/>
      </c>
      <c r="K74" s="37">
        <f>'HIST - cubic meters per day'!K74*6.2898</f>
        <v/>
      </c>
      <c r="L74" s="37">
        <f>'HIST - cubic meters per day'!L74*6.2898</f>
        <v/>
      </c>
      <c r="M74" s="37">
        <f>'HIST - cubic meters per day'!M74*6.2898</f>
        <v/>
      </c>
      <c r="N74" s="37">
        <f>'HIST - cubic meters per day'!N74*6.2898</f>
        <v/>
      </c>
      <c r="O74" s="37">
        <f>'HIST - cubic meters per day'!O74*6.2898</f>
        <v/>
      </c>
      <c r="P74" s="37">
        <f>'HIST - cubic meters per day'!P74*6.2898</f>
        <v/>
      </c>
      <c r="Q74" s="37">
        <f>'HIST - cubic meters per day'!Q74*6.2898</f>
        <v/>
      </c>
      <c r="R74" s="37">
        <f>'HIST - cubic meters per day'!R74*6.2898</f>
        <v/>
      </c>
      <c r="S74" s="46">
        <f>'HIST - cubic meters per day'!S74*6.2898</f>
        <v/>
      </c>
    </row>
    <row r="75" ht="12" customHeight="1">
      <c r="A75" s="44" t="n">
        <v>38749</v>
      </c>
      <c r="B75" s="37">
        <f>'HIST - cubic meters per day'!B75*6.2898</f>
        <v/>
      </c>
      <c r="C75" s="37">
        <f>'HIST - cubic meters per day'!C75*6.2898</f>
        <v/>
      </c>
      <c r="D75" s="37">
        <f>'HIST - cubic meters per day'!D75*6.2898</f>
        <v/>
      </c>
      <c r="E75" s="37" t="n"/>
      <c r="F75" s="37">
        <f>'HIST - cubic meters per day'!F75*6.2898</f>
        <v/>
      </c>
      <c r="G75" s="37">
        <f>'HIST - cubic meters per day'!G75*6.2898</f>
        <v/>
      </c>
      <c r="H75" s="37">
        <f>'HIST - cubic meters per day'!H75*6.2898</f>
        <v/>
      </c>
      <c r="I75" s="37">
        <f>'HIST - cubic meters per day'!I75*6.2898</f>
        <v/>
      </c>
      <c r="J75" s="37">
        <f>'HIST - cubic meters per day'!J75*6.2898</f>
        <v/>
      </c>
      <c r="K75" s="37">
        <f>'HIST - cubic meters per day'!K75*6.2898</f>
        <v/>
      </c>
      <c r="L75" s="37">
        <f>'HIST - cubic meters per day'!L75*6.2898</f>
        <v/>
      </c>
      <c r="M75" s="37">
        <f>'HIST - cubic meters per day'!M75*6.2898</f>
        <v/>
      </c>
      <c r="N75" s="37">
        <f>'HIST - cubic meters per day'!N75*6.2898</f>
        <v/>
      </c>
      <c r="O75" s="37">
        <f>'HIST - cubic meters per day'!O75*6.2898</f>
        <v/>
      </c>
      <c r="P75" s="37">
        <f>'HIST - cubic meters per day'!P75*6.2898</f>
        <v/>
      </c>
      <c r="Q75" s="37">
        <f>'HIST - cubic meters per day'!Q75*6.2898</f>
        <v/>
      </c>
      <c r="R75" s="37">
        <f>'HIST - cubic meters per day'!R75*6.2898</f>
        <v/>
      </c>
      <c r="S75" s="46">
        <f>'HIST - cubic meters per day'!S75*6.2898</f>
        <v/>
      </c>
    </row>
    <row r="76" ht="12" customHeight="1">
      <c r="A76" s="44" t="n">
        <v>38777</v>
      </c>
      <c r="B76" s="37">
        <f>'HIST - cubic meters per day'!B76*6.2898</f>
        <v/>
      </c>
      <c r="C76" s="37">
        <f>'HIST - cubic meters per day'!C76*6.2898</f>
        <v/>
      </c>
      <c r="D76" s="37">
        <f>'HIST - cubic meters per day'!D76*6.2898</f>
        <v/>
      </c>
      <c r="E76" s="37" t="n"/>
      <c r="F76" s="37">
        <f>'HIST - cubic meters per day'!F76*6.2898</f>
        <v/>
      </c>
      <c r="G76" s="37">
        <f>'HIST - cubic meters per day'!G76*6.2898</f>
        <v/>
      </c>
      <c r="H76" s="37">
        <f>'HIST - cubic meters per day'!H76*6.2898</f>
        <v/>
      </c>
      <c r="I76" s="37">
        <f>'HIST - cubic meters per day'!I76*6.2898</f>
        <v/>
      </c>
      <c r="J76" s="37">
        <f>'HIST - cubic meters per day'!J76*6.2898</f>
        <v/>
      </c>
      <c r="K76" s="37">
        <f>'HIST - cubic meters per day'!K76*6.2898</f>
        <v/>
      </c>
      <c r="L76" s="37">
        <f>'HIST - cubic meters per day'!L76*6.2898</f>
        <v/>
      </c>
      <c r="M76" s="37">
        <f>'HIST - cubic meters per day'!M76*6.2898</f>
        <v/>
      </c>
      <c r="N76" s="37">
        <f>'HIST - cubic meters per day'!N76*6.2898</f>
        <v/>
      </c>
      <c r="O76" s="37">
        <f>'HIST - cubic meters per day'!O76*6.2898</f>
        <v/>
      </c>
      <c r="P76" s="37">
        <f>'HIST - cubic meters per day'!P76*6.2898</f>
        <v/>
      </c>
      <c r="Q76" s="37">
        <f>'HIST - cubic meters per day'!Q76*6.2898</f>
        <v/>
      </c>
      <c r="R76" s="37">
        <f>'HIST - cubic meters per day'!R76*6.2898</f>
        <v/>
      </c>
      <c r="S76" s="46">
        <f>'HIST - cubic meters per day'!S76*6.2898</f>
        <v/>
      </c>
    </row>
    <row r="77" ht="12" customHeight="1">
      <c r="A77" s="44" t="n">
        <v>38808</v>
      </c>
      <c r="B77" s="37">
        <f>'HIST - cubic meters per day'!B77*6.2898</f>
        <v/>
      </c>
      <c r="C77" s="37">
        <f>'HIST - cubic meters per day'!C77*6.2898</f>
        <v/>
      </c>
      <c r="D77" s="37">
        <f>'HIST - cubic meters per day'!D77*6.2898</f>
        <v/>
      </c>
      <c r="E77" s="37" t="n"/>
      <c r="F77" s="37">
        <f>'HIST - cubic meters per day'!F77*6.2898</f>
        <v/>
      </c>
      <c r="G77" s="37">
        <f>'HIST - cubic meters per day'!G77*6.2898</f>
        <v/>
      </c>
      <c r="H77" s="37">
        <f>'HIST - cubic meters per day'!H77*6.2898</f>
        <v/>
      </c>
      <c r="I77" s="37">
        <f>'HIST - cubic meters per day'!I77*6.2898</f>
        <v/>
      </c>
      <c r="J77" s="37">
        <f>'HIST - cubic meters per day'!J77*6.2898</f>
        <v/>
      </c>
      <c r="K77" s="37">
        <f>'HIST - cubic meters per day'!K77*6.2898</f>
        <v/>
      </c>
      <c r="L77" s="37">
        <f>'HIST - cubic meters per day'!L77*6.2898</f>
        <v/>
      </c>
      <c r="M77" s="37">
        <f>'HIST - cubic meters per day'!M77*6.2898</f>
        <v/>
      </c>
      <c r="N77" s="37">
        <f>'HIST - cubic meters per day'!N77*6.2898</f>
        <v/>
      </c>
      <c r="O77" s="37">
        <f>'HIST - cubic meters per day'!O77*6.2898</f>
        <v/>
      </c>
      <c r="P77" s="37">
        <f>'HIST - cubic meters per day'!P77*6.2898</f>
        <v/>
      </c>
      <c r="Q77" s="37">
        <f>'HIST - cubic meters per day'!Q77*6.2898</f>
        <v/>
      </c>
      <c r="R77" s="37">
        <f>'HIST - cubic meters per day'!R77*6.2898</f>
        <v/>
      </c>
      <c r="S77" s="46">
        <f>'HIST - cubic meters per day'!S77*6.2898</f>
        <v/>
      </c>
    </row>
    <row r="78" ht="12" customHeight="1">
      <c r="A78" s="44" t="n">
        <v>38838</v>
      </c>
      <c r="B78" s="37">
        <f>'HIST - cubic meters per day'!B78*6.2898</f>
        <v/>
      </c>
      <c r="C78" s="37">
        <f>'HIST - cubic meters per day'!C78*6.2898</f>
        <v/>
      </c>
      <c r="D78" s="37">
        <f>'HIST - cubic meters per day'!D78*6.2898</f>
        <v/>
      </c>
      <c r="E78" s="37" t="n"/>
      <c r="F78" s="37">
        <f>'HIST - cubic meters per day'!F78*6.2898</f>
        <v/>
      </c>
      <c r="G78" s="37">
        <f>'HIST - cubic meters per day'!G78*6.2898</f>
        <v/>
      </c>
      <c r="H78" s="37">
        <f>'HIST - cubic meters per day'!H78*6.2898</f>
        <v/>
      </c>
      <c r="I78" s="37">
        <f>'HIST - cubic meters per day'!I78*6.2898</f>
        <v/>
      </c>
      <c r="J78" s="37">
        <f>'HIST - cubic meters per day'!J78*6.2898</f>
        <v/>
      </c>
      <c r="K78" s="37">
        <f>'HIST - cubic meters per day'!K78*6.2898</f>
        <v/>
      </c>
      <c r="L78" s="37">
        <f>'HIST - cubic meters per day'!L78*6.2898</f>
        <v/>
      </c>
      <c r="M78" s="37">
        <f>'HIST - cubic meters per day'!M78*6.2898</f>
        <v/>
      </c>
      <c r="N78" s="37">
        <f>'HIST - cubic meters per day'!N78*6.2898</f>
        <v/>
      </c>
      <c r="O78" s="37">
        <f>'HIST - cubic meters per day'!O78*6.2898</f>
        <v/>
      </c>
      <c r="P78" s="37">
        <f>'HIST - cubic meters per day'!P78*6.2898</f>
        <v/>
      </c>
      <c r="Q78" s="37">
        <f>'HIST - cubic meters per day'!Q78*6.2898</f>
        <v/>
      </c>
      <c r="R78" s="37">
        <f>'HIST - cubic meters per day'!R78*6.2898</f>
        <v/>
      </c>
      <c r="S78" s="46">
        <f>'HIST - cubic meters per day'!S78*6.2898</f>
        <v/>
      </c>
    </row>
    <row r="79" ht="12" customHeight="1">
      <c r="A79" s="44" t="n">
        <v>38869</v>
      </c>
      <c r="B79" s="37">
        <f>'HIST - cubic meters per day'!B79*6.2898</f>
        <v/>
      </c>
      <c r="C79" s="37">
        <f>'HIST - cubic meters per day'!C79*6.2898</f>
        <v/>
      </c>
      <c r="D79" s="37">
        <f>'HIST - cubic meters per day'!D79*6.2898</f>
        <v/>
      </c>
      <c r="E79" s="37" t="n"/>
      <c r="F79" s="37">
        <f>'HIST - cubic meters per day'!F79*6.2898</f>
        <v/>
      </c>
      <c r="G79" s="37">
        <f>'HIST - cubic meters per day'!G79*6.2898</f>
        <v/>
      </c>
      <c r="H79" s="37">
        <f>'HIST - cubic meters per day'!H79*6.2898</f>
        <v/>
      </c>
      <c r="I79" s="37">
        <f>'HIST - cubic meters per day'!I79*6.2898</f>
        <v/>
      </c>
      <c r="J79" s="37">
        <f>'HIST - cubic meters per day'!J79*6.2898</f>
        <v/>
      </c>
      <c r="K79" s="37">
        <f>'HIST - cubic meters per day'!K79*6.2898</f>
        <v/>
      </c>
      <c r="L79" s="37">
        <f>'HIST - cubic meters per day'!L79*6.2898</f>
        <v/>
      </c>
      <c r="M79" s="37">
        <f>'HIST - cubic meters per day'!M79*6.2898</f>
        <v/>
      </c>
      <c r="N79" s="37">
        <f>'HIST - cubic meters per day'!N79*6.2898</f>
        <v/>
      </c>
      <c r="O79" s="37">
        <f>'HIST - cubic meters per day'!O79*6.2898</f>
        <v/>
      </c>
      <c r="P79" s="37">
        <f>'HIST - cubic meters per day'!P79*6.2898</f>
        <v/>
      </c>
      <c r="Q79" s="37">
        <f>'HIST - cubic meters per day'!Q79*6.2898</f>
        <v/>
      </c>
      <c r="R79" s="37">
        <f>'HIST - cubic meters per day'!R79*6.2898</f>
        <v/>
      </c>
      <c r="S79" s="46">
        <f>'HIST - cubic meters per day'!S79*6.2898</f>
        <v/>
      </c>
    </row>
    <row r="80" ht="12" customHeight="1">
      <c r="A80" s="44" t="n">
        <v>38899</v>
      </c>
      <c r="B80" s="37">
        <f>'HIST - cubic meters per day'!B80*6.2898</f>
        <v/>
      </c>
      <c r="C80" s="37">
        <f>'HIST - cubic meters per day'!C80*6.2898</f>
        <v/>
      </c>
      <c r="D80" s="37">
        <f>'HIST - cubic meters per day'!D80*6.2898</f>
        <v/>
      </c>
      <c r="E80" s="37" t="n"/>
      <c r="F80" s="37">
        <f>'HIST - cubic meters per day'!F80*6.2898</f>
        <v/>
      </c>
      <c r="G80" s="37">
        <f>'HIST - cubic meters per day'!G80*6.2898</f>
        <v/>
      </c>
      <c r="H80" s="37">
        <f>'HIST - cubic meters per day'!H80*6.2898</f>
        <v/>
      </c>
      <c r="I80" s="37">
        <f>'HIST - cubic meters per day'!I80*6.2898</f>
        <v/>
      </c>
      <c r="J80" s="37">
        <f>'HIST - cubic meters per day'!J80*6.2898</f>
        <v/>
      </c>
      <c r="K80" s="37">
        <f>'HIST - cubic meters per day'!K80*6.2898</f>
        <v/>
      </c>
      <c r="L80" s="37">
        <f>'HIST - cubic meters per day'!L80*6.2898</f>
        <v/>
      </c>
      <c r="M80" s="37">
        <f>'HIST - cubic meters per day'!M80*6.2898</f>
        <v/>
      </c>
      <c r="N80" s="37">
        <f>'HIST - cubic meters per day'!N80*6.2898</f>
        <v/>
      </c>
      <c r="O80" s="37">
        <f>'HIST - cubic meters per day'!O80*6.2898</f>
        <v/>
      </c>
      <c r="P80" s="37">
        <f>'HIST - cubic meters per day'!P80*6.2898</f>
        <v/>
      </c>
      <c r="Q80" s="37">
        <f>'HIST - cubic meters per day'!Q80*6.2898</f>
        <v/>
      </c>
      <c r="R80" s="37">
        <f>'HIST - cubic meters per day'!R80*6.2898</f>
        <v/>
      </c>
      <c r="S80" s="46">
        <f>'HIST - cubic meters per day'!S80*6.2898</f>
        <v/>
      </c>
    </row>
    <row r="81" ht="12" customHeight="1">
      <c r="A81" s="44" t="n">
        <v>38930</v>
      </c>
      <c r="B81" s="37">
        <f>'HIST - cubic meters per day'!B81*6.2898</f>
        <v/>
      </c>
      <c r="C81" s="37">
        <f>'HIST - cubic meters per day'!C81*6.2898</f>
        <v/>
      </c>
      <c r="D81" s="37">
        <f>'HIST - cubic meters per day'!D81*6.2898</f>
        <v/>
      </c>
      <c r="E81" s="37" t="n"/>
      <c r="F81" s="37">
        <f>'HIST - cubic meters per day'!F81*6.2898</f>
        <v/>
      </c>
      <c r="G81" s="37">
        <f>'HIST - cubic meters per day'!G81*6.2898</f>
        <v/>
      </c>
      <c r="H81" s="37">
        <f>'HIST - cubic meters per day'!H81*6.2898</f>
        <v/>
      </c>
      <c r="I81" s="37">
        <f>'HIST - cubic meters per day'!I81*6.2898</f>
        <v/>
      </c>
      <c r="J81" s="37">
        <f>'HIST - cubic meters per day'!J81*6.2898</f>
        <v/>
      </c>
      <c r="K81" s="37">
        <f>'HIST - cubic meters per day'!K81*6.2898</f>
        <v/>
      </c>
      <c r="L81" s="37">
        <f>'HIST - cubic meters per day'!L81*6.2898</f>
        <v/>
      </c>
      <c r="M81" s="37">
        <f>'HIST - cubic meters per day'!M81*6.2898</f>
        <v/>
      </c>
      <c r="N81" s="37">
        <f>'HIST - cubic meters per day'!N81*6.2898</f>
        <v/>
      </c>
      <c r="O81" s="37">
        <f>'HIST - cubic meters per day'!O81*6.2898</f>
        <v/>
      </c>
      <c r="P81" s="37">
        <f>'HIST - cubic meters per day'!P81*6.2898</f>
        <v/>
      </c>
      <c r="Q81" s="37">
        <f>'HIST - cubic meters per day'!Q81*6.2898</f>
        <v/>
      </c>
      <c r="R81" s="37">
        <f>'HIST - cubic meters per day'!R81*6.2898</f>
        <v/>
      </c>
      <c r="S81" s="46">
        <f>'HIST - cubic meters per day'!S81*6.2898</f>
        <v/>
      </c>
    </row>
    <row r="82" ht="12" customHeight="1">
      <c r="A82" s="44" t="n">
        <v>38961</v>
      </c>
      <c r="B82" s="37">
        <f>'HIST - cubic meters per day'!B82*6.2898</f>
        <v/>
      </c>
      <c r="C82" s="37">
        <f>'HIST - cubic meters per day'!C82*6.2898</f>
        <v/>
      </c>
      <c r="D82" s="37">
        <f>'HIST - cubic meters per day'!D82*6.2898</f>
        <v/>
      </c>
      <c r="E82" s="37" t="n"/>
      <c r="F82" s="37">
        <f>'HIST - cubic meters per day'!F82*6.2898</f>
        <v/>
      </c>
      <c r="G82" s="37">
        <f>'HIST - cubic meters per day'!G82*6.2898</f>
        <v/>
      </c>
      <c r="H82" s="37">
        <f>'HIST - cubic meters per day'!H82*6.2898</f>
        <v/>
      </c>
      <c r="I82" s="37">
        <f>'HIST - cubic meters per day'!I82*6.2898</f>
        <v/>
      </c>
      <c r="J82" s="37">
        <f>'HIST - cubic meters per day'!J82*6.2898</f>
        <v/>
      </c>
      <c r="K82" s="37">
        <f>'HIST - cubic meters per day'!K82*6.2898</f>
        <v/>
      </c>
      <c r="L82" s="37">
        <f>'HIST - cubic meters per day'!L82*6.2898</f>
        <v/>
      </c>
      <c r="M82" s="37">
        <f>'HIST - cubic meters per day'!M82*6.2898</f>
        <v/>
      </c>
      <c r="N82" s="37">
        <f>'HIST - cubic meters per day'!N82*6.2898</f>
        <v/>
      </c>
      <c r="O82" s="37">
        <f>'HIST - cubic meters per day'!O82*6.2898</f>
        <v/>
      </c>
      <c r="P82" s="37">
        <f>'HIST - cubic meters per day'!P82*6.2898</f>
        <v/>
      </c>
      <c r="Q82" s="37">
        <f>'HIST - cubic meters per day'!Q82*6.2898</f>
        <v/>
      </c>
      <c r="R82" s="37">
        <f>'HIST - cubic meters per day'!R82*6.2898</f>
        <v/>
      </c>
      <c r="S82" s="46">
        <f>'HIST - cubic meters per day'!S82*6.2898</f>
        <v/>
      </c>
    </row>
    <row r="83" ht="12" customHeight="1">
      <c r="A83" s="44" t="n">
        <v>38991</v>
      </c>
      <c r="B83" s="37">
        <f>'HIST - cubic meters per day'!B83*6.2898</f>
        <v/>
      </c>
      <c r="C83" s="37">
        <f>'HIST - cubic meters per day'!C83*6.2898</f>
        <v/>
      </c>
      <c r="D83" s="37">
        <f>'HIST - cubic meters per day'!D83*6.2898</f>
        <v/>
      </c>
      <c r="E83" s="37" t="n"/>
      <c r="F83" s="37">
        <f>'HIST - cubic meters per day'!F83*6.2898</f>
        <v/>
      </c>
      <c r="G83" s="37">
        <f>'HIST - cubic meters per day'!G83*6.2898</f>
        <v/>
      </c>
      <c r="H83" s="37">
        <f>'HIST - cubic meters per day'!H83*6.2898</f>
        <v/>
      </c>
      <c r="I83" s="37">
        <f>'HIST - cubic meters per day'!I83*6.2898</f>
        <v/>
      </c>
      <c r="J83" s="37">
        <f>'HIST - cubic meters per day'!J83*6.2898</f>
        <v/>
      </c>
      <c r="K83" s="37">
        <f>'HIST - cubic meters per day'!K83*6.2898</f>
        <v/>
      </c>
      <c r="L83" s="37">
        <f>'HIST - cubic meters per day'!L83*6.2898</f>
        <v/>
      </c>
      <c r="M83" s="37">
        <f>'HIST - cubic meters per day'!M83*6.2898</f>
        <v/>
      </c>
      <c r="N83" s="37">
        <f>'HIST - cubic meters per day'!N83*6.2898</f>
        <v/>
      </c>
      <c r="O83" s="37">
        <f>'HIST - cubic meters per day'!O83*6.2898</f>
        <v/>
      </c>
      <c r="P83" s="37">
        <f>'HIST - cubic meters per day'!P83*6.2898</f>
        <v/>
      </c>
      <c r="Q83" s="37">
        <f>'HIST - cubic meters per day'!Q83*6.2898</f>
        <v/>
      </c>
      <c r="R83" s="37">
        <f>'HIST - cubic meters per day'!R83*6.2898</f>
        <v/>
      </c>
      <c r="S83" s="46">
        <f>'HIST - cubic meters per day'!S83*6.2898</f>
        <v/>
      </c>
    </row>
    <row r="84" ht="12" customHeight="1">
      <c r="A84" s="44" t="n">
        <v>39022</v>
      </c>
      <c r="B84" s="37">
        <f>'HIST - cubic meters per day'!B84*6.2898</f>
        <v/>
      </c>
      <c r="C84" s="37">
        <f>'HIST - cubic meters per day'!C84*6.2898</f>
        <v/>
      </c>
      <c r="D84" s="37">
        <f>'HIST - cubic meters per day'!D84*6.2898</f>
        <v/>
      </c>
      <c r="E84" s="37" t="n"/>
      <c r="F84" s="37">
        <f>'HIST - cubic meters per day'!F84*6.2898</f>
        <v/>
      </c>
      <c r="G84" s="37">
        <f>'HIST - cubic meters per day'!G84*6.2898</f>
        <v/>
      </c>
      <c r="H84" s="37">
        <f>'HIST - cubic meters per day'!H84*6.2898</f>
        <v/>
      </c>
      <c r="I84" s="37">
        <f>'HIST - cubic meters per day'!I84*6.2898</f>
        <v/>
      </c>
      <c r="J84" s="37">
        <f>'HIST - cubic meters per day'!J84*6.2898</f>
        <v/>
      </c>
      <c r="K84" s="37">
        <f>'HIST - cubic meters per day'!K84*6.2898</f>
        <v/>
      </c>
      <c r="L84" s="37">
        <f>'HIST - cubic meters per day'!L84*6.2898</f>
        <v/>
      </c>
      <c r="M84" s="37">
        <f>'HIST - cubic meters per day'!M84*6.2898</f>
        <v/>
      </c>
      <c r="N84" s="37">
        <f>'HIST - cubic meters per day'!N84*6.2898</f>
        <v/>
      </c>
      <c r="O84" s="37">
        <f>'HIST - cubic meters per day'!O84*6.2898</f>
        <v/>
      </c>
      <c r="P84" s="37">
        <f>'HIST - cubic meters per day'!P84*6.2898</f>
        <v/>
      </c>
      <c r="Q84" s="37">
        <f>'HIST - cubic meters per day'!Q84*6.2898</f>
        <v/>
      </c>
      <c r="R84" s="37">
        <f>'HIST - cubic meters per day'!R84*6.2898</f>
        <v/>
      </c>
      <c r="S84" s="46">
        <f>'HIST - cubic meters per day'!S84*6.2898</f>
        <v/>
      </c>
    </row>
    <row r="85" ht="12" customHeight="1">
      <c r="A85" s="44" t="n">
        <v>39052</v>
      </c>
      <c r="B85" s="37">
        <f>'HIST - cubic meters per day'!B85*6.2898</f>
        <v/>
      </c>
      <c r="C85" s="37">
        <f>'HIST - cubic meters per day'!C85*6.2898</f>
        <v/>
      </c>
      <c r="D85" s="37">
        <f>'HIST - cubic meters per day'!D85*6.2898</f>
        <v/>
      </c>
      <c r="E85" s="37" t="n"/>
      <c r="F85" s="37">
        <f>'HIST - cubic meters per day'!F85*6.2898</f>
        <v/>
      </c>
      <c r="G85" s="37">
        <f>'HIST - cubic meters per day'!G85*6.2898</f>
        <v/>
      </c>
      <c r="H85" s="37">
        <f>'HIST - cubic meters per day'!H85*6.2898</f>
        <v/>
      </c>
      <c r="I85" s="37">
        <f>'HIST - cubic meters per day'!I85*6.2898</f>
        <v/>
      </c>
      <c r="J85" s="37">
        <f>'HIST - cubic meters per day'!J85*6.2898</f>
        <v/>
      </c>
      <c r="K85" s="37">
        <f>'HIST - cubic meters per day'!K85*6.2898</f>
        <v/>
      </c>
      <c r="L85" s="37">
        <f>'HIST - cubic meters per day'!L85*6.2898</f>
        <v/>
      </c>
      <c r="M85" s="37">
        <f>'HIST - cubic meters per day'!M85*6.2898</f>
        <v/>
      </c>
      <c r="N85" s="37">
        <f>'HIST - cubic meters per day'!N85*6.2898</f>
        <v/>
      </c>
      <c r="O85" s="37">
        <f>'HIST - cubic meters per day'!O85*6.2898</f>
        <v/>
      </c>
      <c r="P85" s="37">
        <f>'HIST - cubic meters per day'!P85*6.2898</f>
        <v/>
      </c>
      <c r="Q85" s="37">
        <f>'HIST - cubic meters per day'!Q85*6.2898</f>
        <v/>
      </c>
      <c r="R85" s="37">
        <f>'HIST - cubic meters per day'!R85*6.2898</f>
        <v/>
      </c>
      <c r="S85" s="46">
        <f>'HIST - cubic meters per day'!S85*6.2898</f>
        <v/>
      </c>
    </row>
    <row r="86" ht="12" customHeight="1">
      <c r="A86" s="44" t="n">
        <v>39083</v>
      </c>
      <c r="B86" s="37">
        <f>'HIST - cubic meters per day'!B86*6.2898</f>
        <v/>
      </c>
      <c r="C86" s="37">
        <f>'HIST - cubic meters per day'!C86*6.2898</f>
        <v/>
      </c>
      <c r="D86" s="37">
        <f>'HIST - cubic meters per day'!D86*6.2898</f>
        <v/>
      </c>
      <c r="E86" s="37">
        <f>'HIST - cubic meters per day'!E86*6.2898</f>
        <v/>
      </c>
      <c r="F86" s="37">
        <f>'HIST - cubic meters per day'!F86*6.2898</f>
        <v/>
      </c>
      <c r="G86" s="37">
        <f>'HIST - cubic meters per day'!G86*6.2898</f>
        <v/>
      </c>
      <c r="H86" s="37">
        <f>'HIST - cubic meters per day'!H86*6.2898</f>
        <v/>
      </c>
      <c r="I86" s="37">
        <f>'HIST - cubic meters per day'!I86*6.2898</f>
        <v/>
      </c>
      <c r="J86" s="37">
        <f>'HIST - cubic meters per day'!J86*6.2898</f>
        <v/>
      </c>
      <c r="K86" s="37">
        <f>'HIST - cubic meters per day'!K86*6.2898</f>
        <v/>
      </c>
      <c r="L86" s="37">
        <f>'HIST - cubic meters per day'!L86*6.2898</f>
        <v/>
      </c>
      <c r="M86" s="37">
        <f>'HIST - cubic meters per day'!M86*6.2898</f>
        <v/>
      </c>
      <c r="N86" s="37">
        <f>'HIST - cubic meters per day'!N86*6.2898</f>
        <v/>
      </c>
      <c r="O86" s="37">
        <f>'HIST - cubic meters per day'!O86*6.2898</f>
        <v/>
      </c>
      <c r="P86" s="37">
        <f>'HIST - cubic meters per day'!P86*6.2898</f>
        <v/>
      </c>
      <c r="Q86" s="37">
        <f>'HIST - cubic meters per day'!Q86*6.2898</f>
        <v/>
      </c>
      <c r="R86" s="37">
        <f>'HIST - cubic meters per day'!R86*6.2898</f>
        <v/>
      </c>
      <c r="S86" s="46">
        <f>'HIST - cubic meters per day'!S86*6.2898</f>
        <v/>
      </c>
    </row>
    <row r="87" ht="12" customHeight="1">
      <c r="A87" s="44" t="n">
        <v>39114</v>
      </c>
      <c r="B87" s="37">
        <f>'HIST - cubic meters per day'!B87*6.2898</f>
        <v/>
      </c>
      <c r="C87" s="37">
        <f>'HIST - cubic meters per day'!C87*6.2898</f>
        <v/>
      </c>
      <c r="D87" s="37">
        <f>'HIST - cubic meters per day'!D87*6.2898</f>
        <v/>
      </c>
      <c r="E87" s="37">
        <f>'HIST - cubic meters per day'!E87*6.2898</f>
        <v/>
      </c>
      <c r="F87" s="37">
        <f>'HIST - cubic meters per day'!F87*6.2898</f>
        <v/>
      </c>
      <c r="G87" s="37">
        <f>'HIST - cubic meters per day'!G87*6.2898</f>
        <v/>
      </c>
      <c r="H87" s="37">
        <f>'HIST - cubic meters per day'!H87*6.2898</f>
        <v/>
      </c>
      <c r="I87" s="37">
        <f>'HIST - cubic meters per day'!I87*6.2898</f>
        <v/>
      </c>
      <c r="J87" s="37">
        <f>'HIST - cubic meters per day'!J87*6.2898</f>
        <v/>
      </c>
      <c r="K87" s="37">
        <f>'HIST - cubic meters per day'!K87*6.2898</f>
        <v/>
      </c>
      <c r="L87" s="37">
        <f>'HIST - cubic meters per day'!L87*6.2898</f>
        <v/>
      </c>
      <c r="M87" s="37">
        <f>'HIST - cubic meters per day'!M87*6.2898</f>
        <v/>
      </c>
      <c r="N87" s="37">
        <f>'HIST - cubic meters per day'!N87*6.2898</f>
        <v/>
      </c>
      <c r="O87" s="37">
        <f>'HIST - cubic meters per day'!O87*6.2898</f>
        <v/>
      </c>
      <c r="P87" s="37">
        <f>'HIST - cubic meters per day'!P87*6.2898</f>
        <v/>
      </c>
      <c r="Q87" s="37">
        <f>'HIST - cubic meters per day'!Q87*6.2898</f>
        <v/>
      </c>
      <c r="R87" s="37">
        <f>'HIST - cubic meters per day'!R87*6.2898</f>
        <v/>
      </c>
      <c r="S87" s="46">
        <f>'HIST - cubic meters per day'!S87*6.2898</f>
        <v/>
      </c>
    </row>
    <row r="88" ht="12" customHeight="1">
      <c r="A88" s="44" t="n">
        <v>39142</v>
      </c>
      <c r="B88" s="37">
        <f>'HIST - cubic meters per day'!B88*6.2898</f>
        <v/>
      </c>
      <c r="C88" s="37">
        <f>'HIST - cubic meters per day'!C88*6.2898</f>
        <v/>
      </c>
      <c r="D88" s="37">
        <f>'HIST - cubic meters per day'!D88*6.2898</f>
        <v/>
      </c>
      <c r="E88" s="37">
        <f>'HIST - cubic meters per day'!E88*6.2898</f>
        <v/>
      </c>
      <c r="F88" s="37">
        <f>'HIST - cubic meters per day'!F88*6.2898</f>
        <v/>
      </c>
      <c r="G88" s="37">
        <f>'HIST - cubic meters per day'!G88*6.2898</f>
        <v/>
      </c>
      <c r="H88" s="37">
        <f>'HIST - cubic meters per day'!H88*6.2898</f>
        <v/>
      </c>
      <c r="I88" s="37">
        <f>'HIST - cubic meters per day'!I88*6.2898</f>
        <v/>
      </c>
      <c r="J88" s="37">
        <f>'HIST - cubic meters per day'!J88*6.2898</f>
        <v/>
      </c>
      <c r="K88" s="37">
        <f>'HIST - cubic meters per day'!K88*6.2898</f>
        <v/>
      </c>
      <c r="L88" s="37">
        <f>'HIST - cubic meters per day'!L88*6.2898</f>
        <v/>
      </c>
      <c r="M88" s="37">
        <f>'HIST - cubic meters per day'!M88*6.2898</f>
        <v/>
      </c>
      <c r="N88" s="37">
        <f>'HIST - cubic meters per day'!N88*6.2898</f>
        <v/>
      </c>
      <c r="O88" s="37">
        <f>'HIST - cubic meters per day'!O88*6.2898</f>
        <v/>
      </c>
      <c r="P88" s="37">
        <f>'HIST - cubic meters per day'!P88*6.2898</f>
        <v/>
      </c>
      <c r="Q88" s="37">
        <f>'HIST - cubic meters per day'!Q88*6.2898</f>
        <v/>
      </c>
      <c r="R88" s="37">
        <f>'HIST - cubic meters per day'!R88*6.2898</f>
        <v/>
      </c>
      <c r="S88" s="46">
        <f>'HIST - cubic meters per day'!S88*6.2898</f>
        <v/>
      </c>
    </row>
    <row r="89" ht="12" customHeight="1">
      <c r="A89" s="44" t="n">
        <v>39173</v>
      </c>
      <c r="B89" s="37">
        <f>'HIST - cubic meters per day'!B89*6.2898</f>
        <v/>
      </c>
      <c r="C89" s="37">
        <f>'HIST - cubic meters per day'!C89*6.2898</f>
        <v/>
      </c>
      <c r="D89" s="37">
        <f>'HIST - cubic meters per day'!D89*6.2898</f>
        <v/>
      </c>
      <c r="E89" s="37">
        <f>'HIST - cubic meters per day'!E89*6.2898</f>
        <v/>
      </c>
      <c r="F89" s="37">
        <f>'HIST - cubic meters per day'!F89*6.2898</f>
        <v/>
      </c>
      <c r="G89" s="37">
        <f>'HIST - cubic meters per day'!G89*6.2898</f>
        <v/>
      </c>
      <c r="H89" s="37">
        <f>'HIST - cubic meters per day'!H89*6.2898</f>
        <v/>
      </c>
      <c r="I89" s="37">
        <f>'HIST - cubic meters per day'!I89*6.2898</f>
        <v/>
      </c>
      <c r="J89" s="37">
        <f>'HIST - cubic meters per day'!J89*6.2898</f>
        <v/>
      </c>
      <c r="K89" s="37">
        <f>'HIST - cubic meters per day'!K89*6.2898</f>
        <v/>
      </c>
      <c r="L89" s="37">
        <f>'HIST - cubic meters per day'!L89*6.2898</f>
        <v/>
      </c>
      <c r="M89" s="37">
        <f>'HIST - cubic meters per day'!M89*6.2898</f>
        <v/>
      </c>
      <c r="N89" s="37">
        <f>'HIST - cubic meters per day'!N89*6.2898</f>
        <v/>
      </c>
      <c r="O89" s="37">
        <f>'HIST - cubic meters per day'!O89*6.2898</f>
        <v/>
      </c>
      <c r="P89" s="37">
        <f>'HIST - cubic meters per day'!P89*6.2898</f>
        <v/>
      </c>
      <c r="Q89" s="37">
        <f>'HIST - cubic meters per day'!Q89*6.2898</f>
        <v/>
      </c>
      <c r="R89" s="37">
        <f>'HIST - cubic meters per day'!R89*6.2898</f>
        <v/>
      </c>
      <c r="S89" s="46">
        <f>'HIST - cubic meters per day'!S89*6.2898</f>
        <v/>
      </c>
    </row>
    <row r="90" ht="12" customHeight="1">
      <c r="A90" s="44" t="n">
        <v>39203</v>
      </c>
      <c r="B90" s="37">
        <f>'HIST - cubic meters per day'!B90*6.2898</f>
        <v/>
      </c>
      <c r="C90" s="37">
        <f>'HIST - cubic meters per day'!C90*6.2898</f>
        <v/>
      </c>
      <c r="D90" s="37">
        <f>'HIST - cubic meters per day'!D90*6.2898</f>
        <v/>
      </c>
      <c r="E90" s="37">
        <f>'HIST - cubic meters per day'!E90*6.2898</f>
        <v/>
      </c>
      <c r="F90" s="37">
        <f>'HIST - cubic meters per day'!F90*6.2898</f>
        <v/>
      </c>
      <c r="G90" s="37">
        <f>'HIST - cubic meters per day'!G90*6.2898</f>
        <v/>
      </c>
      <c r="H90" s="37">
        <f>'HIST - cubic meters per day'!H90*6.2898</f>
        <v/>
      </c>
      <c r="I90" s="37">
        <f>'HIST - cubic meters per day'!I90*6.2898</f>
        <v/>
      </c>
      <c r="J90" s="37">
        <f>'HIST - cubic meters per day'!J90*6.2898</f>
        <v/>
      </c>
      <c r="K90" s="37">
        <f>'HIST - cubic meters per day'!K90*6.2898</f>
        <v/>
      </c>
      <c r="L90" s="37">
        <f>'HIST - cubic meters per day'!L90*6.2898</f>
        <v/>
      </c>
      <c r="M90" s="37">
        <f>'HIST - cubic meters per day'!M90*6.2898</f>
        <v/>
      </c>
      <c r="N90" s="37">
        <f>'HIST - cubic meters per day'!N90*6.2898</f>
        <v/>
      </c>
      <c r="O90" s="37">
        <f>'HIST - cubic meters per day'!O90*6.2898</f>
        <v/>
      </c>
      <c r="P90" s="37">
        <f>'HIST - cubic meters per day'!P90*6.2898</f>
        <v/>
      </c>
      <c r="Q90" s="37">
        <f>'HIST - cubic meters per day'!Q90*6.2898</f>
        <v/>
      </c>
      <c r="R90" s="37">
        <f>'HIST - cubic meters per day'!R90*6.2898</f>
        <v/>
      </c>
      <c r="S90" s="46">
        <f>'HIST - cubic meters per day'!S90*6.2898</f>
        <v/>
      </c>
    </row>
    <row r="91" ht="12" customHeight="1">
      <c r="A91" s="44" t="n">
        <v>39234</v>
      </c>
      <c r="B91" s="37">
        <f>'HIST - cubic meters per day'!B91*6.2898</f>
        <v/>
      </c>
      <c r="C91" s="37">
        <f>'HIST - cubic meters per day'!C91*6.2898</f>
        <v/>
      </c>
      <c r="D91" s="37">
        <f>'HIST - cubic meters per day'!D91*6.2898</f>
        <v/>
      </c>
      <c r="E91" s="37">
        <f>'HIST - cubic meters per day'!E91*6.2898</f>
        <v/>
      </c>
      <c r="F91" s="37">
        <f>'HIST - cubic meters per day'!F91*6.2898</f>
        <v/>
      </c>
      <c r="G91" s="37">
        <f>'HIST - cubic meters per day'!G91*6.2898</f>
        <v/>
      </c>
      <c r="H91" s="37">
        <f>'HIST - cubic meters per day'!H91*6.2898</f>
        <v/>
      </c>
      <c r="I91" s="37">
        <f>'HIST - cubic meters per day'!I91*6.2898</f>
        <v/>
      </c>
      <c r="J91" s="37">
        <f>'HIST - cubic meters per day'!J91*6.2898</f>
        <v/>
      </c>
      <c r="K91" s="37">
        <f>'HIST - cubic meters per day'!K91*6.2898</f>
        <v/>
      </c>
      <c r="L91" s="37">
        <f>'HIST - cubic meters per day'!L91*6.2898</f>
        <v/>
      </c>
      <c r="M91" s="37">
        <f>'HIST - cubic meters per day'!M91*6.2898</f>
        <v/>
      </c>
      <c r="N91" s="37">
        <f>'HIST - cubic meters per day'!N91*6.2898</f>
        <v/>
      </c>
      <c r="O91" s="37">
        <f>'HIST - cubic meters per day'!O91*6.2898</f>
        <v/>
      </c>
      <c r="P91" s="37">
        <f>'HIST - cubic meters per day'!P91*6.2898</f>
        <v/>
      </c>
      <c r="Q91" s="37">
        <f>'HIST - cubic meters per day'!Q91*6.2898</f>
        <v/>
      </c>
      <c r="R91" s="37">
        <f>'HIST - cubic meters per day'!R91*6.2898</f>
        <v/>
      </c>
      <c r="S91" s="46">
        <f>'HIST - cubic meters per day'!S91*6.2898</f>
        <v/>
      </c>
    </row>
    <row r="92" ht="12" customHeight="1">
      <c r="A92" s="44" t="n">
        <v>39264</v>
      </c>
      <c r="B92" s="37">
        <f>'HIST - cubic meters per day'!B92*6.2898</f>
        <v/>
      </c>
      <c r="C92" s="37">
        <f>'HIST - cubic meters per day'!C92*6.2898</f>
        <v/>
      </c>
      <c r="D92" s="37">
        <f>'HIST - cubic meters per day'!D92*6.2898</f>
        <v/>
      </c>
      <c r="E92" s="37">
        <f>'HIST - cubic meters per day'!E92*6.2898</f>
        <v/>
      </c>
      <c r="F92" s="37">
        <f>'HIST - cubic meters per day'!F92*6.2898</f>
        <v/>
      </c>
      <c r="G92" s="37">
        <f>'HIST - cubic meters per day'!G92*6.2898</f>
        <v/>
      </c>
      <c r="H92" s="37">
        <f>'HIST - cubic meters per day'!H92*6.2898</f>
        <v/>
      </c>
      <c r="I92" s="37">
        <f>'HIST - cubic meters per day'!I92*6.2898</f>
        <v/>
      </c>
      <c r="J92" s="37">
        <f>'HIST - cubic meters per day'!J92*6.2898</f>
        <v/>
      </c>
      <c r="K92" s="37">
        <f>'HIST - cubic meters per day'!K92*6.2898</f>
        <v/>
      </c>
      <c r="L92" s="37">
        <f>'HIST - cubic meters per day'!L92*6.2898</f>
        <v/>
      </c>
      <c r="M92" s="37">
        <f>'HIST - cubic meters per day'!M92*6.2898</f>
        <v/>
      </c>
      <c r="N92" s="37">
        <f>'HIST - cubic meters per day'!N92*6.2898</f>
        <v/>
      </c>
      <c r="O92" s="37">
        <f>'HIST - cubic meters per day'!O92*6.2898</f>
        <v/>
      </c>
      <c r="P92" s="37">
        <f>'HIST - cubic meters per day'!P92*6.2898</f>
        <v/>
      </c>
      <c r="Q92" s="37">
        <f>'HIST - cubic meters per day'!Q92*6.2898</f>
        <v/>
      </c>
      <c r="R92" s="37">
        <f>'HIST - cubic meters per day'!R92*6.2898</f>
        <v/>
      </c>
      <c r="S92" s="46">
        <f>'HIST - cubic meters per day'!S92*6.2898</f>
        <v/>
      </c>
    </row>
    <row r="93" ht="12" customHeight="1">
      <c r="A93" s="44" t="n">
        <v>39295</v>
      </c>
      <c r="B93" s="37">
        <f>'HIST - cubic meters per day'!B93*6.2898</f>
        <v/>
      </c>
      <c r="C93" s="37">
        <f>'HIST - cubic meters per day'!C93*6.2898</f>
        <v/>
      </c>
      <c r="D93" s="37">
        <f>'HIST - cubic meters per day'!D93*6.2898</f>
        <v/>
      </c>
      <c r="E93" s="37">
        <f>'HIST - cubic meters per day'!E93*6.2898</f>
        <v/>
      </c>
      <c r="F93" s="37">
        <f>'HIST - cubic meters per day'!F93*6.2898</f>
        <v/>
      </c>
      <c r="G93" s="37">
        <f>'HIST - cubic meters per day'!G93*6.2898</f>
        <v/>
      </c>
      <c r="H93" s="37">
        <f>'HIST - cubic meters per day'!H93*6.2898</f>
        <v/>
      </c>
      <c r="I93" s="37">
        <f>'HIST - cubic meters per day'!I93*6.2898</f>
        <v/>
      </c>
      <c r="J93" s="37">
        <f>'HIST - cubic meters per day'!J93*6.2898</f>
        <v/>
      </c>
      <c r="K93" s="37">
        <f>'HIST - cubic meters per day'!K93*6.2898</f>
        <v/>
      </c>
      <c r="L93" s="37">
        <f>'HIST - cubic meters per day'!L93*6.2898</f>
        <v/>
      </c>
      <c r="M93" s="37">
        <f>'HIST - cubic meters per day'!M93*6.2898</f>
        <v/>
      </c>
      <c r="N93" s="37">
        <f>'HIST - cubic meters per day'!N93*6.2898</f>
        <v/>
      </c>
      <c r="O93" s="37">
        <f>'HIST - cubic meters per day'!O93*6.2898</f>
        <v/>
      </c>
      <c r="P93" s="37">
        <f>'HIST - cubic meters per day'!P93*6.2898</f>
        <v/>
      </c>
      <c r="Q93" s="37">
        <f>'HIST - cubic meters per day'!Q93*6.2898</f>
        <v/>
      </c>
      <c r="R93" s="37">
        <f>'HIST - cubic meters per day'!R93*6.2898</f>
        <v/>
      </c>
      <c r="S93" s="46">
        <f>'HIST - cubic meters per day'!S93*6.2898</f>
        <v/>
      </c>
    </row>
    <row r="94" ht="12" customHeight="1">
      <c r="A94" s="44" t="n">
        <v>39326</v>
      </c>
      <c r="B94" s="37">
        <f>'HIST - cubic meters per day'!B94*6.2898</f>
        <v/>
      </c>
      <c r="C94" s="37">
        <f>'HIST - cubic meters per day'!C94*6.2898</f>
        <v/>
      </c>
      <c r="D94" s="37">
        <f>'HIST - cubic meters per day'!D94*6.2898</f>
        <v/>
      </c>
      <c r="E94" s="37">
        <f>'HIST - cubic meters per day'!E94*6.2898</f>
        <v/>
      </c>
      <c r="F94" s="37">
        <f>'HIST - cubic meters per day'!F94*6.2898</f>
        <v/>
      </c>
      <c r="G94" s="37">
        <f>'HIST - cubic meters per day'!G94*6.2898</f>
        <v/>
      </c>
      <c r="H94" s="37">
        <f>'HIST - cubic meters per day'!H94*6.2898</f>
        <v/>
      </c>
      <c r="I94" s="37">
        <f>'HIST - cubic meters per day'!I94*6.2898</f>
        <v/>
      </c>
      <c r="J94" s="37">
        <f>'HIST - cubic meters per day'!J94*6.2898</f>
        <v/>
      </c>
      <c r="K94" s="37">
        <f>'HIST - cubic meters per day'!K94*6.2898</f>
        <v/>
      </c>
      <c r="L94" s="37">
        <f>'HIST - cubic meters per day'!L94*6.2898</f>
        <v/>
      </c>
      <c r="M94" s="37">
        <f>'HIST - cubic meters per day'!M94*6.2898</f>
        <v/>
      </c>
      <c r="N94" s="37">
        <f>'HIST - cubic meters per day'!N94*6.2898</f>
        <v/>
      </c>
      <c r="O94" s="37">
        <f>'HIST - cubic meters per day'!O94*6.2898</f>
        <v/>
      </c>
      <c r="P94" s="37">
        <f>'HIST - cubic meters per day'!P94*6.2898</f>
        <v/>
      </c>
      <c r="Q94" s="37">
        <f>'HIST - cubic meters per day'!Q94*6.2898</f>
        <v/>
      </c>
      <c r="R94" s="37">
        <f>'HIST - cubic meters per day'!R94*6.2898</f>
        <v/>
      </c>
      <c r="S94" s="46">
        <f>'HIST - cubic meters per day'!S94*6.2898</f>
        <v/>
      </c>
    </row>
    <row r="95" ht="12" customHeight="1">
      <c r="A95" s="44" t="n">
        <v>39356</v>
      </c>
      <c r="B95" s="37">
        <f>'HIST - cubic meters per day'!B95*6.2898</f>
        <v/>
      </c>
      <c r="C95" s="37">
        <f>'HIST - cubic meters per day'!C95*6.2898</f>
        <v/>
      </c>
      <c r="D95" s="37">
        <f>'HIST - cubic meters per day'!D95*6.2898</f>
        <v/>
      </c>
      <c r="E95" s="37">
        <f>'HIST - cubic meters per day'!E95*6.2898</f>
        <v/>
      </c>
      <c r="F95" s="37">
        <f>'HIST - cubic meters per day'!F95*6.2898</f>
        <v/>
      </c>
      <c r="G95" s="37">
        <f>'HIST - cubic meters per day'!G95*6.2898</f>
        <v/>
      </c>
      <c r="H95" s="37">
        <f>'HIST - cubic meters per day'!H95*6.2898</f>
        <v/>
      </c>
      <c r="I95" s="37">
        <f>'HIST - cubic meters per day'!I95*6.2898</f>
        <v/>
      </c>
      <c r="J95" s="37">
        <f>'HIST - cubic meters per day'!J95*6.2898</f>
        <v/>
      </c>
      <c r="K95" s="37">
        <f>'HIST - cubic meters per day'!K95*6.2898</f>
        <v/>
      </c>
      <c r="L95" s="37">
        <f>'HIST - cubic meters per day'!L95*6.2898</f>
        <v/>
      </c>
      <c r="M95" s="37">
        <f>'HIST - cubic meters per day'!M95*6.2898</f>
        <v/>
      </c>
      <c r="N95" s="37">
        <f>'HIST - cubic meters per day'!N95*6.2898</f>
        <v/>
      </c>
      <c r="O95" s="37">
        <f>'HIST - cubic meters per day'!O95*6.2898</f>
        <v/>
      </c>
      <c r="P95" s="37">
        <f>'HIST - cubic meters per day'!P95*6.2898</f>
        <v/>
      </c>
      <c r="Q95" s="37">
        <f>'HIST - cubic meters per day'!Q95*6.2898</f>
        <v/>
      </c>
      <c r="R95" s="37">
        <f>'HIST - cubic meters per day'!R95*6.2898</f>
        <v/>
      </c>
      <c r="S95" s="46">
        <f>'HIST - cubic meters per day'!S95*6.2898</f>
        <v/>
      </c>
    </row>
    <row r="96" ht="12" customHeight="1">
      <c r="A96" s="44" t="n">
        <v>39387</v>
      </c>
      <c r="B96" s="37">
        <f>'HIST - cubic meters per day'!B96*6.2898</f>
        <v/>
      </c>
      <c r="C96" s="37">
        <f>'HIST - cubic meters per day'!C96*6.2898</f>
        <v/>
      </c>
      <c r="D96" s="37">
        <f>'HIST - cubic meters per day'!D96*6.2898</f>
        <v/>
      </c>
      <c r="E96" s="37">
        <f>'HIST - cubic meters per day'!E96*6.2898</f>
        <v/>
      </c>
      <c r="F96" s="37">
        <f>'HIST - cubic meters per day'!F96*6.2898</f>
        <v/>
      </c>
      <c r="G96" s="37">
        <f>'HIST - cubic meters per day'!G96*6.2898</f>
        <v/>
      </c>
      <c r="H96" s="37">
        <f>'HIST - cubic meters per day'!H96*6.2898</f>
        <v/>
      </c>
      <c r="I96" s="37">
        <f>'HIST - cubic meters per day'!I96*6.2898</f>
        <v/>
      </c>
      <c r="J96" s="37">
        <f>'HIST - cubic meters per day'!J96*6.2898</f>
        <v/>
      </c>
      <c r="K96" s="37">
        <f>'HIST - cubic meters per day'!K96*6.2898</f>
        <v/>
      </c>
      <c r="L96" s="37">
        <f>'HIST - cubic meters per day'!L96*6.2898</f>
        <v/>
      </c>
      <c r="M96" s="37">
        <f>'HIST - cubic meters per day'!M96*6.2898</f>
        <v/>
      </c>
      <c r="N96" s="37">
        <f>'HIST - cubic meters per day'!N96*6.2898</f>
        <v/>
      </c>
      <c r="O96" s="37">
        <f>'HIST - cubic meters per day'!O96*6.2898</f>
        <v/>
      </c>
      <c r="P96" s="37">
        <f>'HIST - cubic meters per day'!P96*6.2898</f>
        <v/>
      </c>
      <c r="Q96" s="37">
        <f>'HIST - cubic meters per day'!Q96*6.2898</f>
        <v/>
      </c>
      <c r="R96" s="37">
        <f>'HIST - cubic meters per day'!R96*6.2898</f>
        <v/>
      </c>
      <c r="S96" s="46">
        <f>'HIST - cubic meters per day'!S96*6.2898</f>
        <v/>
      </c>
    </row>
    <row r="97" ht="12" customHeight="1">
      <c r="A97" s="44" t="n">
        <v>39417</v>
      </c>
      <c r="B97" s="37">
        <f>'HIST - cubic meters per day'!B97*6.2898</f>
        <v/>
      </c>
      <c r="C97" s="37">
        <f>'HIST - cubic meters per day'!C97*6.2898</f>
        <v/>
      </c>
      <c r="D97" s="37">
        <f>'HIST - cubic meters per day'!D97*6.2898</f>
        <v/>
      </c>
      <c r="E97" s="37">
        <f>'HIST - cubic meters per day'!E97*6.2898</f>
        <v/>
      </c>
      <c r="F97" s="37">
        <f>'HIST - cubic meters per day'!F97*6.2898</f>
        <v/>
      </c>
      <c r="G97" s="37">
        <f>'HIST - cubic meters per day'!G97*6.2898</f>
        <v/>
      </c>
      <c r="H97" s="37">
        <f>'HIST - cubic meters per day'!H97*6.2898</f>
        <v/>
      </c>
      <c r="I97" s="37">
        <f>'HIST - cubic meters per day'!I97*6.2898</f>
        <v/>
      </c>
      <c r="J97" s="37">
        <f>'HIST - cubic meters per day'!J97*6.2898</f>
        <v/>
      </c>
      <c r="K97" s="37">
        <f>'HIST - cubic meters per day'!K97*6.2898</f>
        <v/>
      </c>
      <c r="L97" s="37">
        <f>'HIST - cubic meters per day'!L97*6.2898</f>
        <v/>
      </c>
      <c r="M97" s="37">
        <f>'HIST - cubic meters per day'!M97*6.2898</f>
        <v/>
      </c>
      <c r="N97" s="37">
        <f>'HIST - cubic meters per day'!N97*6.2898</f>
        <v/>
      </c>
      <c r="O97" s="37">
        <f>'HIST - cubic meters per day'!O97*6.2898</f>
        <v/>
      </c>
      <c r="P97" s="37">
        <f>'HIST - cubic meters per day'!P97*6.2898</f>
        <v/>
      </c>
      <c r="Q97" s="37">
        <f>'HIST - cubic meters per day'!Q97*6.2898</f>
        <v/>
      </c>
      <c r="R97" s="37">
        <f>'HIST - cubic meters per day'!R97*6.2898</f>
        <v/>
      </c>
      <c r="S97" s="46">
        <f>'HIST - cubic meters per day'!S97*6.2898</f>
        <v/>
      </c>
      <c r="V97" s="45" t="n"/>
    </row>
    <row r="98" ht="12" customHeight="1">
      <c r="A98" s="44" t="n">
        <v>39448</v>
      </c>
      <c r="B98" s="37">
        <f>'HIST - cubic meters per day'!B98*6.2898</f>
        <v/>
      </c>
      <c r="C98" s="37">
        <f>'HIST - cubic meters per day'!C98*6.2898</f>
        <v/>
      </c>
      <c r="D98" s="37">
        <f>'HIST - cubic meters per day'!D98*6.2898</f>
        <v/>
      </c>
      <c r="E98" s="37">
        <f>'HIST - cubic meters per day'!E98*6.2898</f>
        <v/>
      </c>
      <c r="F98" s="37">
        <f>'HIST - cubic meters per day'!F98*6.2898</f>
        <v/>
      </c>
      <c r="G98" s="37">
        <f>'HIST - cubic meters per day'!G98*6.2898</f>
        <v/>
      </c>
      <c r="H98" s="37">
        <f>'HIST - cubic meters per day'!H98*6.2898</f>
        <v/>
      </c>
      <c r="I98" s="37">
        <f>'HIST - cubic meters per day'!I98*6.2898</f>
        <v/>
      </c>
      <c r="J98" s="37">
        <f>'HIST - cubic meters per day'!J98*6.2898</f>
        <v/>
      </c>
      <c r="K98" s="37">
        <f>'HIST - cubic meters per day'!K98*6.2898</f>
        <v/>
      </c>
      <c r="L98" s="37">
        <f>'HIST - cubic meters per day'!L98*6.2898</f>
        <v/>
      </c>
      <c r="M98" s="37">
        <f>'HIST - cubic meters per day'!M98*6.2898</f>
        <v/>
      </c>
      <c r="N98" s="37">
        <f>'HIST - cubic meters per day'!N98*6.2898</f>
        <v/>
      </c>
      <c r="O98" s="37">
        <f>'HIST - cubic meters per day'!O98*6.2898</f>
        <v/>
      </c>
      <c r="P98" s="37">
        <f>'HIST - cubic meters per day'!P98*6.2898</f>
        <v/>
      </c>
      <c r="Q98" s="37">
        <f>'HIST - cubic meters per day'!Q98*6.2898</f>
        <v/>
      </c>
      <c r="R98" s="37">
        <f>'HIST - cubic meters per day'!R98*6.2898</f>
        <v/>
      </c>
      <c r="S98" s="46">
        <f>'HIST - cubic meters per day'!S98*6.2898</f>
        <v/>
      </c>
      <c r="U98" s="45">
        <f>'HIST - cubic meters per day'!U98*6.2898</f>
        <v/>
      </c>
      <c r="V98" s="45">
        <f>'HIST - cubic meters per day'!V98*6.2898</f>
        <v/>
      </c>
    </row>
    <row r="99" ht="12" customHeight="1">
      <c r="A99" s="44" t="n">
        <v>39479</v>
      </c>
      <c r="B99" s="37">
        <f>'HIST - cubic meters per day'!B99*6.2898</f>
        <v/>
      </c>
      <c r="C99" s="37">
        <f>'HIST - cubic meters per day'!C99*6.2898</f>
        <v/>
      </c>
      <c r="D99" s="37">
        <f>'HIST - cubic meters per day'!D99*6.2898</f>
        <v/>
      </c>
      <c r="E99" s="37">
        <f>'HIST - cubic meters per day'!E99*6.2898</f>
        <v/>
      </c>
      <c r="F99" s="37">
        <f>'HIST - cubic meters per day'!F99*6.2898</f>
        <v/>
      </c>
      <c r="G99" s="37">
        <f>'HIST - cubic meters per day'!G99*6.2898</f>
        <v/>
      </c>
      <c r="H99" s="37">
        <f>'HIST - cubic meters per day'!H99*6.2898</f>
        <v/>
      </c>
      <c r="I99" s="37">
        <f>'HIST - cubic meters per day'!I99*6.2898</f>
        <v/>
      </c>
      <c r="J99" s="37">
        <f>'HIST - cubic meters per day'!J99*6.2898</f>
        <v/>
      </c>
      <c r="K99" s="37">
        <f>'HIST - cubic meters per day'!K99*6.2898</f>
        <v/>
      </c>
      <c r="L99" s="37">
        <f>'HIST - cubic meters per day'!L99*6.2898</f>
        <v/>
      </c>
      <c r="M99" s="37">
        <f>'HIST - cubic meters per day'!M99*6.2898</f>
        <v/>
      </c>
      <c r="N99" s="37">
        <f>'HIST - cubic meters per day'!N99*6.2898</f>
        <v/>
      </c>
      <c r="O99" s="37">
        <f>'HIST - cubic meters per day'!O99*6.2898</f>
        <v/>
      </c>
      <c r="P99" s="37">
        <f>'HIST - cubic meters per day'!P99*6.2898</f>
        <v/>
      </c>
      <c r="Q99" s="37">
        <f>'HIST - cubic meters per day'!Q99*6.2898</f>
        <v/>
      </c>
      <c r="R99" s="37">
        <f>'HIST - cubic meters per day'!R99*6.2898</f>
        <v/>
      </c>
      <c r="S99" s="46">
        <f>'HIST - cubic meters per day'!S99*6.2898</f>
        <v/>
      </c>
      <c r="U99" s="45">
        <f>'HIST - cubic meters per day'!U99*6.2898</f>
        <v/>
      </c>
      <c r="V99" s="45">
        <f>'HIST - cubic meters per day'!V99*6.2898</f>
        <v/>
      </c>
    </row>
    <row r="100" ht="12" customHeight="1">
      <c r="A100" s="44" t="n">
        <v>39508</v>
      </c>
      <c r="B100" s="37">
        <f>'HIST - cubic meters per day'!B100*6.2898</f>
        <v/>
      </c>
      <c r="C100" s="37">
        <f>'HIST - cubic meters per day'!C100*6.2898</f>
        <v/>
      </c>
      <c r="D100" s="37">
        <f>'HIST - cubic meters per day'!D100*6.2898</f>
        <v/>
      </c>
      <c r="E100" s="37">
        <f>'HIST - cubic meters per day'!E100*6.2898</f>
        <v/>
      </c>
      <c r="F100" s="37">
        <f>'HIST - cubic meters per day'!F100*6.2898</f>
        <v/>
      </c>
      <c r="G100" s="37">
        <f>'HIST - cubic meters per day'!G100*6.2898</f>
        <v/>
      </c>
      <c r="H100" s="37">
        <f>'HIST - cubic meters per day'!H100*6.2898</f>
        <v/>
      </c>
      <c r="I100" s="37">
        <f>'HIST - cubic meters per day'!I100*6.2898</f>
        <v/>
      </c>
      <c r="J100" s="37">
        <f>'HIST - cubic meters per day'!J100*6.2898</f>
        <v/>
      </c>
      <c r="K100" s="37">
        <f>'HIST - cubic meters per day'!K100*6.2898</f>
        <v/>
      </c>
      <c r="L100" s="37">
        <f>'HIST - cubic meters per day'!L100*6.2898</f>
        <v/>
      </c>
      <c r="M100" s="37">
        <f>'HIST - cubic meters per day'!M100*6.2898</f>
        <v/>
      </c>
      <c r="N100" s="37">
        <f>'HIST - cubic meters per day'!N100*6.2898</f>
        <v/>
      </c>
      <c r="O100" s="37">
        <f>'HIST - cubic meters per day'!O100*6.2898</f>
        <v/>
      </c>
      <c r="P100" s="37">
        <f>'HIST - cubic meters per day'!P100*6.2898</f>
        <v/>
      </c>
      <c r="Q100" s="37">
        <f>'HIST - cubic meters per day'!Q100*6.2898</f>
        <v/>
      </c>
      <c r="R100" s="37">
        <f>'HIST - cubic meters per day'!R100*6.2898</f>
        <v/>
      </c>
      <c r="S100" s="46">
        <f>'HIST - cubic meters per day'!S100*6.2898</f>
        <v/>
      </c>
      <c r="U100" s="45">
        <f>'HIST - cubic meters per day'!U100*6.2898</f>
        <v/>
      </c>
      <c r="V100" s="45">
        <f>'HIST - cubic meters per day'!V100*6.2898</f>
        <v/>
      </c>
    </row>
    <row r="101" ht="12" customHeight="1">
      <c r="A101" s="44" t="n">
        <v>39539</v>
      </c>
      <c r="B101" s="37">
        <f>'HIST - cubic meters per day'!B101*6.2898</f>
        <v/>
      </c>
      <c r="C101" s="37">
        <f>'HIST - cubic meters per day'!C101*6.2898</f>
        <v/>
      </c>
      <c r="D101" s="37">
        <f>'HIST - cubic meters per day'!D101*6.2898</f>
        <v/>
      </c>
      <c r="E101" s="37">
        <f>'HIST - cubic meters per day'!E101*6.2898</f>
        <v/>
      </c>
      <c r="F101" s="37">
        <f>'HIST - cubic meters per day'!F101*6.2898</f>
        <v/>
      </c>
      <c r="G101" s="37">
        <f>'HIST - cubic meters per day'!G101*6.2898</f>
        <v/>
      </c>
      <c r="H101" s="37">
        <f>'HIST - cubic meters per day'!H101*6.2898</f>
        <v/>
      </c>
      <c r="I101" s="37">
        <f>'HIST - cubic meters per day'!I101*6.2898</f>
        <v/>
      </c>
      <c r="J101" s="37">
        <f>'HIST - cubic meters per day'!J101*6.2898</f>
        <v/>
      </c>
      <c r="K101" s="37">
        <f>'HIST - cubic meters per day'!K101*6.2898</f>
        <v/>
      </c>
      <c r="L101" s="37">
        <f>'HIST - cubic meters per day'!L101*6.2898</f>
        <v/>
      </c>
      <c r="M101" s="37">
        <f>'HIST - cubic meters per day'!M101*6.2898</f>
        <v/>
      </c>
      <c r="N101" s="37">
        <f>'HIST - cubic meters per day'!N101*6.2898</f>
        <v/>
      </c>
      <c r="O101" s="37">
        <f>'HIST - cubic meters per day'!O101*6.2898</f>
        <v/>
      </c>
      <c r="P101" s="37">
        <f>'HIST - cubic meters per day'!P101*6.2898</f>
        <v/>
      </c>
      <c r="Q101" s="37">
        <f>'HIST - cubic meters per day'!Q101*6.2898</f>
        <v/>
      </c>
      <c r="R101" s="37">
        <f>'HIST - cubic meters per day'!R101*6.2898</f>
        <v/>
      </c>
      <c r="S101" s="46">
        <f>'HIST - cubic meters per day'!S101*6.2898</f>
        <v/>
      </c>
      <c r="U101" s="45">
        <f>'HIST - cubic meters per day'!U101*6.2898</f>
        <v/>
      </c>
      <c r="V101" s="45">
        <f>'HIST - cubic meters per day'!V101*6.2898</f>
        <v/>
      </c>
    </row>
    <row r="102" ht="12" customHeight="1">
      <c r="A102" s="44" t="n">
        <v>39569</v>
      </c>
      <c r="B102" s="37">
        <f>'HIST - cubic meters per day'!B102*6.2898</f>
        <v/>
      </c>
      <c r="C102" s="37">
        <f>'HIST - cubic meters per day'!C102*6.2898</f>
        <v/>
      </c>
      <c r="D102" s="37">
        <f>'HIST - cubic meters per day'!D102*6.2898</f>
        <v/>
      </c>
      <c r="E102" s="37">
        <f>'HIST - cubic meters per day'!E102*6.2898</f>
        <v/>
      </c>
      <c r="F102" s="37">
        <f>'HIST - cubic meters per day'!F102*6.2898</f>
        <v/>
      </c>
      <c r="G102" s="37">
        <f>'HIST - cubic meters per day'!G102*6.2898</f>
        <v/>
      </c>
      <c r="H102" s="37">
        <f>'HIST - cubic meters per day'!H102*6.2898</f>
        <v/>
      </c>
      <c r="I102" s="37">
        <f>'HIST - cubic meters per day'!I102*6.2898</f>
        <v/>
      </c>
      <c r="J102" s="37">
        <f>'HIST - cubic meters per day'!J102*6.2898</f>
        <v/>
      </c>
      <c r="K102" s="37">
        <f>'HIST - cubic meters per day'!K102*6.2898</f>
        <v/>
      </c>
      <c r="L102" s="37">
        <f>'HIST - cubic meters per day'!L102*6.2898</f>
        <v/>
      </c>
      <c r="M102" s="37">
        <f>'HIST - cubic meters per day'!M102*6.2898</f>
        <v/>
      </c>
      <c r="N102" s="37">
        <f>'HIST - cubic meters per day'!N102*6.2898</f>
        <v/>
      </c>
      <c r="O102" s="37">
        <f>'HIST - cubic meters per day'!O102*6.2898</f>
        <v/>
      </c>
      <c r="P102" s="37">
        <f>'HIST - cubic meters per day'!P102*6.2898</f>
        <v/>
      </c>
      <c r="Q102" s="37">
        <f>'HIST - cubic meters per day'!Q102*6.2898</f>
        <v/>
      </c>
      <c r="R102" s="37">
        <f>'HIST - cubic meters per day'!R102*6.2898</f>
        <v/>
      </c>
      <c r="S102" s="46">
        <f>'HIST - cubic meters per day'!S102*6.2898</f>
        <v/>
      </c>
      <c r="U102" s="45">
        <f>'HIST - cubic meters per day'!U102*6.2898</f>
        <v/>
      </c>
      <c r="V102" s="45">
        <f>'HIST - cubic meters per day'!V102*6.2898</f>
        <v/>
      </c>
    </row>
    <row r="103" ht="12" customHeight="1">
      <c r="A103" s="44" t="n">
        <v>39600</v>
      </c>
      <c r="B103" s="37">
        <f>'HIST - cubic meters per day'!B103*6.2898</f>
        <v/>
      </c>
      <c r="C103" s="37">
        <f>'HIST - cubic meters per day'!C103*6.2898</f>
        <v/>
      </c>
      <c r="D103" s="37">
        <f>'HIST - cubic meters per day'!D103*6.2898</f>
        <v/>
      </c>
      <c r="E103" s="37">
        <f>'HIST - cubic meters per day'!E103*6.2898</f>
        <v/>
      </c>
      <c r="F103" s="37">
        <f>'HIST - cubic meters per day'!F103*6.2898</f>
        <v/>
      </c>
      <c r="G103" s="37">
        <f>'HIST - cubic meters per day'!G103*6.2898</f>
        <v/>
      </c>
      <c r="H103" s="37">
        <f>'HIST - cubic meters per day'!H103*6.2898</f>
        <v/>
      </c>
      <c r="I103" s="37">
        <f>'HIST - cubic meters per day'!I103*6.2898</f>
        <v/>
      </c>
      <c r="J103" s="37">
        <f>'HIST - cubic meters per day'!J103*6.2898</f>
        <v/>
      </c>
      <c r="K103" s="37">
        <f>'HIST - cubic meters per day'!K103*6.2898</f>
        <v/>
      </c>
      <c r="L103" s="37">
        <f>'HIST - cubic meters per day'!L103*6.2898</f>
        <v/>
      </c>
      <c r="M103" s="37">
        <f>'HIST - cubic meters per day'!M103*6.2898</f>
        <v/>
      </c>
      <c r="N103" s="37">
        <f>'HIST - cubic meters per day'!N103*6.2898</f>
        <v/>
      </c>
      <c r="O103" s="37">
        <f>'HIST - cubic meters per day'!O103*6.2898</f>
        <v/>
      </c>
      <c r="P103" s="37">
        <f>'HIST - cubic meters per day'!P103*6.2898</f>
        <v/>
      </c>
      <c r="Q103" s="37">
        <f>'HIST - cubic meters per day'!Q103*6.2898</f>
        <v/>
      </c>
      <c r="R103" s="37">
        <f>'HIST - cubic meters per day'!R103*6.2898</f>
        <v/>
      </c>
      <c r="S103" s="46">
        <f>'HIST - cubic meters per day'!S103*6.2898</f>
        <v/>
      </c>
      <c r="U103" s="45">
        <f>'HIST - cubic meters per day'!U103*6.2898</f>
        <v/>
      </c>
      <c r="V103" s="45">
        <f>'HIST - cubic meters per day'!V103*6.2898</f>
        <v/>
      </c>
    </row>
    <row r="104" ht="12" customHeight="1">
      <c r="A104" s="44" t="n">
        <v>39630</v>
      </c>
      <c r="B104" s="37">
        <f>'HIST - cubic meters per day'!B104*6.2898</f>
        <v/>
      </c>
      <c r="C104" s="37">
        <f>'HIST - cubic meters per day'!C104*6.2898</f>
        <v/>
      </c>
      <c r="D104" s="37">
        <f>'HIST - cubic meters per day'!D104*6.2898</f>
        <v/>
      </c>
      <c r="E104" s="37">
        <f>'HIST - cubic meters per day'!E104*6.2898</f>
        <v/>
      </c>
      <c r="F104" s="37">
        <f>'HIST - cubic meters per day'!F104*6.2898</f>
        <v/>
      </c>
      <c r="G104" s="37">
        <f>'HIST - cubic meters per day'!G104*6.2898</f>
        <v/>
      </c>
      <c r="H104" s="37">
        <f>'HIST - cubic meters per day'!H104*6.2898</f>
        <v/>
      </c>
      <c r="I104" s="37">
        <f>'HIST - cubic meters per day'!I104*6.2898</f>
        <v/>
      </c>
      <c r="J104" s="37">
        <f>'HIST - cubic meters per day'!J104*6.2898</f>
        <v/>
      </c>
      <c r="K104" s="37">
        <f>'HIST - cubic meters per day'!K104*6.2898</f>
        <v/>
      </c>
      <c r="L104" s="37">
        <f>'HIST - cubic meters per day'!L104*6.2898</f>
        <v/>
      </c>
      <c r="M104" s="37">
        <f>'HIST - cubic meters per day'!M104*6.2898</f>
        <v/>
      </c>
      <c r="N104" s="37">
        <f>'HIST - cubic meters per day'!N104*6.2898</f>
        <v/>
      </c>
      <c r="O104" s="37">
        <f>'HIST - cubic meters per day'!O104*6.2898</f>
        <v/>
      </c>
      <c r="P104" s="37">
        <f>'HIST - cubic meters per day'!P104*6.2898</f>
        <v/>
      </c>
      <c r="Q104" s="37">
        <f>'HIST - cubic meters per day'!Q104*6.2898</f>
        <v/>
      </c>
      <c r="R104" s="37">
        <f>'HIST - cubic meters per day'!R104*6.2898</f>
        <v/>
      </c>
      <c r="S104" s="46">
        <f>'HIST - cubic meters per day'!S104*6.2898</f>
        <v/>
      </c>
      <c r="U104" s="45">
        <f>'HIST - cubic meters per day'!U104*6.2898</f>
        <v/>
      </c>
      <c r="V104" s="45">
        <f>'HIST - cubic meters per day'!V104*6.2898</f>
        <v/>
      </c>
    </row>
    <row r="105" ht="12" customHeight="1">
      <c r="A105" s="44" t="n">
        <v>39661</v>
      </c>
      <c r="B105" s="37">
        <f>'HIST - cubic meters per day'!B105*6.2898</f>
        <v/>
      </c>
      <c r="C105" s="37">
        <f>'HIST - cubic meters per day'!C105*6.2898</f>
        <v/>
      </c>
      <c r="D105" s="37">
        <f>'HIST - cubic meters per day'!D105*6.2898</f>
        <v/>
      </c>
      <c r="E105" s="37">
        <f>'HIST - cubic meters per day'!E105*6.2898</f>
        <v/>
      </c>
      <c r="F105" s="37">
        <f>'HIST - cubic meters per day'!F105*6.2898</f>
        <v/>
      </c>
      <c r="G105" s="37">
        <f>'HIST - cubic meters per day'!G105*6.2898</f>
        <v/>
      </c>
      <c r="H105" s="37">
        <f>'HIST - cubic meters per day'!H105*6.2898</f>
        <v/>
      </c>
      <c r="I105" s="37">
        <f>'HIST - cubic meters per day'!I105*6.2898</f>
        <v/>
      </c>
      <c r="J105" s="37">
        <f>'HIST - cubic meters per day'!J105*6.2898</f>
        <v/>
      </c>
      <c r="K105" s="37">
        <f>'HIST - cubic meters per day'!K105*6.2898</f>
        <v/>
      </c>
      <c r="L105" s="37">
        <f>'HIST - cubic meters per day'!L105*6.2898</f>
        <v/>
      </c>
      <c r="M105" s="37">
        <f>'HIST - cubic meters per day'!M105*6.2898</f>
        <v/>
      </c>
      <c r="N105" s="37">
        <f>'HIST - cubic meters per day'!N105*6.2898</f>
        <v/>
      </c>
      <c r="O105" s="37">
        <f>'HIST - cubic meters per day'!O105*6.2898</f>
        <v/>
      </c>
      <c r="P105" s="37">
        <f>'HIST - cubic meters per day'!P105*6.2898</f>
        <v/>
      </c>
      <c r="Q105" s="37">
        <f>'HIST - cubic meters per day'!Q105*6.2898</f>
        <v/>
      </c>
      <c r="R105" s="37">
        <f>'HIST - cubic meters per day'!R105*6.2898</f>
        <v/>
      </c>
      <c r="S105" s="46">
        <f>'HIST - cubic meters per day'!S105*6.2898</f>
        <v/>
      </c>
      <c r="U105" s="45">
        <f>'HIST - cubic meters per day'!U105*6.2898</f>
        <v/>
      </c>
      <c r="V105" s="45">
        <f>'HIST - cubic meters per day'!V105*6.2898</f>
        <v/>
      </c>
    </row>
    <row r="106" ht="12" customHeight="1">
      <c r="A106" s="44" t="n">
        <v>39692</v>
      </c>
      <c r="B106" s="37">
        <f>'HIST - cubic meters per day'!B106*6.2898</f>
        <v/>
      </c>
      <c r="C106" s="37">
        <f>'HIST - cubic meters per day'!C106*6.2898</f>
        <v/>
      </c>
      <c r="D106" s="37">
        <f>'HIST - cubic meters per day'!D106*6.2898</f>
        <v/>
      </c>
      <c r="E106" s="37">
        <f>'HIST - cubic meters per day'!E106*6.2898</f>
        <v/>
      </c>
      <c r="F106" s="37">
        <f>'HIST - cubic meters per day'!F106*6.2898</f>
        <v/>
      </c>
      <c r="G106" s="37">
        <f>'HIST - cubic meters per day'!G106*6.2898</f>
        <v/>
      </c>
      <c r="H106" s="37">
        <f>'HIST - cubic meters per day'!H106*6.2898</f>
        <v/>
      </c>
      <c r="I106" s="37">
        <f>'HIST - cubic meters per day'!I106*6.2898</f>
        <v/>
      </c>
      <c r="J106" s="37">
        <f>'HIST - cubic meters per day'!J106*6.2898</f>
        <v/>
      </c>
      <c r="K106" s="37">
        <f>'HIST - cubic meters per day'!K106*6.2898</f>
        <v/>
      </c>
      <c r="L106" s="37">
        <f>'HIST - cubic meters per day'!L106*6.2898</f>
        <v/>
      </c>
      <c r="M106" s="37">
        <f>'HIST - cubic meters per day'!M106*6.2898</f>
        <v/>
      </c>
      <c r="N106" s="37">
        <f>'HIST - cubic meters per day'!N106*6.2898</f>
        <v/>
      </c>
      <c r="O106" s="37">
        <f>'HIST - cubic meters per day'!O106*6.2898</f>
        <v/>
      </c>
      <c r="P106" s="37">
        <f>'HIST - cubic meters per day'!P106*6.2898</f>
        <v/>
      </c>
      <c r="Q106" s="37">
        <f>'HIST - cubic meters per day'!Q106*6.2898</f>
        <v/>
      </c>
      <c r="R106" s="37">
        <f>'HIST - cubic meters per day'!R106*6.2898</f>
        <v/>
      </c>
      <c r="S106" s="46">
        <f>'HIST - cubic meters per day'!S106*6.2898</f>
        <v/>
      </c>
      <c r="U106" s="45">
        <f>'HIST - cubic meters per day'!U106*6.2898</f>
        <v/>
      </c>
      <c r="V106" s="45">
        <f>'HIST - cubic meters per day'!V106*6.2898</f>
        <v/>
      </c>
    </row>
    <row r="107" ht="12" customHeight="1">
      <c r="A107" s="44" t="n">
        <v>39722</v>
      </c>
      <c r="B107" s="37">
        <f>'HIST - cubic meters per day'!B107*6.2898</f>
        <v/>
      </c>
      <c r="C107" s="37">
        <f>'HIST - cubic meters per day'!C107*6.2898</f>
        <v/>
      </c>
      <c r="D107" s="37">
        <f>'HIST - cubic meters per day'!D107*6.2898</f>
        <v/>
      </c>
      <c r="E107" s="37">
        <f>'HIST - cubic meters per day'!E107*6.2898</f>
        <v/>
      </c>
      <c r="F107" s="37">
        <f>'HIST - cubic meters per day'!F107*6.2898</f>
        <v/>
      </c>
      <c r="G107" s="37">
        <f>'HIST - cubic meters per day'!G107*6.2898</f>
        <v/>
      </c>
      <c r="H107" s="37">
        <f>'HIST - cubic meters per day'!H107*6.2898</f>
        <v/>
      </c>
      <c r="I107" s="37">
        <f>'HIST - cubic meters per day'!I107*6.2898</f>
        <v/>
      </c>
      <c r="J107" s="37">
        <f>'HIST - cubic meters per day'!J107*6.2898</f>
        <v/>
      </c>
      <c r="K107" s="37">
        <f>'HIST - cubic meters per day'!K107*6.2898</f>
        <v/>
      </c>
      <c r="L107" s="37">
        <f>'HIST - cubic meters per day'!L107*6.2898</f>
        <v/>
      </c>
      <c r="M107" s="37">
        <f>'HIST - cubic meters per day'!M107*6.2898</f>
        <v/>
      </c>
      <c r="N107" s="37">
        <f>'HIST - cubic meters per day'!N107*6.2898</f>
        <v/>
      </c>
      <c r="O107" s="37">
        <f>'HIST - cubic meters per day'!O107*6.2898</f>
        <v/>
      </c>
      <c r="P107" s="37">
        <f>'HIST - cubic meters per day'!P107*6.2898</f>
        <v/>
      </c>
      <c r="Q107" s="37">
        <f>'HIST - cubic meters per day'!Q107*6.2898</f>
        <v/>
      </c>
      <c r="R107" s="37">
        <f>'HIST - cubic meters per day'!R107*6.2898</f>
        <v/>
      </c>
      <c r="S107" s="46">
        <f>'HIST - cubic meters per day'!S107*6.2898</f>
        <v/>
      </c>
      <c r="U107" s="45">
        <f>'HIST - cubic meters per day'!U107*6.2898</f>
        <v/>
      </c>
      <c r="V107" s="45">
        <f>'HIST - cubic meters per day'!V107*6.2898</f>
        <v/>
      </c>
    </row>
    <row r="108" ht="12" customHeight="1">
      <c r="A108" s="44" t="n">
        <v>39753</v>
      </c>
      <c r="B108" s="37">
        <f>'HIST - cubic meters per day'!B108*6.2898</f>
        <v/>
      </c>
      <c r="C108" s="37">
        <f>'HIST - cubic meters per day'!C108*6.2898</f>
        <v/>
      </c>
      <c r="D108" s="37">
        <f>'HIST - cubic meters per day'!D108*6.2898</f>
        <v/>
      </c>
      <c r="E108" s="37">
        <f>'HIST - cubic meters per day'!E108*6.2898</f>
        <v/>
      </c>
      <c r="F108" s="37">
        <f>'HIST - cubic meters per day'!F108*6.2898</f>
        <v/>
      </c>
      <c r="G108" s="37">
        <f>'HIST - cubic meters per day'!G108*6.2898</f>
        <v/>
      </c>
      <c r="H108" s="37">
        <f>'HIST - cubic meters per day'!H108*6.2898</f>
        <v/>
      </c>
      <c r="I108" s="37">
        <f>'HIST - cubic meters per day'!I108*6.2898</f>
        <v/>
      </c>
      <c r="J108" s="37">
        <f>'HIST - cubic meters per day'!J108*6.2898</f>
        <v/>
      </c>
      <c r="K108" s="37">
        <f>'HIST - cubic meters per day'!K108*6.2898</f>
        <v/>
      </c>
      <c r="L108" s="37">
        <f>'HIST - cubic meters per day'!L108*6.2898</f>
        <v/>
      </c>
      <c r="M108" s="37">
        <f>'HIST - cubic meters per day'!M108*6.2898</f>
        <v/>
      </c>
      <c r="N108" s="37">
        <f>'HIST - cubic meters per day'!N108*6.2898</f>
        <v/>
      </c>
      <c r="O108" s="37">
        <f>'HIST - cubic meters per day'!O108*6.2898</f>
        <v/>
      </c>
      <c r="P108" s="37">
        <f>'HIST - cubic meters per day'!P108*6.2898</f>
        <v/>
      </c>
      <c r="Q108" s="37">
        <f>'HIST - cubic meters per day'!Q108*6.2898</f>
        <v/>
      </c>
      <c r="R108" s="37">
        <f>'HIST - cubic meters per day'!R108*6.2898</f>
        <v/>
      </c>
      <c r="S108" s="46">
        <f>'HIST - cubic meters per day'!S108*6.2898</f>
        <v/>
      </c>
      <c r="U108" s="45">
        <f>'HIST - cubic meters per day'!U108*6.2898</f>
        <v/>
      </c>
      <c r="V108" s="45">
        <f>'HIST - cubic meters per day'!V108*6.2898</f>
        <v/>
      </c>
    </row>
    <row r="109" ht="12" customHeight="1">
      <c r="A109" s="44" t="n">
        <v>39783</v>
      </c>
      <c r="B109" s="37">
        <f>'HIST - cubic meters per day'!B109*6.2898</f>
        <v/>
      </c>
      <c r="C109" s="37">
        <f>'HIST - cubic meters per day'!C109*6.2898</f>
        <v/>
      </c>
      <c r="D109" s="37">
        <f>'HIST - cubic meters per day'!D109*6.2898</f>
        <v/>
      </c>
      <c r="E109" s="37">
        <f>'HIST - cubic meters per day'!E109*6.2898</f>
        <v/>
      </c>
      <c r="F109" s="37">
        <f>'HIST - cubic meters per day'!F109*6.2898</f>
        <v/>
      </c>
      <c r="G109" s="37">
        <f>'HIST - cubic meters per day'!G109*6.2898</f>
        <v/>
      </c>
      <c r="H109" s="37">
        <f>'HIST - cubic meters per day'!H109*6.2898</f>
        <v/>
      </c>
      <c r="I109" s="37">
        <f>'HIST - cubic meters per day'!I109*6.2898</f>
        <v/>
      </c>
      <c r="J109" s="37">
        <f>'HIST - cubic meters per day'!J109*6.2898</f>
        <v/>
      </c>
      <c r="K109" s="37">
        <f>'HIST - cubic meters per day'!K109*6.2898</f>
        <v/>
      </c>
      <c r="L109" s="37">
        <f>'HIST - cubic meters per day'!L109*6.2898</f>
        <v/>
      </c>
      <c r="M109" s="37">
        <f>'HIST - cubic meters per day'!M109*6.2898</f>
        <v/>
      </c>
      <c r="N109" s="37">
        <f>'HIST - cubic meters per day'!N109*6.2898</f>
        <v/>
      </c>
      <c r="O109" s="37">
        <f>'HIST - cubic meters per day'!O109*6.2898</f>
        <v/>
      </c>
      <c r="P109" s="37">
        <f>'HIST - cubic meters per day'!P109*6.2898</f>
        <v/>
      </c>
      <c r="Q109" s="37">
        <f>'HIST - cubic meters per day'!Q109*6.2898</f>
        <v/>
      </c>
      <c r="R109" s="37">
        <f>'HIST - cubic meters per day'!R109*6.2898</f>
        <v/>
      </c>
      <c r="S109" s="46">
        <f>'HIST - cubic meters per day'!S109*6.2898</f>
        <v/>
      </c>
      <c r="U109" s="45">
        <f>'HIST - cubic meters per day'!U109*6.2898</f>
        <v/>
      </c>
      <c r="V109" s="45">
        <f>'HIST - cubic meters per day'!V109*6.2898</f>
        <v/>
      </c>
    </row>
    <row r="110" ht="12" customHeight="1">
      <c r="A110" s="44" t="n">
        <v>39814</v>
      </c>
      <c r="B110" s="37">
        <f>'HIST - cubic meters per day'!B110*6.2898</f>
        <v/>
      </c>
      <c r="C110" s="37">
        <f>'HIST - cubic meters per day'!C110*6.2898</f>
        <v/>
      </c>
      <c r="D110" s="37">
        <f>'HIST - cubic meters per day'!D110*6.2898</f>
        <v/>
      </c>
      <c r="E110" s="37">
        <f>'HIST - cubic meters per day'!E110*6.2898</f>
        <v/>
      </c>
      <c r="F110" s="37">
        <f>'HIST - cubic meters per day'!F110*6.2898</f>
        <v/>
      </c>
      <c r="G110" s="37">
        <f>'HIST - cubic meters per day'!G110*6.2898</f>
        <v/>
      </c>
      <c r="H110" s="37">
        <f>'HIST - cubic meters per day'!H110*6.2898</f>
        <v/>
      </c>
      <c r="I110" s="37">
        <f>'HIST - cubic meters per day'!I110*6.2898</f>
        <v/>
      </c>
      <c r="J110" s="37">
        <f>'HIST - cubic meters per day'!J110*6.2898</f>
        <v/>
      </c>
      <c r="K110" s="37">
        <f>'HIST - cubic meters per day'!K110*6.2898</f>
        <v/>
      </c>
      <c r="L110" s="37">
        <f>'HIST - cubic meters per day'!L110*6.2898</f>
        <v/>
      </c>
      <c r="M110" s="37">
        <f>'HIST - cubic meters per day'!M110*6.2898</f>
        <v/>
      </c>
      <c r="N110" s="37">
        <f>'HIST - cubic meters per day'!N110*6.2898</f>
        <v/>
      </c>
      <c r="O110" s="37">
        <f>'HIST - cubic meters per day'!O110*6.2898</f>
        <v/>
      </c>
      <c r="P110" s="37">
        <f>'HIST - cubic meters per day'!P110*6.2898</f>
        <v/>
      </c>
      <c r="Q110" s="37">
        <f>'HIST - cubic meters per day'!Q110*6.2898</f>
        <v/>
      </c>
      <c r="R110" s="37">
        <f>'HIST - cubic meters per day'!R110*6.2898</f>
        <v/>
      </c>
      <c r="S110" s="46">
        <f>'HIST - cubic meters per day'!S110*6.2898</f>
        <v/>
      </c>
      <c r="U110" s="45">
        <f>'HIST - cubic meters per day'!U110*6.2898</f>
        <v/>
      </c>
      <c r="V110" s="45">
        <f>'HIST - cubic meters per day'!V110*6.2898</f>
        <v/>
      </c>
    </row>
    <row r="111" ht="12" customHeight="1">
      <c r="A111" s="44" t="n">
        <v>39845</v>
      </c>
      <c r="B111" s="37">
        <f>'HIST - cubic meters per day'!B111*6.2898</f>
        <v/>
      </c>
      <c r="C111" s="37">
        <f>'HIST - cubic meters per day'!C111*6.2898</f>
        <v/>
      </c>
      <c r="D111" s="37">
        <f>'HIST - cubic meters per day'!D111*6.2898</f>
        <v/>
      </c>
      <c r="E111" s="37">
        <f>'HIST - cubic meters per day'!E111*6.2898</f>
        <v/>
      </c>
      <c r="F111" s="37">
        <f>'HIST - cubic meters per day'!F111*6.2898</f>
        <v/>
      </c>
      <c r="G111" s="37">
        <f>'HIST - cubic meters per day'!G111*6.2898</f>
        <v/>
      </c>
      <c r="H111" s="37">
        <f>'HIST - cubic meters per day'!H111*6.2898</f>
        <v/>
      </c>
      <c r="I111" s="37">
        <f>'HIST - cubic meters per day'!I111*6.2898</f>
        <v/>
      </c>
      <c r="J111" s="37">
        <f>'HIST - cubic meters per day'!J111*6.2898</f>
        <v/>
      </c>
      <c r="K111" s="37">
        <f>'HIST - cubic meters per day'!K111*6.2898</f>
        <v/>
      </c>
      <c r="L111" s="37">
        <f>'HIST - cubic meters per day'!L111*6.2898</f>
        <v/>
      </c>
      <c r="M111" s="37">
        <f>'HIST - cubic meters per day'!M111*6.2898</f>
        <v/>
      </c>
      <c r="N111" s="37">
        <f>'HIST - cubic meters per day'!N111*6.2898</f>
        <v/>
      </c>
      <c r="O111" s="37">
        <f>'HIST - cubic meters per day'!O111*6.2898</f>
        <v/>
      </c>
      <c r="P111" s="37">
        <f>'HIST - cubic meters per day'!P111*6.2898</f>
        <v/>
      </c>
      <c r="Q111" s="37">
        <f>'HIST - cubic meters per day'!Q111*6.2898</f>
        <v/>
      </c>
      <c r="R111" s="37">
        <f>'HIST - cubic meters per day'!R111*6.2898</f>
        <v/>
      </c>
      <c r="S111" s="46">
        <f>'HIST - cubic meters per day'!S111*6.2898</f>
        <v/>
      </c>
      <c r="U111" s="45">
        <f>'HIST - cubic meters per day'!U111*6.2898</f>
        <v/>
      </c>
      <c r="V111" s="45">
        <f>'HIST - cubic meters per day'!V111*6.2898</f>
        <v/>
      </c>
    </row>
    <row r="112" ht="12" customHeight="1">
      <c r="A112" s="44" t="n">
        <v>39873</v>
      </c>
      <c r="B112" s="37">
        <f>'HIST - cubic meters per day'!B112*6.2898</f>
        <v/>
      </c>
      <c r="C112" s="37">
        <f>'HIST - cubic meters per day'!C112*6.2898</f>
        <v/>
      </c>
      <c r="D112" s="37">
        <f>'HIST - cubic meters per day'!D112*6.2898</f>
        <v/>
      </c>
      <c r="E112" s="37">
        <f>'HIST - cubic meters per day'!E112*6.2898</f>
        <v/>
      </c>
      <c r="F112" s="37">
        <f>'HIST - cubic meters per day'!F112*6.2898</f>
        <v/>
      </c>
      <c r="G112" s="37">
        <f>'HIST - cubic meters per day'!G112*6.2898</f>
        <v/>
      </c>
      <c r="H112" s="37">
        <f>'HIST - cubic meters per day'!H112*6.2898</f>
        <v/>
      </c>
      <c r="I112" s="37">
        <f>'HIST - cubic meters per day'!I112*6.2898</f>
        <v/>
      </c>
      <c r="J112" s="37">
        <f>'HIST - cubic meters per day'!J112*6.2898</f>
        <v/>
      </c>
      <c r="K112" s="37">
        <f>'HIST - cubic meters per day'!K112*6.2898</f>
        <v/>
      </c>
      <c r="L112" s="37">
        <f>'HIST - cubic meters per day'!L112*6.2898</f>
        <v/>
      </c>
      <c r="M112" s="37">
        <f>'HIST - cubic meters per day'!M112*6.2898</f>
        <v/>
      </c>
      <c r="N112" s="37">
        <f>'HIST - cubic meters per day'!N112*6.2898</f>
        <v/>
      </c>
      <c r="O112" s="37">
        <f>'HIST - cubic meters per day'!O112*6.2898</f>
        <v/>
      </c>
      <c r="P112" s="37">
        <f>'HIST - cubic meters per day'!P112*6.2898</f>
        <v/>
      </c>
      <c r="Q112" s="37">
        <f>'HIST - cubic meters per day'!Q112*6.2898</f>
        <v/>
      </c>
      <c r="R112" s="37">
        <f>'HIST - cubic meters per day'!R112*6.2898</f>
        <v/>
      </c>
      <c r="S112" s="46">
        <f>'HIST - cubic meters per day'!S112*6.2898</f>
        <v/>
      </c>
      <c r="U112" s="45">
        <f>'HIST - cubic meters per day'!U112*6.2898</f>
        <v/>
      </c>
      <c r="V112" s="45">
        <f>'HIST - cubic meters per day'!V112*6.2898</f>
        <v/>
      </c>
    </row>
    <row r="113" ht="12" customHeight="1">
      <c r="A113" s="44" t="n">
        <v>39904</v>
      </c>
      <c r="B113" s="37">
        <f>'HIST - cubic meters per day'!B113*6.2898</f>
        <v/>
      </c>
      <c r="C113" s="37">
        <f>'HIST - cubic meters per day'!C113*6.2898</f>
        <v/>
      </c>
      <c r="D113" s="37">
        <f>'HIST - cubic meters per day'!D113*6.2898</f>
        <v/>
      </c>
      <c r="E113" s="37">
        <f>'HIST - cubic meters per day'!E113*6.2898</f>
        <v/>
      </c>
      <c r="F113" s="37">
        <f>'HIST - cubic meters per day'!F113*6.2898</f>
        <v/>
      </c>
      <c r="G113" s="37">
        <f>'HIST - cubic meters per day'!G113*6.2898</f>
        <v/>
      </c>
      <c r="H113" s="37">
        <f>'HIST - cubic meters per day'!H113*6.2898</f>
        <v/>
      </c>
      <c r="I113" s="37">
        <f>'HIST - cubic meters per day'!I113*6.2898</f>
        <v/>
      </c>
      <c r="J113" s="37">
        <f>'HIST - cubic meters per day'!J113*6.2898</f>
        <v/>
      </c>
      <c r="K113" s="37">
        <f>'HIST - cubic meters per day'!K113*6.2898</f>
        <v/>
      </c>
      <c r="L113" s="37">
        <f>'HIST - cubic meters per day'!L113*6.2898</f>
        <v/>
      </c>
      <c r="M113" s="37">
        <f>'HIST - cubic meters per day'!M113*6.2898</f>
        <v/>
      </c>
      <c r="N113" s="37">
        <f>'HIST - cubic meters per day'!N113*6.2898</f>
        <v/>
      </c>
      <c r="O113" s="37">
        <f>'HIST - cubic meters per day'!O113*6.2898</f>
        <v/>
      </c>
      <c r="P113" s="37">
        <f>'HIST - cubic meters per day'!P113*6.2898</f>
        <v/>
      </c>
      <c r="Q113" s="37">
        <f>'HIST - cubic meters per day'!Q113*6.2898</f>
        <v/>
      </c>
      <c r="R113" s="37">
        <f>'HIST - cubic meters per day'!R113*6.2898</f>
        <v/>
      </c>
      <c r="S113" s="46">
        <f>'HIST - cubic meters per day'!S113*6.2898</f>
        <v/>
      </c>
      <c r="U113" s="45">
        <f>'HIST - cubic meters per day'!U113*6.2898</f>
        <v/>
      </c>
      <c r="V113" s="45">
        <f>'HIST - cubic meters per day'!V113*6.2898</f>
        <v/>
      </c>
    </row>
    <row r="114" ht="12" customHeight="1">
      <c r="A114" s="44" t="n">
        <v>39934</v>
      </c>
      <c r="B114" s="37">
        <f>'HIST - cubic meters per day'!B114*6.2898</f>
        <v/>
      </c>
      <c r="C114" s="37">
        <f>'HIST - cubic meters per day'!C114*6.2898</f>
        <v/>
      </c>
      <c r="D114" s="37">
        <f>'HIST - cubic meters per day'!D114*6.2898</f>
        <v/>
      </c>
      <c r="E114" s="37">
        <f>'HIST - cubic meters per day'!E114*6.2898</f>
        <v/>
      </c>
      <c r="F114" s="37">
        <f>'HIST - cubic meters per day'!F114*6.2898</f>
        <v/>
      </c>
      <c r="G114" s="37">
        <f>'HIST - cubic meters per day'!G114*6.2898</f>
        <v/>
      </c>
      <c r="H114" s="37">
        <f>'HIST - cubic meters per day'!H114*6.2898</f>
        <v/>
      </c>
      <c r="I114" s="37">
        <f>'HIST - cubic meters per day'!I114*6.2898</f>
        <v/>
      </c>
      <c r="J114" s="37">
        <f>'HIST - cubic meters per day'!J114*6.2898</f>
        <v/>
      </c>
      <c r="K114" s="37">
        <f>'HIST - cubic meters per day'!K114*6.2898</f>
        <v/>
      </c>
      <c r="L114" s="37">
        <f>'HIST - cubic meters per day'!L114*6.2898</f>
        <v/>
      </c>
      <c r="M114" s="37">
        <f>'HIST - cubic meters per day'!M114*6.2898</f>
        <v/>
      </c>
      <c r="N114" s="37">
        <f>'HIST - cubic meters per day'!N114*6.2898</f>
        <v/>
      </c>
      <c r="O114" s="37">
        <f>'HIST - cubic meters per day'!O114*6.2898</f>
        <v/>
      </c>
      <c r="P114" s="37">
        <f>'HIST - cubic meters per day'!P114*6.2898</f>
        <v/>
      </c>
      <c r="Q114" s="37">
        <f>'HIST - cubic meters per day'!Q114*6.2898</f>
        <v/>
      </c>
      <c r="R114" s="37">
        <f>'HIST - cubic meters per day'!R114*6.2898</f>
        <v/>
      </c>
      <c r="S114" s="46">
        <f>'HIST - cubic meters per day'!S114*6.2898</f>
        <v/>
      </c>
      <c r="U114" s="45">
        <f>'HIST - cubic meters per day'!U114*6.2898</f>
        <v/>
      </c>
      <c r="V114" s="45">
        <f>'HIST - cubic meters per day'!V114*6.2898</f>
        <v/>
      </c>
    </row>
    <row r="115" ht="12" customHeight="1">
      <c r="A115" s="44" t="n">
        <v>39965</v>
      </c>
      <c r="B115" s="37">
        <f>'HIST - cubic meters per day'!B115*6.2898</f>
        <v/>
      </c>
      <c r="C115" s="37">
        <f>'HIST - cubic meters per day'!C115*6.2898</f>
        <v/>
      </c>
      <c r="D115" s="37">
        <f>'HIST - cubic meters per day'!D115*6.2898</f>
        <v/>
      </c>
      <c r="E115" s="37">
        <f>'HIST - cubic meters per day'!E115*6.2898</f>
        <v/>
      </c>
      <c r="F115" s="37">
        <f>'HIST - cubic meters per day'!F115*6.2898</f>
        <v/>
      </c>
      <c r="G115" s="37">
        <f>'HIST - cubic meters per day'!G115*6.2898</f>
        <v/>
      </c>
      <c r="H115" s="37">
        <f>'HIST - cubic meters per day'!H115*6.2898</f>
        <v/>
      </c>
      <c r="I115" s="37">
        <f>'HIST - cubic meters per day'!I115*6.2898</f>
        <v/>
      </c>
      <c r="J115" s="37">
        <f>'HIST - cubic meters per day'!J115*6.2898</f>
        <v/>
      </c>
      <c r="K115" s="37">
        <f>'HIST - cubic meters per day'!K115*6.2898</f>
        <v/>
      </c>
      <c r="L115" s="37">
        <f>'HIST - cubic meters per day'!L115*6.2898</f>
        <v/>
      </c>
      <c r="M115" s="37">
        <f>'HIST - cubic meters per day'!M115*6.2898</f>
        <v/>
      </c>
      <c r="N115" s="37">
        <f>'HIST - cubic meters per day'!N115*6.2898</f>
        <v/>
      </c>
      <c r="O115" s="37">
        <f>'HIST - cubic meters per day'!O115*6.2898</f>
        <v/>
      </c>
      <c r="P115" s="37">
        <f>'HIST - cubic meters per day'!P115*6.2898</f>
        <v/>
      </c>
      <c r="Q115" s="37">
        <f>'HIST - cubic meters per day'!Q115*6.2898</f>
        <v/>
      </c>
      <c r="R115" s="37">
        <f>'HIST - cubic meters per day'!R115*6.2898</f>
        <v/>
      </c>
      <c r="S115" s="46">
        <f>'HIST - cubic meters per day'!S115*6.2898</f>
        <v/>
      </c>
      <c r="U115" s="45">
        <f>'HIST - cubic meters per day'!U115*6.2898</f>
        <v/>
      </c>
      <c r="V115" s="45">
        <f>'HIST - cubic meters per day'!V115*6.2898</f>
        <v/>
      </c>
    </row>
    <row r="116" ht="12" customHeight="1">
      <c r="A116" s="44" t="n">
        <v>39995</v>
      </c>
      <c r="B116" s="37">
        <f>'HIST - cubic meters per day'!B116*6.2898</f>
        <v/>
      </c>
      <c r="C116" s="37">
        <f>'HIST - cubic meters per day'!C116*6.2898</f>
        <v/>
      </c>
      <c r="D116" s="37">
        <f>'HIST - cubic meters per day'!D116*6.2898</f>
        <v/>
      </c>
      <c r="E116" s="37">
        <f>'HIST - cubic meters per day'!E116*6.2898</f>
        <v/>
      </c>
      <c r="F116" s="37">
        <f>'HIST - cubic meters per day'!F116*6.2898</f>
        <v/>
      </c>
      <c r="G116" s="37">
        <f>'HIST - cubic meters per day'!G116*6.2898</f>
        <v/>
      </c>
      <c r="H116" s="37">
        <f>'HIST - cubic meters per day'!H116*6.2898</f>
        <v/>
      </c>
      <c r="I116" s="37">
        <f>'HIST - cubic meters per day'!I116*6.2898</f>
        <v/>
      </c>
      <c r="J116" s="37">
        <f>'HIST - cubic meters per day'!J116*6.2898</f>
        <v/>
      </c>
      <c r="K116" s="37">
        <f>'HIST - cubic meters per day'!K116*6.2898</f>
        <v/>
      </c>
      <c r="L116" s="37">
        <f>'HIST - cubic meters per day'!L116*6.2898</f>
        <v/>
      </c>
      <c r="M116" s="37">
        <f>'HIST - cubic meters per day'!M116*6.2898</f>
        <v/>
      </c>
      <c r="N116" s="37">
        <f>'HIST - cubic meters per day'!N116*6.2898</f>
        <v/>
      </c>
      <c r="O116" s="37">
        <f>'HIST - cubic meters per day'!O116*6.2898</f>
        <v/>
      </c>
      <c r="P116" s="37">
        <f>'HIST - cubic meters per day'!P116*6.2898</f>
        <v/>
      </c>
      <c r="Q116" s="37">
        <f>'HIST - cubic meters per day'!Q116*6.2898</f>
        <v/>
      </c>
      <c r="R116" s="37">
        <f>'HIST - cubic meters per day'!R116*6.2898</f>
        <v/>
      </c>
      <c r="S116" s="46">
        <f>'HIST - cubic meters per day'!S116*6.2898</f>
        <v/>
      </c>
      <c r="U116" s="45">
        <f>'HIST - cubic meters per day'!U116*6.2898</f>
        <v/>
      </c>
      <c r="V116" s="45">
        <f>'HIST - cubic meters per day'!V116*6.2898</f>
        <v/>
      </c>
    </row>
    <row r="117" ht="12" customHeight="1">
      <c r="A117" s="44" t="n">
        <v>40026</v>
      </c>
      <c r="B117" s="37">
        <f>'HIST - cubic meters per day'!B117*6.2898</f>
        <v/>
      </c>
      <c r="C117" s="37">
        <f>'HIST - cubic meters per day'!C117*6.2898</f>
        <v/>
      </c>
      <c r="D117" s="37">
        <f>'HIST - cubic meters per day'!D117*6.2898</f>
        <v/>
      </c>
      <c r="E117" s="37">
        <f>'HIST - cubic meters per day'!E117*6.2898</f>
        <v/>
      </c>
      <c r="F117" s="37">
        <f>'HIST - cubic meters per day'!F117*6.2898</f>
        <v/>
      </c>
      <c r="G117" s="37">
        <f>'HIST - cubic meters per day'!G117*6.2898</f>
        <v/>
      </c>
      <c r="H117" s="37">
        <f>'HIST - cubic meters per day'!H117*6.2898</f>
        <v/>
      </c>
      <c r="I117" s="37">
        <f>'HIST - cubic meters per day'!I117*6.2898</f>
        <v/>
      </c>
      <c r="J117" s="37">
        <f>'HIST - cubic meters per day'!J117*6.2898</f>
        <v/>
      </c>
      <c r="K117" s="37">
        <f>'HIST - cubic meters per day'!K117*6.2898</f>
        <v/>
      </c>
      <c r="L117" s="37">
        <f>'HIST - cubic meters per day'!L117*6.2898</f>
        <v/>
      </c>
      <c r="M117" s="37">
        <f>'HIST - cubic meters per day'!M117*6.2898</f>
        <v/>
      </c>
      <c r="N117" s="37">
        <f>'HIST - cubic meters per day'!N117*6.2898</f>
        <v/>
      </c>
      <c r="O117" s="37">
        <f>'HIST - cubic meters per day'!O117*6.2898</f>
        <v/>
      </c>
      <c r="P117" s="37">
        <f>'HIST - cubic meters per day'!P117*6.2898</f>
        <v/>
      </c>
      <c r="Q117" s="37">
        <f>'HIST - cubic meters per day'!Q117*6.2898</f>
        <v/>
      </c>
      <c r="R117" s="37">
        <f>'HIST - cubic meters per day'!R117*6.2898</f>
        <v/>
      </c>
      <c r="S117" s="46">
        <f>'HIST - cubic meters per day'!S117*6.2898</f>
        <v/>
      </c>
      <c r="U117" s="45">
        <f>'HIST - cubic meters per day'!U117*6.2898</f>
        <v/>
      </c>
      <c r="V117" s="45">
        <f>'HIST - cubic meters per day'!V117*6.2898</f>
        <v/>
      </c>
    </row>
    <row r="118" ht="12" customHeight="1">
      <c r="A118" s="44" t="n">
        <v>40057</v>
      </c>
      <c r="B118" s="37">
        <f>'HIST - cubic meters per day'!B118*6.2898</f>
        <v/>
      </c>
      <c r="C118" s="37">
        <f>'HIST - cubic meters per day'!C118*6.2898</f>
        <v/>
      </c>
      <c r="D118" s="37">
        <f>'HIST - cubic meters per day'!D118*6.2898</f>
        <v/>
      </c>
      <c r="E118" s="37">
        <f>'HIST - cubic meters per day'!E118*6.2898</f>
        <v/>
      </c>
      <c r="F118" s="37">
        <f>'HIST - cubic meters per day'!F118*6.2898</f>
        <v/>
      </c>
      <c r="G118" s="37">
        <f>'HIST - cubic meters per day'!G118*6.2898</f>
        <v/>
      </c>
      <c r="H118" s="37">
        <f>'HIST - cubic meters per day'!H118*6.2898</f>
        <v/>
      </c>
      <c r="I118" s="37">
        <f>'HIST - cubic meters per day'!I118*6.2898</f>
        <v/>
      </c>
      <c r="J118" s="37">
        <f>'HIST - cubic meters per day'!J118*6.2898</f>
        <v/>
      </c>
      <c r="K118" s="37">
        <f>'HIST - cubic meters per day'!K118*6.2898</f>
        <v/>
      </c>
      <c r="L118" s="37">
        <f>'HIST - cubic meters per day'!L118*6.2898</f>
        <v/>
      </c>
      <c r="M118" s="37">
        <f>'HIST - cubic meters per day'!M118*6.2898</f>
        <v/>
      </c>
      <c r="N118" s="37">
        <f>'HIST - cubic meters per day'!N118*6.2898</f>
        <v/>
      </c>
      <c r="O118" s="37">
        <f>'HIST - cubic meters per day'!O118*6.2898</f>
        <v/>
      </c>
      <c r="P118" s="37">
        <f>'HIST - cubic meters per day'!P118*6.2898</f>
        <v/>
      </c>
      <c r="Q118" s="37">
        <f>'HIST - cubic meters per day'!Q118*6.2898</f>
        <v/>
      </c>
      <c r="R118" s="37">
        <f>'HIST - cubic meters per day'!R118*6.2898</f>
        <v/>
      </c>
      <c r="S118" s="46">
        <f>'HIST - cubic meters per day'!S118*6.2898</f>
        <v/>
      </c>
      <c r="U118" s="45">
        <f>'HIST - cubic meters per day'!U118*6.2898</f>
        <v/>
      </c>
      <c r="V118" s="45">
        <f>'HIST - cubic meters per day'!V118*6.2898</f>
        <v/>
      </c>
    </row>
    <row r="119" ht="12" customHeight="1">
      <c r="A119" s="44" t="n">
        <v>40087</v>
      </c>
      <c r="B119" s="37">
        <f>'HIST - cubic meters per day'!B119*6.2898</f>
        <v/>
      </c>
      <c r="C119" s="37">
        <f>'HIST - cubic meters per day'!C119*6.2898</f>
        <v/>
      </c>
      <c r="D119" s="37">
        <f>'HIST - cubic meters per day'!D119*6.2898</f>
        <v/>
      </c>
      <c r="E119" s="37">
        <f>'HIST - cubic meters per day'!E119*6.2898</f>
        <v/>
      </c>
      <c r="F119" s="37">
        <f>'HIST - cubic meters per day'!F119*6.2898</f>
        <v/>
      </c>
      <c r="G119" s="37">
        <f>'HIST - cubic meters per day'!G119*6.2898</f>
        <v/>
      </c>
      <c r="H119" s="37">
        <f>'HIST - cubic meters per day'!H119*6.2898</f>
        <v/>
      </c>
      <c r="I119" s="37">
        <f>'HIST - cubic meters per day'!I119*6.2898</f>
        <v/>
      </c>
      <c r="J119" s="37">
        <f>'HIST - cubic meters per day'!J119*6.2898</f>
        <v/>
      </c>
      <c r="K119" s="37">
        <f>'HIST - cubic meters per day'!K119*6.2898</f>
        <v/>
      </c>
      <c r="L119" s="37">
        <f>'HIST - cubic meters per day'!L119*6.2898</f>
        <v/>
      </c>
      <c r="M119" s="37">
        <f>'HIST - cubic meters per day'!M119*6.2898</f>
        <v/>
      </c>
      <c r="N119" s="37">
        <f>'HIST - cubic meters per day'!N119*6.2898</f>
        <v/>
      </c>
      <c r="O119" s="37">
        <f>'HIST - cubic meters per day'!O119*6.2898</f>
        <v/>
      </c>
      <c r="P119" s="37">
        <f>'HIST - cubic meters per day'!P119*6.2898</f>
        <v/>
      </c>
      <c r="Q119" s="37">
        <f>'HIST - cubic meters per day'!Q119*6.2898</f>
        <v/>
      </c>
      <c r="R119" s="37">
        <f>'HIST - cubic meters per day'!R119*6.2898</f>
        <v/>
      </c>
      <c r="S119" s="46">
        <f>'HIST - cubic meters per day'!S119*6.2898</f>
        <v/>
      </c>
      <c r="U119" s="45">
        <f>'HIST - cubic meters per day'!U119*6.2898</f>
        <v/>
      </c>
      <c r="V119" s="45">
        <f>'HIST - cubic meters per day'!V119*6.2898</f>
        <v/>
      </c>
    </row>
    <row r="120" ht="12" customHeight="1">
      <c r="A120" s="44" t="n">
        <v>40118</v>
      </c>
      <c r="B120" s="37">
        <f>'HIST - cubic meters per day'!B120*6.2898</f>
        <v/>
      </c>
      <c r="C120" s="37">
        <f>'HIST - cubic meters per day'!C120*6.2898</f>
        <v/>
      </c>
      <c r="D120" s="37">
        <f>'HIST - cubic meters per day'!D120*6.2898</f>
        <v/>
      </c>
      <c r="E120" s="37">
        <f>'HIST - cubic meters per day'!E120*6.2898</f>
        <v/>
      </c>
      <c r="F120" s="37">
        <f>'HIST - cubic meters per day'!F120*6.2898</f>
        <v/>
      </c>
      <c r="G120" s="37">
        <f>'HIST - cubic meters per day'!G120*6.2898</f>
        <v/>
      </c>
      <c r="H120" s="37">
        <f>'HIST - cubic meters per day'!H120*6.2898</f>
        <v/>
      </c>
      <c r="I120" s="37">
        <f>'HIST - cubic meters per day'!I120*6.2898</f>
        <v/>
      </c>
      <c r="J120" s="37">
        <f>'HIST - cubic meters per day'!J120*6.2898</f>
        <v/>
      </c>
      <c r="K120" s="37">
        <f>'HIST - cubic meters per day'!K120*6.2898</f>
        <v/>
      </c>
      <c r="L120" s="37">
        <f>'HIST - cubic meters per day'!L120*6.2898</f>
        <v/>
      </c>
      <c r="M120" s="37">
        <f>'HIST - cubic meters per day'!M120*6.2898</f>
        <v/>
      </c>
      <c r="N120" s="37">
        <f>'HIST - cubic meters per day'!N120*6.2898</f>
        <v/>
      </c>
      <c r="O120" s="37">
        <f>'HIST - cubic meters per day'!O120*6.2898</f>
        <v/>
      </c>
      <c r="P120" s="37">
        <f>'HIST - cubic meters per day'!P120*6.2898</f>
        <v/>
      </c>
      <c r="Q120" s="37">
        <f>'HIST - cubic meters per day'!Q120*6.2898</f>
        <v/>
      </c>
      <c r="R120" s="37">
        <f>'HIST - cubic meters per day'!R120*6.2898</f>
        <v/>
      </c>
      <c r="S120" s="46">
        <f>'HIST - cubic meters per day'!S120*6.2898</f>
        <v/>
      </c>
      <c r="U120" s="45">
        <f>'HIST - cubic meters per day'!U120*6.2898</f>
        <v/>
      </c>
      <c r="V120" s="45">
        <f>'HIST - cubic meters per day'!V120*6.2898</f>
        <v/>
      </c>
    </row>
    <row r="121" ht="12" customHeight="1">
      <c r="A121" s="44" t="n">
        <v>40148</v>
      </c>
      <c r="B121" s="37">
        <f>'HIST - cubic meters per day'!B121*6.2898</f>
        <v/>
      </c>
      <c r="C121" s="37">
        <f>'HIST - cubic meters per day'!C121*6.2898</f>
        <v/>
      </c>
      <c r="D121" s="37">
        <f>'HIST - cubic meters per day'!D121*6.2898</f>
        <v/>
      </c>
      <c r="E121" s="37">
        <f>'HIST - cubic meters per day'!E121*6.2898</f>
        <v/>
      </c>
      <c r="F121" s="37">
        <f>'HIST - cubic meters per day'!F121*6.2898</f>
        <v/>
      </c>
      <c r="G121" s="37">
        <f>'HIST - cubic meters per day'!G121*6.2898</f>
        <v/>
      </c>
      <c r="H121" s="37">
        <f>'HIST - cubic meters per day'!H121*6.2898</f>
        <v/>
      </c>
      <c r="I121" s="37">
        <f>'HIST - cubic meters per day'!I121*6.2898</f>
        <v/>
      </c>
      <c r="J121" s="37">
        <f>'HIST - cubic meters per day'!J121*6.2898</f>
        <v/>
      </c>
      <c r="K121" s="37">
        <f>'HIST - cubic meters per day'!K121*6.2898</f>
        <v/>
      </c>
      <c r="L121" s="37">
        <f>'HIST - cubic meters per day'!L121*6.2898</f>
        <v/>
      </c>
      <c r="M121" s="37">
        <f>'HIST - cubic meters per day'!M121*6.2898</f>
        <v/>
      </c>
      <c r="N121" s="37">
        <f>'HIST - cubic meters per day'!N121*6.2898</f>
        <v/>
      </c>
      <c r="O121" s="37">
        <f>'HIST - cubic meters per day'!O121*6.2898</f>
        <v/>
      </c>
      <c r="P121" s="37">
        <f>'HIST - cubic meters per day'!P121*6.2898</f>
        <v/>
      </c>
      <c r="Q121" s="37">
        <f>'HIST - cubic meters per day'!Q121*6.2898</f>
        <v/>
      </c>
      <c r="R121" s="37">
        <f>'HIST - cubic meters per day'!R121*6.2898</f>
        <v/>
      </c>
      <c r="S121" s="46">
        <f>'HIST - cubic meters per day'!S121*6.2898</f>
        <v/>
      </c>
      <c r="U121" s="45">
        <f>'HIST - cubic meters per day'!U121*6.2898</f>
        <v/>
      </c>
      <c r="V121" s="45">
        <f>'HIST - cubic meters per day'!V121*6.2898</f>
        <v/>
      </c>
    </row>
    <row r="122" ht="12" customHeight="1">
      <c r="A122" s="44" t="n">
        <v>40179</v>
      </c>
      <c r="B122" s="37">
        <f>'HIST - cubic meters per day'!B122*6.2898</f>
        <v/>
      </c>
      <c r="C122" s="37">
        <f>'HIST - cubic meters per day'!C122*6.2898</f>
        <v/>
      </c>
      <c r="D122" s="37">
        <f>'HIST - cubic meters per day'!D122*6.2898</f>
        <v/>
      </c>
      <c r="E122" s="37">
        <f>'HIST - cubic meters per day'!E122*6.2898</f>
        <v/>
      </c>
      <c r="F122" s="37">
        <f>'HIST - cubic meters per day'!F122*6.2898</f>
        <v/>
      </c>
      <c r="G122" s="37">
        <f>'HIST - cubic meters per day'!G122*6.2898</f>
        <v/>
      </c>
      <c r="H122" s="37">
        <f>'HIST - cubic meters per day'!H122*6.2898</f>
        <v/>
      </c>
      <c r="I122" s="37">
        <f>'HIST - cubic meters per day'!I122*6.2898</f>
        <v/>
      </c>
      <c r="J122" s="37">
        <f>'HIST - cubic meters per day'!J122*6.2898</f>
        <v/>
      </c>
      <c r="K122" s="37">
        <f>'HIST - cubic meters per day'!K122*6.2898</f>
        <v/>
      </c>
      <c r="L122" s="37">
        <f>'HIST - cubic meters per day'!L122*6.2898</f>
        <v/>
      </c>
      <c r="M122" s="37">
        <f>'HIST - cubic meters per day'!M122*6.2898</f>
        <v/>
      </c>
      <c r="N122" s="37">
        <f>'HIST - cubic meters per day'!N122*6.2898</f>
        <v/>
      </c>
      <c r="O122" s="37">
        <f>'HIST - cubic meters per day'!O122*6.2898</f>
        <v/>
      </c>
      <c r="P122" s="37">
        <f>'HIST - cubic meters per day'!P122*6.2898</f>
        <v/>
      </c>
      <c r="Q122" s="37">
        <f>'HIST - cubic meters per day'!Q122*6.2898</f>
        <v/>
      </c>
      <c r="R122" s="37">
        <f>'HIST - cubic meters per day'!R122*6.2898</f>
        <v/>
      </c>
      <c r="S122" s="46">
        <f>'HIST - cubic meters per day'!S122*6.2898</f>
        <v/>
      </c>
      <c r="U122" s="45">
        <f>'HIST - cubic meters per day'!U122*6.2898</f>
        <v/>
      </c>
      <c r="V122" s="45">
        <f>'HIST - cubic meters per day'!V122*6.2898</f>
        <v/>
      </c>
    </row>
    <row r="123" ht="12" customHeight="1">
      <c r="A123" s="44" t="n">
        <v>40210</v>
      </c>
      <c r="B123" s="37">
        <f>'HIST - cubic meters per day'!B123*6.2898</f>
        <v/>
      </c>
      <c r="C123" s="37">
        <f>'HIST - cubic meters per day'!C123*6.2898</f>
        <v/>
      </c>
      <c r="D123" s="37">
        <f>'HIST - cubic meters per day'!D123*6.2898</f>
        <v/>
      </c>
      <c r="E123" s="37">
        <f>'HIST - cubic meters per day'!E123*6.2898</f>
        <v/>
      </c>
      <c r="F123" s="37">
        <f>'HIST - cubic meters per day'!F123*6.2898</f>
        <v/>
      </c>
      <c r="G123" s="37">
        <f>'HIST - cubic meters per day'!G123*6.2898</f>
        <v/>
      </c>
      <c r="H123" s="37">
        <f>'HIST - cubic meters per day'!H123*6.2898</f>
        <v/>
      </c>
      <c r="I123" s="37">
        <f>'HIST - cubic meters per day'!I123*6.2898</f>
        <v/>
      </c>
      <c r="J123" s="37">
        <f>'HIST - cubic meters per day'!J123*6.2898</f>
        <v/>
      </c>
      <c r="K123" s="37">
        <f>'HIST - cubic meters per day'!K123*6.2898</f>
        <v/>
      </c>
      <c r="L123" s="37">
        <f>'HIST - cubic meters per day'!L123*6.2898</f>
        <v/>
      </c>
      <c r="M123" s="37">
        <f>'HIST - cubic meters per day'!M123*6.2898</f>
        <v/>
      </c>
      <c r="N123" s="37">
        <f>'HIST - cubic meters per day'!N123*6.2898</f>
        <v/>
      </c>
      <c r="O123" s="37">
        <f>'HIST - cubic meters per day'!O123*6.2898</f>
        <v/>
      </c>
      <c r="P123" s="37">
        <f>'HIST - cubic meters per day'!P123*6.2898</f>
        <v/>
      </c>
      <c r="Q123" s="37">
        <f>'HIST - cubic meters per day'!Q123*6.2898</f>
        <v/>
      </c>
      <c r="R123" s="37">
        <f>'HIST - cubic meters per day'!R123*6.2898</f>
        <v/>
      </c>
      <c r="S123" s="46">
        <f>'HIST - cubic meters per day'!S123*6.2898</f>
        <v/>
      </c>
      <c r="U123" s="45">
        <f>'HIST - cubic meters per day'!U123*6.2898</f>
        <v/>
      </c>
      <c r="V123" s="45">
        <f>'HIST - cubic meters per day'!V123*6.2898</f>
        <v/>
      </c>
    </row>
    <row r="124" ht="12" customHeight="1">
      <c r="A124" s="44" t="n">
        <v>40238</v>
      </c>
      <c r="B124" s="37">
        <f>'HIST - cubic meters per day'!B124*6.2898</f>
        <v/>
      </c>
      <c r="C124" s="37">
        <f>'HIST - cubic meters per day'!C124*6.2898</f>
        <v/>
      </c>
      <c r="D124" s="37">
        <f>'HIST - cubic meters per day'!D124*6.2898</f>
        <v/>
      </c>
      <c r="E124" s="37">
        <f>'HIST - cubic meters per day'!E124*6.2898</f>
        <v/>
      </c>
      <c r="F124" s="37">
        <f>'HIST - cubic meters per day'!F124*6.2898</f>
        <v/>
      </c>
      <c r="G124" s="37">
        <f>'HIST - cubic meters per day'!G124*6.2898</f>
        <v/>
      </c>
      <c r="H124" s="37">
        <f>'HIST - cubic meters per day'!H124*6.2898</f>
        <v/>
      </c>
      <c r="I124" s="37">
        <f>'HIST - cubic meters per day'!I124*6.2898</f>
        <v/>
      </c>
      <c r="J124" s="37">
        <f>'HIST - cubic meters per day'!J124*6.2898</f>
        <v/>
      </c>
      <c r="K124" s="37">
        <f>'HIST - cubic meters per day'!K124*6.2898</f>
        <v/>
      </c>
      <c r="L124" s="37">
        <f>'HIST - cubic meters per day'!L124*6.2898</f>
        <v/>
      </c>
      <c r="M124" s="37">
        <f>'HIST - cubic meters per day'!M124*6.2898</f>
        <v/>
      </c>
      <c r="N124" s="37">
        <f>'HIST - cubic meters per day'!N124*6.2898</f>
        <v/>
      </c>
      <c r="O124" s="37">
        <f>'HIST - cubic meters per day'!O124*6.2898</f>
        <v/>
      </c>
      <c r="P124" s="37">
        <f>'HIST - cubic meters per day'!P124*6.2898</f>
        <v/>
      </c>
      <c r="Q124" s="37">
        <f>'HIST - cubic meters per day'!Q124*6.2898</f>
        <v/>
      </c>
      <c r="R124" s="37">
        <f>'HIST - cubic meters per day'!R124*6.2898</f>
        <v/>
      </c>
      <c r="S124" s="46">
        <f>'HIST - cubic meters per day'!S124*6.2898</f>
        <v/>
      </c>
      <c r="U124" s="45">
        <f>'HIST - cubic meters per day'!U124*6.2898</f>
        <v/>
      </c>
      <c r="V124" s="45">
        <f>'HIST - cubic meters per day'!V124*6.2898</f>
        <v/>
      </c>
    </row>
    <row r="125" ht="12" customHeight="1">
      <c r="A125" s="44" t="n">
        <v>40269</v>
      </c>
      <c r="B125" s="37">
        <f>'HIST - cubic meters per day'!B125*6.2898</f>
        <v/>
      </c>
      <c r="C125" s="37">
        <f>'HIST - cubic meters per day'!C125*6.2898</f>
        <v/>
      </c>
      <c r="D125" s="37">
        <f>'HIST - cubic meters per day'!D125*6.2898</f>
        <v/>
      </c>
      <c r="E125" s="37">
        <f>'HIST - cubic meters per day'!E125*6.2898</f>
        <v/>
      </c>
      <c r="F125" s="37">
        <f>'HIST - cubic meters per day'!F125*6.2898</f>
        <v/>
      </c>
      <c r="G125" s="37">
        <f>'HIST - cubic meters per day'!G125*6.2898</f>
        <v/>
      </c>
      <c r="H125" s="37">
        <f>'HIST - cubic meters per day'!H125*6.2898</f>
        <v/>
      </c>
      <c r="I125" s="37">
        <f>'HIST - cubic meters per day'!I125*6.2898</f>
        <v/>
      </c>
      <c r="J125" s="37">
        <f>'HIST - cubic meters per day'!J125*6.2898</f>
        <v/>
      </c>
      <c r="K125" s="37">
        <f>'HIST - cubic meters per day'!K125*6.2898</f>
        <v/>
      </c>
      <c r="L125" s="37">
        <f>'HIST - cubic meters per day'!L125*6.2898</f>
        <v/>
      </c>
      <c r="M125" s="37">
        <f>'HIST - cubic meters per day'!M125*6.2898</f>
        <v/>
      </c>
      <c r="N125" s="37">
        <f>'HIST - cubic meters per day'!N125*6.2898</f>
        <v/>
      </c>
      <c r="O125" s="37">
        <f>'HIST - cubic meters per day'!O125*6.2898</f>
        <v/>
      </c>
      <c r="P125" s="37">
        <f>'HIST - cubic meters per day'!P125*6.2898</f>
        <v/>
      </c>
      <c r="Q125" s="37">
        <f>'HIST - cubic meters per day'!Q125*6.2898</f>
        <v/>
      </c>
      <c r="R125" s="37">
        <f>'HIST - cubic meters per day'!R125*6.2898</f>
        <v/>
      </c>
      <c r="S125" s="46">
        <f>'HIST - cubic meters per day'!S125*6.2898</f>
        <v/>
      </c>
      <c r="U125" s="45">
        <f>'HIST - cubic meters per day'!U125*6.2898</f>
        <v/>
      </c>
      <c r="V125" s="45">
        <f>'HIST - cubic meters per day'!V125*6.2898</f>
        <v/>
      </c>
    </row>
    <row r="126" ht="12" customHeight="1">
      <c r="A126" s="44" t="n">
        <v>40299</v>
      </c>
      <c r="B126" s="37">
        <f>'HIST - cubic meters per day'!B126*6.2898</f>
        <v/>
      </c>
      <c r="C126" s="37">
        <f>'HIST - cubic meters per day'!C126*6.2898</f>
        <v/>
      </c>
      <c r="D126" s="37">
        <f>'HIST - cubic meters per day'!D126*6.2898</f>
        <v/>
      </c>
      <c r="E126" s="37">
        <f>'HIST - cubic meters per day'!E126*6.2898</f>
        <v/>
      </c>
      <c r="F126" s="37">
        <f>'HIST - cubic meters per day'!F126*6.2898</f>
        <v/>
      </c>
      <c r="G126" s="37">
        <f>'HIST - cubic meters per day'!G126*6.2898</f>
        <v/>
      </c>
      <c r="H126" s="37">
        <f>'HIST - cubic meters per day'!H126*6.2898</f>
        <v/>
      </c>
      <c r="I126" s="37">
        <f>'HIST - cubic meters per day'!I126*6.2898</f>
        <v/>
      </c>
      <c r="J126" s="37">
        <f>'HIST - cubic meters per day'!J126*6.2898</f>
        <v/>
      </c>
      <c r="K126" s="37">
        <f>'HIST - cubic meters per day'!K126*6.2898</f>
        <v/>
      </c>
      <c r="L126" s="37">
        <f>'HIST - cubic meters per day'!L126*6.2898</f>
        <v/>
      </c>
      <c r="M126" s="37">
        <f>'HIST - cubic meters per day'!M126*6.2898</f>
        <v/>
      </c>
      <c r="N126" s="37">
        <f>'HIST - cubic meters per day'!N126*6.2898</f>
        <v/>
      </c>
      <c r="O126" s="37">
        <f>'HIST - cubic meters per day'!O126*6.2898</f>
        <v/>
      </c>
      <c r="P126" s="37">
        <f>'HIST - cubic meters per day'!P126*6.2898</f>
        <v/>
      </c>
      <c r="Q126" s="37">
        <f>'HIST - cubic meters per day'!Q126*6.2898</f>
        <v/>
      </c>
      <c r="R126" s="37">
        <f>'HIST - cubic meters per day'!R126*6.2898</f>
        <v/>
      </c>
      <c r="S126" s="46">
        <f>'HIST - cubic meters per day'!S126*6.2898</f>
        <v/>
      </c>
      <c r="U126" s="45">
        <f>'HIST - cubic meters per day'!U126*6.2898</f>
        <v/>
      </c>
      <c r="V126" s="45">
        <f>'HIST - cubic meters per day'!V126*6.2898</f>
        <v/>
      </c>
    </row>
    <row r="127" ht="12" customHeight="1">
      <c r="A127" s="44" t="n">
        <v>40330</v>
      </c>
      <c r="B127" s="37">
        <f>'HIST - cubic meters per day'!B127*6.2898</f>
        <v/>
      </c>
      <c r="C127" s="37">
        <f>'HIST - cubic meters per day'!C127*6.2898</f>
        <v/>
      </c>
      <c r="D127" s="37">
        <f>'HIST - cubic meters per day'!D127*6.2898</f>
        <v/>
      </c>
      <c r="E127" s="37">
        <f>'HIST - cubic meters per day'!E127*6.2898</f>
        <v/>
      </c>
      <c r="F127" s="37">
        <f>'HIST - cubic meters per day'!F127*6.2898</f>
        <v/>
      </c>
      <c r="G127" s="37">
        <f>'HIST - cubic meters per day'!G127*6.2898</f>
        <v/>
      </c>
      <c r="H127" s="37">
        <f>'HIST - cubic meters per day'!H127*6.2898</f>
        <v/>
      </c>
      <c r="I127" s="37">
        <f>'HIST - cubic meters per day'!I127*6.2898</f>
        <v/>
      </c>
      <c r="J127" s="37">
        <f>'HIST - cubic meters per day'!J127*6.2898</f>
        <v/>
      </c>
      <c r="K127" s="37">
        <f>'HIST - cubic meters per day'!K127*6.2898</f>
        <v/>
      </c>
      <c r="L127" s="37">
        <f>'HIST - cubic meters per day'!L127*6.2898</f>
        <v/>
      </c>
      <c r="M127" s="37">
        <f>'HIST - cubic meters per day'!M127*6.2898</f>
        <v/>
      </c>
      <c r="N127" s="37">
        <f>'HIST - cubic meters per day'!N127*6.2898</f>
        <v/>
      </c>
      <c r="O127" s="37">
        <f>'HIST - cubic meters per day'!O127*6.2898</f>
        <v/>
      </c>
      <c r="P127" s="37">
        <f>'HIST - cubic meters per day'!P127*6.2898</f>
        <v/>
      </c>
      <c r="Q127" s="37">
        <f>'HIST - cubic meters per day'!Q127*6.2898</f>
        <v/>
      </c>
      <c r="R127" s="37">
        <f>'HIST - cubic meters per day'!R127*6.2898</f>
        <v/>
      </c>
      <c r="S127" s="46">
        <f>'HIST - cubic meters per day'!S127*6.2898</f>
        <v/>
      </c>
      <c r="U127" s="45">
        <f>'HIST - cubic meters per day'!U127*6.2898</f>
        <v/>
      </c>
      <c r="V127" s="45">
        <f>'HIST - cubic meters per day'!V127*6.2898</f>
        <v/>
      </c>
    </row>
    <row r="128" ht="12" customHeight="1">
      <c r="A128" s="44" t="n">
        <v>40360</v>
      </c>
      <c r="B128" s="37">
        <f>'HIST - cubic meters per day'!B128*6.2898</f>
        <v/>
      </c>
      <c r="C128" s="37">
        <f>'HIST - cubic meters per day'!C128*6.2898</f>
        <v/>
      </c>
      <c r="D128" s="37">
        <f>'HIST - cubic meters per day'!D128*6.2898</f>
        <v/>
      </c>
      <c r="E128" s="37">
        <f>'HIST - cubic meters per day'!E128*6.2898</f>
        <v/>
      </c>
      <c r="F128" s="37">
        <f>'HIST - cubic meters per day'!F128*6.2898</f>
        <v/>
      </c>
      <c r="G128" s="37">
        <f>'HIST - cubic meters per day'!G128*6.2898</f>
        <v/>
      </c>
      <c r="H128" s="37">
        <f>'HIST - cubic meters per day'!H128*6.2898</f>
        <v/>
      </c>
      <c r="I128" s="37">
        <f>'HIST - cubic meters per day'!I128*6.2898</f>
        <v/>
      </c>
      <c r="J128" s="37">
        <f>'HIST - cubic meters per day'!J128*6.2898</f>
        <v/>
      </c>
      <c r="K128" s="37">
        <f>'HIST - cubic meters per day'!K128*6.2898</f>
        <v/>
      </c>
      <c r="L128" s="37">
        <f>'HIST - cubic meters per day'!L128*6.2898</f>
        <v/>
      </c>
      <c r="M128" s="37">
        <f>'HIST - cubic meters per day'!M128*6.2898</f>
        <v/>
      </c>
      <c r="N128" s="37">
        <f>'HIST - cubic meters per day'!N128*6.2898</f>
        <v/>
      </c>
      <c r="O128" s="37">
        <f>'HIST - cubic meters per day'!O128*6.2898</f>
        <v/>
      </c>
      <c r="P128" s="37">
        <f>'HIST - cubic meters per day'!P128*6.2898</f>
        <v/>
      </c>
      <c r="Q128" s="37">
        <f>'HIST - cubic meters per day'!Q128*6.2898</f>
        <v/>
      </c>
      <c r="R128" s="37">
        <f>'HIST - cubic meters per day'!R128*6.2898</f>
        <v/>
      </c>
      <c r="S128" s="46">
        <f>'HIST - cubic meters per day'!S128*6.2898</f>
        <v/>
      </c>
      <c r="U128" s="45">
        <f>'HIST - cubic meters per day'!U128*6.2898</f>
        <v/>
      </c>
      <c r="V128" s="45">
        <f>'HIST - cubic meters per day'!V128*6.2898</f>
        <v/>
      </c>
    </row>
    <row r="129" ht="12" customHeight="1">
      <c r="A129" s="44" t="n">
        <v>40391</v>
      </c>
      <c r="B129" s="37">
        <f>'HIST - cubic meters per day'!B129*6.2898</f>
        <v/>
      </c>
      <c r="C129" s="37">
        <f>'HIST - cubic meters per day'!C129*6.2898</f>
        <v/>
      </c>
      <c r="D129" s="37">
        <f>'HIST - cubic meters per day'!D129*6.2898</f>
        <v/>
      </c>
      <c r="E129" s="37">
        <f>'HIST - cubic meters per day'!E129*6.2898</f>
        <v/>
      </c>
      <c r="F129" s="37">
        <f>'HIST - cubic meters per day'!F129*6.2898</f>
        <v/>
      </c>
      <c r="G129" s="37">
        <f>'HIST - cubic meters per day'!G129*6.2898</f>
        <v/>
      </c>
      <c r="H129" s="37">
        <f>'HIST - cubic meters per day'!H129*6.2898</f>
        <v/>
      </c>
      <c r="I129" s="37">
        <f>'HIST - cubic meters per day'!I129*6.2898</f>
        <v/>
      </c>
      <c r="J129" s="37">
        <f>'HIST - cubic meters per day'!J129*6.2898</f>
        <v/>
      </c>
      <c r="K129" s="37">
        <f>'HIST - cubic meters per day'!K129*6.2898</f>
        <v/>
      </c>
      <c r="L129" s="37">
        <f>'HIST - cubic meters per day'!L129*6.2898</f>
        <v/>
      </c>
      <c r="M129" s="37">
        <f>'HIST - cubic meters per day'!M129*6.2898</f>
        <v/>
      </c>
      <c r="N129" s="37">
        <f>'HIST - cubic meters per day'!N129*6.2898</f>
        <v/>
      </c>
      <c r="O129" s="37">
        <f>'HIST - cubic meters per day'!O129*6.2898</f>
        <v/>
      </c>
      <c r="P129" s="37">
        <f>'HIST - cubic meters per day'!P129*6.2898</f>
        <v/>
      </c>
      <c r="Q129" s="37">
        <f>'HIST - cubic meters per day'!Q129*6.2898</f>
        <v/>
      </c>
      <c r="R129" s="37">
        <f>'HIST - cubic meters per day'!R129*6.2898</f>
        <v/>
      </c>
      <c r="S129" s="46">
        <f>'HIST - cubic meters per day'!S129*6.2898</f>
        <v/>
      </c>
      <c r="U129" s="45">
        <f>'HIST - cubic meters per day'!U129*6.2898</f>
        <v/>
      </c>
      <c r="V129" s="45">
        <f>'HIST - cubic meters per day'!V129*6.2898</f>
        <v/>
      </c>
    </row>
    <row r="130" ht="12" customHeight="1">
      <c r="A130" s="44" t="n">
        <v>40422</v>
      </c>
      <c r="B130" s="37">
        <f>'HIST - cubic meters per day'!B130*6.2898</f>
        <v/>
      </c>
      <c r="C130" s="37">
        <f>'HIST - cubic meters per day'!C130*6.2898</f>
        <v/>
      </c>
      <c r="D130" s="37">
        <f>'HIST - cubic meters per day'!D130*6.2898</f>
        <v/>
      </c>
      <c r="E130" s="37">
        <f>'HIST - cubic meters per day'!E130*6.2898</f>
        <v/>
      </c>
      <c r="F130" s="37">
        <f>'HIST - cubic meters per day'!F130*6.2898</f>
        <v/>
      </c>
      <c r="G130" s="37">
        <f>'HIST - cubic meters per day'!G130*6.2898</f>
        <v/>
      </c>
      <c r="H130" s="37">
        <f>'HIST - cubic meters per day'!H130*6.2898</f>
        <v/>
      </c>
      <c r="I130" s="37">
        <f>'HIST - cubic meters per day'!I130*6.2898</f>
        <v/>
      </c>
      <c r="J130" s="37">
        <f>'HIST - cubic meters per day'!J130*6.2898</f>
        <v/>
      </c>
      <c r="K130" s="37">
        <f>'HIST - cubic meters per day'!K130*6.2898</f>
        <v/>
      </c>
      <c r="L130" s="37">
        <f>'HIST - cubic meters per day'!L130*6.2898</f>
        <v/>
      </c>
      <c r="M130" s="37">
        <f>'HIST - cubic meters per day'!M130*6.2898</f>
        <v/>
      </c>
      <c r="N130" s="37">
        <f>'HIST - cubic meters per day'!N130*6.2898</f>
        <v/>
      </c>
      <c r="O130" s="37">
        <f>'HIST - cubic meters per day'!O130*6.2898</f>
        <v/>
      </c>
      <c r="P130" s="37">
        <f>'HIST - cubic meters per day'!P130*6.2898</f>
        <v/>
      </c>
      <c r="Q130" s="37">
        <f>'HIST - cubic meters per day'!Q130*6.2898</f>
        <v/>
      </c>
      <c r="R130" s="37">
        <f>'HIST - cubic meters per day'!R130*6.2898</f>
        <v/>
      </c>
      <c r="S130" s="46">
        <f>'HIST - cubic meters per day'!S130*6.2898</f>
        <v/>
      </c>
      <c r="U130" s="45">
        <f>'HIST - cubic meters per day'!U130*6.2898</f>
        <v/>
      </c>
      <c r="V130" s="45">
        <f>'HIST - cubic meters per day'!V130*6.2898</f>
        <v/>
      </c>
    </row>
    <row r="131" ht="12" customHeight="1">
      <c r="A131" s="44" t="n">
        <v>40452</v>
      </c>
      <c r="B131" s="37">
        <f>'HIST - cubic meters per day'!B131*6.2898</f>
        <v/>
      </c>
      <c r="C131" s="37">
        <f>'HIST - cubic meters per day'!C131*6.2898</f>
        <v/>
      </c>
      <c r="D131" s="37">
        <f>'HIST - cubic meters per day'!D131*6.2898</f>
        <v/>
      </c>
      <c r="E131" s="37">
        <f>'HIST - cubic meters per day'!E131*6.2898</f>
        <v/>
      </c>
      <c r="F131" s="37">
        <f>'HIST - cubic meters per day'!F131*6.2898</f>
        <v/>
      </c>
      <c r="G131" s="37">
        <f>'HIST - cubic meters per day'!G131*6.2898</f>
        <v/>
      </c>
      <c r="H131" s="37">
        <f>'HIST - cubic meters per day'!H131*6.2898</f>
        <v/>
      </c>
      <c r="I131" s="37">
        <f>'HIST - cubic meters per day'!I131*6.2898</f>
        <v/>
      </c>
      <c r="J131" s="37">
        <f>'HIST - cubic meters per day'!J131*6.2898</f>
        <v/>
      </c>
      <c r="K131" s="37">
        <f>'HIST - cubic meters per day'!K131*6.2898</f>
        <v/>
      </c>
      <c r="L131" s="37">
        <f>'HIST - cubic meters per day'!L131*6.2898</f>
        <v/>
      </c>
      <c r="M131" s="37">
        <f>'HIST - cubic meters per day'!M131*6.2898</f>
        <v/>
      </c>
      <c r="N131" s="37">
        <f>'HIST - cubic meters per day'!N131*6.2898</f>
        <v/>
      </c>
      <c r="O131" s="37">
        <f>'HIST - cubic meters per day'!O131*6.2898</f>
        <v/>
      </c>
      <c r="P131" s="37">
        <f>'HIST - cubic meters per day'!P131*6.2898</f>
        <v/>
      </c>
      <c r="Q131" s="37">
        <f>'HIST - cubic meters per day'!Q131*6.2898</f>
        <v/>
      </c>
      <c r="R131" s="37">
        <f>'HIST - cubic meters per day'!R131*6.2898</f>
        <v/>
      </c>
      <c r="S131" s="46">
        <f>'HIST - cubic meters per day'!S131*6.2898</f>
        <v/>
      </c>
      <c r="U131" s="45">
        <f>'HIST - cubic meters per day'!U131*6.2898</f>
        <v/>
      </c>
      <c r="V131" s="45">
        <f>'HIST - cubic meters per day'!V131*6.2898</f>
        <v/>
      </c>
    </row>
    <row r="132" ht="12" customHeight="1">
      <c r="A132" s="44" t="n">
        <v>40483</v>
      </c>
      <c r="B132" s="37">
        <f>'HIST - cubic meters per day'!B132*6.2898</f>
        <v/>
      </c>
      <c r="C132" s="37">
        <f>'HIST - cubic meters per day'!C132*6.2898</f>
        <v/>
      </c>
      <c r="D132" s="37">
        <f>'HIST - cubic meters per day'!D132*6.2898</f>
        <v/>
      </c>
      <c r="E132" s="37">
        <f>'HIST - cubic meters per day'!E132*6.2898</f>
        <v/>
      </c>
      <c r="F132" s="37">
        <f>'HIST - cubic meters per day'!F132*6.2898</f>
        <v/>
      </c>
      <c r="G132" s="37">
        <f>'HIST - cubic meters per day'!G132*6.2898</f>
        <v/>
      </c>
      <c r="H132" s="37">
        <f>'HIST - cubic meters per day'!H132*6.2898</f>
        <v/>
      </c>
      <c r="I132" s="37">
        <f>'HIST - cubic meters per day'!I132*6.2898</f>
        <v/>
      </c>
      <c r="J132" s="37">
        <f>'HIST - cubic meters per day'!J132*6.2898</f>
        <v/>
      </c>
      <c r="K132" s="37">
        <f>'HIST - cubic meters per day'!K132*6.2898</f>
        <v/>
      </c>
      <c r="L132" s="37">
        <f>'HIST - cubic meters per day'!L132*6.2898</f>
        <v/>
      </c>
      <c r="M132" s="37">
        <f>'HIST - cubic meters per day'!M132*6.2898</f>
        <v/>
      </c>
      <c r="N132" s="37">
        <f>'HIST - cubic meters per day'!N132*6.2898</f>
        <v/>
      </c>
      <c r="O132" s="37">
        <f>'HIST - cubic meters per day'!O132*6.2898</f>
        <v/>
      </c>
      <c r="P132" s="37">
        <f>'HIST - cubic meters per day'!P132*6.2898</f>
        <v/>
      </c>
      <c r="Q132" s="37">
        <f>'HIST - cubic meters per day'!Q132*6.2898</f>
        <v/>
      </c>
      <c r="R132" s="37">
        <f>'HIST - cubic meters per day'!R132*6.2898</f>
        <v/>
      </c>
      <c r="S132" s="46">
        <f>'HIST - cubic meters per day'!S132*6.2898</f>
        <v/>
      </c>
      <c r="U132" s="45">
        <f>'HIST - cubic meters per day'!U132*6.2898</f>
        <v/>
      </c>
      <c r="V132" s="45">
        <f>'HIST - cubic meters per day'!V132*6.2898</f>
        <v/>
      </c>
    </row>
    <row r="133" ht="12" customHeight="1">
      <c r="A133" s="44" t="n">
        <v>40513</v>
      </c>
      <c r="B133" s="37">
        <f>'HIST - cubic meters per day'!B133*6.2898</f>
        <v/>
      </c>
      <c r="C133" s="37">
        <f>'HIST - cubic meters per day'!C133*6.2898</f>
        <v/>
      </c>
      <c r="D133" s="37">
        <f>'HIST - cubic meters per day'!D133*6.2898</f>
        <v/>
      </c>
      <c r="E133" s="37">
        <f>'HIST - cubic meters per day'!E133*6.2898</f>
        <v/>
      </c>
      <c r="F133" s="37">
        <f>'HIST - cubic meters per day'!F133*6.2898</f>
        <v/>
      </c>
      <c r="G133" s="37">
        <f>'HIST - cubic meters per day'!G133*6.2898</f>
        <v/>
      </c>
      <c r="H133" s="37">
        <f>'HIST - cubic meters per day'!H133*6.2898</f>
        <v/>
      </c>
      <c r="I133" s="37">
        <f>'HIST - cubic meters per day'!I133*6.2898</f>
        <v/>
      </c>
      <c r="J133" s="37">
        <f>'HIST - cubic meters per day'!J133*6.2898</f>
        <v/>
      </c>
      <c r="K133" s="37">
        <f>'HIST - cubic meters per day'!K133*6.2898</f>
        <v/>
      </c>
      <c r="L133" s="37">
        <f>'HIST - cubic meters per day'!L133*6.2898</f>
        <v/>
      </c>
      <c r="M133" s="37">
        <f>'HIST - cubic meters per day'!M133*6.2898</f>
        <v/>
      </c>
      <c r="N133" s="37">
        <f>'HIST - cubic meters per day'!N133*6.2898</f>
        <v/>
      </c>
      <c r="O133" s="37">
        <f>'HIST - cubic meters per day'!O133*6.2898</f>
        <v/>
      </c>
      <c r="P133" s="37">
        <f>'HIST - cubic meters per day'!P133*6.2898</f>
        <v/>
      </c>
      <c r="Q133" s="37">
        <f>'HIST - cubic meters per day'!Q133*6.2898</f>
        <v/>
      </c>
      <c r="R133" s="37">
        <f>'HIST - cubic meters per day'!R133*6.2898</f>
        <v/>
      </c>
      <c r="S133" s="46">
        <f>'HIST - cubic meters per day'!S133*6.2898</f>
        <v/>
      </c>
      <c r="U133" s="45">
        <f>'HIST - cubic meters per day'!U133*6.2898</f>
        <v/>
      </c>
      <c r="V133" s="45">
        <f>'HIST - cubic meters per day'!V133*6.2898</f>
        <v/>
      </c>
    </row>
    <row r="134" ht="12" customHeight="1">
      <c r="A134" s="44" t="n">
        <v>40544</v>
      </c>
      <c r="B134" s="37">
        <f>'HIST - cubic meters per day'!B134*6.2898</f>
        <v/>
      </c>
      <c r="C134" s="37">
        <f>'HIST - cubic meters per day'!C134*6.2898</f>
        <v/>
      </c>
      <c r="D134" s="37">
        <f>'HIST - cubic meters per day'!D134*6.2898</f>
        <v/>
      </c>
      <c r="E134" s="37">
        <f>'HIST - cubic meters per day'!E134*6.2898</f>
        <v/>
      </c>
      <c r="F134" s="37">
        <f>'HIST - cubic meters per day'!F134*6.2898</f>
        <v/>
      </c>
      <c r="G134" s="37">
        <f>'HIST - cubic meters per day'!G134*6.2898</f>
        <v/>
      </c>
      <c r="H134" s="37">
        <f>'HIST - cubic meters per day'!H134*6.2898</f>
        <v/>
      </c>
      <c r="I134" s="37">
        <f>'HIST - cubic meters per day'!I134*6.2898</f>
        <v/>
      </c>
      <c r="J134" s="37">
        <f>'HIST - cubic meters per day'!J134*6.2898</f>
        <v/>
      </c>
      <c r="K134" s="37">
        <f>'HIST - cubic meters per day'!K134*6.2898</f>
        <v/>
      </c>
      <c r="L134" s="37">
        <f>'HIST - cubic meters per day'!L134*6.2898</f>
        <v/>
      </c>
      <c r="M134" s="37">
        <f>'HIST - cubic meters per day'!M134*6.2898</f>
        <v/>
      </c>
      <c r="N134" s="37">
        <f>'HIST - cubic meters per day'!N134*6.2898</f>
        <v/>
      </c>
      <c r="O134" s="37">
        <f>'HIST - cubic meters per day'!O134*6.2898</f>
        <v/>
      </c>
      <c r="P134" s="37">
        <f>'HIST - cubic meters per day'!P134*6.2898</f>
        <v/>
      </c>
      <c r="Q134" s="37">
        <f>'HIST - cubic meters per day'!Q134*6.2898</f>
        <v/>
      </c>
      <c r="R134" s="37">
        <f>'HIST - cubic meters per day'!R134*6.2898</f>
        <v/>
      </c>
      <c r="S134" s="46">
        <f>'HIST - cubic meters per day'!S134*6.2898</f>
        <v/>
      </c>
      <c r="U134" s="45">
        <f>'HIST - cubic meters per day'!U134*6.2898</f>
        <v/>
      </c>
      <c r="V134" s="45">
        <f>'HIST - cubic meters per day'!V134*6.2898</f>
        <v/>
      </c>
    </row>
    <row r="135" ht="12" customHeight="1">
      <c r="A135" s="44" t="n">
        <v>40575</v>
      </c>
      <c r="B135" s="37">
        <f>'HIST - cubic meters per day'!B135*6.2898</f>
        <v/>
      </c>
      <c r="C135" s="37">
        <f>'HIST - cubic meters per day'!C135*6.2898</f>
        <v/>
      </c>
      <c r="D135" s="37">
        <f>'HIST - cubic meters per day'!D135*6.2898</f>
        <v/>
      </c>
      <c r="E135" s="37">
        <f>'HIST - cubic meters per day'!E135*6.2898</f>
        <v/>
      </c>
      <c r="F135" s="37">
        <f>'HIST - cubic meters per day'!F135*6.2898</f>
        <v/>
      </c>
      <c r="G135" s="37">
        <f>'HIST - cubic meters per day'!G135*6.2898</f>
        <v/>
      </c>
      <c r="H135" s="37">
        <f>'HIST - cubic meters per day'!H135*6.2898</f>
        <v/>
      </c>
      <c r="I135" s="37">
        <f>'HIST - cubic meters per day'!I135*6.2898</f>
        <v/>
      </c>
      <c r="J135" s="37">
        <f>'HIST - cubic meters per day'!J135*6.2898</f>
        <v/>
      </c>
      <c r="K135" s="37">
        <f>'HIST - cubic meters per day'!K135*6.2898</f>
        <v/>
      </c>
      <c r="L135" s="37">
        <f>'HIST - cubic meters per day'!L135*6.2898</f>
        <v/>
      </c>
      <c r="M135" s="37">
        <f>'HIST - cubic meters per day'!M135*6.2898</f>
        <v/>
      </c>
      <c r="N135" s="37">
        <f>'HIST - cubic meters per day'!N135*6.2898</f>
        <v/>
      </c>
      <c r="O135" s="37">
        <f>'HIST - cubic meters per day'!O135*6.2898</f>
        <v/>
      </c>
      <c r="P135" s="37">
        <f>'HIST - cubic meters per day'!P135*6.2898</f>
        <v/>
      </c>
      <c r="Q135" s="37">
        <f>'HIST - cubic meters per day'!Q135*6.2898</f>
        <v/>
      </c>
      <c r="R135" s="37">
        <f>'HIST - cubic meters per day'!R135*6.2898</f>
        <v/>
      </c>
      <c r="S135" s="46">
        <f>'HIST - cubic meters per day'!S135*6.2898</f>
        <v/>
      </c>
      <c r="U135" s="45">
        <f>'HIST - cubic meters per day'!U135*6.2898</f>
        <v/>
      </c>
      <c r="V135" s="45">
        <f>'HIST - cubic meters per day'!V135*6.2898</f>
        <v/>
      </c>
    </row>
    <row r="136" ht="12" customHeight="1">
      <c r="A136" s="44" t="n">
        <v>40603</v>
      </c>
      <c r="B136" s="37">
        <f>'HIST - cubic meters per day'!B136*6.2898</f>
        <v/>
      </c>
      <c r="C136" s="37">
        <f>'HIST - cubic meters per day'!C136*6.2898</f>
        <v/>
      </c>
      <c r="D136" s="37">
        <f>'HIST - cubic meters per day'!D136*6.2898</f>
        <v/>
      </c>
      <c r="E136" s="37">
        <f>'HIST - cubic meters per day'!E136*6.2898</f>
        <v/>
      </c>
      <c r="F136" s="37">
        <f>'HIST - cubic meters per day'!F136*6.2898</f>
        <v/>
      </c>
      <c r="G136" s="37">
        <f>'HIST - cubic meters per day'!G136*6.2898</f>
        <v/>
      </c>
      <c r="H136" s="37">
        <f>'HIST - cubic meters per day'!H136*6.2898</f>
        <v/>
      </c>
      <c r="I136" s="37">
        <f>'HIST - cubic meters per day'!I136*6.2898</f>
        <v/>
      </c>
      <c r="J136" s="37">
        <f>'HIST - cubic meters per day'!J136*6.2898</f>
        <v/>
      </c>
      <c r="K136" s="37">
        <f>'HIST - cubic meters per day'!K136*6.2898</f>
        <v/>
      </c>
      <c r="L136" s="37">
        <f>'HIST - cubic meters per day'!L136*6.2898</f>
        <v/>
      </c>
      <c r="M136" s="37">
        <f>'HIST - cubic meters per day'!M136*6.2898</f>
        <v/>
      </c>
      <c r="N136" s="37">
        <f>'HIST - cubic meters per day'!N136*6.2898</f>
        <v/>
      </c>
      <c r="O136" s="37">
        <f>'HIST - cubic meters per day'!O136*6.2898</f>
        <v/>
      </c>
      <c r="P136" s="37">
        <f>'HIST - cubic meters per day'!P136*6.2898</f>
        <v/>
      </c>
      <c r="Q136" s="37">
        <f>'HIST - cubic meters per day'!Q136*6.2898</f>
        <v/>
      </c>
      <c r="R136" s="37">
        <f>'HIST - cubic meters per day'!R136*6.2898</f>
        <v/>
      </c>
      <c r="S136" s="46">
        <f>'HIST - cubic meters per day'!S136*6.2898</f>
        <v/>
      </c>
      <c r="U136" s="45">
        <f>'HIST - cubic meters per day'!U136*6.2898</f>
        <v/>
      </c>
      <c r="V136" s="45">
        <f>'HIST - cubic meters per day'!V136*6.2898</f>
        <v/>
      </c>
    </row>
    <row r="137" ht="12" customHeight="1">
      <c r="A137" s="44" t="n">
        <v>40634</v>
      </c>
      <c r="B137" s="37">
        <f>'HIST - cubic meters per day'!B137*6.2898</f>
        <v/>
      </c>
      <c r="C137" s="37">
        <f>'HIST - cubic meters per day'!C137*6.2898</f>
        <v/>
      </c>
      <c r="D137" s="37">
        <f>'HIST - cubic meters per day'!D137*6.2898</f>
        <v/>
      </c>
      <c r="E137" s="37">
        <f>'HIST - cubic meters per day'!E137*6.2898</f>
        <v/>
      </c>
      <c r="F137" s="37">
        <f>'HIST - cubic meters per day'!F137*6.2898</f>
        <v/>
      </c>
      <c r="G137" s="37">
        <f>'HIST - cubic meters per day'!G137*6.2898</f>
        <v/>
      </c>
      <c r="H137" s="37">
        <f>'HIST - cubic meters per day'!H137*6.2898</f>
        <v/>
      </c>
      <c r="I137" s="37">
        <f>'HIST - cubic meters per day'!I137*6.2898</f>
        <v/>
      </c>
      <c r="J137" s="37">
        <f>'HIST - cubic meters per day'!J137*6.2898</f>
        <v/>
      </c>
      <c r="K137" s="37">
        <f>'HIST - cubic meters per day'!K137*6.2898</f>
        <v/>
      </c>
      <c r="L137" s="37">
        <f>'HIST - cubic meters per day'!L137*6.2898</f>
        <v/>
      </c>
      <c r="M137" s="37">
        <f>'HIST - cubic meters per day'!M137*6.2898</f>
        <v/>
      </c>
      <c r="N137" s="37">
        <f>'HIST - cubic meters per day'!N137*6.2898</f>
        <v/>
      </c>
      <c r="O137" s="37">
        <f>'HIST - cubic meters per day'!O137*6.2898</f>
        <v/>
      </c>
      <c r="P137" s="37">
        <f>'HIST - cubic meters per day'!P137*6.2898</f>
        <v/>
      </c>
      <c r="Q137" s="37">
        <f>'HIST - cubic meters per day'!Q137*6.2898</f>
        <v/>
      </c>
      <c r="R137" s="37">
        <f>'HIST - cubic meters per day'!R137*6.2898</f>
        <v/>
      </c>
      <c r="S137" s="46">
        <f>'HIST - cubic meters per day'!S137*6.2898</f>
        <v/>
      </c>
      <c r="U137" s="45">
        <f>'HIST - cubic meters per day'!U137*6.2898</f>
        <v/>
      </c>
      <c r="V137" s="45">
        <f>'HIST - cubic meters per day'!V137*6.2898</f>
        <v/>
      </c>
    </row>
    <row r="138" ht="12" customHeight="1">
      <c r="A138" s="44" t="n">
        <v>40664</v>
      </c>
      <c r="B138" s="37">
        <f>'HIST - cubic meters per day'!B138*6.2898</f>
        <v/>
      </c>
      <c r="C138" s="37">
        <f>'HIST - cubic meters per day'!C138*6.2898</f>
        <v/>
      </c>
      <c r="D138" s="37">
        <f>'HIST - cubic meters per day'!D138*6.2898</f>
        <v/>
      </c>
      <c r="E138" s="37">
        <f>'HIST - cubic meters per day'!E138*6.2898</f>
        <v/>
      </c>
      <c r="F138" s="37">
        <f>'HIST - cubic meters per day'!F138*6.2898</f>
        <v/>
      </c>
      <c r="G138" s="37">
        <f>'HIST - cubic meters per day'!G138*6.2898</f>
        <v/>
      </c>
      <c r="H138" s="37">
        <f>'HIST - cubic meters per day'!H138*6.2898</f>
        <v/>
      </c>
      <c r="I138" s="37">
        <f>'HIST - cubic meters per day'!I138*6.2898</f>
        <v/>
      </c>
      <c r="J138" s="37">
        <f>'HIST - cubic meters per day'!J138*6.2898</f>
        <v/>
      </c>
      <c r="K138" s="37">
        <f>'HIST - cubic meters per day'!K138*6.2898</f>
        <v/>
      </c>
      <c r="L138" s="37">
        <f>'HIST - cubic meters per day'!L138*6.2898</f>
        <v/>
      </c>
      <c r="M138" s="37">
        <f>'HIST - cubic meters per day'!M138*6.2898</f>
        <v/>
      </c>
      <c r="N138" s="37">
        <f>'HIST - cubic meters per day'!N138*6.2898</f>
        <v/>
      </c>
      <c r="O138" s="37">
        <f>'HIST - cubic meters per day'!O138*6.2898</f>
        <v/>
      </c>
      <c r="P138" s="37">
        <f>'HIST - cubic meters per day'!P138*6.2898</f>
        <v/>
      </c>
      <c r="Q138" s="37">
        <f>'HIST - cubic meters per day'!Q138*6.2898</f>
        <v/>
      </c>
      <c r="R138" s="37">
        <f>'HIST - cubic meters per day'!R138*6.2898</f>
        <v/>
      </c>
      <c r="S138" s="46">
        <f>'HIST - cubic meters per day'!S138*6.2898</f>
        <v/>
      </c>
      <c r="U138" s="45">
        <f>'HIST - cubic meters per day'!U138*6.2898</f>
        <v/>
      </c>
      <c r="V138" s="45">
        <f>'HIST - cubic meters per day'!V138*6.2898</f>
        <v/>
      </c>
    </row>
    <row r="139" ht="12" customHeight="1">
      <c r="A139" s="44" t="n">
        <v>40695</v>
      </c>
      <c r="B139" s="37">
        <f>'HIST - cubic meters per day'!B139*6.2898</f>
        <v/>
      </c>
      <c r="C139" s="37">
        <f>'HIST - cubic meters per day'!C139*6.2898</f>
        <v/>
      </c>
      <c r="D139" s="37">
        <f>'HIST - cubic meters per day'!D139*6.2898</f>
        <v/>
      </c>
      <c r="E139" s="37">
        <f>'HIST - cubic meters per day'!E139*6.2898</f>
        <v/>
      </c>
      <c r="F139" s="37">
        <f>'HIST - cubic meters per day'!F139*6.2898</f>
        <v/>
      </c>
      <c r="G139" s="37">
        <f>'HIST - cubic meters per day'!G139*6.2898</f>
        <v/>
      </c>
      <c r="H139" s="37">
        <f>'HIST - cubic meters per day'!H139*6.2898</f>
        <v/>
      </c>
      <c r="I139" s="37">
        <f>'HIST - cubic meters per day'!I139*6.2898</f>
        <v/>
      </c>
      <c r="J139" s="37">
        <f>'HIST - cubic meters per day'!J139*6.2898</f>
        <v/>
      </c>
      <c r="K139" s="37">
        <f>'HIST - cubic meters per day'!K139*6.2898</f>
        <v/>
      </c>
      <c r="L139" s="37">
        <f>'HIST - cubic meters per day'!L139*6.2898</f>
        <v/>
      </c>
      <c r="M139" s="37">
        <f>'HIST - cubic meters per day'!M139*6.2898</f>
        <v/>
      </c>
      <c r="N139" s="37">
        <f>'HIST - cubic meters per day'!N139*6.2898</f>
        <v/>
      </c>
      <c r="O139" s="37">
        <f>'HIST - cubic meters per day'!O139*6.2898</f>
        <v/>
      </c>
      <c r="P139" s="37">
        <f>'HIST - cubic meters per day'!P139*6.2898</f>
        <v/>
      </c>
      <c r="Q139" s="37">
        <f>'HIST - cubic meters per day'!Q139*6.2898</f>
        <v/>
      </c>
      <c r="R139" s="37">
        <f>'HIST - cubic meters per day'!R139*6.2898</f>
        <v/>
      </c>
      <c r="S139" s="46">
        <f>'HIST - cubic meters per day'!S139*6.2898</f>
        <v/>
      </c>
      <c r="U139" s="45">
        <f>'HIST - cubic meters per day'!U139*6.2898</f>
        <v/>
      </c>
      <c r="V139" s="45">
        <f>'HIST - cubic meters per day'!V139*6.2898</f>
        <v/>
      </c>
    </row>
    <row r="140" ht="12" customHeight="1">
      <c r="A140" s="44" t="n">
        <v>40725</v>
      </c>
      <c r="B140" s="37">
        <f>'HIST - cubic meters per day'!B140*6.2898</f>
        <v/>
      </c>
      <c r="C140" s="37">
        <f>'HIST - cubic meters per day'!C140*6.2898</f>
        <v/>
      </c>
      <c r="D140" s="37">
        <f>'HIST - cubic meters per day'!D140*6.2898</f>
        <v/>
      </c>
      <c r="E140" s="37">
        <f>'HIST - cubic meters per day'!E140*6.2898</f>
        <v/>
      </c>
      <c r="F140" s="37">
        <f>'HIST - cubic meters per day'!F140*6.2898</f>
        <v/>
      </c>
      <c r="G140" s="37">
        <f>'HIST - cubic meters per day'!G140*6.2898</f>
        <v/>
      </c>
      <c r="H140" s="37">
        <f>'HIST - cubic meters per day'!H140*6.2898</f>
        <v/>
      </c>
      <c r="I140" s="37">
        <f>'HIST - cubic meters per day'!I140*6.2898</f>
        <v/>
      </c>
      <c r="J140" s="37">
        <f>'HIST - cubic meters per day'!J140*6.2898</f>
        <v/>
      </c>
      <c r="K140" s="37">
        <f>'HIST - cubic meters per day'!K140*6.2898</f>
        <v/>
      </c>
      <c r="L140" s="37">
        <f>'HIST - cubic meters per day'!L140*6.2898</f>
        <v/>
      </c>
      <c r="M140" s="37">
        <f>'HIST - cubic meters per day'!M140*6.2898</f>
        <v/>
      </c>
      <c r="N140" s="37">
        <f>'HIST - cubic meters per day'!N140*6.2898</f>
        <v/>
      </c>
      <c r="O140" s="37">
        <f>'HIST - cubic meters per day'!O140*6.2898</f>
        <v/>
      </c>
      <c r="P140" s="37">
        <f>'HIST - cubic meters per day'!P140*6.2898</f>
        <v/>
      </c>
      <c r="Q140" s="37">
        <f>'HIST - cubic meters per day'!Q140*6.2898</f>
        <v/>
      </c>
      <c r="R140" s="37">
        <f>'HIST - cubic meters per day'!R140*6.2898</f>
        <v/>
      </c>
      <c r="S140" s="46">
        <f>'HIST - cubic meters per day'!S140*6.2898</f>
        <v/>
      </c>
      <c r="U140" s="45">
        <f>'HIST - cubic meters per day'!U140*6.2898</f>
        <v/>
      </c>
      <c r="V140" s="45">
        <f>'HIST - cubic meters per day'!V140*6.2898</f>
        <v/>
      </c>
    </row>
    <row r="141" ht="12" customHeight="1">
      <c r="A141" s="44" t="n">
        <v>40756</v>
      </c>
      <c r="B141" s="37">
        <f>'HIST - cubic meters per day'!B141*6.2898</f>
        <v/>
      </c>
      <c r="C141" s="37">
        <f>'HIST - cubic meters per day'!C141*6.2898</f>
        <v/>
      </c>
      <c r="D141" s="37">
        <f>'HIST - cubic meters per day'!D141*6.2898</f>
        <v/>
      </c>
      <c r="E141" s="37">
        <f>'HIST - cubic meters per day'!E141*6.2898</f>
        <v/>
      </c>
      <c r="F141" s="37">
        <f>'HIST - cubic meters per day'!F141*6.2898</f>
        <v/>
      </c>
      <c r="G141" s="37">
        <f>'HIST - cubic meters per day'!G141*6.2898</f>
        <v/>
      </c>
      <c r="H141" s="37">
        <f>'HIST - cubic meters per day'!H141*6.2898</f>
        <v/>
      </c>
      <c r="I141" s="37">
        <f>'HIST - cubic meters per day'!I141*6.2898</f>
        <v/>
      </c>
      <c r="J141" s="37">
        <f>'HIST - cubic meters per day'!J141*6.2898</f>
        <v/>
      </c>
      <c r="K141" s="37">
        <f>'HIST - cubic meters per day'!K141*6.2898</f>
        <v/>
      </c>
      <c r="L141" s="37">
        <f>'HIST - cubic meters per day'!L141*6.2898</f>
        <v/>
      </c>
      <c r="M141" s="37">
        <f>'HIST - cubic meters per day'!M141*6.2898</f>
        <v/>
      </c>
      <c r="N141" s="37">
        <f>'HIST - cubic meters per day'!N141*6.2898</f>
        <v/>
      </c>
      <c r="O141" s="37">
        <f>'HIST - cubic meters per day'!O141*6.2898</f>
        <v/>
      </c>
      <c r="P141" s="37">
        <f>'HIST - cubic meters per day'!P141*6.2898</f>
        <v/>
      </c>
      <c r="Q141" s="37">
        <f>'HIST - cubic meters per day'!Q141*6.2898</f>
        <v/>
      </c>
      <c r="R141" s="37">
        <f>'HIST - cubic meters per day'!R141*6.2898</f>
        <v/>
      </c>
      <c r="S141" s="46">
        <f>'HIST - cubic meters per day'!S141*6.2898</f>
        <v/>
      </c>
      <c r="U141" s="45">
        <f>'HIST - cubic meters per day'!U141*6.2898</f>
        <v/>
      </c>
      <c r="V141" s="45">
        <f>'HIST - cubic meters per day'!V141*6.2898</f>
        <v/>
      </c>
    </row>
    <row r="142" ht="12" customHeight="1">
      <c r="A142" s="44" t="n">
        <v>40787</v>
      </c>
      <c r="B142" s="37">
        <f>'HIST - cubic meters per day'!B142*6.2898</f>
        <v/>
      </c>
      <c r="C142" s="37">
        <f>'HIST - cubic meters per day'!C142*6.2898</f>
        <v/>
      </c>
      <c r="D142" s="37">
        <f>'HIST - cubic meters per day'!D142*6.2898</f>
        <v/>
      </c>
      <c r="E142" s="37">
        <f>'HIST - cubic meters per day'!E142*6.2898</f>
        <v/>
      </c>
      <c r="F142" s="37">
        <f>'HIST - cubic meters per day'!F142*6.2898</f>
        <v/>
      </c>
      <c r="G142" s="37">
        <f>'HIST - cubic meters per day'!G142*6.2898</f>
        <v/>
      </c>
      <c r="H142" s="37">
        <f>'HIST - cubic meters per day'!H142*6.2898</f>
        <v/>
      </c>
      <c r="I142" s="37">
        <f>'HIST - cubic meters per day'!I142*6.2898</f>
        <v/>
      </c>
      <c r="J142" s="37">
        <f>'HIST - cubic meters per day'!J142*6.2898</f>
        <v/>
      </c>
      <c r="K142" s="37">
        <f>'HIST - cubic meters per day'!K142*6.2898</f>
        <v/>
      </c>
      <c r="L142" s="37">
        <f>'HIST - cubic meters per day'!L142*6.2898</f>
        <v/>
      </c>
      <c r="M142" s="37">
        <f>'HIST - cubic meters per day'!M142*6.2898</f>
        <v/>
      </c>
      <c r="N142" s="37">
        <f>'HIST - cubic meters per day'!N142*6.2898</f>
        <v/>
      </c>
      <c r="O142" s="37">
        <f>'HIST - cubic meters per day'!O142*6.2898</f>
        <v/>
      </c>
      <c r="P142" s="37">
        <f>'HIST - cubic meters per day'!P142*6.2898</f>
        <v/>
      </c>
      <c r="Q142" s="37">
        <f>'HIST - cubic meters per day'!Q142*6.2898</f>
        <v/>
      </c>
      <c r="R142" s="37">
        <f>'HIST - cubic meters per day'!R142*6.2898</f>
        <v/>
      </c>
      <c r="S142" s="46">
        <f>'HIST - cubic meters per day'!S142*6.2898</f>
        <v/>
      </c>
      <c r="U142" s="45">
        <f>'HIST - cubic meters per day'!U142*6.2898</f>
        <v/>
      </c>
      <c r="V142" s="45">
        <f>'HIST - cubic meters per day'!V142*6.2898</f>
        <v/>
      </c>
    </row>
    <row r="143" ht="12" customHeight="1">
      <c r="A143" s="44" t="n">
        <v>40817</v>
      </c>
      <c r="B143" s="37">
        <f>'HIST - cubic meters per day'!B143*6.2898</f>
        <v/>
      </c>
      <c r="C143" s="37">
        <f>'HIST - cubic meters per day'!C143*6.2898</f>
        <v/>
      </c>
      <c r="D143" s="37">
        <f>'HIST - cubic meters per day'!D143*6.2898</f>
        <v/>
      </c>
      <c r="E143" s="37">
        <f>'HIST - cubic meters per day'!E143*6.2898</f>
        <v/>
      </c>
      <c r="F143" s="37">
        <f>'HIST - cubic meters per day'!F143*6.2898</f>
        <v/>
      </c>
      <c r="G143" s="37">
        <f>'HIST - cubic meters per day'!G143*6.2898</f>
        <v/>
      </c>
      <c r="H143" s="37">
        <f>'HIST - cubic meters per day'!H143*6.2898</f>
        <v/>
      </c>
      <c r="I143" s="37">
        <f>'HIST - cubic meters per day'!I143*6.2898</f>
        <v/>
      </c>
      <c r="J143" s="37">
        <f>'HIST - cubic meters per day'!J143*6.2898</f>
        <v/>
      </c>
      <c r="K143" s="37">
        <f>'HIST - cubic meters per day'!K143*6.2898</f>
        <v/>
      </c>
      <c r="L143" s="37">
        <f>'HIST - cubic meters per day'!L143*6.2898</f>
        <v/>
      </c>
      <c r="M143" s="37">
        <f>'HIST - cubic meters per day'!M143*6.2898</f>
        <v/>
      </c>
      <c r="N143" s="37">
        <f>'HIST - cubic meters per day'!N143*6.2898</f>
        <v/>
      </c>
      <c r="O143" s="37">
        <f>'HIST - cubic meters per day'!O143*6.2898</f>
        <v/>
      </c>
      <c r="P143" s="37">
        <f>'HIST - cubic meters per day'!P143*6.2898</f>
        <v/>
      </c>
      <c r="Q143" s="37">
        <f>'HIST - cubic meters per day'!Q143*6.2898</f>
        <v/>
      </c>
      <c r="R143" s="37">
        <f>'HIST - cubic meters per day'!R143*6.2898</f>
        <v/>
      </c>
      <c r="S143" s="46">
        <f>'HIST - cubic meters per day'!S143*6.2898</f>
        <v/>
      </c>
      <c r="U143" s="45">
        <f>'HIST - cubic meters per day'!U143*6.2898</f>
        <v/>
      </c>
      <c r="V143" s="45">
        <f>'HIST - cubic meters per day'!V143*6.2898</f>
        <v/>
      </c>
    </row>
    <row r="144" ht="12" customHeight="1">
      <c r="A144" s="44" t="n">
        <v>40848</v>
      </c>
      <c r="B144" s="37">
        <f>'HIST - cubic meters per day'!B144*6.2898</f>
        <v/>
      </c>
      <c r="C144" s="37">
        <f>'HIST - cubic meters per day'!C144*6.2898</f>
        <v/>
      </c>
      <c r="D144" s="37">
        <f>'HIST - cubic meters per day'!D144*6.2898</f>
        <v/>
      </c>
      <c r="E144" s="37">
        <f>'HIST - cubic meters per day'!E144*6.2898</f>
        <v/>
      </c>
      <c r="F144" s="37">
        <f>'HIST - cubic meters per day'!F144*6.2898</f>
        <v/>
      </c>
      <c r="G144" s="37">
        <f>'HIST - cubic meters per day'!G144*6.2898</f>
        <v/>
      </c>
      <c r="H144" s="37">
        <f>'HIST - cubic meters per day'!H144*6.2898</f>
        <v/>
      </c>
      <c r="I144" s="37">
        <f>'HIST - cubic meters per day'!I144*6.2898</f>
        <v/>
      </c>
      <c r="J144" s="37">
        <f>'HIST - cubic meters per day'!J144*6.2898</f>
        <v/>
      </c>
      <c r="K144" s="37">
        <f>'HIST - cubic meters per day'!K144*6.2898</f>
        <v/>
      </c>
      <c r="L144" s="37">
        <f>'HIST - cubic meters per day'!L144*6.2898</f>
        <v/>
      </c>
      <c r="M144" s="37">
        <f>'HIST - cubic meters per day'!M144*6.2898</f>
        <v/>
      </c>
      <c r="N144" s="37">
        <f>'HIST - cubic meters per day'!N144*6.2898</f>
        <v/>
      </c>
      <c r="O144" s="37">
        <f>'HIST - cubic meters per day'!O144*6.2898</f>
        <v/>
      </c>
      <c r="P144" s="37">
        <f>'HIST - cubic meters per day'!P144*6.2898</f>
        <v/>
      </c>
      <c r="Q144" s="37">
        <f>'HIST - cubic meters per day'!Q144*6.2898</f>
        <v/>
      </c>
      <c r="R144" s="37">
        <f>'HIST - cubic meters per day'!R144*6.2898</f>
        <v/>
      </c>
      <c r="S144" s="46">
        <f>'HIST - cubic meters per day'!S144*6.2898</f>
        <v/>
      </c>
      <c r="U144" s="45">
        <f>'HIST - cubic meters per day'!U144*6.2898</f>
        <v/>
      </c>
      <c r="V144" s="45">
        <f>'HIST - cubic meters per day'!V144*6.2898</f>
        <v/>
      </c>
    </row>
    <row r="145" ht="12" customHeight="1">
      <c r="A145" s="44" t="n">
        <v>40878</v>
      </c>
      <c r="B145" s="37">
        <f>'HIST - cubic meters per day'!B145*6.2898</f>
        <v/>
      </c>
      <c r="C145" s="37">
        <f>'HIST - cubic meters per day'!C145*6.2898</f>
        <v/>
      </c>
      <c r="D145" s="37">
        <f>'HIST - cubic meters per day'!D145*6.2898</f>
        <v/>
      </c>
      <c r="E145" s="37">
        <f>'HIST - cubic meters per day'!E145*6.2898</f>
        <v/>
      </c>
      <c r="F145" s="37">
        <f>'HIST - cubic meters per day'!F145*6.2898</f>
        <v/>
      </c>
      <c r="G145" s="37">
        <f>'HIST - cubic meters per day'!G145*6.2898</f>
        <v/>
      </c>
      <c r="H145" s="37">
        <f>'HIST - cubic meters per day'!H145*6.2898</f>
        <v/>
      </c>
      <c r="I145" s="37">
        <f>'HIST - cubic meters per day'!I145*6.2898</f>
        <v/>
      </c>
      <c r="J145" s="37">
        <f>'HIST - cubic meters per day'!J145*6.2898</f>
        <v/>
      </c>
      <c r="K145" s="37">
        <f>'HIST - cubic meters per day'!K145*6.2898</f>
        <v/>
      </c>
      <c r="L145" s="37">
        <f>'HIST - cubic meters per day'!L145*6.2898</f>
        <v/>
      </c>
      <c r="M145" s="37">
        <f>'HIST - cubic meters per day'!M145*6.2898</f>
        <v/>
      </c>
      <c r="N145" s="37">
        <f>'HIST - cubic meters per day'!N145*6.2898</f>
        <v/>
      </c>
      <c r="O145" s="37">
        <f>'HIST - cubic meters per day'!O145*6.2898</f>
        <v/>
      </c>
      <c r="P145" s="37">
        <f>'HIST - cubic meters per day'!P145*6.2898</f>
        <v/>
      </c>
      <c r="Q145" s="37">
        <f>'HIST - cubic meters per day'!Q145*6.2898</f>
        <v/>
      </c>
      <c r="R145" s="37">
        <f>'HIST - cubic meters per day'!R145*6.2898</f>
        <v/>
      </c>
      <c r="S145" s="46">
        <f>'HIST - cubic meters per day'!S145*6.2898</f>
        <v/>
      </c>
      <c r="U145" s="45">
        <f>'HIST - cubic meters per day'!U145*6.2898</f>
        <v/>
      </c>
      <c r="V145" s="45">
        <f>'HIST - cubic meters per day'!V145*6.2898</f>
        <v/>
      </c>
    </row>
    <row r="146" ht="12" customHeight="1">
      <c r="A146" s="44" t="n">
        <v>40909</v>
      </c>
      <c r="B146" s="37">
        <f>'HIST - cubic meters per day'!B146*6.2898</f>
        <v/>
      </c>
      <c r="C146" s="37">
        <f>'HIST - cubic meters per day'!C146*6.2898</f>
        <v/>
      </c>
      <c r="D146" s="37">
        <f>'HIST - cubic meters per day'!D146*6.2898</f>
        <v/>
      </c>
      <c r="E146" s="37">
        <f>'HIST - cubic meters per day'!E146*6.2898</f>
        <v/>
      </c>
      <c r="F146" s="37">
        <f>'HIST - cubic meters per day'!F146*6.2898</f>
        <v/>
      </c>
      <c r="G146" s="37">
        <f>'HIST - cubic meters per day'!G146*6.2898</f>
        <v/>
      </c>
      <c r="H146" s="37">
        <f>'HIST - cubic meters per day'!H146*6.2898</f>
        <v/>
      </c>
      <c r="I146" s="37">
        <f>'HIST - cubic meters per day'!I146*6.2898</f>
        <v/>
      </c>
      <c r="J146" s="37">
        <f>'HIST - cubic meters per day'!J146*6.2898</f>
        <v/>
      </c>
      <c r="K146" s="37">
        <f>'HIST - cubic meters per day'!K146*6.2898</f>
        <v/>
      </c>
      <c r="L146" s="37">
        <f>'HIST - cubic meters per day'!L146*6.2898</f>
        <v/>
      </c>
      <c r="M146" s="37">
        <f>'HIST - cubic meters per day'!M146*6.2898</f>
        <v/>
      </c>
      <c r="N146" s="37">
        <f>'HIST - cubic meters per day'!N146*6.2898</f>
        <v/>
      </c>
      <c r="O146" s="37">
        <f>'HIST - cubic meters per day'!O146*6.2898</f>
        <v/>
      </c>
      <c r="P146" s="37">
        <f>'HIST - cubic meters per day'!P146*6.2898</f>
        <v/>
      </c>
      <c r="Q146" s="37">
        <f>'HIST - cubic meters per day'!Q146*6.2898</f>
        <v/>
      </c>
      <c r="R146" s="37">
        <f>'HIST - cubic meters per day'!R146*6.2898</f>
        <v/>
      </c>
      <c r="S146" s="46">
        <f>'HIST - cubic meters per day'!S146*6.2898</f>
        <v/>
      </c>
      <c r="U146" s="45">
        <f>'HIST - cubic meters per day'!U146*6.2898</f>
        <v/>
      </c>
      <c r="V146" s="45">
        <f>'HIST - cubic meters per day'!V146*6.2898</f>
        <v/>
      </c>
    </row>
    <row r="147" ht="12" customHeight="1">
      <c r="A147" s="44" t="n">
        <v>40940</v>
      </c>
      <c r="B147" s="37">
        <f>'HIST - cubic meters per day'!B147*6.2898</f>
        <v/>
      </c>
      <c r="C147" s="37">
        <f>'HIST - cubic meters per day'!C147*6.2898</f>
        <v/>
      </c>
      <c r="D147" s="37">
        <f>'HIST - cubic meters per day'!D147*6.2898</f>
        <v/>
      </c>
      <c r="E147" s="37">
        <f>'HIST - cubic meters per day'!E147*6.2898</f>
        <v/>
      </c>
      <c r="F147" s="37">
        <f>'HIST - cubic meters per day'!F147*6.2898</f>
        <v/>
      </c>
      <c r="G147" s="37">
        <f>'HIST - cubic meters per day'!G147*6.2898</f>
        <v/>
      </c>
      <c r="H147" s="37">
        <f>'HIST - cubic meters per day'!H147*6.2898</f>
        <v/>
      </c>
      <c r="I147" s="37">
        <f>'HIST - cubic meters per day'!I147*6.2898</f>
        <v/>
      </c>
      <c r="J147" s="37">
        <f>'HIST - cubic meters per day'!J147*6.2898</f>
        <v/>
      </c>
      <c r="K147" s="37">
        <f>'HIST - cubic meters per day'!K147*6.2898</f>
        <v/>
      </c>
      <c r="L147" s="37">
        <f>'HIST - cubic meters per day'!L147*6.2898</f>
        <v/>
      </c>
      <c r="M147" s="37">
        <f>'HIST - cubic meters per day'!M147*6.2898</f>
        <v/>
      </c>
      <c r="N147" s="37">
        <f>'HIST - cubic meters per day'!N147*6.2898</f>
        <v/>
      </c>
      <c r="O147" s="37">
        <f>'HIST - cubic meters per day'!O147*6.2898</f>
        <v/>
      </c>
      <c r="P147" s="37">
        <f>'HIST - cubic meters per day'!P147*6.2898</f>
        <v/>
      </c>
      <c r="Q147" s="37">
        <f>'HIST - cubic meters per day'!Q147*6.2898</f>
        <v/>
      </c>
      <c r="R147" s="37">
        <f>'HIST - cubic meters per day'!R147*6.2898</f>
        <v/>
      </c>
      <c r="S147" s="46">
        <f>'HIST - cubic meters per day'!S147*6.2898</f>
        <v/>
      </c>
      <c r="U147" s="45">
        <f>'HIST - cubic meters per day'!U147*6.2898</f>
        <v/>
      </c>
      <c r="V147" s="45">
        <f>'HIST - cubic meters per day'!V147*6.2898</f>
        <v/>
      </c>
    </row>
    <row r="148" ht="12" customHeight="1">
      <c r="A148" s="44" t="n">
        <v>40969</v>
      </c>
      <c r="B148" s="37">
        <f>'HIST - cubic meters per day'!B148*6.2898</f>
        <v/>
      </c>
      <c r="C148" s="37">
        <f>'HIST - cubic meters per day'!C148*6.2898</f>
        <v/>
      </c>
      <c r="D148" s="37">
        <f>'HIST - cubic meters per day'!D148*6.2898</f>
        <v/>
      </c>
      <c r="E148" s="37">
        <f>'HIST - cubic meters per day'!E148*6.2898</f>
        <v/>
      </c>
      <c r="F148" s="37">
        <f>'HIST - cubic meters per day'!F148*6.2898</f>
        <v/>
      </c>
      <c r="G148" s="37">
        <f>'HIST - cubic meters per day'!G148*6.2898</f>
        <v/>
      </c>
      <c r="H148" s="37">
        <f>'HIST - cubic meters per day'!H148*6.2898</f>
        <v/>
      </c>
      <c r="I148" s="37">
        <f>'HIST - cubic meters per day'!I148*6.2898</f>
        <v/>
      </c>
      <c r="J148" s="37">
        <f>'HIST - cubic meters per day'!J148*6.2898</f>
        <v/>
      </c>
      <c r="K148" s="37">
        <f>'HIST - cubic meters per day'!K148*6.2898</f>
        <v/>
      </c>
      <c r="L148" s="37">
        <f>'HIST - cubic meters per day'!L148*6.2898</f>
        <v/>
      </c>
      <c r="M148" s="37">
        <f>'HIST - cubic meters per day'!M148*6.2898</f>
        <v/>
      </c>
      <c r="N148" s="37">
        <f>'HIST - cubic meters per day'!N148*6.2898</f>
        <v/>
      </c>
      <c r="O148" s="37">
        <f>'HIST - cubic meters per day'!O148*6.2898</f>
        <v/>
      </c>
      <c r="P148" s="37">
        <f>'HIST - cubic meters per day'!P148*6.2898</f>
        <v/>
      </c>
      <c r="Q148" s="37">
        <f>'HIST - cubic meters per day'!Q148*6.2898</f>
        <v/>
      </c>
      <c r="R148" s="37">
        <f>'HIST - cubic meters per day'!R148*6.2898</f>
        <v/>
      </c>
      <c r="S148" s="46">
        <f>'HIST - cubic meters per day'!S148*6.2898</f>
        <v/>
      </c>
      <c r="U148" s="45">
        <f>'HIST - cubic meters per day'!U148*6.2898</f>
        <v/>
      </c>
      <c r="V148" s="45">
        <f>'HIST - cubic meters per day'!V148*6.2898</f>
        <v/>
      </c>
    </row>
    <row r="149" ht="12" customHeight="1">
      <c r="A149" s="44" t="n">
        <v>41000</v>
      </c>
      <c r="B149" s="37">
        <f>'HIST - cubic meters per day'!B149*6.2898</f>
        <v/>
      </c>
      <c r="C149" s="37">
        <f>'HIST - cubic meters per day'!C149*6.2898</f>
        <v/>
      </c>
      <c r="D149" s="37">
        <f>'HIST - cubic meters per day'!D149*6.2898</f>
        <v/>
      </c>
      <c r="E149" s="37">
        <f>'HIST - cubic meters per day'!E149*6.2898</f>
        <v/>
      </c>
      <c r="F149" s="37">
        <f>'HIST - cubic meters per day'!F149*6.2898</f>
        <v/>
      </c>
      <c r="G149" s="37">
        <f>'HIST - cubic meters per day'!G149*6.2898</f>
        <v/>
      </c>
      <c r="H149" s="37">
        <f>'HIST - cubic meters per day'!H149*6.2898</f>
        <v/>
      </c>
      <c r="I149" s="37">
        <f>'HIST - cubic meters per day'!I149*6.2898</f>
        <v/>
      </c>
      <c r="J149" s="37">
        <f>'HIST - cubic meters per day'!J149*6.2898</f>
        <v/>
      </c>
      <c r="K149" s="37">
        <f>'HIST - cubic meters per day'!K149*6.2898</f>
        <v/>
      </c>
      <c r="L149" s="37">
        <f>'HIST - cubic meters per day'!L149*6.2898</f>
        <v/>
      </c>
      <c r="M149" s="37">
        <f>'HIST - cubic meters per day'!M149*6.2898</f>
        <v/>
      </c>
      <c r="N149" s="37">
        <f>'HIST - cubic meters per day'!N149*6.2898</f>
        <v/>
      </c>
      <c r="O149" s="37">
        <f>'HIST - cubic meters per day'!O149*6.2898</f>
        <v/>
      </c>
      <c r="P149" s="37">
        <f>'HIST - cubic meters per day'!P149*6.2898</f>
        <v/>
      </c>
      <c r="Q149" s="37">
        <f>'HIST - cubic meters per day'!Q149*6.2898</f>
        <v/>
      </c>
      <c r="R149" s="37">
        <f>'HIST - cubic meters per day'!R149*6.2898</f>
        <v/>
      </c>
      <c r="S149" s="46">
        <f>'HIST - cubic meters per day'!S149*6.2898</f>
        <v/>
      </c>
      <c r="U149" s="45">
        <f>'HIST - cubic meters per day'!U149*6.2898</f>
        <v/>
      </c>
      <c r="V149" s="45">
        <f>'HIST - cubic meters per day'!V149*6.2898</f>
        <v/>
      </c>
    </row>
    <row r="150" ht="12" customHeight="1">
      <c r="A150" s="44" t="n">
        <v>41030</v>
      </c>
      <c r="B150" s="37">
        <f>'HIST - cubic meters per day'!B150*6.2898</f>
        <v/>
      </c>
      <c r="C150" s="37">
        <f>'HIST - cubic meters per day'!C150*6.2898</f>
        <v/>
      </c>
      <c r="D150" s="37">
        <f>'HIST - cubic meters per day'!D150*6.2898</f>
        <v/>
      </c>
      <c r="E150" s="37">
        <f>'HIST - cubic meters per day'!E150*6.2898</f>
        <v/>
      </c>
      <c r="F150" s="37">
        <f>'HIST - cubic meters per day'!F150*6.2898</f>
        <v/>
      </c>
      <c r="G150" s="37">
        <f>'HIST - cubic meters per day'!G150*6.2898</f>
        <v/>
      </c>
      <c r="H150" s="37">
        <f>'HIST - cubic meters per day'!H150*6.2898</f>
        <v/>
      </c>
      <c r="I150" s="37">
        <f>'HIST - cubic meters per day'!I150*6.2898</f>
        <v/>
      </c>
      <c r="J150" s="37">
        <f>'HIST - cubic meters per day'!J150*6.2898</f>
        <v/>
      </c>
      <c r="K150" s="37">
        <f>'HIST - cubic meters per day'!K150*6.2898</f>
        <v/>
      </c>
      <c r="L150" s="37">
        <f>'HIST - cubic meters per day'!L150*6.2898</f>
        <v/>
      </c>
      <c r="M150" s="37">
        <f>'HIST - cubic meters per day'!M150*6.2898</f>
        <v/>
      </c>
      <c r="N150" s="37">
        <f>'HIST - cubic meters per day'!N150*6.2898</f>
        <v/>
      </c>
      <c r="O150" s="37">
        <f>'HIST - cubic meters per day'!O150*6.2898</f>
        <v/>
      </c>
      <c r="P150" s="37">
        <f>'HIST - cubic meters per day'!P150*6.2898</f>
        <v/>
      </c>
      <c r="Q150" s="37">
        <f>'HIST - cubic meters per day'!Q150*6.2898</f>
        <v/>
      </c>
      <c r="R150" s="37">
        <f>'HIST - cubic meters per day'!R150*6.2898</f>
        <v/>
      </c>
      <c r="S150" s="46">
        <f>'HIST - cubic meters per day'!S150*6.2898</f>
        <v/>
      </c>
      <c r="U150" s="45">
        <f>'HIST - cubic meters per day'!U150*6.2898</f>
        <v/>
      </c>
      <c r="V150" s="45">
        <f>'HIST - cubic meters per day'!V150*6.2898</f>
        <v/>
      </c>
    </row>
    <row r="151" ht="12" customHeight="1">
      <c r="A151" s="44" t="n">
        <v>41061</v>
      </c>
      <c r="B151" s="37">
        <f>'HIST - cubic meters per day'!B151*6.2898</f>
        <v/>
      </c>
      <c r="C151" s="37">
        <f>'HIST - cubic meters per day'!C151*6.2898</f>
        <v/>
      </c>
      <c r="D151" s="37">
        <f>'HIST - cubic meters per day'!D151*6.2898</f>
        <v/>
      </c>
      <c r="E151" s="37">
        <f>'HIST - cubic meters per day'!E151*6.2898</f>
        <v/>
      </c>
      <c r="F151" s="37">
        <f>'HIST - cubic meters per day'!F151*6.2898</f>
        <v/>
      </c>
      <c r="G151" s="37">
        <f>'HIST - cubic meters per day'!G151*6.2898</f>
        <v/>
      </c>
      <c r="H151" s="37">
        <f>'HIST - cubic meters per day'!H151*6.2898</f>
        <v/>
      </c>
      <c r="I151" s="37">
        <f>'HIST - cubic meters per day'!I151*6.2898</f>
        <v/>
      </c>
      <c r="J151" s="37">
        <f>'HIST - cubic meters per day'!J151*6.2898</f>
        <v/>
      </c>
      <c r="K151" s="37">
        <f>'HIST - cubic meters per day'!K151*6.2898</f>
        <v/>
      </c>
      <c r="L151" s="37">
        <f>'HIST - cubic meters per day'!L151*6.2898</f>
        <v/>
      </c>
      <c r="M151" s="37">
        <f>'HIST - cubic meters per day'!M151*6.2898</f>
        <v/>
      </c>
      <c r="N151" s="37">
        <f>'HIST - cubic meters per day'!N151*6.2898</f>
        <v/>
      </c>
      <c r="O151" s="37">
        <f>'HIST - cubic meters per day'!O151*6.2898</f>
        <v/>
      </c>
      <c r="P151" s="37">
        <f>'HIST - cubic meters per day'!P151*6.2898</f>
        <v/>
      </c>
      <c r="Q151" s="37">
        <f>'HIST - cubic meters per day'!Q151*6.2898</f>
        <v/>
      </c>
      <c r="R151" s="37">
        <f>'HIST - cubic meters per day'!R151*6.2898</f>
        <v/>
      </c>
      <c r="S151" s="46">
        <f>'HIST - cubic meters per day'!S151*6.2898</f>
        <v/>
      </c>
      <c r="U151" s="45">
        <f>'HIST - cubic meters per day'!U151*6.2898</f>
        <v/>
      </c>
      <c r="V151" s="45">
        <f>'HIST - cubic meters per day'!V151*6.2898</f>
        <v/>
      </c>
    </row>
    <row r="152" ht="12" customHeight="1">
      <c r="A152" s="44" t="n">
        <v>41091</v>
      </c>
      <c r="B152" s="37">
        <f>'HIST - cubic meters per day'!B152*6.2898</f>
        <v/>
      </c>
      <c r="C152" s="37">
        <f>'HIST - cubic meters per day'!C152*6.2898</f>
        <v/>
      </c>
      <c r="D152" s="37">
        <f>'HIST - cubic meters per day'!D152*6.2898</f>
        <v/>
      </c>
      <c r="E152" s="37">
        <f>'HIST - cubic meters per day'!E152*6.2898</f>
        <v/>
      </c>
      <c r="F152" s="37">
        <f>'HIST - cubic meters per day'!F152*6.2898</f>
        <v/>
      </c>
      <c r="G152" s="37">
        <f>'HIST - cubic meters per day'!G152*6.2898</f>
        <v/>
      </c>
      <c r="H152" s="37">
        <f>'HIST - cubic meters per day'!H152*6.2898</f>
        <v/>
      </c>
      <c r="I152" s="37">
        <f>'HIST - cubic meters per day'!I152*6.2898</f>
        <v/>
      </c>
      <c r="J152" s="37">
        <f>'HIST - cubic meters per day'!J152*6.2898</f>
        <v/>
      </c>
      <c r="K152" s="37">
        <f>'HIST - cubic meters per day'!K152*6.2898</f>
        <v/>
      </c>
      <c r="L152" s="37">
        <f>'HIST - cubic meters per day'!L152*6.2898</f>
        <v/>
      </c>
      <c r="M152" s="37">
        <f>'HIST - cubic meters per day'!M152*6.2898</f>
        <v/>
      </c>
      <c r="N152" s="37">
        <f>'HIST - cubic meters per day'!N152*6.2898</f>
        <v/>
      </c>
      <c r="O152" s="37">
        <f>'HIST - cubic meters per day'!O152*6.2898</f>
        <v/>
      </c>
      <c r="P152" s="37">
        <f>'HIST - cubic meters per day'!P152*6.2898</f>
        <v/>
      </c>
      <c r="Q152" s="37">
        <f>'HIST - cubic meters per day'!Q152*6.2898</f>
        <v/>
      </c>
      <c r="R152" s="37">
        <f>'HIST - cubic meters per day'!R152*6.2898</f>
        <v/>
      </c>
      <c r="S152" s="46">
        <f>'HIST - cubic meters per day'!S152*6.2898</f>
        <v/>
      </c>
      <c r="U152" s="45">
        <f>'HIST - cubic meters per day'!U152*6.2898</f>
        <v/>
      </c>
      <c r="V152" s="45">
        <f>'HIST - cubic meters per day'!V152*6.2898</f>
        <v/>
      </c>
    </row>
    <row r="153" ht="12" customHeight="1">
      <c r="A153" s="44" t="n">
        <v>41122</v>
      </c>
      <c r="B153" s="37">
        <f>'HIST - cubic meters per day'!B153*6.2898</f>
        <v/>
      </c>
      <c r="C153" s="37">
        <f>'HIST - cubic meters per day'!C153*6.2898</f>
        <v/>
      </c>
      <c r="D153" s="37">
        <f>'HIST - cubic meters per day'!D153*6.2898</f>
        <v/>
      </c>
      <c r="E153" s="37">
        <f>'HIST - cubic meters per day'!E153*6.2898</f>
        <v/>
      </c>
      <c r="F153" s="37">
        <f>'HIST - cubic meters per day'!F153*6.2898</f>
        <v/>
      </c>
      <c r="G153" s="37">
        <f>'HIST - cubic meters per day'!G153*6.2898</f>
        <v/>
      </c>
      <c r="H153" s="37">
        <f>'HIST - cubic meters per day'!H153*6.2898</f>
        <v/>
      </c>
      <c r="I153" s="37">
        <f>'HIST - cubic meters per day'!I153*6.2898</f>
        <v/>
      </c>
      <c r="J153" s="37">
        <f>'HIST - cubic meters per day'!J153*6.2898</f>
        <v/>
      </c>
      <c r="K153" s="37">
        <f>'HIST - cubic meters per day'!K153*6.2898</f>
        <v/>
      </c>
      <c r="L153" s="37">
        <f>'HIST - cubic meters per day'!L153*6.2898</f>
        <v/>
      </c>
      <c r="M153" s="37">
        <f>'HIST - cubic meters per day'!M153*6.2898</f>
        <v/>
      </c>
      <c r="N153" s="37">
        <f>'HIST - cubic meters per day'!N153*6.2898</f>
        <v/>
      </c>
      <c r="O153" s="37">
        <f>'HIST - cubic meters per day'!O153*6.2898</f>
        <v/>
      </c>
      <c r="P153" s="37">
        <f>'HIST - cubic meters per day'!P153*6.2898</f>
        <v/>
      </c>
      <c r="Q153" s="37">
        <f>'HIST - cubic meters per day'!Q153*6.2898</f>
        <v/>
      </c>
      <c r="R153" s="37">
        <f>'HIST - cubic meters per day'!R153*6.2898</f>
        <v/>
      </c>
      <c r="S153" s="46">
        <f>'HIST - cubic meters per day'!S153*6.2898</f>
        <v/>
      </c>
      <c r="U153" s="45">
        <f>'HIST - cubic meters per day'!U153*6.2898</f>
        <v/>
      </c>
      <c r="V153" s="45">
        <f>'HIST - cubic meters per day'!V153*6.2898</f>
        <v/>
      </c>
    </row>
    <row r="154" ht="12" customHeight="1">
      <c r="A154" s="44" t="n">
        <v>41153</v>
      </c>
      <c r="B154" s="37">
        <f>'HIST - cubic meters per day'!B154*6.2898</f>
        <v/>
      </c>
      <c r="C154" s="37">
        <f>'HIST - cubic meters per day'!C154*6.2898</f>
        <v/>
      </c>
      <c r="D154" s="37">
        <f>'HIST - cubic meters per day'!D154*6.2898</f>
        <v/>
      </c>
      <c r="E154" s="37">
        <f>'HIST - cubic meters per day'!E154*6.2898</f>
        <v/>
      </c>
      <c r="F154" s="37">
        <f>'HIST - cubic meters per day'!F154*6.2898</f>
        <v/>
      </c>
      <c r="G154" s="37">
        <f>'HIST - cubic meters per day'!G154*6.2898</f>
        <v/>
      </c>
      <c r="H154" s="37">
        <f>'HIST - cubic meters per day'!H154*6.2898</f>
        <v/>
      </c>
      <c r="I154" s="37">
        <f>'HIST - cubic meters per day'!I154*6.2898</f>
        <v/>
      </c>
      <c r="J154" s="37">
        <f>'HIST - cubic meters per day'!J154*6.2898</f>
        <v/>
      </c>
      <c r="K154" s="37">
        <f>'HIST - cubic meters per day'!K154*6.2898</f>
        <v/>
      </c>
      <c r="L154" s="37">
        <f>'HIST - cubic meters per day'!L154*6.2898</f>
        <v/>
      </c>
      <c r="M154" s="37">
        <f>'HIST - cubic meters per day'!M154*6.2898</f>
        <v/>
      </c>
      <c r="N154" s="37">
        <f>'HIST - cubic meters per day'!N154*6.2898</f>
        <v/>
      </c>
      <c r="O154" s="37">
        <f>'HIST - cubic meters per day'!O154*6.2898</f>
        <v/>
      </c>
      <c r="P154" s="37">
        <f>'HIST - cubic meters per day'!P154*6.2898</f>
        <v/>
      </c>
      <c r="Q154" s="37">
        <f>'HIST - cubic meters per day'!Q154*6.2898</f>
        <v/>
      </c>
      <c r="R154" s="37">
        <f>'HIST - cubic meters per day'!R154*6.2898</f>
        <v/>
      </c>
      <c r="S154" s="46">
        <f>'HIST - cubic meters per day'!S154*6.2898</f>
        <v/>
      </c>
      <c r="U154" s="45">
        <f>'HIST - cubic meters per day'!U154*6.2898</f>
        <v/>
      </c>
      <c r="V154" s="45">
        <f>'HIST - cubic meters per day'!V154*6.2898</f>
        <v/>
      </c>
    </row>
    <row r="155" ht="12" customHeight="1">
      <c r="A155" s="44" t="n">
        <v>41183</v>
      </c>
      <c r="B155" s="37">
        <f>'HIST - cubic meters per day'!B155*6.2898</f>
        <v/>
      </c>
      <c r="C155" s="37">
        <f>'HIST - cubic meters per day'!C155*6.2898</f>
        <v/>
      </c>
      <c r="D155" s="37">
        <f>'HIST - cubic meters per day'!D155*6.2898</f>
        <v/>
      </c>
      <c r="E155" s="37">
        <f>'HIST - cubic meters per day'!E155*6.2898</f>
        <v/>
      </c>
      <c r="F155" s="37">
        <f>'HIST - cubic meters per day'!F155*6.2898</f>
        <v/>
      </c>
      <c r="G155" s="37">
        <f>'HIST - cubic meters per day'!G155*6.2898</f>
        <v/>
      </c>
      <c r="H155" s="37">
        <f>'HIST - cubic meters per day'!H155*6.2898</f>
        <v/>
      </c>
      <c r="I155" s="37">
        <f>'HIST - cubic meters per day'!I155*6.2898</f>
        <v/>
      </c>
      <c r="J155" s="37">
        <f>'HIST - cubic meters per day'!J155*6.2898</f>
        <v/>
      </c>
      <c r="K155" s="37">
        <f>'HIST - cubic meters per day'!K155*6.2898</f>
        <v/>
      </c>
      <c r="L155" s="37">
        <f>'HIST - cubic meters per day'!L155*6.2898</f>
        <v/>
      </c>
      <c r="M155" s="37">
        <f>'HIST - cubic meters per day'!M155*6.2898</f>
        <v/>
      </c>
      <c r="N155" s="37">
        <f>'HIST - cubic meters per day'!N155*6.2898</f>
        <v/>
      </c>
      <c r="O155" s="37">
        <f>'HIST - cubic meters per day'!O155*6.2898</f>
        <v/>
      </c>
      <c r="P155" s="37">
        <f>'HIST - cubic meters per day'!P155*6.2898</f>
        <v/>
      </c>
      <c r="Q155" s="37">
        <f>'HIST - cubic meters per day'!Q155*6.2898</f>
        <v/>
      </c>
      <c r="R155" s="37">
        <f>'HIST - cubic meters per day'!R155*6.2898</f>
        <v/>
      </c>
      <c r="S155" s="46">
        <f>'HIST - cubic meters per day'!S155*6.2898</f>
        <v/>
      </c>
      <c r="U155" s="45">
        <f>'HIST - cubic meters per day'!U155*6.2898</f>
        <v/>
      </c>
      <c r="V155" s="45">
        <f>'HIST - cubic meters per day'!V155*6.2898</f>
        <v/>
      </c>
    </row>
    <row r="156" ht="12" customHeight="1">
      <c r="A156" s="44" t="n">
        <v>41214</v>
      </c>
      <c r="B156" s="37">
        <f>'HIST - cubic meters per day'!B156*6.2898</f>
        <v/>
      </c>
      <c r="C156" s="37">
        <f>'HIST - cubic meters per day'!C156*6.2898</f>
        <v/>
      </c>
      <c r="D156" s="37">
        <f>'HIST - cubic meters per day'!D156*6.2898</f>
        <v/>
      </c>
      <c r="E156" s="37">
        <f>'HIST - cubic meters per day'!E156*6.2898</f>
        <v/>
      </c>
      <c r="F156" s="37">
        <f>'HIST - cubic meters per day'!F156*6.2898</f>
        <v/>
      </c>
      <c r="G156" s="37">
        <f>'HIST - cubic meters per day'!G156*6.2898</f>
        <v/>
      </c>
      <c r="H156" s="37">
        <f>'HIST - cubic meters per day'!H156*6.2898</f>
        <v/>
      </c>
      <c r="I156" s="37">
        <f>'HIST - cubic meters per day'!I156*6.2898</f>
        <v/>
      </c>
      <c r="J156" s="37">
        <f>'HIST - cubic meters per day'!J156*6.2898</f>
        <v/>
      </c>
      <c r="K156" s="37">
        <f>'HIST - cubic meters per day'!K156*6.2898</f>
        <v/>
      </c>
      <c r="L156" s="37">
        <f>'HIST - cubic meters per day'!L156*6.2898</f>
        <v/>
      </c>
      <c r="M156" s="37">
        <f>'HIST - cubic meters per day'!M156*6.2898</f>
        <v/>
      </c>
      <c r="N156" s="37">
        <f>'HIST - cubic meters per day'!N156*6.2898</f>
        <v/>
      </c>
      <c r="O156" s="37">
        <f>'HIST - cubic meters per day'!O156*6.2898</f>
        <v/>
      </c>
      <c r="P156" s="37">
        <f>'HIST - cubic meters per day'!P156*6.2898</f>
        <v/>
      </c>
      <c r="Q156" s="37">
        <f>'HIST - cubic meters per day'!Q156*6.2898</f>
        <v/>
      </c>
      <c r="R156" s="37">
        <f>'HIST - cubic meters per day'!R156*6.2898</f>
        <v/>
      </c>
      <c r="S156" s="46">
        <f>'HIST - cubic meters per day'!S156*6.2898</f>
        <v/>
      </c>
      <c r="U156" s="45">
        <f>'HIST - cubic meters per day'!U156*6.2898</f>
        <v/>
      </c>
      <c r="V156" s="45">
        <f>'HIST - cubic meters per day'!V156*6.2898</f>
        <v/>
      </c>
    </row>
    <row r="157" ht="12" customHeight="1">
      <c r="A157" s="44" t="n">
        <v>41244</v>
      </c>
      <c r="B157" s="37">
        <f>'HIST - cubic meters per day'!B157*6.2898</f>
        <v/>
      </c>
      <c r="C157" s="37">
        <f>'HIST - cubic meters per day'!C157*6.2898</f>
        <v/>
      </c>
      <c r="D157" s="37">
        <f>'HIST - cubic meters per day'!D157*6.2898</f>
        <v/>
      </c>
      <c r="E157" s="37">
        <f>'HIST - cubic meters per day'!E157*6.2898</f>
        <v/>
      </c>
      <c r="F157" s="37">
        <f>'HIST - cubic meters per day'!F157*6.2898</f>
        <v/>
      </c>
      <c r="G157" s="37">
        <f>'HIST - cubic meters per day'!G157*6.2898</f>
        <v/>
      </c>
      <c r="H157" s="37">
        <f>'HIST - cubic meters per day'!H157*6.2898</f>
        <v/>
      </c>
      <c r="I157" s="37">
        <f>'HIST - cubic meters per day'!I157*6.2898</f>
        <v/>
      </c>
      <c r="J157" s="37">
        <f>'HIST - cubic meters per day'!J157*6.2898</f>
        <v/>
      </c>
      <c r="K157" s="37">
        <f>'HIST - cubic meters per day'!K157*6.2898</f>
        <v/>
      </c>
      <c r="L157" s="37">
        <f>'HIST - cubic meters per day'!L157*6.2898</f>
        <v/>
      </c>
      <c r="M157" s="37">
        <f>'HIST - cubic meters per day'!M157*6.2898</f>
        <v/>
      </c>
      <c r="N157" s="37">
        <f>'HIST - cubic meters per day'!N157*6.2898</f>
        <v/>
      </c>
      <c r="O157" s="37">
        <f>'HIST - cubic meters per day'!O157*6.2898</f>
        <v/>
      </c>
      <c r="P157" s="37">
        <f>'HIST - cubic meters per day'!P157*6.2898</f>
        <v/>
      </c>
      <c r="Q157" s="37">
        <f>'HIST - cubic meters per day'!Q157*6.2898</f>
        <v/>
      </c>
      <c r="R157" s="37">
        <f>'HIST - cubic meters per day'!R157*6.2898</f>
        <v/>
      </c>
      <c r="S157" s="46">
        <f>'HIST - cubic meters per day'!S157*6.2898</f>
        <v/>
      </c>
      <c r="U157" s="45">
        <f>'HIST - cubic meters per day'!U157*6.2898</f>
        <v/>
      </c>
      <c r="V157" s="45">
        <f>'HIST - cubic meters per day'!V157*6.2898</f>
        <v/>
      </c>
    </row>
    <row r="158" ht="12" customHeight="1">
      <c r="A158" s="44" t="n">
        <v>41275</v>
      </c>
      <c r="B158" s="37">
        <f>'HIST - cubic meters per day'!B158*6.2898</f>
        <v/>
      </c>
      <c r="C158" s="37">
        <f>'HIST - cubic meters per day'!C158*6.2898</f>
        <v/>
      </c>
      <c r="D158" s="37">
        <f>'HIST - cubic meters per day'!D158*6.2898</f>
        <v/>
      </c>
      <c r="E158" s="37">
        <f>'HIST - cubic meters per day'!E158*6.2898</f>
        <v/>
      </c>
      <c r="F158" s="37">
        <f>'HIST - cubic meters per day'!F158*6.2898</f>
        <v/>
      </c>
      <c r="G158" s="37">
        <f>'HIST - cubic meters per day'!G158*6.2898</f>
        <v/>
      </c>
      <c r="H158" s="37">
        <f>'HIST - cubic meters per day'!H158*6.2898</f>
        <v/>
      </c>
      <c r="I158" s="37">
        <f>'HIST - cubic meters per day'!I158*6.2898</f>
        <v/>
      </c>
      <c r="J158" s="37">
        <f>'HIST - cubic meters per day'!J158*6.2898</f>
        <v/>
      </c>
      <c r="K158" s="37">
        <f>'HIST - cubic meters per day'!K158*6.2898</f>
        <v/>
      </c>
      <c r="L158" s="37">
        <f>'HIST - cubic meters per day'!L158*6.2898</f>
        <v/>
      </c>
      <c r="M158" s="37">
        <f>'HIST - cubic meters per day'!M158*6.2898</f>
        <v/>
      </c>
      <c r="N158" s="37">
        <f>'HIST - cubic meters per day'!N158*6.2898</f>
        <v/>
      </c>
      <c r="O158" s="37">
        <f>'HIST - cubic meters per day'!O158*6.2898</f>
        <v/>
      </c>
      <c r="P158" s="37">
        <f>'HIST - cubic meters per day'!P158*6.2898</f>
        <v/>
      </c>
      <c r="Q158" s="37">
        <f>'HIST - cubic meters per day'!Q158*6.2898</f>
        <v/>
      </c>
      <c r="R158" s="37">
        <f>'HIST - cubic meters per day'!R158*6.2898</f>
        <v/>
      </c>
      <c r="S158" s="46">
        <f>'HIST - cubic meters per day'!S158*6.2898</f>
        <v/>
      </c>
      <c r="U158" s="45">
        <f>'HIST - cubic meters per day'!U158*6.2898</f>
        <v/>
      </c>
      <c r="V158" s="45">
        <f>'HIST - cubic meters per day'!V158*6.2898</f>
        <v/>
      </c>
    </row>
    <row r="159" ht="12" customHeight="1">
      <c r="A159" s="44" t="n">
        <v>41306</v>
      </c>
      <c r="B159" s="37">
        <f>'HIST - cubic meters per day'!B159*6.2898</f>
        <v/>
      </c>
      <c r="C159" s="37">
        <f>'HIST - cubic meters per day'!C159*6.2898</f>
        <v/>
      </c>
      <c r="D159" s="37">
        <f>'HIST - cubic meters per day'!D159*6.2898</f>
        <v/>
      </c>
      <c r="E159" s="37">
        <f>'HIST - cubic meters per day'!E159*6.2898</f>
        <v/>
      </c>
      <c r="F159" s="37">
        <f>'HIST - cubic meters per day'!F159*6.2898</f>
        <v/>
      </c>
      <c r="G159" s="37">
        <f>'HIST - cubic meters per day'!G159*6.2898</f>
        <v/>
      </c>
      <c r="H159" s="37">
        <f>'HIST - cubic meters per day'!H159*6.2898</f>
        <v/>
      </c>
      <c r="I159" s="37">
        <f>'HIST - cubic meters per day'!I159*6.2898</f>
        <v/>
      </c>
      <c r="J159" s="37">
        <f>'HIST - cubic meters per day'!J159*6.2898</f>
        <v/>
      </c>
      <c r="K159" s="37">
        <f>'HIST - cubic meters per day'!K159*6.2898</f>
        <v/>
      </c>
      <c r="L159" s="37">
        <f>'HIST - cubic meters per day'!L159*6.2898</f>
        <v/>
      </c>
      <c r="M159" s="37">
        <f>'HIST - cubic meters per day'!M159*6.2898</f>
        <v/>
      </c>
      <c r="N159" s="37">
        <f>'HIST - cubic meters per day'!N159*6.2898</f>
        <v/>
      </c>
      <c r="O159" s="37">
        <f>'HIST - cubic meters per day'!O159*6.2898</f>
        <v/>
      </c>
      <c r="P159" s="37">
        <f>'HIST - cubic meters per day'!P159*6.2898</f>
        <v/>
      </c>
      <c r="Q159" s="37">
        <f>'HIST - cubic meters per day'!Q159*6.2898</f>
        <v/>
      </c>
      <c r="R159" s="37">
        <f>'HIST - cubic meters per day'!R159*6.2898</f>
        <v/>
      </c>
      <c r="S159" s="46">
        <f>'HIST - cubic meters per day'!S159*6.2898</f>
        <v/>
      </c>
      <c r="U159" s="45">
        <f>'HIST - cubic meters per day'!U159*6.2898</f>
        <v/>
      </c>
      <c r="V159" s="45">
        <f>'HIST - cubic meters per day'!V159*6.2898</f>
        <v/>
      </c>
    </row>
    <row r="160" ht="12" customHeight="1">
      <c r="A160" s="44" t="n">
        <v>41334</v>
      </c>
      <c r="B160" s="37">
        <f>'HIST - cubic meters per day'!B160*6.2898</f>
        <v/>
      </c>
      <c r="C160" s="37">
        <f>'HIST - cubic meters per day'!C160*6.2898</f>
        <v/>
      </c>
      <c r="D160" s="37">
        <f>'HIST - cubic meters per day'!D160*6.2898</f>
        <v/>
      </c>
      <c r="E160" s="37">
        <f>'HIST - cubic meters per day'!E160*6.2898</f>
        <v/>
      </c>
      <c r="F160" s="37">
        <f>'HIST - cubic meters per day'!F160*6.2898</f>
        <v/>
      </c>
      <c r="G160" s="37">
        <f>'HIST - cubic meters per day'!G160*6.2898</f>
        <v/>
      </c>
      <c r="H160" s="37">
        <f>'HIST - cubic meters per day'!H160*6.2898</f>
        <v/>
      </c>
      <c r="I160" s="37">
        <f>'HIST - cubic meters per day'!I160*6.2898</f>
        <v/>
      </c>
      <c r="J160" s="37">
        <f>'HIST - cubic meters per day'!J160*6.2898</f>
        <v/>
      </c>
      <c r="K160" s="37">
        <f>'HIST - cubic meters per day'!K160*6.2898</f>
        <v/>
      </c>
      <c r="L160" s="37">
        <f>'HIST - cubic meters per day'!L160*6.2898</f>
        <v/>
      </c>
      <c r="M160" s="37">
        <f>'HIST - cubic meters per day'!M160*6.2898</f>
        <v/>
      </c>
      <c r="N160" s="37">
        <f>'HIST - cubic meters per day'!N160*6.2898</f>
        <v/>
      </c>
      <c r="O160" s="37">
        <f>'HIST - cubic meters per day'!O160*6.2898</f>
        <v/>
      </c>
      <c r="P160" s="37">
        <f>'HIST - cubic meters per day'!P160*6.2898</f>
        <v/>
      </c>
      <c r="Q160" s="37">
        <f>'HIST - cubic meters per day'!Q160*6.2898</f>
        <v/>
      </c>
      <c r="R160" s="37">
        <f>'HIST - cubic meters per day'!R160*6.2898</f>
        <v/>
      </c>
      <c r="S160" s="46">
        <f>'HIST - cubic meters per day'!S160*6.2898</f>
        <v/>
      </c>
      <c r="U160" s="45">
        <f>'HIST - cubic meters per day'!U160*6.2898</f>
        <v/>
      </c>
      <c r="V160" s="45">
        <f>'HIST - cubic meters per day'!V160*6.2898</f>
        <v/>
      </c>
    </row>
    <row r="161" ht="12" customHeight="1">
      <c r="A161" s="44" t="n">
        <v>41365</v>
      </c>
      <c r="B161" s="37">
        <f>'HIST - cubic meters per day'!B161*6.2898</f>
        <v/>
      </c>
      <c r="C161" s="37">
        <f>'HIST - cubic meters per day'!C161*6.2898</f>
        <v/>
      </c>
      <c r="D161" s="37">
        <f>'HIST - cubic meters per day'!D161*6.2898</f>
        <v/>
      </c>
      <c r="E161" s="37">
        <f>'HIST - cubic meters per day'!E161*6.2898</f>
        <v/>
      </c>
      <c r="F161" s="37">
        <f>'HIST - cubic meters per day'!F161*6.2898</f>
        <v/>
      </c>
      <c r="G161" s="37">
        <f>'HIST - cubic meters per day'!G161*6.2898</f>
        <v/>
      </c>
      <c r="H161" s="37">
        <f>'HIST - cubic meters per day'!H161*6.2898</f>
        <v/>
      </c>
      <c r="I161" s="37">
        <f>'HIST - cubic meters per day'!I161*6.2898</f>
        <v/>
      </c>
      <c r="J161" s="37">
        <f>'HIST - cubic meters per day'!J161*6.2898</f>
        <v/>
      </c>
      <c r="K161" s="37">
        <f>'HIST - cubic meters per day'!K161*6.2898</f>
        <v/>
      </c>
      <c r="L161" s="37">
        <f>'HIST - cubic meters per day'!L161*6.2898</f>
        <v/>
      </c>
      <c r="M161" s="37">
        <f>'HIST - cubic meters per day'!M161*6.2898</f>
        <v/>
      </c>
      <c r="N161" s="37">
        <f>'HIST - cubic meters per day'!N161*6.2898</f>
        <v/>
      </c>
      <c r="O161" s="37">
        <f>'HIST - cubic meters per day'!O161*6.2898</f>
        <v/>
      </c>
      <c r="P161" s="37">
        <f>'HIST - cubic meters per day'!P161*6.2898</f>
        <v/>
      </c>
      <c r="Q161" s="37">
        <f>'HIST - cubic meters per day'!Q161*6.2898</f>
        <v/>
      </c>
      <c r="R161" s="37">
        <f>'HIST - cubic meters per day'!R161*6.2898</f>
        <v/>
      </c>
      <c r="S161" s="46">
        <f>'HIST - cubic meters per day'!S161*6.2898</f>
        <v/>
      </c>
      <c r="U161" s="45">
        <f>'HIST - cubic meters per day'!U161*6.2898</f>
        <v/>
      </c>
      <c r="V161" s="45">
        <f>'HIST - cubic meters per day'!V161*6.2898</f>
        <v/>
      </c>
    </row>
    <row r="162" ht="12" customHeight="1">
      <c r="A162" s="44" t="n">
        <v>41395</v>
      </c>
      <c r="B162" s="37">
        <f>'HIST - cubic meters per day'!B162*6.2898</f>
        <v/>
      </c>
      <c r="C162" s="37">
        <f>'HIST - cubic meters per day'!C162*6.2898</f>
        <v/>
      </c>
      <c r="D162" s="37">
        <f>'HIST - cubic meters per day'!D162*6.2898</f>
        <v/>
      </c>
      <c r="E162" s="37">
        <f>'HIST - cubic meters per day'!E162*6.2898</f>
        <v/>
      </c>
      <c r="F162" s="37">
        <f>'HIST - cubic meters per day'!F162*6.2898</f>
        <v/>
      </c>
      <c r="G162" s="37">
        <f>'HIST - cubic meters per day'!G162*6.2898</f>
        <v/>
      </c>
      <c r="H162" s="37">
        <f>'HIST - cubic meters per day'!H162*6.2898</f>
        <v/>
      </c>
      <c r="I162" s="37">
        <f>'HIST - cubic meters per day'!I162*6.2898</f>
        <v/>
      </c>
      <c r="J162" s="37">
        <f>'HIST - cubic meters per day'!J162*6.2898</f>
        <v/>
      </c>
      <c r="K162" s="37">
        <f>'HIST - cubic meters per day'!K162*6.2898</f>
        <v/>
      </c>
      <c r="L162" s="37">
        <f>'HIST - cubic meters per day'!L162*6.2898</f>
        <v/>
      </c>
      <c r="M162" s="37">
        <f>'HIST - cubic meters per day'!M162*6.2898</f>
        <v/>
      </c>
      <c r="N162" s="37">
        <f>'HIST - cubic meters per day'!N162*6.2898</f>
        <v/>
      </c>
      <c r="O162" s="37">
        <f>'HIST - cubic meters per day'!O162*6.2898</f>
        <v/>
      </c>
      <c r="P162" s="37">
        <f>'HIST - cubic meters per day'!P162*6.2898</f>
        <v/>
      </c>
      <c r="Q162" s="37">
        <f>'HIST - cubic meters per day'!Q162*6.2898</f>
        <v/>
      </c>
      <c r="R162" s="37">
        <f>'HIST - cubic meters per day'!R162*6.2898</f>
        <v/>
      </c>
      <c r="S162" s="46">
        <f>'HIST - cubic meters per day'!S162*6.2898</f>
        <v/>
      </c>
      <c r="U162" s="45">
        <f>'HIST - cubic meters per day'!U162*6.2898</f>
        <v/>
      </c>
      <c r="V162" s="45">
        <f>'HIST - cubic meters per day'!V162*6.2898</f>
        <v/>
      </c>
    </row>
    <row r="163" ht="12" customHeight="1">
      <c r="A163" s="44" t="n">
        <v>41426</v>
      </c>
      <c r="B163" s="37">
        <f>'HIST - cubic meters per day'!B163*6.2898</f>
        <v/>
      </c>
      <c r="C163" s="37">
        <f>'HIST - cubic meters per day'!C163*6.2898</f>
        <v/>
      </c>
      <c r="D163" s="37">
        <f>'HIST - cubic meters per day'!D163*6.2898</f>
        <v/>
      </c>
      <c r="E163" s="37">
        <f>'HIST - cubic meters per day'!E163*6.2898</f>
        <v/>
      </c>
      <c r="F163" s="37">
        <f>'HIST - cubic meters per day'!F163*6.2898</f>
        <v/>
      </c>
      <c r="G163" s="37">
        <f>'HIST - cubic meters per day'!G163*6.2898</f>
        <v/>
      </c>
      <c r="H163" s="37">
        <f>'HIST - cubic meters per day'!H163*6.2898</f>
        <v/>
      </c>
      <c r="I163" s="37">
        <f>'HIST - cubic meters per day'!I163*6.2898</f>
        <v/>
      </c>
      <c r="J163" s="37">
        <f>'HIST - cubic meters per day'!J163*6.2898</f>
        <v/>
      </c>
      <c r="K163" s="37">
        <f>'HIST - cubic meters per day'!K163*6.2898</f>
        <v/>
      </c>
      <c r="L163" s="37">
        <f>'HIST - cubic meters per day'!L163*6.2898</f>
        <v/>
      </c>
      <c r="M163" s="37">
        <f>'HIST - cubic meters per day'!M163*6.2898</f>
        <v/>
      </c>
      <c r="N163" s="37">
        <f>'HIST - cubic meters per day'!N163*6.2898</f>
        <v/>
      </c>
      <c r="O163" s="37">
        <f>'HIST - cubic meters per day'!O163*6.2898</f>
        <v/>
      </c>
      <c r="P163" s="37">
        <f>'HIST - cubic meters per day'!P163*6.2898</f>
        <v/>
      </c>
      <c r="Q163" s="37">
        <f>'HIST - cubic meters per day'!Q163*6.2898</f>
        <v/>
      </c>
      <c r="R163" s="37">
        <f>'HIST - cubic meters per day'!R163*6.2898</f>
        <v/>
      </c>
      <c r="S163" s="46">
        <f>'HIST - cubic meters per day'!S163*6.2898</f>
        <v/>
      </c>
      <c r="U163" s="45">
        <f>'HIST - cubic meters per day'!U163*6.2898</f>
        <v/>
      </c>
      <c r="V163" s="45">
        <f>'HIST - cubic meters per day'!V163*6.2898</f>
        <v/>
      </c>
    </row>
    <row r="164" ht="12" customHeight="1">
      <c r="A164" s="44" t="n">
        <v>41456</v>
      </c>
      <c r="B164" s="37">
        <f>'HIST - cubic meters per day'!B164*6.2898</f>
        <v/>
      </c>
      <c r="C164" s="37">
        <f>'HIST - cubic meters per day'!C164*6.2898</f>
        <v/>
      </c>
      <c r="D164" s="37">
        <f>'HIST - cubic meters per day'!D164*6.2898</f>
        <v/>
      </c>
      <c r="E164" s="37">
        <f>'HIST - cubic meters per day'!E164*6.2898</f>
        <v/>
      </c>
      <c r="F164" s="37">
        <f>'HIST - cubic meters per day'!F164*6.2898</f>
        <v/>
      </c>
      <c r="G164" s="37">
        <f>'HIST - cubic meters per day'!G164*6.2898</f>
        <v/>
      </c>
      <c r="H164" s="37">
        <f>'HIST - cubic meters per day'!H164*6.2898</f>
        <v/>
      </c>
      <c r="I164" s="37">
        <f>'HIST - cubic meters per day'!I164*6.2898</f>
        <v/>
      </c>
      <c r="J164" s="37">
        <f>'HIST - cubic meters per day'!J164*6.2898</f>
        <v/>
      </c>
      <c r="K164" s="37">
        <f>'HIST - cubic meters per day'!K164*6.2898</f>
        <v/>
      </c>
      <c r="L164" s="37">
        <f>'HIST - cubic meters per day'!L164*6.2898</f>
        <v/>
      </c>
      <c r="M164" s="37">
        <f>'HIST - cubic meters per day'!M164*6.2898</f>
        <v/>
      </c>
      <c r="N164" s="37">
        <f>'HIST - cubic meters per day'!N164*6.2898</f>
        <v/>
      </c>
      <c r="O164" s="37">
        <f>'HIST - cubic meters per day'!O164*6.2898</f>
        <v/>
      </c>
      <c r="P164" s="37">
        <f>'HIST - cubic meters per day'!P164*6.2898</f>
        <v/>
      </c>
      <c r="Q164" s="37">
        <f>'HIST - cubic meters per day'!Q164*6.2898</f>
        <v/>
      </c>
      <c r="R164" s="37">
        <f>'HIST - cubic meters per day'!R164*6.2898</f>
        <v/>
      </c>
      <c r="S164" s="46">
        <f>'HIST - cubic meters per day'!S164*6.2898</f>
        <v/>
      </c>
      <c r="U164" s="45">
        <f>'HIST - cubic meters per day'!U164*6.2898</f>
        <v/>
      </c>
      <c r="V164" s="45">
        <f>'HIST - cubic meters per day'!V164*6.2898</f>
        <v/>
      </c>
    </row>
    <row r="165" ht="12" customHeight="1">
      <c r="A165" s="44" t="n">
        <v>41487</v>
      </c>
      <c r="B165" s="37">
        <f>'HIST - cubic meters per day'!B165*6.2898</f>
        <v/>
      </c>
      <c r="C165" s="37">
        <f>'HIST - cubic meters per day'!C165*6.2898</f>
        <v/>
      </c>
      <c r="D165" s="37">
        <f>'HIST - cubic meters per day'!D165*6.2898</f>
        <v/>
      </c>
      <c r="E165" s="37">
        <f>'HIST - cubic meters per day'!E165*6.2898</f>
        <v/>
      </c>
      <c r="F165" s="37">
        <f>'HIST - cubic meters per day'!F165*6.2898</f>
        <v/>
      </c>
      <c r="G165" s="37">
        <f>'HIST - cubic meters per day'!G165*6.2898</f>
        <v/>
      </c>
      <c r="H165" s="37">
        <f>'HIST - cubic meters per day'!H165*6.2898</f>
        <v/>
      </c>
      <c r="I165" s="37">
        <f>'HIST - cubic meters per day'!I165*6.2898</f>
        <v/>
      </c>
      <c r="J165" s="37">
        <f>'HIST - cubic meters per day'!J165*6.2898</f>
        <v/>
      </c>
      <c r="K165" s="37">
        <f>'HIST - cubic meters per day'!K165*6.2898</f>
        <v/>
      </c>
      <c r="L165" s="37">
        <f>'HIST - cubic meters per day'!L165*6.2898</f>
        <v/>
      </c>
      <c r="M165" s="37">
        <f>'HIST - cubic meters per day'!M165*6.2898</f>
        <v/>
      </c>
      <c r="N165" s="37">
        <f>'HIST - cubic meters per day'!N165*6.2898</f>
        <v/>
      </c>
      <c r="O165" s="37">
        <f>'HIST - cubic meters per day'!O165*6.2898</f>
        <v/>
      </c>
      <c r="P165" s="37">
        <f>'HIST - cubic meters per day'!P165*6.2898</f>
        <v/>
      </c>
      <c r="Q165" s="37">
        <f>'HIST - cubic meters per day'!Q165*6.2898</f>
        <v/>
      </c>
      <c r="R165" s="37">
        <f>'HIST - cubic meters per day'!R165*6.2898</f>
        <v/>
      </c>
      <c r="S165" s="46">
        <f>'HIST - cubic meters per day'!S165*6.2898</f>
        <v/>
      </c>
      <c r="U165" s="45">
        <f>'HIST - cubic meters per day'!U165*6.2898</f>
        <v/>
      </c>
      <c r="V165" s="45">
        <f>'HIST - cubic meters per day'!V165*6.2898</f>
        <v/>
      </c>
    </row>
    <row r="166" ht="12" customHeight="1">
      <c r="A166" s="44" t="n">
        <v>41518</v>
      </c>
      <c r="B166" s="37">
        <f>'HIST - cubic meters per day'!B166*6.2898</f>
        <v/>
      </c>
      <c r="C166" s="37">
        <f>'HIST - cubic meters per day'!C166*6.2898</f>
        <v/>
      </c>
      <c r="D166" s="37">
        <f>'HIST - cubic meters per day'!D166*6.2898</f>
        <v/>
      </c>
      <c r="E166" s="37">
        <f>'HIST - cubic meters per day'!E166*6.2898</f>
        <v/>
      </c>
      <c r="F166" s="37">
        <f>'HIST - cubic meters per day'!F166*6.2898</f>
        <v/>
      </c>
      <c r="G166" s="37">
        <f>'HIST - cubic meters per day'!G166*6.2898</f>
        <v/>
      </c>
      <c r="H166" s="37">
        <f>'HIST - cubic meters per day'!H166*6.2898</f>
        <v/>
      </c>
      <c r="I166" s="37">
        <f>'HIST - cubic meters per day'!I166*6.2898</f>
        <v/>
      </c>
      <c r="J166" s="37">
        <f>'HIST - cubic meters per day'!J166*6.2898</f>
        <v/>
      </c>
      <c r="K166" s="37">
        <f>'HIST - cubic meters per day'!K166*6.2898</f>
        <v/>
      </c>
      <c r="L166" s="37">
        <f>'HIST - cubic meters per day'!L166*6.2898</f>
        <v/>
      </c>
      <c r="M166" s="37">
        <f>'HIST - cubic meters per day'!M166*6.2898</f>
        <v/>
      </c>
      <c r="N166" s="37">
        <f>'HIST - cubic meters per day'!N166*6.2898</f>
        <v/>
      </c>
      <c r="O166" s="37">
        <f>'HIST - cubic meters per day'!O166*6.2898</f>
        <v/>
      </c>
      <c r="P166" s="37">
        <f>'HIST - cubic meters per day'!P166*6.2898</f>
        <v/>
      </c>
      <c r="Q166" s="37">
        <f>'HIST - cubic meters per day'!Q166*6.2898</f>
        <v/>
      </c>
      <c r="R166" s="37">
        <f>'HIST - cubic meters per day'!R166*6.2898</f>
        <v/>
      </c>
      <c r="S166" s="46">
        <f>'HIST - cubic meters per day'!S166*6.2898</f>
        <v/>
      </c>
      <c r="U166" s="45">
        <f>'HIST - cubic meters per day'!U166*6.2898</f>
        <v/>
      </c>
      <c r="V166" s="45">
        <f>'HIST - cubic meters per day'!V166*6.2898</f>
        <v/>
      </c>
    </row>
    <row r="167" ht="12" customHeight="1">
      <c r="A167" s="44" t="n">
        <v>41548</v>
      </c>
      <c r="B167" s="37">
        <f>'HIST - cubic meters per day'!B167*6.2898</f>
        <v/>
      </c>
      <c r="C167" s="37">
        <f>'HIST - cubic meters per day'!C167*6.2898</f>
        <v/>
      </c>
      <c r="D167" s="37">
        <f>'HIST - cubic meters per day'!D167*6.2898</f>
        <v/>
      </c>
      <c r="E167" s="37">
        <f>'HIST - cubic meters per day'!E167*6.2898</f>
        <v/>
      </c>
      <c r="F167" s="37">
        <f>'HIST - cubic meters per day'!F167*6.2898</f>
        <v/>
      </c>
      <c r="G167" s="37">
        <f>'HIST - cubic meters per day'!G167*6.2898</f>
        <v/>
      </c>
      <c r="H167" s="37">
        <f>'HIST - cubic meters per day'!H167*6.2898</f>
        <v/>
      </c>
      <c r="I167" s="37">
        <f>'HIST - cubic meters per day'!I167*6.2898</f>
        <v/>
      </c>
      <c r="J167" s="37">
        <f>'HIST - cubic meters per day'!J167*6.2898</f>
        <v/>
      </c>
      <c r="K167" s="37">
        <f>'HIST - cubic meters per day'!K167*6.2898</f>
        <v/>
      </c>
      <c r="L167" s="37">
        <f>'HIST - cubic meters per day'!L167*6.2898</f>
        <v/>
      </c>
      <c r="M167" s="37">
        <f>'HIST - cubic meters per day'!M167*6.2898</f>
        <v/>
      </c>
      <c r="N167" s="37">
        <f>'HIST - cubic meters per day'!N167*6.2898</f>
        <v/>
      </c>
      <c r="O167" s="37">
        <f>'HIST - cubic meters per day'!O167*6.2898</f>
        <v/>
      </c>
      <c r="P167" s="37">
        <f>'HIST - cubic meters per day'!P167*6.2898</f>
        <v/>
      </c>
      <c r="Q167" s="37">
        <f>'HIST - cubic meters per day'!Q167*6.2898</f>
        <v/>
      </c>
      <c r="R167" s="37">
        <f>'HIST - cubic meters per day'!R167*6.2898</f>
        <v/>
      </c>
      <c r="S167" s="46">
        <f>'HIST - cubic meters per day'!S167*6.2898</f>
        <v/>
      </c>
      <c r="U167" s="45">
        <f>'HIST - cubic meters per day'!U167*6.2898</f>
        <v/>
      </c>
      <c r="V167" s="45">
        <f>'HIST - cubic meters per day'!V167*6.2898</f>
        <v/>
      </c>
    </row>
    <row r="168" ht="12" customHeight="1">
      <c r="A168" s="44" t="n">
        <v>41579</v>
      </c>
      <c r="B168" s="37">
        <f>'HIST - cubic meters per day'!B168*6.2898</f>
        <v/>
      </c>
      <c r="C168" s="37">
        <f>'HIST - cubic meters per day'!C168*6.2898</f>
        <v/>
      </c>
      <c r="D168" s="37">
        <f>'HIST - cubic meters per day'!D168*6.2898</f>
        <v/>
      </c>
      <c r="E168" s="37">
        <f>'HIST - cubic meters per day'!E168*6.2898</f>
        <v/>
      </c>
      <c r="F168" s="37">
        <f>'HIST - cubic meters per day'!F168*6.2898</f>
        <v/>
      </c>
      <c r="G168" s="37">
        <f>'HIST - cubic meters per day'!G168*6.2898</f>
        <v/>
      </c>
      <c r="H168" s="37">
        <f>'HIST - cubic meters per day'!H168*6.2898</f>
        <v/>
      </c>
      <c r="I168" s="37">
        <f>'HIST - cubic meters per day'!I168*6.2898</f>
        <v/>
      </c>
      <c r="J168" s="37">
        <f>'HIST - cubic meters per day'!J168*6.2898</f>
        <v/>
      </c>
      <c r="K168" s="37">
        <f>'HIST - cubic meters per day'!K168*6.2898</f>
        <v/>
      </c>
      <c r="L168" s="37">
        <f>'HIST - cubic meters per day'!L168*6.2898</f>
        <v/>
      </c>
      <c r="M168" s="37">
        <f>'HIST - cubic meters per day'!M168*6.2898</f>
        <v/>
      </c>
      <c r="N168" s="37">
        <f>'HIST - cubic meters per day'!N168*6.2898</f>
        <v/>
      </c>
      <c r="O168" s="37">
        <f>'HIST - cubic meters per day'!O168*6.2898</f>
        <v/>
      </c>
      <c r="P168" s="37">
        <f>'HIST - cubic meters per day'!P168*6.2898</f>
        <v/>
      </c>
      <c r="Q168" s="37">
        <f>'HIST - cubic meters per day'!Q168*6.2898</f>
        <v/>
      </c>
      <c r="R168" s="37">
        <f>'HIST - cubic meters per day'!R168*6.2898</f>
        <v/>
      </c>
      <c r="S168" s="46">
        <f>'HIST - cubic meters per day'!S168*6.2898</f>
        <v/>
      </c>
      <c r="U168" s="45">
        <f>'HIST - cubic meters per day'!U168*6.2898</f>
        <v/>
      </c>
      <c r="V168" s="45">
        <f>'HIST - cubic meters per day'!V168*6.2898</f>
        <v/>
      </c>
    </row>
    <row r="169" ht="12" customHeight="1">
      <c r="A169" s="44" t="n">
        <v>41609</v>
      </c>
      <c r="B169" s="37">
        <f>'HIST - cubic meters per day'!B169*6.2898</f>
        <v/>
      </c>
      <c r="C169" s="37">
        <f>'HIST - cubic meters per day'!C169*6.2898</f>
        <v/>
      </c>
      <c r="D169" s="37">
        <f>'HIST - cubic meters per day'!D169*6.2898</f>
        <v/>
      </c>
      <c r="E169" s="37">
        <f>'HIST - cubic meters per day'!E169*6.2898</f>
        <v/>
      </c>
      <c r="F169" s="37">
        <f>'HIST - cubic meters per day'!F169*6.2898</f>
        <v/>
      </c>
      <c r="G169" s="37">
        <f>'HIST - cubic meters per day'!G169*6.2898</f>
        <v/>
      </c>
      <c r="H169" s="37">
        <f>'HIST - cubic meters per day'!H169*6.2898</f>
        <v/>
      </c>
      <c r="I169" s="37">
        <f>'HIST - cubic meters per day'!I169*6.2898</f>
        <v/>
      </c>
      <c r="J169" s="37">
        <f>'HIST - cubic meters per day'!J169*6.2898</f>
        <v/>
      </c>
      <c r="K169" s="37">
        <f>'HIST - cubic meters per day'!K169*6.2898</f>
        <v/>
      </c>
      <c r="L169" s="37">
        <f>'HIST - cubic meters per day'!L169*6.2898</f>
        <v/>
      </c>
      <c r="M169" s="37">
        <f>'HIST - cubic meters per day'!M169*6.2898</f>
        <v/>
      </c>
      <c r="N169" s="37">
        <f>'HIST - cubic meters per day'!N169*6.2898</f>
        <v/>
      </c>
      <c r="O169" s="37">
        <f>'HIST - cubic meters per day'!O169*6.2898</f>
        <v/>
      </c>
      <c r="P169" s="37">
        <f>'HIST - cubic meters per day'!P169*6.2898</f>
        <v/>
      </c>
      <c r="Q169" s="37">
        <f>'HIST - cubic meters per day'!Q169*6.2898</f>
        <v/>
      </c>
      <c r="R169" s="37">
        <f>'HIST - cubic meters per day'!R169*6.2898</f>
        <v/>
      </c>
      <c r="S169" s="46">
        <f>'HIST - cubic meters per day'!S169*6.2898</f>
        <v/>
      </c>
      <c r="U169" s="45">
        <f>'HIST - cubic meters per day'!U169*6.2898</f>
        <v/>
      </c>
      <c r="V169" s="45">
        <f>'HIST - cubic meters per day'!V169*6.2898</f>
        <v/>
      </c>
    </row>
    <row r="170" ht="12" customHeight="1">
      <c r="A170" s="44" t="n">
        <v>41640</v>
      </c>
      <c r="B170" s="37">
        <f>'HIST - cubic meters per day'!B170*6.2898</f>
        <v/>
      </c>
      <c r="C170" s="37">
        <f>'HIST - cubic meters per day'!C170*6.2898</f>
        <v/>
      </c>
      <c r="D170" s="37">
        <f>'HIST - cubic meters per day'!D170*6.2898</f>
        <v/>
      </c>
      <c r="E170" s="37">
        <f>'HIST - cubic meters per day'!E170*6.2898</f>
        <v/>
      </c>
      <c r="F170" s="37">
        <f>'HIST - cubic meters per day'!F170*6.2898</f>
        <v/>
      </c>
      <c r="G170" s="37">
        <f>'HIST - cubic meters per day'!G170*6.2898</f>
        <v/>
      </c>
      <c r="H170" s="37">
        <f>'HIST - cubic meters per day'!H170*6.2898</f>
        <v/>
      </c>
      <c r="I170" s="37">
        <f>'HIST - cubic meters per day'!I170*6.2898</f>
        <v/>
      </c>
      <c r="J170" s="37">
        <f>'HIST - cubic meters per day'!J170*6.2898</f>
        <v/>
      </c>
      <c r="K170" s="37">
        <f>'HIST - cubic meters per day'!K170*6.2898</f>
        <v/>
      </c>
      <c r="L170" s="37">
        <f>'HIST - cubic meters per day'!L170*6.2898</f>
        <v/>
      </c>
      <c r="M170" s="37">
        <f>'HIST - cubic meters per day'!M170*6.2898</f>
        <v/>
      </c>
      <c r="N170" s="37">
        <f>'HIST - cubic meters per day'!N170*6.2898</f>
        <v/>
      </c>
      <c r="O170" s="37">
        <f>'HIST - cubic meters per day'!O170*6.2898</f>
        <v/>
      </c>
      <c r="P170" s="37">
        <f>'HIST - cubic meters per day'!P170*6.2898</f>
        <v/>
      </c>
      <c r="Q170" s="37">
        <f>'HIST - cubic meters per day'!Q170*6.2898</f>
        <v/>
      </c>
      <c r="R170" s="37">
        <f>'HIST - cubic meters per day'!R170*6.2898</f>
        <v/>
      </c>
      <c r="S170" s="46">
        <f>'HIST - cubic meters per day'!S170*6.2898</f>
        <v/>
      </c>
      <c r="U170" s="45">
        <f>'HIST - cubic meters per day'!U170*6.2898</f>
        <v/>
      </c>
      <c r="V170" s="45">
        <f>'HIST - cubic meters per day'!V170*6.2898</f>
        <v/>
      </c>
    </row>
    <row r="171" ht="12" customHeight="1">
      <c r="A171" s="44" t="n">
        <v>41671</v>
      </c>
      <c r="B171" s="37">
        <f>'HIST - cubic meters per day'!B171*6.2898</f>
        <v/>
      </c>
      <c r="C171" s="37">
        <f>'HIST - cubic meters per day'!C171*6.2898</f>
        <v/>
      </c>
      <c r="D171" s="37">
        <f>'HIST - cubic meters per day'!D171*6.2898</f>
        <v/>
      </c>
      <c r="E171" s="37">
        <f>'HIST - cubic meters per day'!E171*6.2898</f>
        <v/>
      </c>
      <c r="F171" s="37">
        <f>'HIST - cubic meters per day'!F171*6.2898</f>
        <v/>
      </c>
      <c r="G171" s="37">
        <f>'HIST - cubic meters per day'!G171*6.2898</f>
        <v/>
      </c>
      <c r="H171" s="37">
        <f>'HIST - cubic meters per day'!H171*6.2898</f>
        <v/>
      </c>
      <c r="I171" s="37">
        <f>'HIST - cubic meters per day'!I171*6.2898</f>
        <v/>
      </c>
      <c r="J171" s="37">
        <f>'HIST - cubic meters per day'!J171*6.2898</f>
        <v/>
      </c>
      <c r="K171" s="37">
        <f>'HIST - cubic meters per day'!K171*6.2898</f>
        <v/>
      </c>
      <c r="L171" s="37">
        <f>'HIST - cubic meters per day'!L171*6.2898</f>
        <v/>
      </c>
      <c r="M171" s="37">
        <f>'HIST - cubic meters per day'!M171*6.2898</f>
        <v/>
      </c>
      <c r="N171" s="37">
        <f>'HIST - cubic meters per day'!N171*6.2898</f>
        <v/>
      </c>
      <c r="O171" s="37">
        <f>'HIST - cubic meters per day'!O171*6.2898</f>
        <v/>
      </c>
      <c r="P171" s="37">
        <f>'HIST - cubic meters per day'!P171*6.2898</f>
        <v/>
      </c>
      <c r="Q171" s="37">
        <f>'HIST - cubic meters per day'!Q171*6.2898</f>
        <v/>
      </c>
      <c r="R171" s="37">
        <f>'HIST - cubic meters per day'!R171*6.2898</f>
        <v/>
      </c>
      <c r="S171" s="46">
        <f>'HIST - cubic meters per day'!S171*6.2898</f>
        <v/>
      </c>
      <c r="U171" s="45">
        <f>'HIST - cubic meters per day'!U171*6.2898</f>
        <v/>
      </c>
      <c r="V171" s="45">
        <f>'HIST - cubic meters per day'!V171*6.2898</f>
        <v/>
      </c>
    </row>
    <row r="172" ht="12" customHeight="1">
      <c r="A172" s="44" t="n">
        <v>41699</v>
      </c>
      <c r="B172" s="37">
        <f>'HIST - cubic meters per day'!B172*6.2898</f>
        <v/>
      </c>
      <c r="C172" s="37">
        <f>'HIST - cubic meters per day'!C172*6.2898</f>
        <v/>
      </c>
      <c r="D172" s="37">
        <f>'HIST - cubic meters per day'!D172*6.2898</f>
        <v/>
      </c>
      <c r="E172" s="37">
        <f>'HIST - cubic meters per day'!E172*6.2898</f>
        <v/>
      </c>
      <c r="F172" s="37">
        <f>'HIST - cubic meters per day'!F172*6.2898</f>
        <v/>
      </c>
      <c r="G172" s="37">
        <f>'HIST - cubic meters per day'!G172*6.2898</f>
        <v/>
      </c>
      <c r="H172" s="37">
        <f>'HIST - cubic meters per day'!H172*6.2898</f>
        <v/>
      </c>
      <c r="I172" s="37">
        <f>'HIST - cubic meters per day'!I172*6.2898</f>
        <v/>
      </c>
      <c r="J172" s="37">
        <f>'HIST - cubic meters per day'!J172*6.2898</f>
        <v/>
      </c>
      <c r="K172" s="37">
        <f>'HIST - cubic meters per day'!K172*6.2898</f>
        <v/>
      </c>
      <c r="L172" s="37">
        <f>'HIST - cubic meters per day'!L172*6.2898</f>
        <v/>
      </c>
      <c r="M172" s="37">
        <f>'HIST - cubic meters per day'!M172*6.2898</f>
        <v/>
      </c>
      <c r="N172" s="37">
        <f>'HIST - cubic meters per day'!N172*6.2898</f>
        <v/>
      </c>
      <c r="O172" s="37">
        <f>'HIST - cubic meters per day'!O172*6.2898</f>
        <v/>
      </c>
      <c r="P172" s="37">
        <f>'HIST - cubic meters per day'!P172*6.2898</f>
        <v/>
      </c>
      <c r="Q172" s="37">
        <f>'HIST - cubic meters per day'!Q172*6.2898</f>
        <v/>
      </c>
      <c r="R172" s="37">
        <f>'HIST - cubic meters per day'!R172*6.2898</f>
        <v/>
      </c>
      <c r="S172" s="46">
        <f>'HIST - cubic meters per day'!S172*6.2898</f>
        <v/>
      </c>
      <c r="U172" s="45">
        <f>'HIST - cubic meters per day'!U172*6.2898</f>
        <v/>
      </c>
      <c r="V172" s="45">
        <f>'HIST - cubic meters per day'!V172*6.2898</f>
        <v/>
      </c>
    </row>
    <row r="173" ht="12" customHeight="1">
      <c r="A173" s="44" t="n">
        <v>41730</v>
      </c>
      <c r="B173" s="37">
        <f>'HIST - cubic meters per day'!B173*6.2898</f>
        <v/>
      </c>
      <c r="C173" s="37">
        <f>'HIST - cubic meters per day'!C173*6.2898</f>
        <v/>
      </c>
      <c r="D173" s="37">
        <f>'HIST - cubic meters per day'!D173*6.2898</f>
        <v/>
      </c>
      <c r="E173" s="37">
        <f>'HIST - cubic meters per day'!E173*6.2898</f>
        <v/>
      </c>
      <c r="F173" s="37">
        <f>'HIST - cubic meters per day'!F173*6.2898</f>
        <v/>
      </c>
      <c r="G173" s="37">
        <f>'HIST - cubic meters per day'!G173*6.2898</f>
        <v/>
      </c>
      <c r="H173" s="37">
        <f>'HIST - cubic meters per day'!H173*6.2898</f>
        <v/>
      </c>
      <c r="I173" s="37">
        <f>'HIST - cubic meters per day'!I173*6.2898</f>
        <v/>
      </c>
      <c r="J173" s="37">
        <f>'HIST - cubic meters per day'!J173*6.2898</f>
        <v/>
      </c>
      <c r="K173" s="37">
        <f>'HIST - cubic meters per day'!K173*6.2898</f>
        <v/>
      </c>
      <c r="L173" s="37">
        <f>'HIST - cubic meters per day'!L173*6.2898</f>
        <v/>
      </c>
      <c r="M173" s="37">
        <f>'HIST - cubic meters per day'!M173*6.2898</f>
        <v/>
      </c>
      <c r="N173" s="37">
        <f>'HIST - cubic meters per day'!N173*6.2898</f>
        <v/>
      </c>
      <c r="O173" s="37">
        <f>'HIST - cubic meters per day'!O173*6.2898</f>
        <v/>
      </c>
      <c r="P173" s="37">
        <f>'HIST - cubic meters per day'!P173*6.2898</f>
        <v/>
      </c>
      <c r="Q173" s="37">
        <f>'HIST - cubic meters per day'!Q173*6.2898</f>
        <v/>
      </c>
      <c r="R173" s="37">
        <f>'HIST - cubic meters per day'!R173*6.2898</f>
        <v/>
      </c>
      <c r="S173" s="46">
        <f>'HIST - cubic meters per day'!S173*6.2898</f>
        <v/>
      </c>
      <c r="U173" s="45">
        <f>'HIST - cubic meters per day'!U173*6.2898</f>
        <v/>
      </c>
      <c r="V173" s="45">
        <f>'HIST - cubic meters per day'!V173*6.2898</f>
        <v/>
      </c>
    </row>
    <row r="174" ht="12" customHeight="1">
      <c r="A174" s="44" t="n">
        <v>41760</v>
      </c>
      <c r="B174" s="37">
        <f>'HIST - cubic meters per day'!B174*6.2898</f>
        <v/>
      </c>
      <c r="C174" s="37">
        <f>'HIST - cubic meters per day'!C174*6.2898</f>
        <v/>
      </c>
      <c r="D174" s="37">
        <f>'HIST - cubic meters per day'!D174*6.2898</f>
        <v/>
      </c>
      <c r="E174" s="37">
        <f>'HIST - cubic meters per day'!E174*6.2898</f>
        <v/>
      </c>
      <c r="F174" s="37">
        <f>'HIST - cubic meters per day'!F174*6.2898</f>
        <v/>
      </c>
      <c r="G174" s="37">
        <f>'HIST - cubic meters per day'!G174*6.2898</f>
        <v/>
      </c>
      <c r="H174" s="37">
        <f>'HIST - cubic meters per day'!H174*6.2898</f>
        <v/>
      </c>
      <c r="I174" s="37">
        <f>'HIST - cubic meters per day'!I174*6.2898</f>
        <v/>
      </c>
      <c r="J174" s="37">
        <f>'HIST - cubic meters per day'!J174*6.2898</f>
        <v/>
      </c>
      <c r="K174" s="37">
        <f>'HIST - cubic meters per day'!K174*6.2898</f>
        <v/>
      </c>
      <c r="L174" s="37">
        <f>'HIST - cubic meters per day'!L174*6.2898</f>
        <v/>
      </c>
      <c r="M174" s="37">
        <f>'HIST - cubic meters per day'!M174*6.2898</f>
        <v/>
      </c>
      <c r="N174" s="37">
        <f>'HIST - cubic meters per day'!N174*6.2898</f>
        <v/>
      </c>
      <c r="O174" s="37">
        <f>'HIST - cubic meters per day'!O174*6.2898</f>
        <v/>
      </c>
      <c r="P174" s="37">
        <f>'HIST - cubic meters per day'!P174*6.2898</f>
        <v/>
      </c>
      <c r="Q174" s="37">
        <f>'HIST - cubic meters per day'!Q174*6.2898</f>
        <v/>
      </c>
      <c r="R174" s="37">
        <f>'HIST - cubic meters per day'!R174*6.2898</f>
        <v/>
      </c>
      <c r="S174" s="46">
        <f>'HIST - cubic meters per day'!S174*6.2898</f>
        <v/>
      </c>
      <c r="U174" s="45">
        <f>'HIST - cubic meters per day'!U174*6.2898</f>
        <v/>
      </c>
      <c r="V174" s="45">
        <f>'HIST - cubic meters per day'!V174*6.2898</f>
        <v/>
      </c>
    </row>
    <row r="175" ht="12" customHeight="1">
      <c r="A175" s="44" t="n">
        <v>41791</v>
      </c>
      <c r="B175" s="37">
        <f>'HIST - cubic meters per day'!B175*6.2898</f>
        <v/>
      </c>
      <c r="C175" s="37">
        <f>'HIST - cubic meters per day'!C175*6.2898</f>
        <v/>
      </c>
      <c r="D175" s="37">
        <f>'HIST - cubic meters per day'!D175*6.2898</f>
        <v/>
      </c>
      <c r="E175" s="37">
        <f>'HIST - cubic meters per day'!E175*6.2898</f>
        <v/>
      </c>
      <c r="F175" s="37">
        <f>'HIST - cubic meters per day'!F175*6.2898</f>
        <v/>
      </c>
      <c r="G175" s="37">
        <f>'HIST - cubic meters per day'!G175*6.2898</f>
        <v/>
      </c>
      <c r="H175" s="37">
        <f>'HIST - cubic meters per day'!H175*6.2898</f>
        <v/>
      </c>
      <c r="I175" s="37">
        <f>'HIST - cubic meters per day'!I175*6.2898</f>
        <v/>
      </c>
      <c r="J175" s="37">
        <f>'HIST - cubic meters per day'!J175*6.2898</f>
        <v/>
      </c>
      <c r="K175" s="37">
        <f>'HIST - cubic meters per day'!K175*6.2898</f>
        <v/>
      </c>
      <c r="L175" s="37">
        <f>'HIST - cubic meters per day'!L175*6.2898</f>
        <v/>
      </c>
      <c r="M175" s="37">
        <f>'HIST - cubic meters per day'!M175*6.2898</f>
        <v/>
      </c>
      <c r="N175" s="37">
        <f>'HIST - cubic meters per day'!N175*6.2898</f>
        <v/>
      </c>
      <c r="O175" s="37">
        <f>'HIST - cubic meters per day'!O175*6.2898</f>
        <v/>
      </c>
      <c r="P175" s="37">
        <f>'HIST - cubic meters per day'!P175*6.2898</f>
        <v/>
      </c>
      <c r="Q175" s="37">
        <f>'HIST - cubic meters per day'!Q175*6.2898</f>
        <v/>
      </c>
      <c r="R175" s="37">
        <f>'HIST - cubic meters per day'!R175*6.2898</f>
        <v/>
      </c>
      <c r="S175" s="46">
        <f>'HIST - cubic meters per day'!S175*6.2898</f>
        <v/>
      </c>
      <c r="U175" s="45">
        <f>'HIST - cubic meters per day'!U175*6.2898</f>
        <v/>
      </c>
      <c r="V175" s="45">
        <f>'HIST - cubic meters per day'!V175*6.2898</f>
        <v/>
      </c>
    </row>
    <row r="176" ht="12" customHeight="1">
      <c r="A176" s="44" t="n">
        <v>41821</v>
      </c>
      <c r="B176" s="37">
        <f>'HIST - cubic meters per day'!B176*6.2898</f>
        <v/>
      </c>
      <c r="C176" s="37">
        <f>'HIST - cubic meters per day'!C176*6.2898</f>
        <v/>
      </c>
      <c r="D176" s="37">
        <f>'HIST - cubic meters per day'!D176*6.2898</f>
        <v/>
      </c>
      <c r="E176" s="37">
        <f>'HIST - cubic meters per day'!E176*6.2898</f>
        <v/>
      </c>
      <c r="F176" s="37">
        <f>'HIST - cubic meters per day'!F176*6.2898</f>
        <v/>
      </c>
      <c r="G176" s="37">
        <f>'HIST - cubic meters per day'!G176*6.2898</f>
        <v/>
      </c>
      <c r="H176" s="37">
        <f>'HIST - cubic meters per day'!H176*6.2898</f>
        <v/>
      </c>
      <c r="I176" s="37">
        <f>'HIST - cubic meters per day'!I176*6.2898</f>
        <v/>
      </c>
      <c r="J176" s="37">
        <f>'HIST - cubic meters per day'!J176*6.2898</f>
        <v/>
      </c>
      <c r="K176" s="37">
        <f>'HIST - cubic meters per day'!K176*6.2898</f>
        <v/>
      </c>
      <c r="L176" s="37">
        <f>'HIST - cubic meters per day'!L176*6.2898</f>
        <v/>
      </c>
      <c r="M176" s="37">
        <f>'HIST - cubic meters per day'!M176*6.2898</f>
        <v/>
      </c>
      <c r="N176" s="37">
        <f>'HIST - cubic meters per day'!N176*6.2898</f>
        <v/>
      </c>
      <c r="O176" s="37">
        <f>'HIST - cubic meters per day'!O176*6.2898</f>
        <v/>
      </c>
      <c r="P176" s="37">
        <f>'HIST - cubic meters per day'!P176*6.2898</f>
        <v/>
      </c>
      <c r="Q176" s="37">
        <f>'HIST - cubic meters per day'!Q176*6.2898</f>
        <v/>
      </c>
      <c r="R176" s="37">
        <f>'HIST - cubic meters per day'!R176*6.2898</f>
        <v/>
      </c>
      <c r="S176" s="46">
        <f>'HIST - cubic meters per day'!S176*6.2898</f>
        <v/>
      </c>
      <c r="U176" s="45">
        <f>'HIST - cubic meters per day'!U176*6.2898</f>
        <v/>
      </c>
      <c r="V176" s="45">
        <f>'HIST - cubic meters per day'!V176*6.2898</f>
        <v/>
      </c>
    </row>
    <row r="177" ht="12" customHeight="1">
      <c r="A177" s="44" t="n">
        <v>41852</v>
      </c>
      <c r="B177" s="37">
        <f>'HIST - cubic meters per day'!B177*6.2898</f>
        <v/>
      </c>
      <c r="C177" s="37">
        <f>'HIST - cubic meters per day'!C177*6.2898</f>
        <v/>
      </c>
      <c r="D177" s="37">
        <f>'HIST - cubic meters per day'!D177*6.2898</f>
        <v/>
      </c>
      <c r="E177" s="37">
        <f>'HIST - cubic meters per day'!E177*6.2898</f>
        <v/>
      </c>
      <c r="F177" s="37">
        <f>'HIST - cubic meters per day'!F177*6.2898</f>
        <v/>
      </c>
      <c r="G177" s="37">
        <f>'HIST - cubic meters per day'!G177*6.2898</f>
        <v/>
      </c>
      <c r="H177" s="37">
        <f>'HIST - cubic meters per day'!H177*6.2898</f>
        <v/>
      </c>
      <c r="I177" s="37">
        <f>'HIST - cubic meters per day'!I177*6.2898</f>
        <v/>
      </c>
      <c r="J177" s="37">
        <f>'HIST - cubic meters per day'!J177*6.2898</f>
        <v/>
      </c>
      <c r="K177" s="37">
        <f>'HIST - cubic meters per day'!K177*6.2898</f>
        <v/>
      </c>
      <c r="L177" s="37">
        <f>'HIST - cubic meters per day'!L177*6.2898</f>
        <v/>
      </c>
      <c r="M177" s="37">
        <f>'HIST - cubic meters per day'!M177*6.2898</f>
        <v/>
      </c>
      <c r="N177" s="37">
        <f>'HIST - cubic meters per day'!N177*6.2898</f>
        <v/>
      </c>
      <c r="O177" s="37">
        <f>'HIST - cubic meters per day'!O177*6.2898</f>
        <v/>
      </c>
      <c r="P177" s="37">
        <f>'HIST - cubic meters per day'!P177*6.2898</f>
        <v/>
      </c>
      <c r="Q177" s="37">
        <f>'HIST - cubic meters per day'!Q177*6.2898</f>
        <v/>
      </c>
      <c r="R177" s="37">
        <f>'HIST - cubic meters per day'!R177*6.2898</f>
        <v/>
      </c>
      <c r="S177" s="46">
        <f>'HIST - cubic meters per day'!S177*6.2898</f>
        <v/>
      </c>
      <c r="U177" s="45">
        <f>'HIST - cubic meters per day'!U177*6.2898</f>
        <v/>
      </c>
      <c r="V177" s="45">
        <f>'HIST - cubic meters per day'!V177*6.2898</f>
        <v/>
      </c>
    </row>
    <row r="178" ht="12" customHeight="1">
      <c r="A178" s="44" t="n">
        <v>41883</v>
      </c>
      <c r="B178" s="37">
        <f>'HIST - cubic meters per day'!B178*6.2898</f>
        <v/>
      </c>
      <c r="C178" s="37">
        <f>'HIST - cubic meters per day'!C178*6.2898</f>
        <v/>
      </c>
      <c r="D178" s="37">
        <f>'HIST - cubic meters per day'!D178*6.2898</f>
        <v/>
      </c>
      <c r="E178" s="37">
        <f>'HIST - cubic meters per day'!E178*6.2898</f>
        <v/>
      </c>
      <c r="F178" s="37">
        <f>'HIST - cubic meters per day'!F178*6.2898</f>
        <v/>
      </c>
      <c r="G178" s="37">
        <f>'HIST - cubic meters per day'!G178*6.2898</f>
        <v/>
      </c>
      <c r="H178" s="37">
        <f>'HIST - cubic meters per day'!H178*6.2898</f>
        <v/>
      </c>
      <c r="I178" s="37">
        <f>'HIST - cubic meters per day'!I178*6.2898</f>
        <v/>
      </c>
      <c r="J178" s="37">
        <f>'HIST - cubic meters per day'!J178*6.2898</f>
        <v/>
      </c>
      <c r="K178" s="37">
        <f>'HIST - cubic meters per day'!K178*6.2898</f>
        <v/>
      </c>
      <c r="L178" s="37">
        <f>'HIST - cubic meters per day'!L178*6.2898</f>
        <v/>
      </c>
      <c r="M178" s="37">
        <f>'HIST - cubic meters per day'!M178*6.2898</f>
        <v/>
      </c>
      <c r="N178" s="37">
        <f>'HIST - cubic meters per day'!N178*6.2898</f>
        <v/>
      </c>
      <c r="O178" s="37">
        <f>'HIST - cubic meters per day'!O178*6.2898</f>
        <v/>
      </c>
      <c r="P178" s="37">
        <f>'HIST - cubic meters per day'!P178*6.2898</f>
        <v/>
      </c>
      <c r="Q178" s="37">
        <f>'HIST - cubic meters per day'!Q178*6.2898</f>
        <v/>
      </c>
      <c r="R178" s="37">
        <f>'HIST - cubic meters per day'!R178*6.2898</f>
        <v/>
      </c>
      <c r="S178" s="46">
        <f>'HIST - cubic meters per day'!S178*6.2898</f>
        <v/>
      </c>
      <c r="U178" s="45">
        <f>'HIST - cubic meters per day'!U178*6.2898</f>
        <v/>
      </c>
      <c r="V178" s="45">
        <f>'HIST - cubic meters per day'!V178*6.2898</f>
        <v/>
      </c>
    </row>
    <row r="179" ht="12" customHeight="1">
      <c r="A179" s="44" t="n">
        <v>41913</v>
      </c>
      <c r="B179" s="37">
        <f>'HIST - cubic meters per day'!B179*6.2898</f>
        <v/>
      </c>
      <c r="C179" s="37">
        <f>'HIST - cubic meters per day'!C179*6.2898</f>
        <v/>
      </c>
      <c r="D179" s="37">
        <f>'HIST - cubic meters per day'!D179*6.2898</f>
        <v/>
      </c>
      <c r="E179" s="37">
        <f>'HIST - cubic meters per day'!E179*6.2898</f>
        <v/>
      </c>
      <c r="F179" s="37">
        <f>'HIST - cubic meters per day'!F179*6.2898</f>
        <v/>
      </c>
      <c r="G179" s="37">
        <f>'HIST - cubic meters per day'!G179*6.2898</f>
        <v/>
      </c>
      <c r="H179" s="37">
        <f>'HIST - cubic meters per day'!H179*6.2898</f>
        <v/>
      </c>
      <c r="I179" s="37">
        <f>'HIST - cubic meters per day'!I179*6.2898</f>
        <v/>
      </c>
      <c r="J179" s="37">
        <f>'HIST - cubic meters per day'!J179*6.2898</f>
        <v/>
      </c>
      <c r="K179" s="37">
        <f>'HIST - cubic meters per day'!K179*6.2898</f>
        <v/>
      </c>
      <c r="L179" s="37">
        <f>'HIST - cubic meters per day'!L179*6.2898</f>
        <v/>
      </c>
      <c r="M179" s="37">
        <f>'HIST - cubic meters per day'!M179*6.2898</f>
        <v/>
      </c>
      <c r="N179" s="37">
        <f>'HIST - cubic meters per day'!N179*6.2898</f>
        <v/>
      </c>
      <c r="O179" s="37">
        <f>'HIST - cubic meters per day'!O179*6.2898</f>
        <v/>
      </c>
      <c r="P179" s="37">
        <f>'HIST - cubic meters per day'!P179*6.2898</f>
        <v/>
      </c>
      <c r="Q179" s="37">
        <f>'HIST - cubic meters per day'!Q179*6.2898</f>
        <v/>
      </c>
      <c r="R179" s="37">
        <f>'HIST - cubic meters per day'!R179*6.2898</f>
        <v/>
      </c>
      <c r="S179" s="46">
        <f>'HIST - cubic meters per day'!S179*6.2898</f>
        <v/>
      </c>
      <c r="U179" s="45">
        <f>'HIST - cubic meters per day'!U179*6.2898</f>
        <v/>
      </c>
      <c r="V179" s="45">
        <f>'HIST - cubic meters per day'!V179*6.2898</f>
        <v/>
      </c>
    </row>
    <row r="180" ht="12" customHeight="1">
      <c r="A180" s="44" t="n">
        <v>41944</v>
      </c>
      <c r="B180" s="37">
        <f>'HIST - cubic meters per day'!B180*6.2898</f>
        <v/>
      </c>
      <c r="C180" s="37">
        <f>'HIST - cubic meters per day'!C180*6.2898</f>
        <v/>
      </c>
      <c r="D180" s="37">
        <f>'HIST - cubic meters per day'!D180*6.2898</f>
        <v/>
      </c>
      <c r="E180" s="37">
        <f>'HIST - cubic meters per day'!E180*6.2898</f>
        <v/>
      </c>
      <c r="F180" s="37">
        <f>'HIST - cubic meters per day'!F180*6.2898</f>
        <v/>
      </c>
      <c r="G180" s="37">
        <f>'HIST - cubic meters per day'!G180*6.2898</f>
        <v/>
      </c>
      <c r="H180" s="37">
        <f>'HIST - cubic meters per day'!H180*6.2898</f>
        <v/>
      </c>
      <c r="I180" s="37">
        <f>'HIST - cubic meters per day'!I180*6.2898</f>
        <v/>
      </c>
      <c r="J180" s="37">
        <f>'HIST - cubic meters per day'!J180*6.2898</f>
        <v/>
      </c>
      <c r="K180" s="37">
        <f>'HIST - cubic meters per day'!K180*6.2898</f>
        <v/>
      </c>
      <c r="L180" s="37">
        <f>'HIST - cubic meters per day'!L180*6.2898</f>
        <v/>
      </c>
      <c r="M180" s="37">
        <f>'HIST - cubic meters per day'!M180*6.2898</f>
        <v/>
      </c>
      <c r="N180" s="37">
        <f>'HIST - cubic meters per day'!N180*6.2898</f>
        <v/>
      </c>
      <c r="O180" s="37">
        <f>'HIST - cubic meters per day'!O180*6.2898</f>
        <v/>
      </c>
      <c r="P180" s="37">
        <f>'HIST - cubic meters per day'!P180*6.2898</f>
        <v/>
      </c>
      <c r="Q180" s="37">
        <f>'HIST - cubic meters per day'!Q180*6.2898</f>
        <v/>
      </c>
      <c r="R180" s="37">
        <f>'HIST - cubic meters per day'!R180*6.2898</f>
        <v/>
      </c>
      <c r="S180" s="46">
        <f>'HIST - cubic meters per day'!S180*6.2898</f>
        <v/>
      </c>
      <c r="U180" s="45">
        <f>'HIST - cubic meters per day'!U180*6.2898</f>
        <v/>
      </c>
      <c r="V180" s="45">
        <f>'HIST - cubic meters per day'!V180*6.2898</f>
        <v/>
      </c>
    </row>
    <row r="181" ht="12" customHeight="1">
      <c r="A181" s="44" t="n">
        <v>41974</v>
      </c>
      <c r="B181" s="37">
        <f>'HIST - cubic meters per day'!B181*6.2898</f>
        <v/>
      </c>
      <c r="C181" s="37">
        <f>'HIST - cubic meters per day'!C181*6.2898</f>
        <v/>
      </c>
      <c r="D181" s="37">
        <f>'HIST - cubic meters per day'!D181*6.2898</f>
        <v/>
      </c>
      <c r="E181" s="37">
        <f>'HIST - cubic meters per day'!E181*6.2898</f>
        <v/>
      </c>
      <c r="F181" s="37">
        <f>'HIST - cubic meters per day'!F181*6.2898</f>
        <v/>
      </c>
      <c r="G181" s="37">
        <f>'HIST - cubic meters per day'!G181*6.2898</f>
        <v/>
      </c>
      <c r="H181" s="37">
        <f>'HIST - cubic meters per day'!H181*6.2898</f>
        <v/>
      </c>
      <c r="I181" s="37">
        <f>'HIST - cubic meters per day'!I181*6.2898</f>
        <v/>
      </c>
      <c r="J181" s="37">
        <f>'HIST - cubic meters per day'!J181*6.2898</f>
        <v/>
      </c>
      <c r="K181" s="37">
        <f>'HIST - cubic meters per day'!K181*6.2898</f>
        <v/>
      </c>
      <c r="L181" s="37">
        <f>'HIST - cubic meters per day'!L181*6.2898</f>
        <v/>
      </c>
      <c r="M181" s="37">
        <f>'HIST - cubic meters per day'!M181*6.2898</f>
        <v/>
      </c>
      <c r="N181" s="37">
        <f>'HIST - cubic meters per day'!N181*6.2898</f>
        <v/>
      </c>
      <c r="O181" s="37">
        <f>'HIST - cubic meters per day'!O181*6.2898</f>
        <v/>
      </c>
      <c r="P181" s="37">
        <f>'HIST - cubic meters per day'!P181*6.2898</f>
        <v/>
      </c>
      <c r="Q181" s="37">
        <f>'HIST - cubic meters per day'!Q181*6.2898</f>
        <v/>
      </c>
      <c r="R181" s="37">
        <f>'HIST - cubic meters per day'!R181*6.2898</f>
        <v/>
      </c>
      <c r="S181" s="46">
        <f>'HIST - cubic meters per day'!S181*6.2898</f>
        <v/>
      </c>
      <c r="U181" s="45">
        <f>'HIST - cubic meters per day'!U181*6.2898</f>
        <v/>
      </c>
      <c r="V181" s="45">
        <f>'HIST - cubic meters per day'!V181*6.2898</f>
        <v/>
      </c>
    </row>
    <row r="182" ht="12" customHeight="1">
      <c r="A182" s="44" t="n">
        <v>42005</v>
      </c>
      <c r="B182" s="37">
        <f>'HIST - cubic meters per day'!B182*6.2898</f>
        <v/>
      </c>
      <c r="C182" s="37">
        <f>'HIST - cubic meters per day'!C182*6.2898</f>
        <v/>
      </c>
      <c r="D182" s="37">
        <f>'HIST - cubic meters per day'!D182*6.2898</f>
        <v/>
      </c>
      <c r="E182" s="37">
        <f>'HIST - cubic meters per day'!E182*6.2898</f>
        <v/>
      </c>
      <c r="F182" s="37">
        <f>'HIST - cubic meters per day'!F182*6.2898</f>
        <v/>
      </c>
      <c r="G182" s="37">
        <f>'HIST - cubic meters per day'!G182*6.2898</f>
        <v/>
      </c>
      <c r="H182" s="37">
        <f>'HIST - cubic meters per day'!H182*6.2898</f>
        <v/>
      </c>
      <c r="I182" s="37">
        <f>'HIST - cubic meters per day'!I182*6.2898</f>
        <v/>
      </c>
      <c r="J182" s="37">
        <f>'HIST - cubic meters per day'!J182*6.2898</f>
        <v/>
      </c>
      <c r="K182" s="37">
        <f>'HIST - cubic meters per day'!K182*6.2898</f>
        <v/>
      </c>
      <c r="L182" s="37">
        <f>'HIST - cubic meters per day'!L182*6.2898</f>
        <v/>
      </c>
      <c r="M182" s="37">
        <f>'HIST - cubic meters per day'!M182*6.2898</f>
        <v/>
      </c>
      <c r="N182" s="37">
        <f>'HIST - cubic meters per day'!N182*6.2898</f>
        <v/>
      </c>
      <c r="O182" s="37">
        <f>'HIST - cubic meters per day'!O182*6.2898</f>
        <v/>
      </c>
      <c r="P182" s="37">
        <f>'HIST - cubic meters per day'!P182*6.2898</f>
        <v/>
      </c>
      <c r="Q182" s="37">
        <f>'HIST - cubic meters per day'!Q182*6.2898</f>
        <v/>
      </c>
      <c r="R182" s="37">
        <f>'HIST - cubic meters per day'!R182*6.2898</f>
        <v/>
      </c>
      <c r="S182" s="46">
        <f>'HIST - cubic meters per day'!S182*6.2898</f>
        <v/>
      </c>
      <c r="U182" s="45">
        <f>'HIST - cubic meters per day'!U182*6.2898</f>
        <v/>
      </c>
      <c r="V182" s="45">
        <f>'HIST - cubic meters per day'!V182*6.2898</f>
        <v/>
      </c>
    </row>
    <row r="183" ht="12" customHeight="1">
      <c r="A183" s="44" t="n">
        <v>42036</v>
      </c>
      <c r="B183" s="37">
        <f>'HIST - cubic meters per day'!B183*6.2898</f>
        <v/>
      </c>
      <c r="C183" s="37">
        <f>'HIST - cubic meters per day'!C183*6.2898</f>
        <v/>
      </c>
      <c r="D183" s="37">
        <f>'HIST - cubic meters per day'!D183*6.2898</f>
        <v/>
      </c>
      <c r="E183" s="37">
        <f>'HIST - cubic meters per day'!E183*6.2898</f>
        <v/>
      </c>
      <c r="F183" s="37">
        <f>'HIST - cubic meters per day'!F183*6.2898</f>
        <v/>
      </c>
      <c r="G183" s="37">
        <f>'HIST - cubic meters per day'!G183*6.2898</f>
        <v/>
      </c>
      <c r="H183" s="37">
        <f>'HIST - cubic meters per day'!H183*6.2898</f>
        <v/>
      </c>
      <c r="I183" s="37">
        <f>'HIST - cubic meters per day'!I183*6.2898</f>
        <v/>
      </c>
      <c r="J183" s="37">
        <f>'HIST - cubic meters per day'!J183*6.2898</f>
        <v/>
      </c>
      <c r="K183" s="37">
        <f>'HIST - cubic meters per day'!K183*6.2898</f>
        <v/>
      </c>
      <c r="L183" s="37">
        <f>'HIST - cubic meters per day'!L183*6.2898</f>
        <v/>
      </c>
      <c r="M183" s="37">
        <f>'HIST - cubic meters per day'!M183*6.2898</f>
        <v/>
      </c>
      <c r="N183" s="37">
        <f>'HIST - cubic meters per day'!N183*6.2898</f>
        <v/>
      </c>
      <c r="O183" s="37">
        <f>'HIST - cubic meters per day'!O183*6.2898</f>
        <v/>
      </c>
      <c r="P183" s="37">
        <f>'HIST - cubic meters per day'!P183*6.2898</f>
        <v/>
      </c>
      <c r="Q183" s="37">
        <f>'HIST - cubic meters per day'!Q183*6.2898</f>
        <v/>
      </c>
      <c r="R183" s="37">
        <f>'HIST - cubic meters per day'!R183*6.2898</f>
        <v/>
      </c>
      <c r="S183" s="46">
        <f>'HIST - cubic meters per day'!S183*6.2898</f>
        <v/>
      </c>
      <c r="U183" s="45">
        <f>'HIST - cubic meters per day'!U183*6.2898</f>
        <v/>
      </c>
      <c r="V183" s="45">
        <f>'HIST - cubic meters per day'!V183*6.2898</f>
        <v/>
      </c>
    </row>
    <row r="184" ht="12" customHeight="1">
      <c r="A184" s="44" t="n">
        <v>42064</v>
      </c>
      <c r="B184" s="37">
        <f>'HIST - cubic meters per day'!B184*6.2898</f>
        <v/>
      </c>
      <c r="C184" s="37">
        <f>'HIST - cubic meters per day'!C184*6.2898</f>
        <v/>
      </c>
      <c r="D184" s="37">
        <f>'HIST - cubic meters per day'!D184*6.2898</f>
        <v/>
      </c>
      <c r="E184" s="37">
        <f>'HIST - cubic meters per day'!E184*6.2898</f>
        <v/>
      </c>
      <c r="F184" s="37">
        <f>'HIST - cubic meters per day'!F184*6.2898</f>
        <v/>
      </c>
      <c r="G184" s="37">
        <f>'HIST - cubic meters per day'!G184*6.2898</f>
        <v/>
      </c>
      <c r="H184" s="37">
        <f>'HIST - cubic meters per day'!H184*6.2898</f>
        <v/>
      </c>
      <c r="I184" s="37">
        <f>'HIST - cubic meters per day'!I184*6.2898</f>
        <v/>
      </c>
      <c r="J184" s="37">
        <f>'HIST - cubic meters per day'!J184*6.2898</f>
        <v/>
      </c>
      <c r="K184" s="37">
        <f>'HIST - cubic meters per day'!K184*6.2898</f>
        <v/>
      </c>
      <c r="L184" s="37">
        <f>'HIST - cubic meters per day'!L184*6.2898</f>
        <v/>
      </c>
      <c r="M184" s="37">
        <f>'HIST - cubic meters per day'!M184*6.2898</f>
        <v/>
      </c>
      <c r="N184" s="37">
        <f>'HIST - cubic meters per day'!N184*6.2898</f>
        <v/>
      </c>
      <c r="O184" s="37">
        <f>'HIST - cubic meters per day'!O184*6.2898</f>
        <v/>
      </c>
      <c r="P184" s="37">
        <f>'HIST - cubic meters per day'!P184*6.2898</f>
        <v/>
      </c>
      <c r="Q184" s="37">
        <f>'HIST - cubic meters per day'!Q184*6.2898</f>
        <v/>
      </c>
      <c r="R184" s="37">
        <f>'HIST - cubic meters per day'!R184*6.2898</f>
        <v/>
      </c>
      <c r="S184" s="46">
        <f>'HIST - cubic meters per day'!S184*6.2898</f>
        <v/>
      </c>
      <c r="U184" s="45">
        <f>'HIST - cubic meters per day'!U184*6.2898</f>
        <v/>
      </c>
      <c r="V184" s="45">
        <f>'HIST - cubic meters per day'!V184*6.2898</f>
        <v/>
      </c>
    </row>
    <row r="185" ht="12" customHeight="1">
      <c r="A185" s="44" t="n">
        <v>42095</v>
      </c>
      <c r="B185" s="37">
        <f>'HIST - cubic meters per day'!B185*6.2898</f>
        <v/>
      </c>
      <c r="C185" s="37">
        <f>'HIST - cubic meters per day'!C185*6.2898</f>
        <v/>
      </c>
      <c r="D185" s="37">
        <f>'HIST - cubic meters per day'!D185*6.2898</f>
        <v/>
      </c>
      <c r="E185" s="37">
        <f>'HIST - cubic meters per day'!E185*6.2898</f>
        <v/>
      </c>
      <c r="F185" s="37">
        <f>'HIST - cubic meters per day'!F185*6.2898</f>
        <v/>
      </c>
      <c r="G185" s="37">
        <f>'HIST - cubic meters per day'!G185*6.2898</f>
        <v/>
      </c>
      <c r="H185" s="37">
        <f>'HIST - cubic meters per day'!H185*6.2898</f>
        <v/>
      </c>
      <c r="I185" s="37">
        <f>'HIST - cubic meters per day'!I185*6.2898</f>
        <v/>
      </c>
      <c r="J185" s="37">
        <f>'HIST - cubic meters per day'!J185*6.2898</f>
        <v/>
      </c>
      <c r="K185" s="37">
        <f>'HIST - cubic meters per day'!K185*6.2898</f>
        <v/>
      </c>
      <c r="L185" s="37">
        <f>'HIST - cubic meters per day'!L185*6.2898</f>
        <v/>
      </c>
      <c r="M185" s="37">
        <f>'HIST - cubic meters per day'!M185*6.2898</f>
        <v/>
      </c>
      <c r="N185" s="37">
        <f>'HIST - cubic meters per day'!N185*6.2898</f>
        <v/>
      </c>
      <c r="O185" s="37">
        <f>'HIST - cubic meters per day'!O185*6.2898</f>
        <v/>
      </c>
      <c r="P185" s="37">
        <f>'HIST - cubic meters per day'!P185*6.2898</f>
        <v/>
      </c>
      <c r="Q185" s="37">
        <f>'HIST - cubic meters per day'!Q185*6.2898</f>
        <v/>
      </c>
      <c r="R185" s="37">
        <f>'HIST - cubic meters per day'!R185*6.2898</f>
        <v/>
      </c>
      <c r="S185" s="46">
        <f>'HIST - cubic meters per day'!S185*6.2898</f>
        <v/>
      </c>
      <c r="U185" s="45">
        <f>'HIST - cubic meters per day'!U185*6.2898</f>
        <v/>
      </c>
      <c r="V185" s="45">
        <f>'HIST - cubic meters per day'!V185*6.2898</f>
        <v/>
      </c>
    </row>
    <row r="186" ht="12" customHeight="1">
      <c r="A186" s="44" t="n">
        <v>42125</v>
      </c>
      <c r="B186" s="37">
        <f>'HIST - cubic meters per day'!B186*6.2898</f>
        <v/>
      </c>
      <c r="C186" s="37">
        <f>'HIST - cubic meters per day'!C186*6.2898</f>
        <v/>
      </c>
      <c r="D186" s="37">
        <f>'HIST - cubic meters per day'!D186*6.2898</f>
        <v/>
      </c>
      <c r="E186" s="37">
        <f>'HIST - cubic meters per day'!E186*6.2898</f>
        <v/>
      </c>
      <c r="F186" s="37">
        <f>'HIST - cubic meters per day'!F186*6.2898</f>
        <v/>
      </c>
      <c r="G186" s="37">
        <f>'HIST - cubic meters per day'!G186*6.2898</f>
        <v/>
      </c>
      <c r="H186" s="37">
        <f>'HIST - cubic meters per day'!H186*6.2898</f>
        <v/>
      </c>
      <c r="I186" s="37">
        <f>'HIST - cubic meters per day'!I186*6.2898</f>
        <v/>
      </c>
      <c r="J186" s="37">
        <f>'HIST - cubic meters per day'!J186*6.2898</f>
        <v/>
      </c>
      <c r="K186" s="37">
        <f>'HIST - cubic meters per day'!K186*6.2898</f>
        <v/>
      </c>
      <c r="L186" s="37">
        <f>'HIST - cubic meters per day'!L186*6.2898</f>
        <v/>
      </c>
      <c r="M186" s="37">
        <f>'HIST - cubic meters per day'!M186*6.2898</f>
        <v/>
      </c>
      <c r="N186" s="37">
        <f>'HIST - cubic meters per day'!N186*6.2898</f>
        <v/>
      </c>
      <c r="O186" s="37">
        <f>'HIST - cubic meters per day'!O186*6.2898</f>
        <v/>
      </c>
      <c r="P186" s="37">
        <f>'HIST - cubic meters per day'!P186*6.2898</f>
        <v/>
      </c>
      <c r="Q186" s="37">
        <f>'HIST - cubic meters per day'!Q186*6.2898</f>
        <v/>
      </c>
      <c r="R186" s="37">
        <f>'HIST - cubic meters per day'!R186*6.2898</f>
        <v/>
      </c>
      <c r="S186" s="46">
        <f>'HIST - cubic meters per day'!S186*6.2898</f>
        <v/>
      </c>
      <c r="U186" s="45">
        <f>'HIST - cubic meters per day'!U186*6.2898</f>
        <v/>
      </c>
      <c r="V186" s="45">
        <f>'HIST - cubic meters per day'!V186*6.2898</f>
        <v/>
      </c>
    </row>
    <row r="187" ht="12" customHeight="1">
      <c r="A187" s="44" t="n">
        <v>42156</v>
      </c>
      <c r="B187" s="37">
        <f>'HIST - cubic meters per day'!B187*6.2898</f>
        <v/>
      </c>
      <c r="C187" s="37">
        <f>'HIST - cubic meters per day'!C187*6.2898</f>
        <v/>
      </c>
      <c r="D187" s="37">
        <f>'HIST - cubic meters per day'!D187*6.2898</f>
        <v/>
      </c>
      <c r="E187" s="37">
        <f>'HIST - cubic meters per day'!E187*6.2898</f>
        <v/>
      </c>
      <c r="F187" s="37">
        <f>'HIST - cubic meters per day'!F187*6.2898</f>
        <v/>
      </c>
      <c r="G187" s="37">
        <f>'HIST - cubic meters per day'!G187*6.2898</f>
        <v/>
      </c>
      <c r="H187" s="37">
        <f>'HIST - cubic meters per day'!H187*6.2898</f>
        <v/>
      </c>
      <c r="I187" s="37">
        <f>'HIST - cubic meters per day'!I187*6.2898</f>
        <v/>
      </c>
      <c r="J187" s="37">
        <f>'HIST - cubic meters per day'!J187*6.2898</f>
        <v/>
      </c>
      <c r="K187" s="37">
        <f>'HIST - cubic meters per day'!K187*6.2898</f>
        <v/>
      </c>
      <c r="L187" s="37">
        <f>'HIST - cubic meters per day'!L187*6.2898</f>
        <v/>
      </c>
      <c r="M187" s="37">
        <f>'HIST - cubic meters per day'!M187*6.2898</f>
        <v/>
      </c>
      <c r="N187" s="37">
        <f>'HIST - cubic meters per day'!N187*6.2898</f>
        <v/>
      </c>
      <c r="O187" s="37">
        <f>'HIST - cubic meters per day'!O187*6.2898</f>
        <v/>
      </c>
      <c r="P187" s="37">
        <f>'HIST - cubic meters per day'!P187*6.2898</f>
        <v/>
      </c>
      <c r="Q187" s="37">
        <f>'HIST - cubic meters per day'!Q187*6.2898</f>
        <v/>
      </c>
      <c r="R187" s="37">
        <f>'HIST - cubic meters per day'!R187*6.2898</f>
        <v/>
      </c>
      <c r="S187" s="46">
        <f>'HIST - cubic meters per day'!S187*6.2898</f>
        <v/>
      </c>
      <c r="U187" s="45">
        <f>'HIST - cubic meters per day'!U187*6.2898</f>
        <v/>
      </c>
      <c r="V187" s="45">
        <f>'HIST - cubic meters per day'!V187*6.2898</f>
        <v/>
      </c>
    </row>
    <row r="188" ht="12" customHeight="1">
      <c r="A188" s="44" t="n">
        <v>42186</v>
      </c>
      <c r="B188" s="37">
        <f>'HIST - cubic meters per day'!B188*6.2898</f>
        <v/>
      </c>
      <c r="C188" s="37">
        <f>'HIST - cubic meters per day'!C188*6.2898</f>
        <v/>
      </c>
      <c r="D188" s="37">
        <f>'HIST - cubic meters per day'!D188*6.2898</f>
        <v/>
      </c>
      <c r="E188" s="37">
        <f>'HIST - cubic meters per day'!E188*6.2898</f>
        <v/>
      </c>
      <c r="F188" s="37">
        <f>'HIST - cubic meters per day'!F188*6.2898</f>
        <v/>
      </c>
      <c r="G188" s="37">
        <f>'HIST - cubic meters per day'!G188*6.2898</f>
        <v/>
      </c>
      <c r="H188" s="37">
        <f>'HIST - cubic meters per day'!H188*6.2898</f>
        <v/>
      </c>
      <c r="I188" s="37">
        <f>'HIST - cubic meters per day'!I188*6.2898</f>
        <v/>
      </c>
      <c r="J188" s="37">
        <f>'HIST - cubic meters per day'!J188*6.2898</f>
        <v/>
      </c>
      <c r="K188" s="37">
        <f>'HIST - cubic meters per day'!K188*6.2898</f>
        <v/>
      </c>
      <c r="L188" s="37">
        <f>'HIST - cubic meters per day'!L188*6.2898</f>
        <v/>
      </c>
      <c r="M188" s="37">
        <f>'HIST - cubic meters per day'!M188*6.2898</f>
        <v/>
      </c>
      <c r="N188" s="37">
        <f>'HIST - cubic meters per day'!N188*6.2898</f>
        <v/>
      </c>
      <c r="O188" s="37">
        <f>'HIST - cubic meters per day'!O188*6.2898</f>
        <v/>
      </c>
      <c r="P188" s="37">
        <f>'HIST - cubic meters per day'!P188*6.2898</f>
        <v/>
      </c>
      <c r="Q188" s="37">
        <f>'HIST - cubic meters per day'!Q188*6.2898</f>
        <v/>
      </c>
      <c r="R188" s="37">
        <f>'HIST - cubic meters per day'!R188*6.2898</f>
        <v/>
      </c>
      <c r="S188" s="46">
        <f>'HIST - cubic meters per day'!S188*6.2898</f>
        <v/>
      </c>
      <c r="U188" s="45">
        <f>'HIST - cubic meters per day'!U188*6.2898</f>
        <v/>
      </c>
      <c r="V188" s="45">
        <f>'HIST - cubic meters per day'!V188*6.2898</f>
        <v/>
      </c>
    </row>
    <row r="189" ht="12" customHeight="1">
      <c r="A189" s="44" t="n">
        <v>42217</v>
      </c>
      <c r="B189" s="37">
        <f>'HIST - cubic meters per day'!B189*6.2898</f>
        <v/>
      </c>
      <c r="C189" s="37">
        <f>'HIST - cubic meters per day'!C189*6.2898</f>
        <v/>
      </c>
      <c r="D189" s="37">
        <f>'HIST - cubic meters per day'!D189*6.2898</f>
        <v/>
      </c>
      <c r="E189" s="37">
        <f>'HIST - cubic meters per day'!E189*6.2898</f>
        <v/>
      </c>
      <c r="F189" s="37">
        <f>'HIST - cubic meters per day'!F189*6.2898</f>
        <v/>
      </c>
      <c r="G189" s="37">
        <f>'HIST - cubic meters per day'!G189*6.2898</f>
        <v/>
      </c>
      <c r="H189" s="37">
        <f>'HIST - cubic meters per day'!H189*6.2898</f>
        <v/>
      </c>
      <c r="I189" s="37">
        <f>'HIST - cubic meters per day'!I189*6.2898</f>
        <v/>
      </c>
      <c r="J189" s="37">
        <f>'HIST - cubic meters per day'!J189*6.2898</f>
        <v/>
      </c>
      <c r="K189" s="37">
        <f>'HIST - cubic meters per day'!K189*6.2898</f>
        <v/>
      </c>
      <c r="L189" s="37">
        <f>'HIST - cubic meters per day'!L189*6.2898</f>
        <v/>
      </c>
      <c r="M189" s="37">
        <f>'HIST - cubic meters per day'!M189*6.2898</f>
        <v/>
      </c>
      <c r="N189" s="37">
        <f>'HIST - cubic meters per day'!N189*6.2898</f>
        <v/>
      </c>
      <c r="O189" s="37">
        <f>'HIST - cubic meters per day'!O189*6.2898</f>
        <v/>
      </c>
      <c r="P189" s="37">
        <f>'HIST - cubic meters per day'!P189*6.2898</f>
        <v/>
      </c>
      <c r="Q189" s="37">
        <f>'HIST - cubic meters per day'!Q189*6.2898</f>
        <v/>
      </c>
      <c r="R189" s="37">
        <f>'HIST - cubic meters per day'!R189*6.2898</f>
        <v/>
      </c>
      <c r="S189" s="46">
        <f>'HIST - cubic meters per day'!S189*6.2898</f>
        <v/>
      </c>
      <c r="U189" s="45">
        <f>'HIST - cubic meters per day'!U189*6.2898</f>
        <v/>
      </c>
      <c r="V189" s="45">
        <f>'HIST - cubic meters per day'!V189*6.2898</f>
        <v/>
      </c>
    </row>
    <row r="190" ht="12" customHeight="1">
      <c r="A190" s="44" t="n">
        <v>42248</v>
      </c>
      <c r="B190" s="37">
        <f>'HIST - cubic meters per day'!B190*6.2898</f>
        <v/>
      </c>
      <c r="C190" s="37">
        <f>'HIST - cubic meters per day'!C190*6.2898</f>
        <v/>
      </c>
      <c r="D190" s="37">
        <f>'HIST - cubic meters per day'!D190*6.2898</f>
        <v/>
      </c>
      <c r="E190" s="37">
        <f>'HIST - cubic meters per day'!E190*6.2898</f>
        <v/>
      </c>
      <c r="F190" s="37">
        <f>'HIST - cubic meters per day'!F190*6.2898</f>
        <v/>
      </c>
      <c r="G190" s="37">
        <f>'HIST - cubic meters per day'!G190*6.2898</f>
        <v/>
      </c>
      <c r="H190" s="37">
        <f>'HIST - cubic meters per day'!H190*6.2898</f>
        <v/>
      </c>
      <c r="I190" s="37">
        <f>'HIST - cubic meters per day'!I190*6.2898</f>
        <v/>
      </c>
      <c r="J190" s="37">
        <f>'HIST - cubic meters per day'!J190*6.2898</f>
        <v/>
      </c>
      <c r="K190" s="37">
        <f>'HIST - cubic meters per day'!K190*6.2898</f>
        <v/>
      </c>
      <c r="L190" s="37">
        <f>'HIST - cubic meters per day'!L190*6.2898</f>
        <v/>
      </c>
      <c r="M190" s="37">
        <f>'HIST - cubic meters per day'!M190*6.2898</f>
        <v/>
      </c>
      <c r="N190" s="37">
        <f>'HIST - cubic meters per day'!N190*6.2898</f>
        <v/>
      </c>
      <c r="O190" s="37">
        <f>'HIST - cubic meters per day'!O190*6.2898</f>
        <v/>
      </c>
      <c r="P190" s="37">
        <f>'HIST - cubic meters per day'!P190*6.2898</f>
        <v/>
      </c>
      <c r="Q190" s="37">
        <f>'HIST - cubic meters per day'!Q190*6.2898</f>
        <v/>
      </c>
      <c r="R190" s="37">
        <f>'HIST - cubic meters per day'!R190*6.2898</f>
        <v/>
      </c>
      <c r="S190" s="46">
        <f>'HIST - cubic meters per day'!S190*6.2898</f>
        <v/>
      </c>
      <c r="U190" s="45">
        <f>'HIST - cubic meters per day'!U190*6.2898</f>
        <v/>
      </c>
      <c r="V190" s="45">
        <f>'HIST - cubic meters per day'!V190*6.2898</f>
        <v/>
      </c>
    </row>
    <row r="191" ht="12" customHeight="1">
      <c r="A191" s="44" t="n">
        <v>42278</v>
      </c>
      <c r="B191" s="37">
        <f>'HIST - cubic meters per day'!B191*6.2898</f>
        <v/>
      </c>
      <c r="C191" s="37">
        <f>'HIST - cubic meters per day'!C191*6.2898</f>
        <v/>
      </c>
      <c r="D191" s="37">
        <f>'HIST - cubic meters per day'!D191*6.2898</f>
        <v/>
      </c>
      <c r="E191" s="37">
        <f>'HIST - cubic meters per day'!E191*6.2898</f>
        <v/>
      </c>
      <c r="F191" s="37">
        <f>'HIST - cubic meters per day'!F191*6.2898</f>
        <v/>
      </c>
      <c r="G191" s="37">
        <f>'HIST - cubic meters per day'!G191*6.2898</f>
        <v/>
      </c>
      <c r="H191" s="37">
        <f>'HIST - cubic meters per day'!H191*6.2898</f>
        <v/>
      </c>
      <c r="I191" s="37">
        <f>'HIST - cubic meters per day'!I191*6.2898</f>
        <v/>
      </c>
      <c r="J191" s="37">
        <f>'HIST - cubic meters per day'!J191*6.2898</f>
        <v/>
      </c>
      <c r="K191" s="37">
        <f>'HIST - cubic meters per day'!K191*6.2898</f>
        <v/>
      </c>
      <c r="L191" s="37">
        <f>'HIST - cubic meters per day'!L191*6.2898</f>
        <v/>
      </c>
      <c r="M191" s="37">
        <f>'HIST - cubic meters per day'!M191*6.2898</f>
        <v/>
      </c>
      <c r="N191" s="37">
        <f>'HIST - cubic meters per day'!N191*6.2898</f>
        <v/>
      </c>
      <c r="O191" s="37">
        <f>'HIST - cubic meters per day'!O191*6.2898</f>
        <v/>
      </c>
      <c r="P191" s="37">
        <f>'HIST - cubic meters per day'!P191*6.2898</f>
        <v/>
      </c>
      <c r="Q191" s="37">
        <f>'HIST - cubic meters per day'!Q191*6.2898</f>
        <v/>
      </c>
      <c r="R191" s="37">
        <f>'HIST - cubic meters per day'!R191*6.2898</f>
        <v/>
      </c>
      <c r="S191" s="46">
        <f>'HIST - cubic meters per day'!S191*6.2898</f>
        <v/>
      </c>
      <c r="U191" s="45">
        <f>'HIST - cubic meters per day'!U191*6.2898</f>
        <v/>
      </c>
      <c r="V191" s="45">
        <f>'HIST - cubic meters per day'!V191*6.2898</f>
        <v/>
      </c>
    </row>
    <row r="192" ht="12" customHeight="1">
      <c r="A192" s="44" t="n">
        <v>42309</v>
      </c>
      <c r="B192" s="37">
        <f>'HIST - cubic meters per day'!B192*6.2898</f>
        <v/>
      </c>
      <c r="C192" s="37">
        <f>'HIST - cubic meters per day'!C192*6.2898</f>
        <v/>
      </c>
      <c r="D192" s="37">
        <f>'HIST - cubic meters per day'!D192*6.2898</f>
        <v/>
      </c>
      <c r="E192" s="37">
        <f>'HIST - cubic meters per day'!E192*6.2898</f>
        <v/>
      </c>
      <c r="F192" s="37">
        <f>'HIST - cubic meters per day'!F192*6.2898</f>
        <v/>
      </c>
      <c r="G192" s="37">
        <f>'HIST - cubic meters per day'!G192*6.2898</f>
        <v/>
      </c>
      <c r="H192" s="37">
        <f>'HIST - cubic meters per day'!H192*6.2898</f>
        <v/>
      </c>
      <c r="I192" s="37">
        <f>'HIST - cubic meters per day'!I192*6.2898</f>
        <v/>
      </c>
      <c r="J192" s="37">
        <f>'HIST - cubic meters per day'!J192*6.2898</f>
        <v/>
      </c>
      <c r="K192" s="37">
        <f>'HIST - cubic meters per day'!K192*6.2898</f>
        <v/>
      </c>
      <c r="L192" s="37">
        <f>'HIST - cubic meters per day'!L192*6.2898</f>
        <v/>
      </c>
      <c r="M192" s="37">
        <f>'HIST - cubic meters per day'!M192*6.2898</f>
        <v/>
      </c>
      <c r="N192" s="37">
        <f>'HIST - cubic meters per day'!N192*6.2898</f>
        <v/>
      </c>
      <c r="O192" s="37">
        <f>'HIST - cubic meters per day'!O192*6.2898</f>
        <v/>
      </c>
      <c r="P192" s="37">
        <f>'HIST - cubic meters per day'!P192*6.2898</f>
        <v/>
      </c>
      <c r="Q192" s="37">
        <f>'HIST - cubic meters per day'!Q192*6.2898</f>
        <v/>
      </c>
      <c r="R192" s="37">
        <f>'HIST - cubic meters per day'!R192*6.2898</f>
        <v/>
      </c>
      <c r="S192" s="46">
        <f>'HIST - cubic meters per day'!S192*6.2898</f>
        <v/>
      </c>
      <c r="U192" s="45">
        <f>'HIST - cubic meters per day'!U192*6.2898</f>
        <v/>
      </c>
      <c r="V192" s="45">
        <f>'HIST - cubic meters per day'!V192*6.2898</f>
        <v/>
      </c>
    </row>
    <row r="193" ht="12" customHeight="1">
      <c r="A193" s="44" t="n">
        <v>42339</v>
      </c>
      <c r="B193" s="37">
        <f>'HIST - cubic meters per day'!B193*6.2898</f>
        <v/>
      </c>
      <c r="C193" s="37">
        <f>'HIST - cubic meters per day'!C193*6.2898</f>
        <v/>
      </c>
      <c r="D193" s="37">
        <f>'HIST - cubic meters per day'!D193*6.2898</f>
        <v/>
      </c>
      <c r="E193" s="37">
        <f>'HIST - cubic meters per day'!E193*6.2898</f>
        <v/>
      </c>
      <c r="F193" s="37">
        <f>'HIST - cubic meters per day'!F193*6.2898</f>
        <v/>
      </c>
      <c r="G193" s="37">
        <f>'HIST - cubic meters per day'!G193*6.2898</f>
        <v/>
      </c>
      <c r="H193" s="37">
        <f>'HIST - cubic meters per day'!H193*6.2898</f>
        <v/>
      </c>
      <c r="I193" s="37">
        <f>'HIST - cubic meters per day'!I193*6.2898</f>
        <v/>
      </c>
      <c r="J193" s="37">
        <f>'HIST - cubic meters per day'!J193*6.2898</f>
        <v/>
      </c>
      <c r="K193" s="37">
        <f>'HIST - cubic meters per day'!K193*6.2898</f>
        <v/>
      </c>
      <c r="L193" s="37">
        <f>'HIST - cubic meters per day'!L193*6.2898</f>
        <v/>
      </c>
      <c r="M193" s="37">
        <f>'HIST - cubic meters per day'!M193*6.2898</f>
        <v/>
      </c>
      <c r="N193" s="37">
        <f>'HIST - cubic meters per day'!N193*6.2898</f>
        <v/>
      </c>
      <c r="O193" s="37">
        <f>'HIST - cubic meters per day'!O193*6.2898</f>
        <v/>
      </c>
      <c r="P193" s="37">
        <f>'HIST - cubic meters per day'!P193*6.2898</f>
        <v/>
      </c>
      <c r="Q193" s="37">
        <f>'HIST - cubic meters per day'!Q193*6.2898</f>
        <v/>
      </c>
      <c r="R193" s="37">
        <f>'HIST - cubic meters per day'!R193*6.2898</f>
        <v/>
      </c>
      <c r="S193" s="46">
        <f>'HIST - cubic meters per day'!S193*6.2898</f>
        <v/>
      </c>
      <c r="U193" s="45">
        <f>'HIST - cubic meters per day'!U193*6.2898</f>
        <v/>
      </c>
      <c r="V193" s="45">
        <f>'HIST - cubic meters per day'!V193*6.2898</f>
        <v/>
      </c>
    </row>
    <row r="194" ht="12" customHeight="1">
      <c r="A194" s="44" t="n">
        <v>42370</v>
      </c>
      <c r="B194" s="37">
        <f>'HIST - cubic meters per day'!B194*6.2898</f>
        <v/>
      </c>
      <c r="C194" s="37">
        <f>'HIST - cubic meters per day'!C194*6.2898</f>
        <v/>
      </c>
      <c r="D194" s="37">
        <f>'HIST - cubic meters per day'!D194*6.2898</f>
        <v/>
      </c>
      <c r="E194" s="37">
        <f>'HIST - cubic meters per day'!E194*6.2898</f>
        <v/>
      </c>
      <c r="F194" s="37">
        <f>'HIST - cubic meters per day'!F194*6.2898</f>
        <v/>
      </c>
      <c r="G194" s="37">
        <f>'HIST - cubic meters per day'!G194*6.2898</f>
        <v/>
      </c>
      <c r="H194" s="37">
        <f>'HIST - cubic meters per day'!H194*6.2898</f>
        <v/>
      </c>
      <c r="I194" s="37">
        <f>'HIST - cubic meters per day'!I194*6.2898</f>
        <v/>
      </c>
      <c r="J194" s="37">
        <f>'HIST - cubic meters per day'!J194*6.2898</f>
        <v/>
      </c>
      <c r="K194" s="37">
        <f>'HIST - cubic meters per day'!K194*6.2898</f>
        <v/>
      </c>
      <c r="L194" s="37">
        <f>'HIST - cubic meters per day'!L194*6.2898</f>
        <v/>
      </c>
      <c r="M194" s="37">
        <f>'HIST - cubic meters per day'!M194*6.2898</f>
        <v/>
      </c>
      <c r="N194" s="37">
        <f>'HIST - cubic meters per day'!N194*6.2898</f>
        <v/>
      </c>
      <c r="O194" s="37">
        <f>'HIST - cubic meters per day'!O194*6.2898</f>
        <v/>
      </c>
      <c r="P194" s="37">
        <f>'HIST - cubic meters per day'!P194*6.2898</f>
        <v/>
      </c>
      <c r="Q194" s="37">
        <f>'HIST - cubic meters per day'!Q194*6.2898</f>
        <v/>
      </c>
      <c r="R194" s="37">
        <f>'HIST - cubic meters per day'!R194*6.2898</f>
        <v/>
      </c>
      <c r="S194" s="46">
        <f>'HIST - cubic meters per day'!S194*6.2898</f>
        <v/>
      </c>
      <c r="U194" s="45">
        <f>'HIST - cubic meters per day'!U194*6.2898</f>
        <v/>
      </c>
      <c r="V194" s="45">
        <f>'HIST - cubic meters per day'!V194*6.2898</f>
        <v/>
      </c>
    </row>
    <row r="195" ht="12" customHeight="1">
      <c r="A195" s="44" t="n">
        <v>42401</v>
      </c>
      <c r="B195" s="37">
        <f>'HIST - cubic meters per day'!B195*6.2898</f>
        <v/>
      </c>
      <c r="C195" s="37">
        <f>'HIST - cubic meters per day'!C195*6.2898</f>
        <v/>
      </c>
      <c r="D195" s="37">
        <f>'HIST - cubic meters per day'!D195*6.2898</f>
        <v/>
      </c>
      <c r="E195" s="37">
        <f>'HIST - cubic meters per day'!E195*6.2898</f>
        <v/>
      </c>
      <c r="F195" s="37">
        <f>'HIST - cubic meters per day'!F195*6.2898</f>
        <v/>
      </c>
      <c r="G195" s="37">
        <f>'HIST - cubic meters per day'!G195*6.2898</f>
        <v/>
      </c>
      <c r="H195" s="37">
        <f>'HIST - cubic meters per day'!H195*6.2898</f>
        <v/>
      </c>
      <c r="I195" s="37">
        <f>'HIST - cubic meters per day'!I195*6.2898</f>
        <v/>
      </c>
      <c r="J195" s="37">
        <f>'HIST - cubic meters per day'!J195*6.2898</f>
        <v/>
      </c>
      <c r="K195" s="37">
        <f>'HIST - cubic meters per day'!K195*6.2898</f>
        <v/>
      </c>
      <c r="L195" s="37">
        <f>'HIST - cubic meters per day'!L195*6.2898</f>
        <v/>
      </c>
      <c r="M195" s="37">
        <f>'HIST - cubic meters per day'!M195*6.2898</f>
        <v/>
      </c>
      <c r="N195" s="37">
        <f>'HIST - cubic meters per day'!N195*6.2898</f>
        <v/>
      </c>
      <c r="O195" s="37">
        <f>'HIST - cubic meters per day'!O195*6.2898</f>
        <v/>
      </c>
      <c r="P195" s="37">
        <f>'HIST - cubic meters per day'!P195*6.2898</f>
        <v/>
      </c>
      <c r="Q195" s="37">
        <f>'HIST - cubic meters per day'!Q195*6.2898</f>
        <v/>
      </c>
      <c r="R195" s="37">
        <f>'HIST - cubic meters per day'!R195*6.2898</f>
        <v/>
      </c>
      <c r="S195" s="46">
        <f>'HIST - cubic meters per day'!S195*6.2898</f>
        <v/>
      </c>
      <c r="U195" s="45">
        <f>'HIST - cubic meters per day'!U195*6.2898</f>
        <v/>
      </c>
      <c r="V195" s="45">
        <f>'HIST - cubic meters per day'!V195*6.2898</f>
        <v/>
      </c>
    </row>
    <row r="196" ht="12" customHeight="1">
      <c r="A196" s="44" t="n">
        <v>42430</v>
      </c>
      <c r="B196" s="37">
        <f>'HIST - cubic meters per day'!B196*6.2898</f>
        <v/>
      </c>
      <c r="C196" s="37">
        <f>'HIST - cubic meters per day'!C196*6.2898</f>
        <v/>
      </c>
      <c r="D196" s="37">
        <f>'HIST - cubic meters per day'!D196*6.2898</f>
        <v/>
      </c>
      <c r="E196" s="37">
        <f>'HIST - cubic meters per day'!E196*6.2898</f>
        <v/>
      </c>
      <c r="F196" s="37">
        <f>'HIST - cubic meters per day'!F196*6.2898</f>
        <v/>
      </c>
      <c r="G196" s="37">
        <f>'HIST - cubic meters per day'!G196*6.2898</f>
        <v/>
      </c>
      <c r="H196" s="37">
        <f>'HIST - cubic meters per day'!H196*6.2898</f>
        <v/>
      </c>
      <c r="I196" s="37">
        <f>'HIST - cubic meters per day'!I196*6.2898</f>
        <v/>
      </c>
      <c r="J196" s="37">
        <f>'HIST - cubic meters per day'!J196*6.2898</f>
        <v/>
      </c>
      <c r="K196" s="37">
        <f>'HIST - cubic meters per day'!K196*6.2898</f>
        <v/>
      </c>
      <c r="L196" s="37">
        <f>'HIST - cubic meters per day'!L196*6.2898</f>
        <v/>
      </c>
      <c r="M196" s="37">
        <f>'HIST - cubic meters per day'!M196*6.2898</f>
        <v/>
      </c>
      <c r="N196" s="37">
        <f>'HIST - cubic meters per day'!N196*6.2898</f>
        <v/>
      </c>
      <c r="O196" s="37">
        <f>'HIST - cubic meters per day'!O196*6.2898</f>
        <v/>
      </c>
      <c r="P196" s="37">
        <f>'HIST - cubic meters per day'!P196*6.2898</f>
        <v/>
      </c>
      <c r="Q196" s="37">
        <f>'HIST - cubic meters per day'!Q196*6.2898</f>
        <v/>
      </c>
      <c r="R196" s="37">
        <f>'HIST - cubic meters per day'!R196*6.2898</f>
        <v/>
      </c>
      <c r="S196" s="46">
        <f>'HIST - cubic meters per day'!S196*6.2898</f>
        <v/>
      </c>
      <c r="U196" s="45">
        <f>'HIST - cubic meters per day'!U196*6.2898</f>
        <v/>
      </c>
      <c r="V196" s="45">
        <f>'HIST - cubic meters per day'!V196*6.2898</f>
        <v/>
      </c>
    </row>
    <row r="197" ht="12" customHeight="1">
      <c r="A197" s="44" t="n">
        <v>42461</v>
      </c>
      <c r="B197" s="37">
        <f>'HIST - cubic meters per day'!B197*6.2898</f>
        <v/>
      </c>
      <c r="C197" s="37">
        <f>'HIST - cubic meters per day'!C197*6.2898</f>
        <v/>
      </c>
      <c r="D197" s="37">
        <f>'HIST - cubic meters per day'!D197*6.2898</f>
        <v/>
      </c>
      <c r="E197" s="37">
        <f>'HIST - cubic meters per day'!E197*6.2898</f>
        <v/>
      </c>
      <c r="F197" s="37">
        <f>'HIST - cubic meters per day'!F197*6.2898</f>
        <v/>
      </c>
      <c r="G197" s="37">
        <f>'HIST - cubic meters per day'!G197*6.2898</f>
        <v/>
      </c>
      <c r="H197" s="37">
        <f>'HIST - cubic meters per day'!H197*6.2898</f>
        <v/>
      </c>
      <c r="I197" s="37">
        <f>'HIST - cubic meters per day'!I197*6.2898</f>
        <v/>
      </c>
      <c r="J197" s="37">
        <f>'HIST - cubic meters per day'!J197*6.2898</f>
        <v/>
      </c>
      <c r="K197" s="37">
        <f>'HIST - cubic meters per day'!K197*6.2898</f>
        <v/>
      </c>
      <c r="L197" s="37">
        <f>'HIST - cubic meters per day'!L197*6.2898</f>
        <v/>
      </c>
      <c r="M197" s="37">
        <f>'HIST - cubic meters per day'!M197*6.2898</f>
        <v/>
      </c>
      <c r="N197" s="37">
        <f>'HIST - cubic meters per day'!N197*6.2898</f>
        <v/>
      </c>
      <c r="O197" s="37">
        <f>'HIST - cubic meters per day'!O197*6.2898</f>
        <v/>
      </c>
      <c r="P197" s="37">
        <f>'HIST - cubic meters per day'!P197*6.2898</f>
        <v/>
      </c>
      <c r="Q197" s="37">
        <f>'HIST - cubic meters per day'!Q197*6.2898</f>
        <v/>
      </c>
      <c r="R197" s="37">
        <f>'HIST - cubic meters per day'!R197*6.2898</f>
        <v/>
      </c>
      <c r="S197" s="46">
        <f>'HIST - cubic meters per day'!S197*6.2898</f>
        <v/>
      </c>
      <c r="U197" s="45">
        <f>'HIST - cubic meters per day'!U197*6.2898</f>
        <v/>
      </c>
      <c r="V197" s="45">
        <f>'HIST - cubic meters per day'!V197*6.2898</f>
        <v/>
      </c>
    </row>
    <row r="198" ht="12" customHeight="1">
      <c r="A198" s="44" t="n">
        <v>42491</v>
      </c>
      <c r="B198" s="37">
        <f>'HIST - cubic meters per day'!B198*6.2898</f>
        <v/>
      </c>
      <c r="C198" s="37">
        <f>'HIST - cubic meters per day'!C198*6.2898</f>
        <v/>
      </c>
      <c r="D198" s="37">
        <f>'HIST - cubic meters per day'!D198*6.2898</f>
        <v/>
      </c>
      <c r="E198" s="37">
        <f>'HIST - cubic meters per day'!E198*6.2898</f>
        <v/>
      </c>
      <c r="F198" s="37">
        <f>'HIST - cubic meters per day'!F198*6.2898</f>
        <v/>
      </c>
      <c r="G198" s="37">
        <f>'HIST - cubic meters per day'!G198*6.2898</f>
        <v/>
      </c>
      <c r="H198" s="37">
        <f>'HIST - cubic meters per day'!H198*6.2898</f>
        <v/>
      </c>
      <c r="I198" s="37">
        <f>'HIST - cubic meters per day'!I198*6.2898</f>
        <v/>
      </c>
      <c r="J198" s="37">
        <f>'HIST - cubic meters per day'!J198*6.2898</f>
        <v/>
      </c>
      <c r="K198" s="37">
        <f>'HIST - cubic meters per day'!K198*6.2898</f>
        <v/>
      </c>
      <c r="L198" s="37">
        <f>'HIST - cubic meters per day'!L198*6.2898</f>
        <v/>
      </c>
      <c r="M198" s="37">
        <f>'HIST - cubic meters per day'!M198*6.2898</f>
        <v/>
      </c>
      <c r="N198" s="37">
        <f>'HIST - cubic meters per day'!N198*6.2898</f>
        <v/>
      </c>
      <c r="O198" s="37">
        <f>'HIST - cubic meters per day'!O198*6.2898</f>
        <v/>
      </c>
      <c r="P198" s="37">
        <f>'HIST - cubic meters per day'!P198*6.2898</f>
        <v/>
      </c>
      <c r="Q198" s="37">
        <f>'HIST - cubic meters per day'!Q198*6.2898</f>
        <v/>
      </c>
      <c r="R198" s="37">
        <f>'HIST - cubic meters per day'!R198*6.2898</f>
        <v/>
      </c>
      <c r="S198" s="46">
        <f>'HIST - cubic meters per day'!S198*6.2898</f>
        <v/>
      </c>
      <c r="U198" s="45">
        <f>'HIST - cubic meters per day'!U198*6.2898</f>
        <v/>
      </c>
      <c r="V198" s="45">
        <f>'HIST - cubic meters per day'!V198*6.2898</f>
        <v/>
      </c>
    </row>
    <row r="199" ht="12" customHeight="1">
      <c r="A199" s="44" t="n">
        <v>42522</v>
      </c>
      <c r="B199" s="37">
        <f>'HIST - cubic meters per day'!B199*6.2898</f>
        <v/>
      </c>
      <c r="C199" s="37">
        <f>'HIST - cubic meters per day'!C199*6.2898</f>
        <v/>
      </c>
      <c r="D199" s="37">
        <f>'HIST - cubic meters per day'!D199*6.2898</f>
        <v/>
      </c>
      <c r="E199" s="37">
        <f>'HIST - cubic meters per day'!E199*6.2898</f>
        <v/>
      </c>
      <c r="F199" s="37">
        <f>'HIST - cubic meters per day'!F199*6.2898</f>
        <v/>
      </c>
      <c r="G199" s="37">
        <f>'HIST - cubic meters per day'!G199*6.2898</f>
        <v/>
      </c>
      <c r="H199" s="37">
        <f>'HIST - cubic meters per day'!H199*6.2898</f>
        <v/>
      </c>
      <c r="I199" s="37">
        <f>'HIST - cubic meters per day'!I199*6.2898</f>
        <v/>
      </c>
      <c r="J199" s="37">
        <f>'HIST - cubic meters per day'!J199*6.2898</f>
        <v/>
      </c>
      <c r="K199" s="37">
        <f>'HIST - cubic meters per day'!K199*6.2898</f>
        <v/>
      </c>
      <c r="L199" s="37">
        <f>'HIST - cubic meters per day'!L199*6.2898</f>
        <v/>
      </c>
      <c r="M199" s="37">
        <f>'HIST - cubic meters per day'!M199*6.2898</f>
        <v/>
      </c>
      <c r="N199" s="37">
        <f>'HIST - cubic meters per day'!N199*6.2898</f>
        <v/>
      </c>
      <c r="O199" s="37">
        <f>'HIST - cubic meters per day'!O199*6.2898</f>
        <v/>
      </c>
      <c r="P199" s="37">
        <f>'HIST - cubic meters per day'!P199*6.2898</f>
        <v/>
      </c>
      <c r="Q199" s="37">
        <f>'HIST - cubic meters per day'!Q199*6.2898</f>
        <v/>
      </c>
      <c r="R199" s="37">
        <f>'HIST - cubic meters per day'!R199*6.2898</f>
        <v/>
      </c>
      <c r="S199" s="46">
        <f>'HIST - cubic meters per day'!S199*6.2898</f>
        <v/>
      </c>
      <c r="U199" s="45">
        <f>'HIST - cubic meters per day'!U199*6.2898</f>
        <v/>
      </c>
      <c r="V199" s="45">
        <f>'HIST - cubic meters per day'!V199*6.2898</f>
        <v/>
      </c>
    </row>
    <row r="200" ht="12" customHeight="1">
      <c r="A200" s="44" t="n">
        <v>42552</v>
      </c>
      <c r="B200" s="37">
        <f>'HIST - cubic meters per day'!B200*6.2898</f>
        <v/>
      </c>
      <c r="C200" s="37">
        <f>'HIST - cubic meters per day'!C200*6.2898</f>
        <v/>
      </c>
      <c r="D200" s="37">
        <f>'HIST - cubic meters per day'!D200*6.2898</f>
        <v/>
      </c>
      <c r="E200" s="37">
        <f>'HIST - cubic meters per day'!E200*6.2898</f>
        <v/>
      </c>
      <c r="F200" s="37">
        <f>'HIST - cubic meters per day'!F200*6.2898</f>
        <v/>
      </c>
      <c r="G200" s="37">
        <f>'HIST - cubic meters per day'!G200*6.2898</f>
        <v/>
      </c>
      <c r="H200" s="37">
        <f>'HIST - cubic meters per day'!H200*6.2898</f>
        <v/>
      </c>
      <c r="I200" s="37">
        <f>'HIST - cubic meters per day'!I200*6.2898</f>
        <v/>
      </c>
      <c r="J200" s="37">
        <f>'HIST - cubic meters per day'!J200*6.2898</f>
        <v/>
      </c>
      <c r="K200" s="37">
        <f>'HIST - cubic meters per day'!K200*6.2898</f>
        <v/>
      </c>
      <c r="L200" s="37">
        <f>'HIST - cubic meters per day'!L200*6.2898</f>
        <v/>
      </c>
      <c r="M200" s="37">
        <f>'HIST - cubic meters per day'!M200*6.2898</f>
        <v/>
      </c>
      <c r="N200" s="37">
        <f>'HIST - cubic meters per day'!N200*6.2898</f>
        <v/>
      </c>
      <c r="O200" s="37">
        <f>'HIST - cubic meters per day'!O200*6.2898</f>
        <v/>
      </c>
      <c r="P200" s="37">
        <f>'HIST - cubic meters per day'!P200*6.2898</f>
        <v/>
      </c>
      <c r="Q200" s="37">
        <f>'HIST - cubic meters per day'!Q200*6.2898</f>
        <v/>
      </c>
      <c r="R200" s="37">
        <f>'HIST - cubic meters per day'!R200*6.2898</f>
        <v/>
      </c>
      <c r="S200" s="46">
        <f>'HIST - cubic meters per day'!S200*6.2898</f>
        <v/>
      </c>
      <c r="U200" s="45">
        <f>'HIST - cubic meters per day'!U200*6.2898</f>
        <v/>
      </c>
      <c r="V200" s="45">
        <f>'HIST - cubic meters per day'!V200*6.2898</f>
        <v/>
      </c>
    </row>
    <row r="201" ht="12" customHeight="1">
      <c r="A201" s="44" t="n">
        <v>42583</v>
      </c>
      <c r="B201" s="37">
        <f>'HIST - cubic meters per day'!B201*6.2898</f>
        <v/>
      </c>
      <c r="C201" s="37">
        <f>'HIST - cubic meters per day'!C201*6.2898</f>
        <v/>
      </c>
      <c r="D201" s="37">
        <f>'HIST - cubic meters per day'!D201*6.2898</f>
        <v/>
      </c>
      <c r="E201" s="37">
        <f>'HIST - cubic meters per day'!E201*6.2898</f>
        <v/>
      </c>
      <c r="F201" s="37">
        <f>'HIST - cubic meters per day'!F201*6.2898</f>
        <v/>
      </c>
      <c r="G201" s="37">
        <f>'HIST - cubic meters per day'!G201*6.2898</f>
        <v/>
      </c>
      <c r="H201" s="37">
        <f>'HIST - cubic meters per day'!H201*6.2898</f>
        <v/>
      </c>
      <c r="I201" s="37">
        <f>'HIST - cubic meters per day'!I201*6.2898</f>
        <v/>
      </c>
      <c r="J201" s="37">
        <f>'HIST - cubic meters per day'!J201*6.2898</f>
        <v/>
      </c>
      <c r="K201" s="37">
        <f>'HIST - cubic meters per day'!K201*6.2898</f>
        <v/>
      </c>
      <c r="L201" s="37">
        <f>'HIST - cubic meters per day'!L201*6.2898</f>
        <v/>
      </c>
      <c r="M201" s="37">
        <f>'HIST - cubic meters per day'!M201*6.2898</f>
        <v/>
      </c>
      <c r="N201" s="37">
        <f>'HIST - cubic meters per day'!N201*6.2898</f>
        <v/>
      </c>
      <c r="O201" s="37">
        <f>'HIST - cubic meters per day'!O201*6.2898</f>
        <v/>
      </c>
      <c r="P201" s="37">
        <f>'HIST - cubic meters per day'!P201*6.2898</f>
        <v/>
      </c>
      <c r="Q201" s="37">
        <f>'HIST - cubic meters per day'!Q201*6.2898</f>
        <v/>
      </c>
      <c r="R201" s="37">
        <f>'HIST - cubic meters per day'!R201*6.2898</f>
        <v/>
      </c>
      <c r="S201" s="46">
        <f>'HIST - cubic meters per day'!S201*6.2898</f>
        <v/>
      </c>
      <c r="U201" s="45">
        <f>'HIST - cubic meters per day'!U201*6.2898</f>
        <v/>
      </c>
      <c r="V201" s="45">
        <f>'HIST - cubic meters per day'!V201*6.2898</f>
        <v/>
      </c>
    </row>
    <row r="202" ht="12" customHeight="1">
      <c r="A202" s="44" t="n">
        <v>42614</v>
      </c>
      <c r="B202" s="37">
        <f>'HIST - cubic meters per day'!B202*6.2898</f>
        <v/>
      </c>
      <c r="C202" s="37">
        <f>'HIST - cubic meters per day'!C202*6.2898</f>
        <v/>
      </c>
      <c r="D202" s="37">
        <f>'HIST - cubic meters per day'!D202*6.2898</f>
        <v/>
      </c>
      <c r="E202" s="37">
        <f>'HIST - cubic meters per day'!E202*6.2898</f>
        <v/>
      </c>
      <c r="F202" s="37">
        <f>'HIST - cubic meters per day'!F202*6.2898</f>
        <v/>
      </c>
      <c r="G202" s="37">
        <f>'HIST - cubic meters per day'!G202*6.2898</f>
        <v/>
      </c>
      <c r="H202" s="37">
        <f>'HIST - cubic meters per day'!H202*6.2898</f>
        <v/>
      </c>
      <c r="I202" s="37">
        <f>'HIST - cubic meters per day'!I202*6.2898</f>
        <v/>
      </c>
      <c r="J202" s="37">
        <f>'HIST - cubic meters per day'!J202*6.2898</f>
        <v/>
      </c>
      <c r="K202" s="37">
        <f>'HIST - cubic meters per day'!K202*6.2898</f>
        <v/>
      </c>
      <c r="L202" s="37">
        <f>'HIST - cubic meters per day'!L202*6.2898</f>
        <v/>
      </c>
      <c r="M202" s="37">
        <f>'HIST - cubic meters per day'!M202*6.2898</f>
        <v/>
      </c>
      <c r="N202" s="37">
        <f>'HIST - cubic meters per day'!N202*6.2898</f>
        <v/>
      </c>
      <c r="O202" s="37">
        <f>'HIST - cubic meters per day'!O202*6.2898</f>
        <v/>
      </c>
      <c r="P202" s="37">
        <f>'HIST - cubic meters per day'!P202*6.2898</f>
        <v/>
      </c>
      <c r="Q202" s="37">
        <f>'HIST - cubic meters per day'!Q202*6.2898</f>
        <v/>
      </c>
      <c r="R202" s="37">
        <f>'HIST - cubic meters per day'!R202*6.2898</f>
        <v/>
      </c>
      <c r="S202" s="46">
        <f>'HIST - cubic meters per day'!S202*6.2898</f>
        <v/>
      </c>
      <c r="U202" s="45">
        <f>'HIST - cubic meters per day'!U202*6.2898</f>
        <v/>
      </c>
      <c r="V202" s="45">
        <f>'HIST - cubic meters per day'!V202*6.2898</f>
        <v/>
      </c>
    </row>
    <row r="203" ht="12" customHeight="1">
      <c r="A203" s="44" t="n">
        <v>42644</v>
      </c>
      <c r="B203" s="37">
        <f>'HIST - cubic meters per day'!B203*6.2898</f>
        <v/>
      </c>
      <c r="C203" s="37">
        <f>'HIST - cubic meters per day'!C203*6.2898</f>
        <v/>
      </c>
      <c r="D203" s="37">
        <f>'HIST - cubic meters per day'!D203*6.2898</f>
        <v/>
      </c>
      <c r="E203" s="37">
        <f>'HIST - cubic meters per day'!E203*6.2898</f>
        <v/>
      </c>
      <c r="F203" s="37">
        <f>'HIST - cubic meters per day'!F203*6.2898</f>
        <v/>
      </c>
      <c r="G203" s="37">
        <f>'HIST - cubic meters per day'!G203*6.2898</f>
        <v/>
      </c>
      <c r="H203" s="37">
        <f>'HIST - cubic meters per day'!H203*6.2898</f>
        <v/>
      </c>
      <c r="I203" s="37">
        <f>'HIST - cubic meters per day'!I203*6.2898</f>
        <v/>
      </c>
      <c r="J203" s="37">
        <f>'HIST - cubic meters per day'!J203*6.2898</f>
        <v/>
      </c>
      <c r="K203" s="37">
        <f>'HIST - cubic meters per day'!K203*6.2898</f>
        <v/>
      </c>
      <c r="L203" s="37">
        <f>'HIST - cubic meters per day'!L203*6.2898</f>
        <v/>
      </c>
      <c r="M203" s="37">
        <f>'HIST - cubic meters per day'!M203*6.2898</f>
        <v/>
      </c>
      <c r="N203" s="37">
        <f>'HIST - cubic meters per day'!N203*6.2898</f>
        <v/>
      </c>
      <c r="O203" s="37">
        <f>'HIST - cubic meters per day'!O203*6.2898</f>
        <v/>
      </c>
      <c r="P203" s="37">
        <f>'HIST - cubic meters per day'!P203*6.2898</f>
        <v/>
      </c>
      <c r="Q203" s="37">
        <f>'HIST - cubic meters per day'!Q203*6.2898</f>
        <v/>
      </c>
      <c r="R203" s="37">
        <f>'HIST - cubic meters per day'!R203*6.2898</f>
        <v/>
      </c>
      <c r="S203" s="46">
        <f>'HIST - cubic meters per day'!S203*6.2898</f>
        <v/>
      </c>
      <c r="U203" s="45">
        <f>'HIST - cubic meters per day'!U203*6.2898</f>
        <v/>
      </c>
      <c r="V203" s="45">
        <f>'HIST - cubic meters per day'!V203*6.2898</f>
        <v/>
      </c>
    </row>
    <row r="204" ht="12" customHeight="1">
      <c r="A204" s="44" t="n">
        <v>42675</v>
      </c>
      <c r="B204" s="37">
        <f>'HIST - cubic meters per day'!B204*6.2898</f>
        <v/>
      </c>
      <c r="C204" s="37">
        <f>'HIST - cubic meters per day'!C204*6.2898</f>
        <v/>
      </c>
      <c r="D204" s="37">
        <f>'HIST - cubic meters per day'!D204*6.2898</f>
        <v/>
      </c>
      <c r="E204" s="37">
        <f>'HIST - cubic meters per day'!E204*6.2898</f>
        <v/>
      </c>
      <c r="F204" s="37">
        <f>'HIST - cubic meters per day'!F204*6.2898</f>
        <v/>
      </c>
      <c r="G204" s="37">
        <f>'HIST - cubic meters per day'!G204*6.2898</f>
        <v/>
      </c>
      <c r="H204" s="37">
        <f>'HIST - cubic meters per day'!H204*6.2898</f>
        <v/>
      </c>
      <c r="I204" s="37">
        <f>'HIST - cubic meters per day'!I204*6.2898</f>
        <v/>
      </c>
      <c r="J204" s="37">
        <f>'HIST - cubic meters per day'!J204*6.2898</f>
        <v/>
      </c>
      <c r="K204" s="37">
        <f>'HIST - cubic meters per day'!K204*6.2898</f>
        <v/>
      </c>
      <c r="L204" s="37">
        <f>'HIST - cubic meters per day'!L204*6.2898</f>
        <v/>
      </c>
      <c r="M204" s="37">
        <f>'HIST - cubic meters per day'!M204*6.2898</f>
        <v/>
      </c>
      <c r="N204" s="37">
        <f>'HIST - cubic meters per day'!N204*6.2898</f>
        <v/>
      </c>
      <c r="O204" s="37">
        <f>'HIST - cubic meters per day'!O204*6.2898</f>
        <v/>
      </c>
      <c r="P204" s="37">
        <f>'HIST - cubic meters per day'!P204*6.2898</f>
        <v/>
      </c>
      <c r="Q204" s="37">
        <f>'HIST - cubic meters per day'!Q204*6.2898</f>
        <v/>
      </c>
      <c r="R204" s="37">
        <f>'HIST - cubic meters per day'!R204*6.2898</f>
        <v/>
      </c>
      <c r="S204" s="46">
        <f>'HIST - cubic meters per day'!S204*6.2898</f>
        <v/>
      </c>
      <c r="U204" s="45">
        <f>'HIST - cubic meters per day'!U204*6.2898</f>
        <v/>
      </c>
      <c r="V204" s="45">
        <f>'HIST - cubic meters per day'!V204*6.2898</f>
        <v/>
      </c>
    </row>
    <row r="205" ht="12" customHeight="1">
      <c r="A205" s="44" t="n">
        <v>42705</v>
      </c>
      <c r="B205" s="37">
        <f>'HIST - cubic meters per day'!B205*6.2898</f>
        <v/>
      </c>
      <c r="C205" s="37">
        <f>'HIST - cubic meters per day'!C205*6.2898</f>
        <v/>
      </c>
      <c r="D205" s="37">
        <f>'HIST - cubic meters per day'!D205*6.2898</f>
        <v/>
      </c>
      <c r="E205" s="37">
        <f>'HIST - cubic meters per day'!E205*6.2898</f>
        <v/>
      </c>
      <c r="F205" s="37">
        <f>'HIST - cubic meters per day'!F205*6.2898</f>
        <v/>
      </c>
      <c r="G205" s="37">
        <f>'HIST - cubic meters per day'!G205*6.2898</f>
        <v/>
      </c>
      <c r="H205" s="37">
        <f>'HIST - cubic meters per day'!H205*6.2898</f>
        <v/>
      </c>
      <c r="I205" s="37">
        <f>'HIST - cubic meters per day'!I205*6.2898</f>
        <v/>
      </c>
      <c r="J205" s="37">
        <f>'HIST - cubic meters per day'!J205*6.2898</f>
        <v/>
      </c>
      <c r="K205" s="37">
        <f>'HIST - cubic meters per day'!K205*6.2898</f>
        <v/>
      </c>
      <c r="L205" s="37">
        <f>'HIST - cubic meters per day'!L205*6.2898</f>
        <v/>
      </c>
      <c r="M205" s="37">
        <f>'HIST - cubic meters per day'!M205*6.2898</f>
        <v/>
      </c>
      <c r="N205" s="37">
        <f>'HIST - cubic meters per day'!N205*6.2898</f>
        <v/>
      </c>
      <c r="O205" s="37">
        <f>'HIST - cubic meters per day'!O205*6.2898</f>
        <v/>
      </c>
      <c r="P205" s="37">
        <f>'HIST - cubic meters per day'!P205*6.2898</f>
        <v/>
      </c>
      <c r="Q205" s="37">
        <f>'HIST - cubic meters per day'!Q205*6.2898</f>
        <v/>
      </c>
      <c r="R205" s="37">
        <f>'HIST - cubic meters per day'!R205*6.2898</f>
        <v/>
      </c>
      <c r="S205" s="46">
        <f>'HIST - cubic meters per day'!S205*6.2898</f>
        <v/>
      </c>
      <c r="U205" s="45">
        <f>'HIST - cubic meters per day'!U205*6.2898</f>
        <v/>
      </c>
      <c r="V205" s="45">
        <f>'HIST - cubic meters per day'!V205*6.2898</f>
        <v/>
      </c>
    </row>
    <row r="206" ht="12" customHeight="1">
      <c r="A206" s="44" t="n">
        <v>42736</v>
      </c>
      <c r="B206" s="37">
        <f>'HIST - cubic meters per day'!B206*6.2898</f>
        <v/>
      </c>
      <c r="C206" s="37">
        <f>'HIST - cubic meters per day'!C206*6.2898</f>
        <v/>
      </c>
      <c r="D206" s="37">
        <f>'HIST - cubic meters per day'!D206*6.2898</f>
        <v/>
      </c>
      <c r="E206" s="37">
        <f>'HIST - cubic meters per day'!E206*6.2898</f>
        <v/>
      </c>
      <c r="F206" s="37">
        <f>'HIST - cubic meters per day'!F206*6.2898</f>
        <v/>
      </c>
      <c r="G206" s="37">
        <f>'HIST - cubic meters per day'!G206*6.2898</f>
        <v/>
      </c>
      <c r="H206" s="37">
        <f>'HIST - cubic meters per day'!H206*6.2898</f>
        <v/>
      </c>
      <c r="I206" s="37">
        <f>'HIST - cubic meters per day'!I206*6.2898</f>
        <v/>
      </c>
      <c r="J206" s="37">
        <f>'HIST - cubic meters per day'!J206*6.2898</f>
        <v/>
      </c>
      <c r="K206" s="37">
        <f>'HIST - cubic meters per day'!K206*6.2898</f>
        <v/>
      </c>
      <c r="L206" s="37">
        <f>'HIST - cubic meters per day'!L206*6.2898</f>
        <v/>
      </c>
      <c r="M206" s="37">
        <f>'HIST - cubic meters per day'!M206*6.2898</f>
        <v/>
      </c>
      <c r="N206" s="37">
        <f>'HIST - cubic meters per day'!N206*6.2898</f>
        <v/>
      </c>
      <c r="O206" s="37">
        <f>'HIST - cubic meters per day'!O206*6.2898</f>
        <v/>
      </c>
      <c r="P206" s="37">
        <f>'HIST - cubic meters per day'!P206*6.2898</f>
        <v/>
      </c>
      <c r="Q206" s="37">
        <f>'HIST - cubic meters per day'!Q206*6.2898</f>
        <v/>
      </c>
      <c r="R206" s="37">
        <f>'HIST - cubic meters per day'!R206*6.2898</f>
        <v/>
      </c>
      <c r="S206" s="46">
        <f>'HIST - cubic meters per day'!S206*6.2898</f>
        <v/>
      </c>
      <c r="U206" s="45">
        <f>'HIST - cubic meters per day'!U206*6.2898</f>
        <v/>
      </c>
      <c r="V206" s="45">
        <f>'HIST - cubic meters per day'!V206*6.2898</f>
        <v/>
      </c>
    </row>
    <row r="207" ht="12" customHeight="1">
      <c r="A207" s="44" t="n">
        <v>42767</v>
      </c>
      <c r="B207" s="37">
        <f>'HIST - cubic meters per day'!B207*6.2898</f>
        <v/>
      </c>
      <c r="C207" s="37">
        <f>'HIST - cubic meters per day'!C207*6.2898</f>
        <v/>
      </c>
      <c r="D207" s="37">
        <f>'HIST - cubic meters per day'!D207*6.2898</f>
        <v/>
      </c>
      <c r="E207" s="37">
        <f>'HIST - cubic meters per day'!E207*6.2898</f>
        <v/>
      </c>
      <c r="F207" s="37">
        <f>'HIST - cubic meters per day'!F207*6.2898</f>
        <v/>
      </c>
      <c r="G207" s="37">
        <f>'HIST - cubic meters per day'!G207*6.2898</f>
        <v/>
      </c>
      <c r="H207" s="37">
        <f>'HIST - cubic meters per day'!H207*6.2898</f>
        <v/>
      </c>
      <c r="I207" s="37">
        <f>'HIST - cubic meters per day'!I207*6.2898</f>
        <v/>
      </c>
      <c r="J207" s="37">
        <f>'HIST - cubic meters per day'!J207*6.2898</f>
        <v/>
      </c>
      <c r="K207" s="37">
        <f>'HIST - cubic meters per day'!K207*6.2898</f>
        <v/>
      </c>
      <c r="L207" s="37">
        <f>'HIST - cubic meters per day'!L207*6.2898</f>
        <v/>
      </c>
      <c r="M207" s="37">
        <f>'HIST - cubic meters per day'!M207*6.2898</f>
        <v/>
      </c>
      <c r="N207" s="37">
        <f>'HIST - cubic meters per day'!N207*6.2898</f>
        <v/>
      </c>
      <c r="O207" s="37">
        <f>'HIST - cubic meters per day'!O207*6.2898</f>
        <v/>
      </c>
      <c r="P207" s="37">
        <f>'HIST - cubic meters per day'!P207*6.2898</f>
        <v/>
      </c>
      <c r="Q207" s="37">
        <f>'HIST - cubic meters per day'!Q207*6.2898</f>
        <v/>
      </c>
      <c r="R207" s="37">
        <f>'HIST - cubic meters per day'!R207*6.2898</f>
        <v/>
      </c>
      <c r="S207" s="46">
        <f>'HIST - cubic meters per day'!S207*6.2898</f>
        <v/>
      </c>
      <c r="U207" s="45">
        <f>'HIST - cubic meters per day'!U207*6.2898</f>
        <v/>
      </c>
      <c r="V207" s="45">
        <f>'HIST - cubic meters per day'!V207*6.2898</f>
        <v/>
      </c>
    </row>
    <row r="208" ht="12" customHeight="1">
      <c r="A208" s="44" t="n">
        <v>42795</v>
      </c>
      <c r="B208" s="37">
        <f>'HIST - cubic meters per day'!B208*6.2898</f>
        <v/>
      </c>
      <c r="C208" s="37">
        <f>'HIST - cubic meters per day'!C208*6.2898</f>
        <v/>
      </c>
      <c r="D208" s="37">
        <f>'HIST - cubic meters per day'!D208*6.2898</f>
        <v/>
      </c>
      <c r="E208" s="37">
        <f>'HIST - cubic meters per day'!E208*6.2898</f>
        <v/>
      </c>
      <c r="F208" s="37">
        <f>'HIST - cubic meters per day'!F208*6.2898</f>
        <v/>
      </c>
      <c r="G208" s="37">
        <f>'HIST - cubic meters per day'!G208*6.2898</f>
        <v/>
      </c>
      <c r="H208" s="37">
        <f>'HIST - cubic meters per day'!H208*6.2898</f>
        <v/>
      </c>
      <c r="I208" s="37">
        <f>'HIST - cubic meters per day'!I208*6.2898</f>
        <v/>
      </c>
      <c r="J208" s="37">
        <f>'HIST - cubic meters per day'!J208*6.2898</f>
        <v/>
      </c>
      <c r="K208" s="37">
        <f>'HIST - cubic meters per day'!K208*6.2898</f>
        <v/>
      </c>
      <c r="L208" s="37">
        <f>'HIST - cubic meters per day'!L208*6.2898</f>
        <v/>
      </c>
      <c r="M208" s="37">
        <f>'HIST - cubic meters per day'!M208*6.2898</f>
        <v/>
      </c>
      <c r="N208" s="37">
        <f>'HIST - cubic meters per day'!N208*6.2898</f>
        <v/>
      </c>
      <c r="O208" s="37">
        <f>'HIST - cubic meters per day'!O208*6.2898</f>
        <v/>
      </c>
      <c r="P208" s="37">
        <f>'HIST - cubic meters per day'!P208*6.2898</f>
        <v/>
      </c>
      <c r="Q208" s="37">
        <f>'HIST - cubic meters per day'!Q208*6.2898</f>
        <v/>
      </c>
      <c r="R208" s="37">
        <f>'HIST - cubic meters per day'!R208*6.2898</f>
        <v/>
      </c>
      <c r="S208" s="46">
        <f>'HIST - cubic meters per day'!S208*6.2898</f>
        <v/>
      </c>
      <c r="U208" s="45">
        <f>'HIST - cubic meters per day'!U208*6.2898</f>
        <v/>
      </c>
      <c r="V208" s="45">
        <f>'HIST - cubic meters per day'!V208*6.2898</f>
        <v/>
      </c>
    </row>
    <row r="209" ht="12" customHeight="1">
      <c r="A209" s="44" t="n">
        <v>42826</v>
      </c>
      <c r="B209" s="37">
        <f>'HIST - cubic meters per day'!B209*6.2898</f>
        <v/>
      </c>
      <c r="C209" s="37">
        <f>'HIST - cubic meters per day'!C209*6.2898</f>
        <v/>
      </c>
      <c r="D209" s="37">
        <f>'HIST - cubic meters per day'!D209*6.2898</f>
        <v/>
      </c>
      <c r="E209" s="37">
        <f>'HIST - cubic meters per day'!E209*6.2898</f>
        <v/>
      </c>
      <c r="F209" s="37">
        <f>'HIST - cubic meters per day'!F209*6.2898</f>
        <v/>
      </c>
      <c r="G209" s="37">
        <f>'HIST - cubic meters per day'!G209*6.2898</f>
        <v/>
      </c>
      <c r="H209" s="37">
        <f>'HIST - cubic meters per day'!H209*6.2898</f>
        <v/>
      </c>
      <c r="I209" s="37">
        <f>'HIST - cubic meters per day'!I209*6.2898</f>
        <v/>
      </c>
      <c r="J209" s="37">
        <f>'HIST - cubic meters per day'!J209*6.2898</f>
        <v/>
      </c>
      <c r="K209" s="37">
        <f>'HIST - cubic meters per day'!K209*6.2898</f>
        <v/>
      </c>
      <c r="L209" s="37">
        <f>'HIST - cubic meters per day'!L209*6.2898</f>
        <v/>
      </c>
      <c r="M209" s="37">
        <f>'HIST - cubic meters per day'!M209*6.2898</f>
        <v/>
      </c>
      <c r="N209" s="37">
        <f>'HIST - cubic meters per day'!N209*6.2898</f>
        <v/>
      </c>
      <c r="O209" s="37">
        <f>'HIST - cubic meters per day'!O209*6.2898</f>
        <v/>
      </c>
      <c r="P209" s="37">
        <f>'HIST - cubic meters per day'!P209*6.2898</f>
        <v/>
      </c>
      <c r="Q209" s="37">
        <f>'HIST - cubic meters per day'!Q209*6.2898</f>
        <v/>
      </c>
      <c r="R209" s="37">
        <f>'HIST - cubic meters per day'!R209*6.2898</f>
        <v/>
      </c>
      <c r="S209" s="46">
        <f>'HIST - cubic meters per day'!S209*6.2898</f>
        <v/>
      </c>
      <c r="U209" s="45">
        <f>'HIST - cubic meters per day'!U209*6.2898</f>
        <v/>
      </c>
      <c r="V209" s="45">
        <f>'HIST - cubic meters per day'!V209*6.2898</f>
        <v/>
      </c>
    </row>
    <row r="210" ht="12" customHeight="1">
      <c r="A210" s="44" t="n">
        <v>42856</v>
      </c>
      <c r="B210" s="37">
        <f>'HIST - cubic meters per day'!B210*6.2898</f>
        <v/>
      </c>
      <c r="C210" s="37">
        <f>'HIST - cubic meters per day'!C210*6.2898</f>
        <v/>
      </c>
      <c r="D210" s="37">
        <f>'HIST - cubic meters per day'!D210*6.2898</f>
        <v/>
      </c>
      <c r="E210" s="37">
        <f>'HIST - cubic meters per day'!E210*6.2898</f>
        <v/>
      </c>
      <c r="F210" s="37">
        <f>'HIST - cubic meters per day'!F210*6.2898</f>
        <v/>
      </c>
      <c r="G210" s="37">
        <f>'HIST - cubic meters per day'!G210*6.2898</f>
        <v/>
      </c>
      <c r="H210" s="37">
        <f>'HIST - cubic meters per day'!H210*6.2898</f>
        <v/>
      </c>
      <c r="I210" s="37">
        <f>'HIST - cubic meters per day'!I210*6.2898</f>
        <v/>
      </c>
      <c r="J210" s="37">
        <f>'HIST - cubic meters per day'!J210*6.2898</f>
        <v/>
      </c>
      <c r="K210" s="37">
        <f>'HIST - cubic meters per day'!K210*6.2898</f>
        <v/>
      </c>
      <c r="L210" s="37">
        <f>'HIST - cubic meters per day'!L210*6.2898</f>
        <v/>
      </c>
      <c r="M210" s="37">
        <f>'HIST - cubic meters per day'!M210*6.2898</f>
        <v/>
      </c>
      <c r="N210" s="37">
        <f>'HIST - cubic meters per day'!N210*6.2898</f>
        <v/>
      </c>
      <c r="O210" s="37">
        <f>'HIST - cubic meters per day'!O210*6.2898</f>
        <v/>
      </c>
      <c r="P210" s="37">
        <f>'HIST - cubic meters per day'!P210*6.2898</f>
        <v/>
      </c>
      <c r="Q210" s="37">
        <f>'HIST - cubic meters per day'!Q210*6.2898</f>
        <v/>
      </c>
      <c r="R210" s="37">
        <f>'HIST - cubic meters per day'!R210*6.2898</f>
        <v/>
      </c>
      <c r="S210" s="46">
        <f>'HIST - cubic meters per day'!S210*6.2898</f>
        <v/>
      </c>
      <c r="U210" s="45">
        <f>'HIST - cubic meters per day'!U210*6.2898</f>
        <v/>
      </c>
      <c r="V210" s="45">
        <f>'HIST - cubic meters per day'!V210*6.2898</f>
        <v/>
      </c>
    </row>
    <row r="211" ht="12" customHeight="1">
      <c r="A211" s="44" t="n">
        <v>42887</v>
      </c>
      <c r="B211" s="37">
        <f>'HIST - cubic meters per day'!B211*6.2898</f>
        <v/>
      </c>
      <c r="C211" s="37">
        <f>'HIST - cubic meters per day'!C211*6.2898</f>
        <v/>
      </c>
      <c r="D211" s="37">
        <f>'HIST - cubic meters per day'!D211*6.2898</f>
        <v/>
      </c>
      <c r="E211" s="37">
        <f>'HIST - cubic meters per day'!E211*6.2898</f>
        <v/>
      </c>
      <c r="F211" s="37">
        <f>'HIST - cubic meters per day'!F211*6.2898</f>
        <v/>
      </c>
      <c r="G211" s="37">
        <f>'HIST - cubic meters per day'!G211*6.2898</f>
        <v/>
      </c>
      <c r="H211" s="37">
        <f>'HIST - cubic meters per day'!H211*6.2898</f>
        <v/>
      </c>
      <c r="I211" s="37">
        <f>'HIST - cubic meters per day'!I211*6.2898</f>
        <v/>
      </c>
      <c r="J211" s="37">
        <f>'HIST - cubic meters per day'!J211*6.2898</f>
        <v/>
      </c>
      <c r="K211" s="37">
        <f>'HIST - cubic meters per day'!K211*6.2898</f>
        <v/>
      </c>
      <c r="L211" s="37">
        <f>'HIST - cubic meters per day'!L211*6.2898</f>
        <v/>
      </c>
      <c r="M211" s="37">
        <f>'HIST - cubic meters per day'!M211*6.2898</f>
        <v/>
      </c>
      <c r="N211" s="37">
        <f>'HIST - cubic meters per day'!N211*6.2898</f>
        <v/>
      </c>
      <c r="O211" s="37">
        <f>'HIST - cubic meters per day'!O211*6.2898</f>
        <v/>
      </c>
      <c r="P211" s="37">
        <f>'HIST - cubic meters per day'!P211*6.2898</f>
        <v/>
      </c>
      <c r="Q211" s="37">
        <f>'HIST - cubic meters per day'!Q211*6.2898</f>
        <v/>
      </c>
      <c r="R211" s="37">
        <f>'HIST - cubic meters per day'!R211*6.2898</f>
        <v/>
      </c>
      <c r="S211" s="46">
        <f>'HIST - cubic meters per day'!S211*6.2898</f>
        <v/>
      </c>
      <c r="U211" s="45">
        <f>'HIST - cubic meters per day'!U211*6.2898</f>
        <v/>
      </c>
      <c r="V211" s="45">
        <f>'HIST - cubic meters per day'!V211*6.2898</f>
        <v/>
      </c>
    </row>
    <row r="212" ht="12" customHeight="1">
      <c r="A212" s="44" t="n">
        <v>42917</v>
      </c>
      <c r="B212" s="37">
        <f>'HIST - cubic meters per day'!B212*6.2898</f>
        <v/>
      </c>
      <c r="C212" s="37">
        <f>'HIST - cubic meters per day'!C212*6.2898</f>
        <v/>
      </c>
      <c r="D212" s="37">
        <f>'HIST - cubic meters per day'!D212*6.2898</f>
        <v/>
      </c>
      <c r="E212" s="37">
        <f>'HIST - cubic meters per day'!E212*6.2898</f>
        <v/>
      </c>
      <c r="F212" s="37">
        <f>'HIST - cubic meters per day'!F212*6.2898</f>
        <v/>
      </c>
      <c r="G212" s="37">
        <f>'HIST - cubic meters per day'!G212*6.2898</f>
        <v/>
      </c>
      <c r="H212" s="37">
        <f>'HIST - cubic meters per day'!H212*6.2898</f>
        <v/>
      </c>
      <c r="I212" s="37">
        <f>'HIST - cubic meters per day'!I212*6.2898</f>
        <v/>
      </c>
      <c r="J212" s="37">
        <f>'HIST - cubic meters per day'!J212*6.2898</f>
        <v/>
      </c>
      <c r="K212" s="37">
        <f>'HIST - cubic meters per day'!K212*6.2898</f>
        <v/>
      </c>
      <c r="L212" s="37">
        <f>'HIST - cubic meters per day'!L212*6.2898</f>
        <v/>
      </c>
      <c r="M212" s="37">
        <f>'HIST - cubic meters per day'!M212*6.2898</f>
        <v/>
      </c>
      <c r="N212" s="37">
        <f>'HIST - cubic meters per day'!N212*6.2898</f>
        <v/>
      </c>
      <c r="O212" s="37">
        <f>'HIST - cubic meters per day'!O212*6.2898</f>
        <v/>
      </c>
      <c r="P212" s="37">
        <f>'HIST - cubic meters per day'!P212*6.2898</f>
        <v/>
      </c>
      <c r="Q212" s="37">
        <f>'HIST - cubic meters per day'!Q212*6.2898</f>
        <v/>
      </c>
      <c r="R212" s="37">
        <f>'HIST - cubic meters per day'!R212*6.2898</f>
        <v/>
      </c>
      <c r="S212" s="46">
        <f>'HIST - cubic meters per day'!S212*6.2898</f>
        <v/>
      </c>
      <c r="U212" s="45">
        <f>'HIST - cubic meters per day'!U212*6.2898</f>
        <v/>
      </c>
      <c r="V212" s="45">
        <f>'HIST - cubic meters per day'!V212*6.2898</f>
        <v/>
      </c>
    </row>
    <row r="213" ht="12" customHeight="1">
      <c r="A213" s="44" t="n">
        <v>42948</v>
      </c>
      <c r="B213" s="37">
        <f>'HIST - cubic meters per day'!B213*6.2898</f>
        <v/>
      </c>
      <c r="C213" s="37">
        <f>'HIST - cubic meters per day'!C213*6.2898</f>
        <v/>
      </c>
      <c r="D213" s="37">
        <f>'HIST - cubic meters per day'!D213*6.2898</f>
        <v/>
      </c>
      <c r="E213" s="37">
        <f>'HIST - cubic meters per day'!E213*6.2898</f>
        <v/>
      </c>
      <c r="F213" s="37">
        <f>'HIST - cubic meters per day'!F213*6.2898</f>
        <v/>
      </c>
      <c r="G213" s="37">
        <f>'HIST - cubic meters per day'!G213*6.2898</f>
        <v/>
      </c>
      <c r="H213" s="37">
        <f>'HIST - cubic meters per day'!H213*6.2898</f>
        <v/>
      </c>
      <c r="I213" s="37">
        <f>'HIST - cubic meters per day'!I213*6.2898</f>
        <v/>
      </c>
      <c r="J213" s="37">
        <f>'HIST - cubic meters per day'!J213*6.2898</f>
        <v/>
      </c>
      <c r="K213" s="37">
        <f>'HIST - cubic meters per day'!K213*6.2898</f>
        <v/>
      </c>
      <c r="L213" s="37">
        <f>'HIST - cubic meters per day'!L213*6.2898</f>
        <v/>
      </c>
      <c r="M213" s="37">
        <f>'HIST - cubic meters per day'!M213*6.2898</f>
        <v/>
      </c>
      <c r="N213" s="37">
        <f>'HIST - cubic meters per day'!N213*6.2898</f>
        <v/>
      </c>
      <c r="O213" s="37">
        <f>'HIST - cubic meters per day'!O213*6.2898</f>
        <v/>
      </c>
      <c r="P213" s="37">
        <f>'HIST - cubic meters per day'!P213*6.2898</f>
        <v/>
      </c>
      <c r="Q213" s="37">
        <f>'HIST - cubic meters per day'!Q213*6.2898</f>
        <v/>
      </c>
      <c r="R213" s="37">
        <f>'HIST - cubic meters per day'!R213*6.2898</f>
        <v/>
      </c>
      <c r="S213" s="46">
        <f>'HIST - cubic meters per day'!S213*6.2898</f>
        <v/>
      </c>
      <c r="U213" s="45">
        <f>'HIST - cubic meters per day'!U213*6.2898</f>
        <v/>
      </c>
      <c r="V213" s="45">
        <f>'HIST - cubic meters per day'!V213*6.2898</f>
        <v/>
      </c>
    </row>
    <row r="214" ht="12" customHeight="1">
      <c r="A214" s="44" t="n">
        <v>42979</v>
      </c>
      <c r="B214" s="37">
        <f>'HIST - cubic meters per day'!B214*6.2898</f>
        <v/>
      </c>
      <c r="C214" s="37">
        <f>'HIST - cubic meters per day'!C214*6.2898</f>
        <v/>
      </c>
      <c r="D214" s="37">
        <f>'HIST - cubic meters per day'!D214*6.2898</f>
        <v/>
      </c>
      <c r="E214" s="37">
        <f>'HIST - cubic meters per day'!E214*6.2898</f>
        <v/>
      </c>
      <c r="F214" s="37">
        <f>'HIST - cubic meters per day'!F214*6.2898</f>
        <v/>
      </c>
      <c r="G214" s="37">
        <f>'HIST - cubic meters per day'!G214*6.2898</f>
        <v/>
      </c>
      <c r="H214" s="37">
        <f>'HIST - cubic meters per day'!H214*6.2898</f>
        <v/>
      </c>
      <c r="I214" s="37">
        <f>'HIST - cubic meters per day'!I214*6.2898</f>
        <v/>
      </c>
      <c r="J214" s="37">
        <f>'HIST - cubic meters per day'!J214*6.2898</f>
        <v/>
      </c>
      <c r="K214" s="37">
        <f>'HIST - cubic meters per day'!K214*6.2898</f>
        <v/>
      </c>
      <c r="L214" s="37">
        <f>'HIST - cubic meters per day'!L214*6.2898</f>
        <v/>
      </c>
      <c r="M214" s="37">
        <f>'HIST - cubic meters per day'!M214*6.2898</f>
        <v/>
      </c>
      <c r="N214" s="37">
        <f>'HIST - cubic meters per day'!N214*6.2898</f>
        <v/>
      </c>
      <c r="O214" s="37">
        <f>'HIST - cubic meters per day'!O214*6.2898</f>
        <v/>
      </c>
      <c r="P214" s="37">
        <f>'HIST - cubic meters per day'!P214*6.2898</f>
        <v/>
      </c>
      <c r="Q214" s="37">
        <f>'HIST - cubic meters per day'!Q214*6.2898</f>
        <v/>
      </c>
      <c r="R214" s="37">
        <f>'HIST - cubic meters per day'!R214*6.2898</f>
        <v/>
      </c>
      <c r="S214" s="46">
        <f>'HIST - cubic meters per day'!S214*6.2898</f>
        <v/>
      </c>
      <c r="U214" s="45">
        <f>'HIST - cubic meters per day'!U214*6.2898</f>
        <v/>
      </c>
      <c r="V214" s="45">
        <f>'HIST - cubic meters per day'!V214*6.2898</f>
        <v/>
      </c>
    </row>
    <row r="215" ht="12" customHeight="1">
      <c r="A215" s="44" t="n">
        <v>43009</v>
      </c>
      <c r="B215" s="37">
        <f>'HIST - cubic meters per day'!B215*6.2898</f>
        <v/>
      </c>
      <c r="C215" s="37">
        <f>'HIST - cubic meters per day'!C215*6.2898</f>
        <v/>
      </c>
      <c r="D215" s="37">
        <f>'HIST - cubic meters per day'!D215*6.2898</f>
        <v/>
      </c>
      <c r="E215" s="37">
        <f>'HIST - cubic meters per day'!E215*6.2898</f>
        <v/>
      </c>
      <c r="F215" s="37">
        <f>'HIST - cubic meters per day'!F215*6.2898</f>
        <v/>
      </c>
      <c r="G215" s="37">
        <f>'HIST - cubic meters per day'!G215*6.2898</f>
        <v/>
      </c>
      <c r="H215" s="37">
        <f>'HIST - cubic meters per day'!H215*6.2898</f>
        <v/>
      </c>
      <c r="I215" s="37">
        <f>'HIST - cubic meters per day'!I215*6.2898</f>
        <v/>
      </c>
      <c r="J215" s="37">
        <f>'HIST - cubic meters per day'!J215*6.2898</f>
        <v/>
      </c>
      <c r="K215" s="37">
        <f>'HIST - cubic meters per day'!K215*6.2898</f>
        <v/>
      </c>
      <c r="L215" s="37">
        <f>'HIST - cubic meters per day'!L215*6.2898</f>
        <v/>
      </c>
      <c r="M215" s="37">
        <f>'HIST - cubic meters per day'!M215*6.2898</f>
        <v/>
      </c>
      <c r="N215" s="37">
        <f>'HIST - cubic meters per day'!N215*6.2898</f>
        <v/>
      </c>
      <c r="O215" s="37">
        <f>'HIST - cubic meters per day'!O215*6.2898</f>
        <v/>
      </c>
      <c r="P215" s="37">
        <f>'HIST - cubic meters per day'!P215*6.2898</f>
        <v/>
      </c>
      <c r="Q215" s="37">
        <f>'HIST - cubic meters per day'!Q215*6.2898</f>
        <v/>
      </c>
      <c r="R215" s="37">
        <f>'HIST - cubic meters per day'!R215*6.2898</f>
        <v/>
      </c>
      <c r="S215" s="46">
        <f>'HIST - cubic meters per day'!S215*6.2898</f>
        <v/>
      </c>
      <c r="U215" s="45">
        <f>'HIST - cubic meters per day'!U215*6.2898</f>
        <v/>
      </c>
      <c r="V215" s="45">
        <f>'HIST - cubic meters per day'!V215*6.2898</f>
        <v/>
      </c>
    </row>
    <row r="216" ht="12" customHeight="1">
      <c r="A216" s="44" t="n">
        <v>43040</v>
      </c>
      <c r="B216" s="37">
        <f>'HIST - cubic meters per day'!B216*6.2898</f>
        <v/>
      </c>
      <c r="C216" s="37">
        <f>'HIST - cubic meters per day'!C216*6.2898</f>
        <v/>
      </c>
      <c r="D216" s="37">
        <f>'HIST - cubic meters per day'!D216*6.2898</f>
        <v/>
      </c>
      <c r="E216" s="37">
        <f>'HIST - cubic meters per day'!E216*6.2898</f>
        <v/>
      </c>
      <c r="F216" s="37">
        <f>'HIST - cubic meters per day'!F216*6.2898</f>
        <v/>
      </c>
      <c r="G216" s="37">
        <f>'HIST - cubic meters per day'!G216*6.2898</f>
        <v/>
      </c>
      <c r="H216" s="37">
        <f>'HIST - cubic meters per day'!H216*6.2898</f>
        <v/>
      </c>
      <c r="I216" s="37">
        <f>'HIST - cubic meters per day'!I216*6.2898</f>
        <v/>
      </c>
      <c r="J216" s="37">
        <f>'HIST - cubic meters per day'!J216*6.2898</f>
        <v/>
      </c>
      <c r="K216" s="37">
        <f>'HIST - cubic meters per day'!K216*6.2898</f>
        <v/>
      </c>
      <c r="L216" s="37">
        <f>'HIST - cubic meters per day'!L216*6.2898</f>
        <v/>
      </c>
      <c r="M216" s="37">
        <f>'HIST - cubic meters per day'!M216*6.2898</f>
        <v/>
      </c>
      <c r="N216" s="37">
        <f>'HIST - cubic meters per day'!N216*6.2898</f>
        <v/>
      </c>
      <c r="O216" s="37">
        <f>'HIST - cubic meters per day'!O216*6.2898</f>
        <v/>
      </c>
      <c r="P216" s="37">
        <f>'HIST - cubic meters per day'!P216*6.2898</f>
        <v/>
      </c>
      <c r="Q216" s="37">
        <f>'HIST - cubic meters per day'!Q216*6.2898</f>
        <v/>
      </c>
      <c r="R216" s="37">
        <f>'HIST - cubic meters per day'!R216*6.2898</f>
        <v/>
      </c>
      <c r="S216" s="46">
        <f>'HIST - cubic meters per day'!S216*6.2898</f>
        <v/>
      </c>
      <c r="U216" s="45">
        <f>'HIST - cubic meters per day'!U216*6.2898</f>
        <v/>
      </c>
      <c r="V216" s="45">
        <f>'HIST - cubic meters per day'!V216*6.2898</f>
        <v/>
      </c>
    </row>
    <row r="217" ht="12" customHeight="1">
      <c r="A217" s="44" t="n">
        <v>43070</v>
      </c>
      <c r="B217" s="37">
        <f>'HIST - cubic meters per day'!B217*6.2898</f>
        <v/>
      </c>
      <c r="C217" s="37">
        <f>'HIST - cubic meters per day'!C217*6.2898</f>
        <v/>
      </c>
      <c r="D217" s="37">
        <f>'HIST - cubic meters per day'!D217*6.2898</f>
        <v/>
      </c>
      <c r="E217" s="37">
        <f>'HIST - cubic meters per day'!E217*6.2898</f>
        <v/>
      </c>
      <c r="F217" s="37">
        <f>'HIST - cubic meters per day'!F217*6.2898</f>
        <v/>
      </c>
      <c r="G217" s="37">
        <f>'HIST - cubic meters per day'!G217*6.2898</f>
        <v/>
      </c>
      <c r="H217" s="37">
        <f>'HIST - cubic meters per day'!H217*6.2898</f>
        <v/>
      </c>
      <c r="I217" s="37">
        <f>'HIST - cubic meters per day'!I217*6.2898</f>
        <v/>
      </c>
      <c r="J217" s="37">
        <f>'HIST - cubic meters per day'!J217*6.2898</f>
        <v/>
      </c>
      <c r="K217" s="37">
        <f>'HIST - cubic meters per day'!K217*6.2898</f>
        <v/>
      </c>
      <c r="L217" s="37">
        <f>'HIST - cubic meters per day'!L217*6.2898</f>
        <v/>
      </c>
      <c r="M217" s="37">
        <f>'HIST - cubic meters per day'!M217*6.2898</f>
        <v/>
      </c>
      <c r="N217" s="37">
        <f>'HIST - cubic meters per day'!N217*6.2898</f>
        <v/>
      </c>
      <c r="O217" s="37">
        <f>'HIST - cubic meters per day'!O217*6.2898</f>
        <v/>
      </c>
      <c r="P217" s="37">
        <f>'HIST - cubic meters per day'!P217*6.2898</f>
        <v/>
      </c>
      <c r="Q217" s="37">
        <f>'HIST - cubic meters per day'!Q217*6.2898</f>
        <v/>
      </c>
      <c r="R217" s="37">
        <f>'HIST - cubic meters per day'!R217*6.2898</f>
        <v/>
      </c>
      <c r="S217" s="46">
        <f>'HIST - cubic meters per day'!S217*6.2898</f>
        <v/>
      </c>
      <c r="U217" s="45">
        <f>'HIST - cubic meters per day'!U217*6.2898</f>
        <v/>
      </c>
      <c r="V217" s="45">
        <f>'HIST - cubic meters per day'!V217*6.2898</f>
        <v/>
      </c>
    </row>
    <row r="218" ht="12" customHeight="1">
      <c r="A218" s="44" t="n">
        <v>43101</v>
      </c>
      <c r="B218" s="37">
        <f>'HIST - cubic meters per day'!B218*6.2898</f>
        <v/>
      </c>
      <c r="C218" s="37">
        <f>'HIST - cubic meters per day'!C218*6.2898</f>
        <v/>
      </c>
      <c r="D218" s="37">
        <f>'HIST - cubic meters per day'!D218*6.2898</f>
        <v/>
      </c>
      <c r="E218" s="37">
        <f>'HIST - cubic meters per day'!E218*6.2898</f>
        <v/>
      </c>
      <c r="F218" s="37">
        <f>'HIST - cubic meters per day'!F218*6.2898</f>
        <v/>
      </c>
      <c r="G218" s="37">
        <f>'HIST - cubic meters per day'!G218*6.2898</f>
        <v/>
      </c>
      <c r="H218" s="37">
        <f>'HIST - cubic meters per day'!H218*6.2898</f>
        <v/>
      </c>
      <c r="I218" s="37">
        <f>'HIST - cubic meters per day'!I218*6.2898</f>
        <v/>
      </c>
      <c r="J218" s="37">
        <f>'HIST - cubic meters per day'!J218*6.2898</f>
        <v/>
      </c>
      <c r="K218" s="37">
        <f>'HIST - cubic meters per day'!K218*6.2898</f>
        <v/>
      </c>
      <c r="L218" s="37">
        <f>'HIST - cubic meters per day'!L218*6.2898</f>
        <v/>
      </c>
      <c r="M218" s="37">
        <f>'HIST - cubic meters per day'!M218*6.2898</f>
        <v/>
      </c>
      <c r="N218" s="37">
        <f>'HIST - cubic meters per day'!N218*6.2898</f>
        <v/>
      </c>
      <c r="O218" s="37">
        <f>'HIST - cubic meters per day'!O218*6.2898</f>
        <v/>
      </c>
      <c r="P218" s="37">
        <f>'HIST - cubic meters per day'!P218*6.2898</f>
        <v/>
      </c>
      <c r="Q218" s="37">
        <f>'HIST - cubic meters per day'!Q218*6.2898</f>
        <v/>
      </c>
      <c r="R218" s="37">
        <f>'HIST - cubic meters per day'!R218*6.2898</f>
        <v/>
      </c>
      <c r="S218" s="46">
        <f>'HIST - cubic meters per day'!S218*6.2898</f>
        <v/>
      </c>
      <c r="U218" s="45">
        <f>'HIST - cubic meters per day'!U218*6.2898</f>
        <v/>
      </c>
      <c r="V218" s="45">
        <f>'HIST - cubic meters per day'!V218*6.2898</f>
        <v/>
      </c>
    </row>
    <row r="219" ht="12" customHeight="1">
      <c r="A219" s="44" t="n">
        <v>43132</v>
      </c>
      <c r="B219" s="37">
        <f>'HIST - cubic meters per day'!B219*6.2898</f>
        <v/>
      </c>
      <c r="C219" s="37">
        <f>'HIST - cubic meters per day'!C219*6.2898</f>
        <v/>
      </c>
      <c r="D219" s="37">
        <f>'HIST - cubic meters per day'!D219*6.2898</f>
        <v/>
      </c>
      <c r="E219" s="37">
        <f>'HIST - cubic meters per day'!E219*6.2898</f>
        <v/>
      </c>
      <c r="F219" s="37">
        <f>'HIST - cubic meters per day'!F219*6.2898</f>
        <v/>
      </c>
      <c r="G219" s="37">
        <f>'HIST - cubic meters per day'!G219*6.2898</f>
        <v/>
      </c>
      <c r="H219" s="37">
        <f>'HIST - cubic meters per day'!H219*6.2898</f>
        <v/>
      </c>
      <c r="I219" s="37">
        <f>'HIST - cubic meters per day'!I219*6.2898</f>
        <v/>
      </c>
      <c r="J219" s="37">
        <f>'HIST - cubic meters per day'!J219*6.2898</f>
        <v/>
      </c>
      <c r="K219" s="37">
        <f>'HIST - cubic meters per day'!K219*6.2898</f>
        <v/>
      </c>
      <c r="L219" s="37">
        <f>'HIST - cubic meters per day'!L219*6.2898</f>
        <v/>
      </c>
      <c r="M219" s="37">
        <f>'HIST - cubic meters per day'!M219*6.2898</f>
        <v/>
      </c>
      <c r="N219" s="37">
        <f>'HIST - cubic meters per day'!N219*6.2898</f>
        <v/>
      </c>
      <c r="O219" s="37">
        <f>'HIST - cubic meters per day'!O219*6.2898</f>
        <v/>
      </c>
      <c r="P219" s="37">
        <f>'HIST - cubic meters per day'!P219*6.2898</f>
        <v/>
      </c>
      <c r="Q219" s="37">
        <f>'HIST - cubic meters per day'!Q219*6.2898</f>
        <v/>
      </c>
      <c r="R219" s="37">
        <f>'HIST - cubic meters per day'!R219*6.2898</f>
        <v/>
      </c>
      <c r="S219" s="46">
        <f>'HIST - cubic meters per day'!S219*6.2898</f>
        <v/>
      </c>
      <c r="U219" s="45">
        <f>'HIST - cubic meters per day'!U219*6.2898</f>
        <v/>
      </c>
      <c r="V219" s="45">
        <f>'HIST - cubic meters per day'!V219*6.2898</f>
        <v/>
      </c>
    </row>
    <row r="220" ht="12" customHeight="1">
      <c r="A220" s="44" t="n">
        <v>43160</v>
      </c>
      <c r="B220" s="37">
        <f>'HIST - cubic meters per day'!B220*6.2898</f>
        <v/>
      </c>
      <c r="C220" s="37">
        <f>'HIST - cubic meters per day'!C220*6.2898</f>
        <v/>
      </c>
      <c r="D220" s="37">
        <f>'HIST - cubic meters per day'!D220*6.2898</f>
        <v/>
      </c>
      <c r="E220" s="37">
        <f>'HIST - cubic meters per day'!E220*6.2898</f>
        <v/>
      </c>
      <c r="F220" s="37">
        <f>'HIST - cubic meters per day'!F220*6.2898</f>
        <v/>
      </c>
      <c r="G220" s="37">
        <f>'HIST - cubic meters per day'!G220*6.2898</f>
        <v/>
      </c>
      <c r="H220" s="37">
        <f>'HIST - cubic meters per day'!H220*6.2898</f>
        <v/>
      </c>
      <c r="I220" s="37">
        <f>'HIST - cubic meters per day'!I220*6.2898</f>
        <v/>
      </c>
      <c r="J220" s="37">
        <f>'HIST - cubic meters per day'!J220*6.2898</f>
        <v/>
      </c>
      <c r="K220" s="37">
        <f>'HIST - cubic meters per day'!K220*6.2898</f>
        <v/>
      </c>
      <c r="L220" s="37">
        <f>'HIST - cubic meters per day'!L220*6.2898</f>
        <v/>
      </c>
      <c r="M220" s="37">
        <f>'HIST - cubic meters per day'!M220*6.2898</f>
        <v/>
      </c>
      <c r="N220" s="37">
        <f>'HIST - cubic meters per day'!N220*6.2898</f>
        <v/>
      </c>
      <c r="O220" s="37">
        <f>'HIST - cubic meters per day'!O220*6.2898</f>
        <v/>
      </c>
      <c r="P220" s="37">
        <f>'HIST - cubic meters per day'!P220*6.2898</f>
        <v/>
      </c>
      <c r="Q220" s="37">
        <f>'HIST - cubic meters per day'!Q220*6.2898</f>
        <v/>
      </c>
      <c r="R220" s="37">
        <f>'HIST - cubic meters per day'!R220*6.2898</f>
        <v/>
      </c>
      <c r="S220" s="46">
        <f>'HIST - cubic meters per day'!S220*6.2898</f>
        <v/>
      </c>
      <c r="U220" s="45">
        <f>'HIST - cubic meters per day'!U220*6.2898</f>
        <v/>
      </c>
      <c r="V220" s="45">
        <f>'HIST - cubic meters per day'!V220*6.2898</f>
        <v/>
      </c>
    </row>
    <row r="221" ht="12" customHeight="1">
      <c r="A221" s="44" t="n">
        <v>43191</v>
      </c>
      <c r="B221" s="37">
        <f>'HIST - cubic meters per day'!B221*6.2898</f>
        <v/>
      </c>
      <c r="C221" s="37">
        <f>'HIST - cubic meters per day'!C221*6.2898</f>
        <v/>
      </c>
      <c r="D221" s="37">
        <f>'HIST - cubic meters per day'!D221*6.2898</f>
        <v/>
      </c>
      <c r="E221" s="37">
        <f>'HIST - cubic meters per day'!E221*6.2898</f>
        <v/>
      </c>
      <c r="F221" s="37">
        <f>'HIST - cubic meters per day'!F221*6.2898</f>
        <v/>
      </c>
      <c r="G221" s="37">
        <f>'HIST - cubic meters per day'!G221*6.2898</f>
        <v/>
      </c>
      <c r="H221" s="37">
        <f>'HIST - cubic meters per day'!H221*6.2898</f>
        <v/>
      </c>
      <c r="I221" s="37">
        <f>'HIST - cubic meters per day'!I221*6.2898</f>
        <v/>
      </c>
      <c r="J221" s="37">
        <f>'HIST - cubic meters per day'!J221*6.2898</f>
        <v/>
      </c>
      <c r="K221" s="37">
        <f>'HIST - cubic meters per day'!K221*6.2898</f>
        <v/>
      </c>
      <c r="L221" s="37">
        <f>'HIST - cubic meters per day'!L221*6.2898</f>
        <v/>
      </c>
      <c r="M221" s="37">
        <f>'HIST - cubic meters per day'!M221*6.2898</f>
        <v/>
      </c>
      <c r="N221" s="37">
        <f>'HIST - cubic meters per day'!N221*6.2898</f>
        <v/>
      </c>
      <c r="O221" s="37">
        <f>'HIST - cubic meters per day'!O221*6.2898</f>
        <v/>
      </c>
      <c r="P221" s="37">
        <f>'HIST - cubic meters per day'!P221*6.2898</f>
        <v/>
      </c>
      <c r="Q221" s="37">
        <f>'HIST - cubic meters per day'!Q221*6.2898</f>
        <v/>
      </c>
      <c r="R221" s="37">
        <f>'HIST - cubic meters per day'!R221*6.2898</f>
        <v/>
      </c>
      <c r="S221" s="46">
        <f>'HIST - cubic meters per day'!S221*6.2898</f>
        <v/>
      </c>
      <c r="U221" s="45">
        <f>'HIST - cubic meters per day'!U221*6.2898</f>
        <v/>
      </c>
      <c r="V221" s="45">
        <f>'HIST - cubic meters per day'!V221*6.2898</f>
        <v/>
      </c>
    </row>
    <row r="222" ht="12" customHeight="1">
      <c r="A222" s="44" t="n">
        <v>43221</v>
      </c>
      <c r="B222" s="37">
        <f>'HIST - cubic meters per day'!B222*6.2898</f>
        <v/>
      </c>
      <c r="C222" s="37">
        <f>'HIST - cubic meters per day'!C222*6.2898</f>
        <v/>
      </c>
      <c r="D222" s="37">
        <f>'HIST - cubic meters per day'!D222*6.2898</f>
        <v/>
      </c>
      <c r="E222" s="37">
        <f>'HIST - cubic meters per day'!E222*6.2898</f>
        <v/>
      </c>
      <c r="F222" s="37">
        <f>'HIST - cubic meters per day'!F222*6.2898</f>
        <v/>
      </c>
      <c r="G222" s="37">
        <f>'HIST - cubic meters per day'!G222*6.2898</f>
        <v/>
      </c>
      <c r="H222" s="37">
        <f>'HIST - cubic meters per day'!H222*6.2898</f>
        <v/>
      </c>
      <c r="I222" s="37">
        <f>'HIST - cubic meters per day'!I222*6.2898</f>
        <v/>
      </c>
      <c r="J222" s="37">
        <f>'HIST - cubic meters per day'!J222*6.2898</f>
        <v/>
      </c>
      <c r="K222" s="37">
        <f>'HIST - cubic meters per day'!K222*6.2898</f>
        <v/>
      </c>
      <c r="L222" s="37">
        <f>'HIST - cubic meters per day'!L222*6.2898</f>
        <v/>
      </c>
      <c r="M222" s="37">
        <f>'HIST - cubic meters per day'!M222*6.2898</f>
        <v/>
      </c>
      <c r="N222" s="37">
        <f>'HIST - cubic meters per day'!N222*6.2898</f>
        <v/>
      </c>
      <c r="O222" s="37">
        <f>'HIST - cubic meters per day'!O222*6.2898</f>
        <v/>
      </c>
      <c r="P222" s="37">
        <f>'HIST - cubic meters per day'!P222*6.2898</f>
        <v/>
      </c>
      <c r="Q222" s="37">
        <f>'HIST - cubic meters per day'!Q222*6.2898</f>
        <v/>
      </c>
      <c r="R222" s="37">
        <f>'HIST - cubic meters per day'!R222*6.2898</f>
        <v/>
      </c>
      <c r="S222" s="46">
        <f>'HIST - cubic meters per day'!S222*6.2898</f>
        <v/>
      </c>
      <c r="U222" s="45">
        <f>'HIST - cubic meters per day'!U222*6.2898</f>
        <v/>
      </c>
      <c r="V222" s="45">
        <f>'HIST - cubic meters per day'!V222*6.2898</f>
        <v/>
      </c>
    </row>
    <row r="223" ht="12" customHeight="1">
      <c r="A223" s="44" t="n">
        <v>43252</v>
      </c>
      <c r="B223" s="37">
        <f>'HIST - cubic meters per day'!B223*6.2898</f>
        <v/>
      </c>
      <c r="C223" s="37">
        <f>'HIST - cubic meters per day'!C223*6.2898</f>
        <v/>
      </c>
      <c r="D223" s="37">
        <f>'HIST - cubic meters per day'!D223*6.2898</f>
        <v/>
      </c>
      <c r="E223" s="37">
        <f>'HIST - cubic meters per day'!E223*6.2898</f>
        <v/>
      </c>
      <c r="F223" s="37">
        <f>'HIST - cubic meters per day'!F223*6.2898</f>
        <v/>
      </c>
      <c r="G223" s="37">
        <f>'HIST - cubic meters per day'!G223*6.2898</f>
        <v/>
      </c>
      <c r="H223" s="37">
        <f>'HIST - cubic meters per day'!H223*6.2898</f>
        <v/>
      </c>
      <c r="I223" s="37">
        <f>'HIST - cubic meters per day'!I223*6.2898</f>
        <v/>
      </c>
      <c r="J223" s="37">
        <f>'HIST - cubic meters per day'!J223*6.2898</f>
        <v/>
      </c>
      <c r="K223" s="37">
        <f>'HIST - cubic meters per day'!K223*6.2898</f>
        <v/>
      </c>
      <c r="L223" s="37">
        <f>'HIST - cubic meters per day'!L223*6.2898</f>
        <v/>
      </c>
      <c r="M223" s="37">
        <f>'HIST - cubic meters per day'!M223*6.2898</f>
        <v/>
      </c>
      <c r="N223" s="37">
        <f>'HIST - cubic meters per day'!N223*6.2898</f>
        <v/>
      </c>
      <c r="O223" s="37">
        <f>'HIST - cubic meters per day'!O223*6.2898</f>
        <v/>
      </c>
      <c r="P223" s="37">
        <f>'HIST - cubic meters per day'!P223*6.2898</f>
        <v/>
      </c>
      <c r="Q223" s="37">
        <f>'HIST - cubic meters per day'!Q223*6.2898</f>
        <v/>
      </c>
      <c r="R223" s="37">
        <f>'HIST - cubic meters per day'!R223*6.2898</f>
        <v/>
      </c>
      <c r="S223" s="46">
        <f>'HIST - cubic meters per day'!S223*6.2898</f>
        <v/>
      </c>
      <c r="U223" s="45">
        <f>'HIST - cubic meters per day'!U223*6.2898</f>
        <v/>
      </c>
      <c r="V223" s="45">
        <f>'HIST - cubic meters per day'!V223*6.2898</f>
        <v/>
      </c>
    </row>
    <row r="224" ht="12" customHeight="1">
      <c r="A224" s="44" t="n">
        <v>43282</v>
      </c>
      <c r="B224" s="37">
        <f>'HIST - cubic meters per day'!B224*6.2898</f>
        <v/>
      </c>
      <c r="C224" s="37">
        <f>'HIST - cubic meters per day'!C224*6.2898</f>
        <v/>
      </c>
      <c r="D224" s="37">
        <f>'HIST - cubic meters per day'!D224*6.2898</f>
        <v/>
      </c>
      <c r="E224" s="37">
        <f>'HIST - cubic meters per day'!E224*6.2898</f>
        <v/>
      </c>
      <c r="F224" s="37">
        <f>'HIST - cubic meters per day'!F224*6.2898</f>
        <v/>
      </c>
      <c r="G224" s="37">
        <f>'HIST - cubic meters per day'!G224*6.2898</f>
        <v/>
      </c>
      <c r="H224" s="37">
        <f>'HIST - cubic meters per day'!H224*6.2898</f>
        <v/>
      </c>
      <c r="I224" s="37">
        <f>'HIST - cubic meters per day'!I224*6.2898</f>
        <v/>
      </c>
      <c r="J224" s="37">
        <f>'HIST - cubic meters per day'!J224*6.2898</f>
        <v/>
      </c>
      <c r="K224" s="37">
        <f>'HIST - cubic meters per day'!K224*6.2898</f>
        <v/>
      </c>
      <c r="L224" s="37">
        <f>'HIST - cubic meters per day'!L224*6.2898</f>
        <v/>
      </c>
      <c r="M224" s="37">
        <f>'HIST - cubic meters per day'!M224*6.2898</f>
        <v/>
      </c>
      <c r="N224" s="37">
        <f>'HIST - cubic meters per day'!N224*6.2898</f>
        <v/>
      </c>
      <c r="O224" s="37">
        <f>'HIST - cubic meters per day'!O224*6.2898</f>
        <v/>
      </c>
      <c r="P224" s="37">
        <f>'HIST - cubic meters per day'!P224*6.2898</f>
        <v/>
      </c>
      <c r="Q224" s="37">
        <f>'HIST - cubic meters per day'!Q224*6.2898</f>
        <v/>
      </c>
      <c r="R224" s="37">
        <f>'HIST - cubic meters per day'!R224*6.2898</f>
        <v/>
      </c>
      <c r="S224" s="46">
        <f>'HIST - cubic meters per day'!S224*6.2898</f>
        <v/>
      </c>
      <c r="U224" s="45">
        <f>'HIST - cubic meters per day'!U224*6.2898</f>
        <v/>
      </c>
      <c r="V224" s="45">
        <f>'HIST - cubic meters per day'!V224*6.2898</f>
        <v/>
      </c>
    </row>
    <row r="225" ht="12" customHeight="1">
      <c r="A225" s="44" t="n">
        <v>43313</v>
      </c>
      <c r="B225" s="37">
        <f>'HIST - cubic meters per day'!B225*6.2898</f>
        <v/>
      </c>
      <c r="C225" s="37">
        <f>'HIST - cubic meters per day'!C225*6.2898</f>
        <v/>
      </c>
      <c r="D225" s="37">
        <f>'HIST - cubic meters per day'!D225*6.2898</f>
        <v/>
      </c>
      <c r="E225" s="37">
        <f>'HIST - cubic meters per day'!E225*6.2898</f>
        <v/>
      </c>
      <c r="F225" s="37">
        <f>'HIST - cubic meters per day'!F225*6.2898</f>
        <v/>
      </c>
      <c r="G225" s="37">
        <f>'HIST - cubic meters per day'!G225*6.2898</f>
        <v/>
      </c>
      <c r="H225" s="37">
        <f>'HIST - cubic meters per day'!H225*6.2898</f>
        <v/>
      </c>
      <c r="I225" s="37">
        <f>'HIST - cubic meters per day'!I225*6.2898</f>
        <v/>
      </c>
      <c r="J225" s="37">
        <f>'HIST - cubic meters per day'!J225*6.2898</f>
        <v/>
      </c>
      <c r="K225" s="37">
        <f>'HIST - cubic meters per day'!K225*6.2898</f>
        <v/>
      </c>
      <c r="L225" s="37">
        <f>'HIST - cubic meters per day'!L225*6.2898</f>
        <v/>
      </c>
      <c r="M225" s="37">
        <f>'HIST - cubic meters per day'!M225*6.2898</f>
        <v/>
      </c>
      <c r="N225" s="37">
        <f>'HIST - cubic meters per day'!N225*6.2898</f>
        <v/>
      </c>
      <c r="O225" s="37">
        <f>'HIST - cubic meters per day'!O225*6.2898</f>
        <v/>
      </c>
      <c r="P225" s="37">
        <f>'HIST - cubic meters per day'!P225*6.2898</f>
        <v/>
      </c>
      <c r="Q225" s="37">
        <f>'HIST - cubic meters per day'!Q225*6.2898</f>
        <v/>
      </c>
      <c r="R225" s="37">
        <f>'HIST - cubic meters per day'!R225*6.2898</f>
        <v/>
      </c>
      <c r="S225" s="46">
        <f>'HIST - cubic meters per day'!S225*6.2898</f>
        <v/>
      </c>
      <c r="U225" s="45">
        <f>'HIST - cubic meters per day'!U225*6.2898</f>
        <v/>
      </c>
      <c r="V225" s="45">
        <f>'HIST - cubic meters per day'!V225*6.2898</f>
        <v/>
      </c>
    </row>
    <row r="226" ht="12" customHeight="1">
      <c r="A226" s="44" t="n">
        <v>43344</v>
      </c>
      <c r="B226" s="37">
        <f>'HIST - cubic meters per day'!B226*6.2898</f>
        <v/>
      </c>
      <c r="C226" s="37">
        <f>'HIST - cubic meters per day'!C226*6.2898</f>
        <v/>
      </c>
      <c r="D226" s="37">
        <f>'HIST - cubic meters per day'!D226*6.2898</f>
        <v/>
      </c>
      <c r="E226" s="37">
        <f>'HIST - cubic meters per day'!E226*6.2898</f>
        <v/>
      </c>
      <c r="F226" s="37">
        <f>'HIST - cubic meters per day'!F226*6.2898</f>
        <v/>
      </c>
      <c r="G226" s="37">
        <f>'HIST - cubic meters per day'!G226*6.2898</f>
        <v/>
      </c>
      <c r="H226" s="37">
        <f>'HIST - cubic meters per day'!H226*6.2898</f>
        <v/>
      </c>
      <c r="I226" s="37">
        <f>'HIST - cubic meters per day'!I226*6.2898</f>
        <v/>
      </c>
      <c r="J226" s="37">
        <f>'HIST - cubic meters per day'!J226*6.2898</f>
        <v/>
      </c>
      <c r="K226" s="37">
        <f>'HIST - cubic meters per day'!K226*6.2898</f>
        <v/>
      </c>
      <c r="L226" s="37">
        <f>'HIST - cubic meters per day'!L226*6.2898</f>
        <v/>
      </c>
      <c r="M226" s="37">
        <f>'HIST - cubic meters per day'!M226*6.2898</f>
        <v/>
      </c>
      <c r="N226" s="37">
        <f>'HIST - cubic meters per day'!N226*6.2898</f>
        <v/>
      </c>
      <c r="O226" s="37">
        <f>'HIST - cubic meters per day'!O226*6.2898</f>
        <v/>
      </c>
      <c r="P226" s="37">
        <f>'HIST - cubic meters per day'!P226*6.2898</f>
        <v/>
      </c>
      <c r="Q226" s="37">
        <f>'HIST - cubic meters per day'!Q226*6.2898</f>
        <v/>
      </c>
      <c r="R226" s="37">
        <f>'HIST - cubic meters per day'!R226*6.2898</f>
        <v/>
      </c>
      <c r="S226" s="46">
        <f>'HIST - cubic meters per day'!S226*6.2898</f>
        <v/>
      </c>
      <c r="U226" s="45">
        <f>'HIST - cubic meters per day'!U226*6.2898</f>
        <v/>
      </c>
      <c r="V226" s="45">
        <f>'HIST - cubic meters per day'!V226*6.2898</f>
        <v/>
      </c>
    </row>
    <row r="227" ht="12" customHeight="1">
      <c r="A227" s="44" t="n">
        <v>43374</v>
      </c>
      <c r="B227" s="37">
        <f>'HIST - cubic meters per day'!B227*6.2898</f>
        <v/>
      </c>
      <c r="C227" s="37">
        <f>'HIST - cubic meters per day'!C227*6.2898</f>
        <v/>
      </c>
      <c r="D227" s="37">
        <f>'HIST - cubic meters per day'!D227*6.2898</f>
        <v/>
      </c>
      <c r="E227" s="37">
        <f>'HIST - cubic meters per day'!E227*6.2898</f>
        <v/>
      </c>
      <c r="F227" s="37">
        <f>'HIST - cubic meters per day'!F227*6.2898</f>
        <v/>
      </c>
      <c r="G227" s="37">
        <f>'HIST - cubic meters per day'!G227*6.2898</f>
        <v/>
      </c>
      <c r="H227" s="37">
        <f>'HIST - cubic meters per day'!H227*6.2898</f>
        <v/>
      </c>
      <c r="I227" s="37">
        <f>'HIST - cubic meters per day'!I227*6.2898</f>
        <v/>
      </c>
      <c r="J227" s="37">
        <f>'HIST - cubic meters per day'!J227*6.2898</f>
        <v/>
      </c>
      <c r="K227" s="37">
        <f>'HIST - cubic meters per day'!K227*6.2898</f>
        <v/>
      </c>
      <c r="L227" s="37">
        <f>'HIST - cubic meters per day'!L227*6.2898</f>
        <v/>
      </c>
      <c r="M227" s="37">
        <f>'HIST - cubic meters per day'!M227*6.2898</f>
        <v/>
      </c>
      <c r="N227" s="37">
        <f>'HIST - cubic meters per day'!N227*6.2898</f>
        <v/>
      </c>
      <c r="O227" s="37">
        <f>'HIST - cubic meters per day'!O227*6.2898</f>
        <v/>
      </c>
      <c r="P227" s="37">
        <f>'HIST - cubic meters per day'!P227*6.2898</f>
        <v/>
      </c>
      <c r="Q227" s="37">
        <f>'HIST - cubic meters per day'!Q227*6.2898</f>
        <v/>
      </c>
      <c r="R227" s="37">
        <f>'HIST - cubic meters per day'!R227*6.2898</f>
        <v/>
      </c>
      <c r="S227" s="46">
        <f>'HIST - cubic meters per day'!S227*6.2898</f>
        <v/>
      </c>
      <c r="U227" s="45">
        <f>'HIST - cubic meters per day'!U227*6.2898</f>
        <v/>
      </c>
      <c r="V227" s="45">
        <f>'HIST - cubic meters per day'!V227*6.2898</f>
        <v/>
      </c>
    </row>
    <row r="228" ht="12" customHeight="1">
      <c r="A228" s="44" t="n">
        <v>43405</v>
      </c>
      <c r="B228" s="37">
        <f>'HIST - cubic meters per day'!B228*6.2898</f>
        <v/>
      </c>
      <c r="C228" s="37">
        <f>'HIST - cubic meters per day'!C228*6.2898</f>
        <v/>
      </c>
      <c r="D228" s="37">
        <f>'HIST - cubic meters per day'!D228*6.2898</f>
        <v/>
      </c>
      <c r="E228" s="37">
        <f>'HIST - cubic meters per day'!E228*6.2898</f>
        <v/>
      </c>
      <c r="F228" s="37">
        <f>'HIST - cubic meters per day'!F228*6.2898</f>
        <v/>
      </c>
      <c r="G228" s="37">
        <f>'HIST - cubic meters per day'!G228*6.2898</f>
        <v/>
      </c>
      <c r="H228" s="37">
        <f>'HIST - cubic meters per day'!H228*6.2898</f>
        <v/>
      </c>
      <c r="I228" s="37">
        <f>'HIST - cubic meters per day'!I228*6.2898</f>
        <v/>
      </c>
      <c r="J228" s="37">
        <f>'HIST - cubic meters per day'!J228*6.2898</f>
        <v/>
      </c>
      <c r="K228" s="37">
        <f>'HIST - cubic meters per day'!K228*6.2898</f>
        <v/>
      </c>
      <c r="L228" s="37">
        <f>'HIST - cubic meters per day'!L228*6.2898</f>
        <v/>
      </c>
      <c r="M228" s="37">
        <f>'HIST - cubic meters per day'!M228*6.2898</f>
        <v/>
      </c>
      <c r="N228" s="37">
        <f>'HIST - cubic meters per day'!N228*6.2898</f>
        <v/>
      </c>
      <c r="O228" s="37">
        <f>'HIST - cubic meters per day'!O228*6.2898</f>
        <v/>
      </c>
      <c r="P228" s="37">
        <f>'HIST - cubic meters per day'!P228*6.2898</f>
        <v/>
      </c>
      <c r="Q228" s="37">
        <f>'HIST - cubic meters per day'!Q228*6.2898</f>
        <v/>
      </c>
      <c r="R228" s="37">
        <f>'HIST - cubic meters per day'!R228*6.2898</f>
        <v/>
      </c>
      <c r="S228" s="46">
        <f>'HIST - cubic meters per day'!S228*6.2898</f>
        <v/>
      </c>
      <c r="U228" s="45">
        <f>'HIST - cubic meters per day'!U228*6.2898</f>
        <v/>
      </c>
      <c r="V228" s="45">
        <f>'HIST - cubic meters per day'!V228*6.2898</f>
        <v/>
      </c>
    </row>
    <row r="229" ht="12" customHeight="1">
      <c r="A229" s="44" t="n">
        <v>43435</v>
      </c>
      <c r="B229" s="37">
        <f>'HIST - cubic meters per day'!B229*6.2898</f>
        <v/>
      </c>
      <c r="C229" s="37">
        <f>'HIST - cubic meters per day'!C229*6.2898</f>
        <v/>
      </c>
      <c r="D229" s="37">
        <f>'HIST - cubic meters per day'!D229*6.2898</f>
        <v/>
      </c>
      <c r="E229" s="37">
        <f>'HIST - cubic meters per day'!E229*6.2898</f>
        <v/>
      </c>
      <c r="F229" s="37">
        <f>'HIST - cubic meters per day'!F229*6.2898</f>
        <v/>
      </c>
      <c r="G229" s="37">
        <f>'HIST - cubic meters per day'!G229*6.2898</f>
        <v/>
      </c>
      <c r="H229" s="37">
        <f>'HIST - cubic meters per day'!H229*6.2898</f>
        <v/>
      </c>
      <c r="I229" s="37">
        <f>'HIST - cubic meters per day'!I229*6.2898</f>
        <v/>
      </c>
      <c r="J229" s="37">
        <f>'HIST - cubic meters per day'!J229*6.2898</f>
        <v/>
      </c>
      <c r="K229" s="37">
        <f>'HIST - cubic meters per day'!K229*6.2898</f>
        <v/>
      </c>
      <c r="L229" s="37">
        <f>'HIST - cubic meters per day'!L229*6.2898</f>
        <v/>
      </c>
      <c r="M229" s="37">
        <f>'HIST - cubic meters per day'!M229*6.2898</f>
        <v/>
      </c>
      <c r="N229" s="37">
        <f>'HIST - cubic meters per day'!N229*6.2898</f>
        <v/>
      </c>
      <c r="O229" s="37">
        <f>'HIST - cubic meters per day'!O229*6.2898</f>
        <v/>
      </c>
      <c r="P229" s="37">
        <f>'HIST - cubic meters per day'!P229*6.2898</f>
        <v/>
      </c>
      <c r="Q229" s="37">
        <f>'HIST - cubic meters per day'!Q229*6.2898</f>
        <v/>
      </c>
      <c r="R229" s="37">
        <f>'HIST - cubic meters per day'!R229*6.2898</f>
        <v/>
      </c>
      <c r="S229" s="46">
        <f>'HIST - cubic meters per day'!S229*6.2898</f>
        <v/>
      </c>
      <c r="U229" s="45">
        <f>'HIST - cubic meters per day'!U229*6.2898</f>
        <v/>
      </c>
      <c r="V229" s="45">
        <f>'HIST - cubic meters per day'!V229*6.2898</f>
        <v/>
      </c>
    </row>
    <row r="230" ht="12" customHeight="1">
      <c r="A230" s="44" t="n">
        <v>43466</v>
      </c>
      <c r="B230" s="37">
        <f>'HIST - cubic meters per day'!B230*6.2898</f>
        <v/>
      </c>
      <c r="C230" s="37">
        <f>'HIST - cubic meters per day'!C230*6.2898</f>
        <v/>
      </c>
      <c r="D230" s="37">
        <f>'HIST - cubic meters per day'!D230*6.2898</f>
        <v/>
      </c>
      <c r="E230" s="37">
        <f>'HIST - cubic meters per day'!E230*6.2898</f>
        <v/>
      </c>
      <c r="F230" s="37">
        <f>'HIST - cubic meters per day'!F230*6.2898</f>
        <v/>
      </c>
      <c r="G230" s="37">
        <f>'HIST - cubic meters per day'!G230*6.2898</f>
        <v/>
      </c>
      <c r="H230" s="37">
        <f>'HIST - cubic meters per day'!H230*6.2898</f>
        <v/>
      </c>
      <c r="I230" s="37">
        <f>'HIST - cubic meters per day'!I230*6.2898</f>
        <v/>
      </c>
      <c r="J230" s="37">
        <f>'HIST - cubic meters per day'!J230*6.2898</f>
        <v/>
      </c>
      <c r="K230" s="37">
        <f>'HIST - cubic meters per day'!K230*6.2898</f>
        <v/>
      </c>
      <c r="L230" s="37">
        <f>'HIST - cubic meters per day'!L230*6.2898</f>
        <v/>
      </c>
      <c r="M230" s="37">
        <f>'HIST - cubic meters per day'!M230*6.2898</f>
        <v/>
      </c>
      <c r="N230" s="37">
        <f>'HIST - cubic meters per day'!N230*6.2898</f>
        <v/>
      </c>
      <c r="O230" s="37">
        <f>'HIST - cubic meters per day'!O230*6.2898</f>
        <v/>
      </c>
      <c r="P230" s="37">
        <f>'HIST - cubic meters per day'!P230*6.2898</f>
        <v/>
      </c>
      <c r="Q230" s="37">
        <f>'HIST - cubic meters per day'!Q230*6.2898</f>
        <v/>
      </c>
      <c r="R230" s="37">
        <f>'HIST - cubic meters per day'!R230*6.2898</f>
        <v/>
      </c>
      <c r="S230" s="46">
        <f>'HIST - cubic meters per day'!S230*6.2898</f>
        <v/>
      </c>
      <c r="U230" s="45">
        <f>'HIST - cubic meters per day'!U230*6.2898</f>
        <v/>
      </c>
      <c r="V230" s="45">
        <f>'HIST - cubic meters per day'!V230*6.2898</f>
        <v/>
      </c>
    </row>
    <row r="231" ht="12" customHeight="1">
      <c r="A231" s="44" t="n">
        <v>43497</v>
      </c>
      <c r="B231" s="37">
        <f>'HIST - cubic meters per day'!B231*6.2898</f>
        <v/>
      </c>
      <c r="C231" s="37">
        <f>'HIST - cubic meters per day'!C231*6.2898</f>
        <v/>
      </c>
      <c r="D231" s="37">
        <f>'HIST - cubic meters per day'!D231*6.2898</f>
        <v/>
      </c>
      <c r="E231" s="37">
        <f>'HIST - cubic meters per day'!E231*6.2898</f>
        <v/>
      </c>
      <c r="F231" s="37">
        <f>'HIST - cubic meters per day'!F231*6.2898</f>
        <v/>
      </c>
      <c r="G231" s="37">
        <f>'HIST - cubic meters per day'!G231*6.2898</f>
        <v/>
      </c>
      <c r="H231" s="37">
        <f>'HIST - cubic meters per day'!H231*6.2898</f>
        <v/>
      </c>
      <c r="I231" s="37">
        <f>'HIST - cubic meters per day'!I231*6.2898</f>
        <v/>
      </c>
      <c r="J231" s="37">
        <f>'HIST - cubic meters per day'!J231*6.2898</f>
        <v/>
      </c>
      <c r="K231" s="37">
        <f>'HIST - cubic meters per day'!K231*6.2898</f>
        <v/>
      </c>
      <c r="L231" s="37">
        <f>'HIST - cubic meters per day'!L231*6.2898</f>
        <v/>
      </c>
      <c r="M231" s="37">
        <f>'HIST - cubic meters per day'!M231*6.2898</f>
        <v/>
      </c>
      <c r="N231" s="37">
        <f>'HIST - cubic meters per day'!N231*6.2898</f>
        <v/>
      </c>
      <c r="O231" s="37">
        <f>'HIST - cubic meters per day'!O231*6.2898</f>
        <v/>
      </c>
      <c r="P231" s="37">
        <f>'HIST - cubic meters per day'!P231*6.2898</f>
        <v/>
      </c>
      <c r="Q231" s="37">
        <f>'HIST - cubic meters per day'!Q231*6.2898</f>
        <v/>
      </c>
      <c r="R231" s="37">
        <f>'HIST - cubic meters per day'!R231*6.2898</f>
        <v/>
      </c>
      <c r="S231" s="46">
        <f>'HIST - cubic meters per day'!S231*6.2898</f>
        <v/>
      </c>
      <c r="U231" s="45">
        <f>'HIST - cubic meters per day'!U231*6.2898</f>
        <v/>
      </c>
      <c r="V231" s="45">
        <f>'HIST - cubic meters per day'!V231*6.2898</f>
        <v/>
      </c>
    </row>
    <row r="232" ht="12" customHeight="1">
      <c r="A232" s="44" t="n">
        <v>43525</v>
      </c>
      <c r="B232" s="37">
        <f>'HIST - cubic meters per day'!B232*6.2898</f>
        <v/>
      </c>
      <c r="C232" s="37">
        <f>'HIST - cubic meters per day'!C232*6.2898</f>
        <v/>
      </c>
      <c r="D232" s="37">
        <f>'HIST - cubic meters per day'!D232*6.2898</f>
        <v/>
      </c>
      <c r="E232" s="37">
        <f>'HIST - cubic meters per day'!E232*6.2898</f>
        <v/>
      </c>
      <c r="F232" s="37">
        <f>'HIST - cubic meters per day'!F232*6.2898</f>
        <v/>
      </c>
      <c r="G232" s="37">
        <f>'HIST - cubic meters per day'!G232*6.2898</f>
        <v/>
      </c>
      <c r="H232" s="37">
        <f>'HIST - cubic meters per day'!H232*6.2898</f>
        <v/>
      </c>
      <c r="I232" s="37">
        <f>'HIST - cubic meters per day'!I232*6.2898</f>
        <v/>
      </c>
      <c r="J232" s="37">
        <f>'HIST - cubic meters per day'!J232*6.2898</f>
        <v/>
      </c>
      <c r="K232" s="37">
        <f>'HIST - cubic meters per day'!K232*6.2898</f>
        <v/>
      </c>
      <c r="L232" s="37">
        <f>'HIST - cubic meters per day'!L232*6.2898</f>
        <v/>
      </c>
      <c r="M232" s="37">
        <f>'HIST - cubic meters per day'!M232*6.2898</f>
        <v/>
      </c>
      <c r="N232" s="37">
        <f>'HIST - cubic meters per day'!N232*6.2898</f>
        <v/>
      </c>
      <c r="O232" s="37">
        <f>'HIST - cubic meters per day'!O232*6.2898</f>
        <v/>
      </c>
      <c r="P232" s="37">
        <f>'HIST - cubic meters per day'!P232*6.2898</f>
        <v/>
      </c>
      <c r="Q232" s="37">
        <f>'HIST - cubic meters per day'!Q232*6.2898</f>
        <v/>
      </c>
      <c r="R232" s="37">
        <f>'HIST - cubic meters per day'!R232*6.2898</f>
        <v/>
      </c>
      <c r="S232" s="46">
        <f>'HIST - cubic meters per day'!S232*6.2898</f>
        <v/>
      </c>
      <c r="U232" s="45">
        <f>'HIST - cubic meters per day'!U232*6.2898</f>
        <v/>
      </c>
      <c r="V232" s="45">
        <f>'HIST - cubic meters per day'!V232*6.2898</f>
        <v/>
      </c>
    </row>
    <row r="233" ht="12" customHeight="1">
      <c r="A233" s="44" t="n">
        <v>43556</v>
      </c>
      <c r="B233" s="37">
        <f>'HIST - cubic meters per day'!B233*6.2898</f>
        <v/>
      </c>
      <c r="C233" s="37">
        <f>'HIST - cubic meters per day'!C233*6.2898</f>
        <v/>
      </c>
      <c r="D233" s="37">
        <f>'HIST - cubic meters per day'!D233*6.2898</f>
        <v/>
      </c>
      <c r="E233" s="37">
        <f>'HIST - cubic meters per day'!E233*6.2898</f>
        <v/>
      </c>
      <c r="F233" s="37">
        <f>'HIST - cubic meters per day'!F233*6.2898</f>
        <v/>
      </c>
      <c r="G233" s="37">
        <f>'HIST - cubic meters per day'!G233*6.2898</f>
        <v/>
      </c>
      <c r="H233" s="37">
        <f>'HIST - cubic meters per day'!H233*6.2898</f>
        <v/>
      </c>
      <c r="I233" s="37">
        <f>'HIST - cubic meters per day'!I233*6.2898</f>
        <v/>
      </c>
      <c r="J233" s="37">
        <f>'HIST - cubic meters per day'!J233*6.2898</f>
        <v/>
      </c>
      <c r="K233" s="37">
        <f>'HIST - cubic meters per day'!K233*6.2898</f>
        <v/>
      </c>
      <c r="L233" s="37">
        <f>'HIST - cubic meters per day'!L233*6.2898</f>
        <v/>
      </c>
      <c r="M233" s="37">
        <f>'HIST - cubic meters per day'!M233*6.2898</f>
        <v/>
      </c>
      <c r="N233" s="37">
        <f>'HIST - cubic meters per day'!N233*6.2898</f>
        <v/>
      </c>
      <c r="O233" s="37">
        <f>'HIST - cubic meters per day'!O233*6.2898</f>
        <v/>
      </c>
      <c r="P233" s="37">
        <f>'HIST - cubic meters per day'!P233*6.2898</f>
        <v/>
      </c>
      <c r="Q233" s="37">
        <f>'HIST - cubic meters per day'!Q233*6.2898</f>
        <v/>
      </c>
      <c r="R233" s="37">
        <f>'HIST - cubic meters per day'!R233*6.2898</f>
        <v/>
      </c>
      <c r="S233" s="46">
        <f>'HIST - cubic meters per day'!S233*6.2898</f>
        <v/>
      </c>
      <c r="U233" s="45">
        <f>'HIST - cubic meters per day'!U233*6.2898</f>
        <v/>
      </c>
      <c r="V233" s="45">
        <f>'HIST - cubic meters per day'!V233*6.2898</f>
        <v/>
      </c>
    </row>
    <row r="234" ht="12" customHeight="1">
      <c r="A234" s="44" t="n">
        <v>43586</v>
      </c>
      <c r="B234" s="37">
        <f>'HIST - cubic meters per day'!B234*6.2898</f>
        <v/>
      </c>
      <c r="C234" s="37">
        <f>'HIST - cubic meters per day'!C234*6.2898</f>
        <v/>
      </c>
      <c r="D234" s="37">
        <f>'HIST - cubic meters per day'!D234*6.2898</f>
        <v/>
      </c>
      <c r="E234" s="37">
        <f>'HIST - cubic meters per day'!E234*6.2898</f>
        <v/>
      </c>
      <c r="F234" s="37">
        <f>'HIST - cubic meters per day'!F234*6.2898</f>
        <v/>
      </c>
      <c r="G234" s="37">
        <f>'HIST - cubic meters per day'!G234*6.2898</f>
        <v/>
      </c>
      <c r="H234" s="37">
        <f>'HIST - cubic meters per day'!H234*6.2898</f>
        <v/>
      </c>
      <c r="I234" s="37">
        <f>'HIST - cubic meters per day'!I234*6.2898</f>
        <v/>
      </c>
      <c r="J234" s="37">
        <f>'HIST - cubic meters per day'!J234*6.2898</f>
        <v/>
      </c>
      <c r="K234" s="37">
        <f>'HIST - cubic meters per day'!K234*6.2898</f>
        <v/>
      </c>
      <c r="L234" s="37">
        <f>'HIST - cubic meters per day'!L234*6.2898</f>
        <v/>
      </c>
      <c r="M234" s="37">
        <f>'HIST - cubic meters per day'!M234*6.2898</f>
        <v/>
      </c>
      <c r="N234" s="37">
        <f>'HIST - cubic meters per day'!N234*6.2898</f>
        <v/>
      </c>
      <c r="O234" s="37">
        <f>'HIST - cubic meters per day'!O234*6.2898</f>
        <v/>
      </c>
      <c r="P234" s="37">
        <f>'HIST - cubic meters per day'!P234*6.2898</f>
        <v/>
      </c>
      <c r="Q234" s="37">
        <f>'HIST - cubic meters per day'!Q234*6.2898</f>
        <v/>
      </c>
      <c r="R234" s="37">
        <f>'HIST - cubic meters per day'!R234*6.2898</f>
        <v/>
      </c>
      <c r="S234" s="46">
        <f>'HIST - cubic meters per day'!S234*6.2898</f>
        <v/>
      </c>
      <c r="U234" s="45">
        <f>'HIST - cubic meters per day'!U234*6.2898</f>
        <v/>
      </c>
      <c r="V234" s="45">
        <f>'HIST - cubic meters per day'!V234*6.2898</f>
        <v/>
      </c>
    </row>
    <row r="235" ht="12" customHeight="1">
      <c r="A235" s="44" t="n">
        <v>43617</v>
      </c>
      <c r="B235" s="37">
        <f>'HIST - cubic meters per day'!B235*6.2898</f>
        <v/>
      </c>
      <c r="C235" s="37">
        <f>'HIST - cubic meters per day'!C235*6.2898</f>
        <v/>
      </c>
      <c r="D235" s="37">
        <f>'HIST - cubic meters per day'!D235*6.2898</f>
        <v/>
      </c>
      <c r="E235" s="37">
        <f>'HIST - cubic meters per day'!E235*6.2898</f>
        <v/>
      </c>
      <c r="F235" s="37">
        <f>'HIST - cubic meters per day'!F235*6.2898</f>
        <v/>
      </c>
      <c r="G235" s="37">
        <f>'HIST - cubic meters per day'!G235*6.2898</f>
        <v/>
      </c>
      <c r="H235" s="37">
        <f>'HIST - cubic meters per day'!H235*6.2898</f>
        <v/>
      </c>
      <c r="I235" s="37">
        <f>'HIST - cubic meters per day'!I235*6.2898</f>
        <v/>
      </c>
      <c r="J235" s="37">
        <f>'HIST - cubic meters per day'!J235*6.2898</f>
        <v/>
      </c>
      <c r="K235" s="37">
        <f>'HIST - cubic meters per day'!K235*6.2898</f>
        <v/>
      </c>
      <c r="L235" s="37">
        <f>'HIST - cubic meters per day'!L235*6.2898</f>
        <v/>
      </c>
      <c r="M235" s="37">
        <f>'HIST - cubic meters per day'!M235*6.2898</f>
        <v/>
      </c>
      <c r="N235" s="37">
        <f>'HIST - cubic meters per day'!N235*6.2898</f>
        <v/>
      </c>
      <c r="O235" s="37">
        <f>'HIST - cubic meters per day'!O235*6.2898</f>
        <v/>
      </c>
      <c r="P235" s="37">
        <f>'HIST - cubic meters per day'!P235*6.2898</f>
        <v/>
      </c>
      <c r="Q235" s="37">
        <f>'HIST - cubic meters per day'!Q235*6.2898</f>
        <v/>
      </c>
      <c r="R235" s="37">
        <f>'HIST - cubic meters per day'!R235*6.2898</f>
        <v/>
      </c>
      <c r="S235" s="46">
        <f>'HIST - cubic meters per day'!S235*6.2898</f>
        <v/>
      </c>
      <c r="U235" s="45">
        <f>'HIST - cubic meters per day'!U235*6.2898</f>
        <v/>
      </c>
      <c r="V235" s="45">
        <f>'HIST - cubic meters per day'!V235*6.2898</f>
        <v/>
      </c>
    </row>
    <row r="236" ht="12" customHeight="1">
      <c r="A236" s="44" t="n">
        <v>43647</v>
      </c>
      <c r="B236" s="37">
        <f>'HIST - cubic meters per day'!B236*6.2898</f>
        <v/>
      </c>
      <c r="C236" s="37">
        <f>'HIST - cubic meters per day'!C236*6.2898</f>
        <v/>
      </c>
      <c r="D236" s="37">
        <f>'HIST - cubic meters per day'!D236*6.2898</f>
        <v/>
      </c>
      <c r="E236" s="37">
        <f>'HIST - cubic meters per day'!E236*6.2898</f>
        <v/>
      </c>
      <c r="F236" s="37">
        <f>'HIST - cubic meters per day'!F236*6.2898</f>
        <v/>
      </c>
      <c r="G236" s="37">
        <f>'HIST - cubic meters per day'!G236*6.2898</f>
        <v/>
      </c>
      <c r="H236" s="37">
        <f>'HIST - cubic meters per day'!H236*6.2898</f>
        <v/>
      </c>
      <c r="I236" s="37">
        <f>'HIST - cubic meters per day'!I236*6.2898</f>
        <v/>
      </c>
      <c r="J236" s="37">
        <f>'HIST - cubic meters per day'!J236*6.2898</f>
        <v/>
      </c>
      <c r="K236" s="37">
        <f>'HIST - cubic meters per day'!K236*6.2898</f>
        <v/>
      </c>
      <c r="L236" s="37">
        <f>'HIST - cubic meters per day'!L236*6.2898</f>
        <v/>
      </c>
      <c r="M236" s="37">
        <f>'HIST - cubic meters per day'!M236*6.2898</f>
        <v/>
      </c>
      <c r="N236" s="37">
        <f>'HIST - cubic meters per day'!N236*6.2898</f>
        <v/>
      </c>
      <c r="O236" s="37">
        <f>'HIST - cubic meters per day'!O236*6.2898</f>
        <v/>
      </c>
      <c r="P236" s="37">
        <f>'HIST - cubic meters per day'!P236*6.2898</f>
        <v/>
      </c>
      <c r="Q236" s="37">
        <f>'HIST - cubic meters per day'!Q236*6.2898</f>
        <v/>
      </c>
      <c r="R236" s="37">
        <f>'HIST - cubic meters per day'!R236*6.2898</f>
        <v/>
      </c>
      <c r="S236" s="46">
        <f>'HIST - cubic meters per day'!S236*6.2898</f>
        <v/>
      </c>
      <c r="U236" s="45">
        <f>'HIST - cubic meters per day'!U236*6.2898</f>
        <v/>
      </c>
      <c r="V236" s="45">
        <f>'HIST - cubic meters per day'!V236*6.2898</f>
        <v/>
      </c>
    </row>
    <row r="237" ht="12" customHeight="1">
      <c r="A237" s="44" t="n">
        <v>43678</v>
      </c>
      <c r="B237" s="37">
        <f>'HIST - cubic meters per day'!B237*6.2898</f>
        <v/>
      </c>
      <c r="C237" s="37">
        <f>'HIST - cubic meters per day'!C237*6.2898</f>
        <v/>
      </c>
      <c r="D237" s="37">
        <f>'HIST - cubic meters per day'!D237*6.2898</f>
        <v/>
      </c>
      <c r="E237" s="37">
        <f>'HIST - cubic meters per day'!E237*6.2898</f>
        <v/>
      </c>
      <c r="F237" s="37">
        <f>'HIST - cubic meters per day'!F237*6.2898</f>
        <v/>
      </c>
      <c r="G237" s="37">
        <f>'HIST - cubic meters per day'!G237*6.2898</f>
        <v/>
      </c>
      <c r="H237" s="37">
        <f>'HIST - cubic meters per day'!H237*6.2898</f>
        <v/>
      </c>
      <c r="I237" s="37">
        <f>'HIST - cubic meters per day'!I237*6.2898</f>
        <v/>
      </c>
      <c r="J237" s="37">
        <f>'HIST - cubic meters per day'!J237*6.2898</f>
        <v/>
      </c>
      <c r="K237" s="37">
        <f>'HIST - cubic meters per day'!K237*6.2898</f>
        <v/>
      </c>
      <c r="L237" s="37">
        <f>'HIST - cubic meters per day'!L237*6.2898</f>
        <v/>
      </c>
      <c r="M237" s="37">
        <f>'HIST - cubic meters per day'!M237*6.2898</f>
        <v/>
      </c>
      <c r="N237" s="37">
        <f>'HIST - cubic meters per day'!N237*6.2898</f>
        <v/>
      </c>
      <c r="O237" s="37">
        <f>'HIST - cubic meters per day'!O237*6.2898</f>
        <v/>
      </c>
      <c r="P237" s="37">
        <f>'HIST - cubic meters per day'!P237*6.2898</f>
        <v/>
      </c>
      <c r="Q237" s="37">
        <f>'HIST - cubic meters per day'!Q237*6.2898</f>
        <v/>
      </c>
      <c r="R237" s="37">
        <f>'HIST - cubic meters per day'!R237*6.2898</f>
        <v/>
      </c>
      <c r="S237" s="46">
        <f>'HIST - cubic meters per day'!S237*6.2898</f>
        <v/>
      </c>
      <c r="U237" s="45">
        <f>'HIST - cubic meters per day'!U237*6.2898</f>
        <v/>
      </c>
      <c r="V237" s="45">
        <f>'HIST - cubic meters per day'!V237*6.2898</f>
        <v/>
      </c>
    </row>
    <row r="238" ht="12" customHeight="1">
      <c r="A238" s="44" t="n">
        <v>43709</v>
      </c>
      <c r="B238" s="37">
        <f>'HIST - cubic meters per day'!B238*6.2898</f>
        <v/>
      </c>
      <c r="C238" s="37">
        <f>'HIST - cubic meters per day'!C238*6.2898</f>
        <v/>
      </c>
      <c r="D238" s="37">
        <f>'HIST - cubic meters per day'!D238*6.2898</f>
        <v/>
      </c>
      <c r="E238" s="37">
        <f>'HIST - cubic meters per day'!E238*6.2898</f>
        <v/>
      </c>
      <c r="F238" s="37">
        <f>'HIST - cubic meters per day'!F238*6.2898</f>
        <v/>
      </c>
      <c r="G238" s="37">
        <f>'HIST - cubic meters per day'!G238*6.2898</f>
        <v/>
      </c>
      <c r="H238" s="37">
        <f>'HIST - cubic meters per day'!H238*6.2898</f>
        <v/>
      </c>
      <c r="I238" s="37">
        <f>'HIST - cubic meters per day'!I238*6.2898</f>
        <v/>
      </c>
      <c r="J238" s="37">
        <f>'HIST - cubic meters per day'!J238*6.2898</f>
        <v/>
      </c>
      <c r="K238" s="37">
        <f>'HIST - cubic meters per day'!K238*6.2898</f>
        <v/>
      </c>
      <c r="L238" s="37">
        <f>'HIST - cubic meters per day'!L238*6.2898</f>
        <v/>
      </c>
      <c r="M238" s="37">
        <f>'HIST - cubic meters per day'!M238*6.2898</f>
        <v/>
      </c>
      <c r="N238" s="37">
        <f>'HIST - cubic meters per day'!N238*6.2898</f>
        <v/>
      </c>
      <c r="O238" s="37">
        <f>'HIST - cubic meters per day'!O238*6.2898</f>
        <v/>
      </c>
      <c r="P238" s="37">
        <f>'HIST - cubic meters per day'!P238*6.2898</f>
        <v/>
      </c>
      <c r="Q238" s="37">
        <f>'HIST - cubic meters per day'!Q238*6.2898</f>
        <v/>
      </c>
      <c r="R238" s="37">
        <f>'HIST - cubic meters per day'!R238*6.2898</f>
        <v/>
      </c>
      <c r="S238" s="46">
        <f>'HIST - cubic meters per day'!S238*6.2898</f>
        <v/>
      </c>
      <c r="U238" s="45">
        <f>'HIST - cubic meters per day'!U238*6.2898</f>
        <v/>
      </c>
      <c r="V238" s="45">
        <f>'HIST - cubic meters per day'!V238*6.2898</f>
        <v/>
      </c>
    </row>
    <row r="239" ht="12" customHeight="1">
      <c r="A239" s="44" t="n">
        <v>43739</v>
      </c>
      <c r="B239" s="37">
        <f>'HIST - cubic meters per day'!B239*6.2898</f>
        <v/>
      </c>
      <c r="C239" s="37">
        <f>'HIST - cubic meters per day'!C239*6.2898</f>
        <v/>
      </c>
      <c r="D239" s="37">
        <f>'HIST - cubic meters per day'!D239*6.2898</f>
        <v/>
      </c>
      <c r="E239" s="37">
        <f>'HIST - cubic meters per day'!E239*6.2898</f>
        <v/>
      </c>
      <c r="F239" s="37">
        <f>'HIST - cubic meters per day'!F239*6.2898</f>
        <v/>
      </c>
      <c r="G239" s="37">
        <f>'HIST - cubic meters per day'!G239*6.2898</f>
        <v/>
      </c>
      <c r="H239" s="37">
        <f>'HIST - cubic meters per day'!H239*6.2898</f>
        <v/>
      </c>
      <c r="I239" s="37">
        <f>'HIST - cubic meters per day'!I239*6.2898</f>
        <v/>
      </c>
      <c r="J239" s="37">
        <f>'HIST - cubic meters per day'!J239*6.2898</f>
        <v/>
      </c>
      <c r="K239" s="37">
        <f>'HIST - cubic meters per day'!K239*6.2898</f>
        <v/>
      </c>
      <c r="L239" s="37">
        <f>'HIST - cubic meters per day'!L239*6.2898</f>
        <v/>
      </c>
      <c r="M239" s="37">
        <f>'HIST - cubic meters per day'!M239*6.2898</f>
        <v/>
      </c>
      <c r="N239" s="37">
        <f>'HIST - cubic meters per day'!N239*6.2898</f>
        <v/>
      </c>
      <c r="O239" s="37">
        <f>'HIST - cubic meters per day'!O239*6.2898</f>
        <v/>
      </c>
      <c r="P239" s="37">
        <f>'HIST - cubic meters per day'!P239*6.2898</f>
        <v/>
      </c>
      <c r="Q239" s="37">
        <f>'HIST - cubic meters per day'!Q239*6.2898</f>
        <v/>
      </c>
      <c r="R239" s="37">
        <f>'HIST - cubic meters per day'!R239*6.2898</f>
        <v/>
      </c>
      <c r="S239" s="46">
        <f>'HIST - cubic meters per day'!S239*6.2898</f>
        <v/>
      </c>
      <c r="U239" s="45">
        <f>'HIST - cubic meters per day'!U239*6.2898</f>
        <v/>
      </c>
      <c r="V239" s="45">
        <f>'HIST - cubic meters per day'!V239*6.2898</f>
        <v/>
      </c>
    </row>
    <row r="240" ht="12" customHeight="1">
      <c r="A240" s="44" t="n">
        <v>43770</v>
      </c>
      <c r="B240" s="37">
        <f>'HIST - cubic meters per day'!B240*6.2898</f>
        <v/>
      </c>
      <c r="C240" s="37">
        <f>'HIST - cubic meters per day'!C240*6.2898</f>
        <v/>
      </c>
      <c r="D240" s="37">
        <f>'HIST - cubic meters per day'!D240*6.2898</f>
        <v/>
      </c>
      <c r="E240" s="37">
        <f>'HIST - cubic meters per day'!E240*6.2898</f>
        <v/>
      </c>
      <c r="F240" s="37">
        <f>'HIST - cubic meters per day'!F240*6.2898</f>
        <v/>
      </c>
      <c r="G240" s="37">
        <f>'HIST - cubic meters per day'!G240*6.2898</f>
        <v/>
      </c>
      <c r="H240" s="37">
        <f>'HIST - cubic meters per day'!H240*6.2898</f>
        <v/>
      </c>
      <c r="I240" s="37">
        <f>'HIST - cubic meters per day'!I240*6.2898</f>
        <v/>
      </c>
      <c r="J240" s="37">
        <f>'HIST - cubic meters per day'!J240*6.2898</f>
        <v/>
      </c>
      <c r="K240" s="37">
        <f>'HIST - cubic meters per day'!K240*6.2898</f>
        <v/>
      </c>
      <c r="L240" s="37">
        <f>'HIST - cubic meters per day'!L240*6.2898</f>
        <v/>
      </c>
      <c r="M240" s="37">
        <f>'HIST - cubic meters per day'!M240*6.2898</f>
        <v/>
      </c>
      <c r="N240" s="37">
        <f>'HIST - cubic meters per day'!N240*6.2898</f>
        <v/>
      </c>
      <c r="O240" s="37">
        <f>'HIST - cubic meters per day'!O240*6.2898</f>
        <v/>
      </c>
      <c r="P240" s="37">
        <f>'HIST - cubic meters per day'!P240*6.2898</f>
        <v/>
      </c>
      <c r="Q240" s="37">
        <f>'HIST - cubic meters per day'!Q240*6.2898</f>
        <v/>
      </c>
      <c r="R240" s="37">
        <f>'HIST - cubic meters per day'!R240*6.2898</f>
        <v/>
      </c>
      <c r="S240" s="46">
        <f>'HIST - cubic meters per day'!S240*6.2898</f>
        <v/>
      </c>
      <c r="U240" s="45">
        <f>'HIST - cubic meters per day'!U240*6.2898</f>
        <v/>
      </c>
      <c r="V240" s="45">
        <f>'HIST - cubic meters per day'!V240*6.2898</f>
        <v/>
      </c>
    </row>
    <row r="241" ht="12" customHeight="1">
      <c r="A241" s="44" t="n">
        <v>43800</v>
      </c>
      <c r="B241" s="37">
        <f>'HIST - cubic meters per day'!B241*6.2898</f>
        <v/>
      </c>
      <c r="C241" s="37">
        <f>'HIST - cubic meters per day'!C241*6.2898</f>
        <v/>
      </c>
      <c r="D241" s="37">
        <f>'HIST - cubic meters per day'!D241*6.2898</f>
        <v/>
      </c>
      <c r="E241" s="37">
        <f>'HIST - cubic meters per day'!E241*6.2898</f>
        <v/>
      </c>
      <c r="F241" s="37">
        <f>'HIST - cubic meters per day'!F241*6.2898</f>
        <v/>
      </c>
      <c r="G241" s="37">
        <f>'HIST - cubic meters per day'!G241*6.2898</f>
        <v/>
      </c>
      <c r="H241" s="37">
        <f>'HIST - cubic meters per day'!H241*6.2898</f>
        <v/>
      </c>
      <c r="I241" s="37">
        <f>'HIST - cubic meters per day'!I241*6.2898</f>
        <v/>
      </c>
      <c r="J241" s="37">
        <f>'HIST - cubic meters per day'!J241*6.2898</f>
        <v/>
      </c>
      <c r="K241" s="37">
        <f>'HIST - cubic meters per day'!K241*6.2898</f>
        <v/>
      </c>
      <c r="L241" s="37">
        <f>'HIST - cubic meters per day'!L241*6.2898</f>
        <v/>
      </c>
      <c r="M241" s="37">
        <f>'HIST - cubic meters per day'!M241*6.2898</f>
        <v/>
      </c>
      <c r="N241" s="37">
        <f>'HIST - cubic meters per day'!N241*6.2898</f>
        <v/>
      </c>
      <c r="O241" s="37">
        <f>'HIST - cubic meters per day'!O241*6.2898</f>
        <v/>
      </c>
      <c r="P241" s="37">
        <f>'HIST - cubic meters per day'!P241*6.2898</f>
        <v/>
      </c>
      <c r="Q241" s="37">
        <f>'HIST - cubic meters per day'!Q241*6.2898</f>
        <v/>
      </c>
      <c r="R241" s="37">
        <f>'HIST - cubic meters per day'!R241*6.2898</f>
        <v/>
      </c>
      <c r="S241" s="46">
        <f>'HIST - cubic meters per day'!S241*6.2898</f>
        <v/>
      </c>
      <c r="U241" s="45">
        <f>'HIST - cubic meters per day'!U241*6.2898</f>
        <v/>
      </c>
      <c r="V241" s="45">
        <f>'HIST - cubic meters per day'!V241*6.2898</f>
        <v/>
      </c>
    </row>
    <row r="242" ht="12" customHeight="1">
      <c r="A242" s="44" t="n">
        <v>43831</v>
      </c>
      <c r="B242" s="37">
        <f>'HIST - cubic meters per day'!B242*6.2898</f>
        <v/>
      </c>
      <c r="C242" s="37">
        <f>'HIST - cubic meters per day'!C242*6.2898</f>
        <v/>
      </c>
      <c r="D242" s="37">
        <f>'HIST - cubic meters per day'!D242*6.2898</f>
        <v/>
      </c>
      <c r="E242" s="37">
        <f>'HIST - cubic meters per day'!E242*6.2898</f>
        <v/>
      </c>
      <c r="F242" s="37">
        <f>'HIST - cubic meters per day'!F242*6.2898</f>
        <v/>
      </c>
      <c r="G242" s="37">
        <f>'HIST - cubic meters per day'!G242*6.2898</f>
        <v/>
      </c>
      <c r="H242" s="37">
        <f>'HIST - cubic meters per day'!H242*6.2898</f>
        <v/>
      </c>
      <c r="I242" s="37">
        <f>'HIST - cubic meters per day'!I242*6.2898</f>
        <v/>
      </c>
      <c r="J242" s="37">
        <f>'HIST - cubic meters per day'!J242*6.2898</f>
        <v/>
      </c>
      <c r="K242" s="37">
        <f>'HIST - cubic meters per day'!K242*6.2898</f>
        <v/>
      </c>
      <c r="L242" s="37">
        <f>'HIST - cubic meters per day'!L242*6.2898</f>
        <v/>
      </c>
      <c r="M242" s="37">
        <f>'HIST - cubic meters per day'!M242*6.2898</f>
        <v/>
      </c>
      <c r="N242" s="37">
        <f>'HIST - cubic meters per day'!N242*6.2898</f>
        <v/>
      </c>
      <c r="O242" s="37">
        <f>'HIST - cubic meters per day'!O242*6.2898</f>
        <v/>
      </c>
      <c r="P242" s="37">
        <f>'HIST - cubic meters per day'!P242*6.2898</f>
        <v/>
      </c>
      <c r="Q242" s="37">
        <f>'HIST - cubic meters per day'!Q242*6.2898</f>
        <v/>
      </c>
      <c r="R242" s="37">
        <f>'HIST - cubic meters per day'!R242*6.2898</f>
        <v/>
      </c>
      <c r="S242" s="46">
        <f>'HIST - cubic meters per day'!S242*6.2898</f>
        <v/>
      </c>
      <c r="U242" s="45">
        <f>'HIST - cubic meters per day'!U242*6.2898</f>
        <v/>
      </c>
      <c r="V242" s="45">
        <f>'HIST - cubic meters per day'!V242*6.2898</f>
        <v/>
      </c>
    </row>
    <row r="243" ht="12" customHeight="1">
      <c r="A243" s="44" t="n">
        <v>43862</v>
      </c>
      <c r="B243" s="37">
        <f>'HIST - cubic meters per day'!B243*6.2898</f>
        <v/>
      </c>
      <c r="C243" s="37">
        <f>'HIST - cubic meters per day'!C243*6.2898</f>
        <v/>
      </c>
      <c r="D243" s="37">
        <f>'HIST - cubic meters per day'!D243*6.2898</f>
        <v/>
      </c>
      <c r="E243" s="37">
        <f>'HIST - cubic meters per day'!E243*6.2898</f>
        <v/>
      </c>
      <c r="F243" s="37">
        <f>'HIST - cubic meters per day'!F243*6.2898</f>
        <v/>
      </c>
      <c r="G243" s="37">
        <f>'HIST - cubic meters per day'!G243*6.2898</f>
        <v/>
      </c>
      <c r="H243" s="37">
        <f>'HIST - cubic meters per day'!H243*6.2898</f>
        <v/>
      </c>
      <c r="I243" s="37">
        <f>'HIST - cubic meters per day'!I243*6.2898</f>
        <v/>
      </c>
      <c r="J243" s="37">
        <f>'HIST - cubic meters per day'!J243*6.2898</f>
        <v/>
      </c>
      <c r="K243" s="37">
        <f>'HIST - cubic meters per day'!K243*6.2898</f>
        <v/>
      </c>
      <c r="L243" s="37">
        <f>'HIST - cubic meters per day'!L243*6.2898</f>
        <v/>
      </c>
      <c r="M243" s="37">
        <f>'HIST - cubic meters per day'!M243*6.2898</f>
        <v/>
      </c>
      <c r="N243" s="37">
        <f>'HIST - cubic meters per day'!N243*6.2898</f>
        <v/>
      </c>
      <c r="O243" s="37">
        <f>'HIST - cubic meters per day'!O243*6.2898</f>
        <v/>
      </c>
      <c r="P243" s="37">
        <f>'HIST - cubic meters per day'!P243*6.2898</f>
        <v/>
      </c>
      <c r="Q243" s="37">
        <f>'HIST - cubic meters per day'!Q243*6.2898</f>
        <v/>
      </c>
      <c r="R243" s="37">
        <f>'HIST - cubic meters per day'!R243*6.2898</f>
        <v/>
      </c>
      <c r="S243" s="46">
        <f>'HIST - cubic meters per day'!S243*6.2898</f>
        <v/>
      </c>
      <c r="U243" s="45">
        <f>'HIST - cubic meters per day'!U243*6.2898</f>
        <v/>
      </c>
      <c r="V243" s="45">
        <f>'HIST - cubic meters per day'!V243*6.2898</f>
        <v/>
      </c>
    </row>
    <row r="244" ht="12" customHeight="1">
      <c r="A244" s="44" t="n">
        <v>43891</v>
      </c>
      <c r="B244" s="37">
        <f>'HIST - cubic meters per day'!B244*6.2898</f>
        <v/>
      </c>
      <c r="C244" s="37">
        <f>'HIST - cubic meters per day'!C244*6.2898</f>
        <v/>
      </c>
      <c r="D244" s="37">
        <f>'HIST - cubic meters per day'!D244*6.2898</f>
        <v/>
      </c>
      <c r="E244" s="37">
        <f>'HIST - cubic meters per day'!E244*6.2898</f>
        <v/>
      </c>
      <c r="F244" s="37">
        <f>'HIST - cubic meters per day'!F244*6.2898</f>
        <v/>
      </c>
      <c r="G244" s="37">
        <f>'HIST - cubic meters per day'!G244*6.2898</f>
        <v/>
      </c>
      <c r="H244" s="37">
        <f>'HIST - cubic meters per day'!H244*6.2898</f>
        <v/>
      </c>
      <c r="I244" s="37">
        <f>'HIST - cubic meters per day'!I244*6.2898</f>
        <v/>
      </c>
      <c r="J244" s="37">
        <f>'HIST - cubic meters per day'!J244*6.2898</f>
        <v/>
      </c>
      <c r="K244" s="37">
        <f>'HIST - cubic meters per day'!K244*6.2898</f>
        <v/>
      </c>
      <c r="L244" s="37">
        <f>'HIST - cubic meters per day'!L244*6.2898</f>
        <v/>
      </c>
      <c r="M244" s="37">
        <f>'HIST - cubic meters per day'!M244*6.2898</f>
        <v/>
      </c>
      <c r="N244" s="37">
        <f>'HIST - cubic meters per day'!N244*6.2898</f>
        <v/>
      </c>
      <c r="O244" s="37">
        <f>'HIST - cubic meters per day'!O244*6.2898</f>
        <v/>
      </c>
      <c r="P244" s="37">
        <f>'HIST - cubic meters per day'!P244*6.2898</f>
        <v/>
      </c>
      <c r="Q244" s="37">
        <f>'HIST - cubic meters per day'!Q244*6.2898</f>
        <v/>
      </c>
      <c r="R244" s="37">
        <f>'HIST - cubic meters per day'!R244*6.2898</f>
        <v/>
      </c>
      <c r="S244" s="46">
        <f>'HIST - cubic meters per day'!S244*6.2898</f>
        <v/>
      </c>
      <c r="U244" s="45">
        <f>'HIST - cubic meters per day'!U244*6.2898</f>
        <v/>
      </c>
      <c r="V244" s="45">
        <f>'HIST - cubic meters per day'!V244*6.2898</f>
        <v/>
      </c>
    </row>
    <row r="245" ht="12" customHeight="1">
      <c r="A245" s="44" t="n">
        <v>43922</v>
      </c>
      <c r="B245" s="37">
        <f>'HIST - cubic meters per day'!B245*6.2898</f>
        <v/>
      </c>
      <c r="C245" s="37">
        <f>'HIST - cubic meters per day'!C245*6.2898</f>
        <v/>
      </c>
      <c r="D245" s="37">
        <f>'HIST - cubic meters per day'!D245*6.2898</f>
        <v/>
      </c>
      <c r="E245" s="37">
        <f>'HIST - cubic meters per day'!E245*6.2898</f>
        <v/>
      </c>
      <c r="F245" s="37">
        <f>'HIST - cubic meters per day'!F245*6.2898</f>
        <v/>
      </c>
      <c r="G245" s="37">
        <f>'HIST - cubic meters per day'!G245*6.2898</f>
        <v/>
      </c>
      <c r="H245" s="37">
        <f>'HIST - cubic meters per day'!H245*6.2898</f>
        <v/>
      </c>
      <c r="I245" s="37">
        <f>'HIST - cubic meters per day'!I245*6.2898</f>
        <v/>
      </c>
      <c r="J245" s="37">
        <f>'HIST - cubic meters per day'!J245*6.2898</f>
        <v/>
      </c>
      <c r="K245" s="37">
        <f>'HIST - cubic meters per day'!K245*6.2898</f>
        <v/>
      </c>
      <c r="L245" s="37">
        <f>'HIST - cubic meters per day'!L245*6.2898</f>
        <v/>
      </c>
      <c r="M245" s="37">
        <f>'HIST - cubic meters per day'!M245*6.2898</f>
        <v/>
      </c>
      <c r="N245" s="37">
        <f>'HIST - cubic meters per day'!N245*6.2898</f>
        <v/>
      </c>
      <c r="O245" s="37">
        <f>'HIST - cubic meters per day'!O245*6.2898</f>
        <v/>
      </c>
      <c r="P245" s="37">
        <f>'HIST - cubic meters per day'!P245*6.2898</f>
        <v/>
      </c>
      <c r="Q245" s="37">
        <f>'HIST - cubic meters per day'!Q245*6.2898</f>
        <v/>
      </c>
      <c r="R245" s="37">
        <f>'HIST - cubic meters per day'!R245*6.2898</f>
        <v/>
      </c>
      <c r="S245" s="46">
        <f>'HIST - cubic meters per day'!S245*6.2898</f>
        <v/>
      </c>
      <c r="U245" s="45">
        <f>'HIST - cubic meters per day'!U245*6.2898</f>
        <v/>
      </c>
      <c r="V245" s="45">
        <f>'HIST - cubic meters per day'!V245*6.2898</f>
        <v/>
      </c>
    </row>
    <row r="246" ht="12" customHeight="1">
      <c r="A246" s="44" t="n">
        <v>43952</v>
      </c>
      <c r="B246" s="37">
        <f>'HIST - cubic meters per day'!B246*6.2898</f>
        <v/>
      </c>
      <c r="C246" s="37">
        <f>'HIST - cubic meters per day'!C246*6.2898</f>
        <v/>
      </c>
      <c r="D246" s="37">
        <f>'HIST - cubic meters per day'!D246*6.2898</f>
        <v/>
      </c>
      <c r="E246" s="37">
        <f>'HIST - cubic meters per day'!E246*6.2898</f>
        <v/>
      </c>
      <c r="F246" s="37">
        <f>'HIST - cubic meters per day'!F246*6.2898</f>
        <v/>
      </c>
      <c r="G246" s="37">
        <f>'HIST - cubic meters per day'!G246*6.2898</f>
        <v/>
      </c>
      <c r="H246" s="37">
        <f>'HIST - cubic meters per day'!H246*6.2898</f>
        <v/>
      </c>
      <c r="I246" s="37">
        <f>'HIST - cubic meters per day'!I246*6.2898</f>
        <v/>
      </c>
      <c r="J246" s="37">
        <f>'HIST - cubic meters per day'!J246*6.2898</f>
        <v/>
      </c>
      <c r="K246" s="37">
        <f>'HIST - cubic meters per day'!K246*6.2898</f>
        <v/>
      </c>
      <c r="L246" s="37">
        <f>'HIST - cubic meters per day'!L246*6.2898</f>
        <v/>
      </c>
      <c r="M246" s="37">
        <f>'HIST - cubic meters per day'!M246*6.2898</f>
        <v/>
      </c>
      <c r="N246" s="37">
        <f>'HIST - cubic meters per day'!N246*6.2898</f>
        <v/>
      </c>
      <c r="O246" s="37">
        <f>'HIST - cubic meters per day'!O246*6.2898</f>
        <v/>
      </c>
      <c r="P246" s="37">
        <f>'HIST - cubic meters per day'!P246*6.2898</f>
        <v/>
      </c>
      <c r="Q246" s="37">
        <f>'HIST - cubic meters per day'!Q246*6.2898</f>
        <v/>
      </c>
      <c r="R246" s="37">
        <f>'HIST - cubic meters per day'!R246*6.2898</f>
        <v/>
      </c>
      <c r="S246" s="46">
        <f>'HIST - cubic meters per day'!S246*6.2898</f>
        <v/>
      </c>
      <c r="U246" s="45">
        <f>'HIST - cubic meters per day'!U246*6.2898</f>
        <v/>
      </c>
      <c r="V246" s="45">
        <f>'HIST - cubic meters per day'!V246*6.2898</f>
        <v/>
      </c>
    </row>
    <row r="247" ht="12" customHeight="1">
      <c r="A247" s="44" t="n">
        <v>43983</v>
      </c>
      <c r="B247" s="37">
        <f>'HIST - cubic meters per day'!B247*6.2898</f>
        <v/>
      </c>
      <c r="C247" s="37">
        <f>'HIST - cubic meters per day'!C247*6.2898</f>
        <v/>
      </c>
      <c r="D247" s="37">
        <f>'HIST - cubic meters per day'!D247*6.2898</f>
        <v/>
      </c>
      <c r="E247" s="37">
        <f>'HIST - cubic meters per day'!E247*6.2898</f>
        <v/>
      </c>
      <c r="F247" s="37">
        <f>'HIST - cubic meters per day'!F247*6.2898</f>
        <v/>
      </c>
      <c r="G247" s="37">
        <f>'HIST - cubic meters per day'!G247*6.2898</f>
        <v/>
      </c>
      <c r="H247" s="37">
        <f>'HIST - cubic meters per day'!H247*6.2898</f>
        <v/>
      </c>
      <c r="I247" s="37">
        <f>'HIST - cubic meters per day'!I247*6.2898</f>
        <v/>
      </c>
      <c r="J247" s="37">
        <f>'HIST - cubic meters per day'!J247*6.2898</f>
        <v/>
      </c>
      <c r="K247" s="37">
        <f>'HIST - cubic meters per day'!K247*6.2898</f>
        <v/>
      </c>
      <c r="L247" s="37">
        <f>'HIST - cubic meters per day'!L247*6.2898</f>
        <v/>
      </c>
      <c r="M247" s="37">
        <f>'HIST - cubic meters per day'!M247*6.2898</f>
        <v/>
      </c>
      <c r="N247" s="37">
        <f>'HIST - cubic meters per day'!N247*6.2898</f>
        <v/>
      </c>
      <c r="O247" s="37">
        <f>'HIST - cubic meters per day'!O247*6.2898</f>
        <v/>
      </c>
      <c r="P247" s="37">
        <f>'HIST - cubic meters per day'!P247*6.2898</f>
        <v/>
      </c>
      <c r="Q247" s="37">
        <f>'HIST - cubic meters per day'!Q247*6.2898</f>
        <v/>
      </c>
      <c r="R247" s="37">
        <f>'HIST - cubic meters per day'!R247*6.2898</f>
        <v/>
      </c>
      <c r="S247" s="46">
        <f>'HIST - cubic meters per day'!S247*6.2898</f>
        <v/>
      </c>
      <c r="U247" s="45">
        <f>'HIST - cubic meters per day'!U247*6.2898</f>
        <v/>
      </c>
      <c r="V247" s="45">
        <f>'HIST - cubic meters per day'!V247*6.2898</f>
        <v/>
      </c>
    </row>
    <row r="248" ht="12" customHeight="1">
      <c r="A248" s="44" t="n">
        <v>44013</v>
      </c>
      <c r="B248" s="37">
        <f>'HIST - cubic meters per day'!B248*6.2898</f>
        <v/>
      </c>
      <c r="C248" s="37">
        <f>'HIST - cubic meters per day'!C248*6.2898</f>
        <v/>
      </c>
      <c r="D248" s="37">
        <f>'HIST - cubic meters per day'!D248*6.2898</f>
        <v/>
      </c>
      <c r="E248" s="37">
        <f>'HIST - cubic meters per day'!E248*6.2898</f>
        <v/>
      </c>
      <c r="F248" s="37">
        <f>'HIST - cubic meters per day'!F248*6.2898</f>
        <v/>
      </c>
      <c r="G248" s="37">
        <f>'HIST - cubic meters per day'!G248*6.2898</f>
        <v/>
      </c>
      <c r="H248" s="37">
        <f>'HIST - cubic meters per day'!H248*6.2898</f>
        <v/>
      </c>
      <c r="I248" s="37">
        <f>'HIST - cubic meters per day'!I248*6.2898</f>
        <v/>
      </c>
      <c r="J248" s="37">
        <f>'HIST - cubic meters per day'!J248*6.2898</f>
        <v/>
      </c>
      <c r="K248" s="37">
        <f>'HIST - cubic meters per day'!K248*6.2898</f>
        <v/>
      </c>
      <c r="L248" s="37">
        <f>'HIST - cubic meters per day'!L248*6.2898</f>
        <v/>
      </c>
      <c r="M248" s="37">
        <f>'HIST - cubic meters per day'!M248*6.2898</f>
        <v/>
      </c>
      <c r="N248" s="37">
        <f>'HIST - cubic meters per day'!N248*6.2898</f>
        <v/>
      </c>
      <c r="O248" s="37">
        <f>'HIST - cubic meters per day'!O248*6.2898</f>
        <v/>
      </c>
      <c r="P248" s="37">
        <f>'HIST - cubic meters per day'!P248*6.2898</f>
        <v/>
      </c>
      <c r="Q248" s="37">
        <f>'HIST - cubic meters per day'!Q248*6.2898</f>
        <v/>
      </c>
      <c r="R248" s="37">
        <f>'HIST - cubic meters per day'!R248*6.2898</f>
        <v/>
      </c>
      <c r="S248" s="46">
        <f>'HIST - cubic meters per day'!S248*6.2898</f>
        <v/>
      </c>
      <c r="U248" s="45">
        <f>'HIST - cubic meters per day'!U248*6.2898</f>
        <v/>
      </c>
      <c r="V248" s="45">
        <f>'HIST - cubic meters per day'!V248*6.2898</f>
        <v/>
      </c>
    </row>
    <row r="249" ht="12" customHeight="1">
      <c r="A249" s="44" t="n">
        <v>44044</v>
      </c>
      <c r="B249" s="37">
        <f>'HIST - cubic meters per day'!B249*6.2898</f>
        <v/>
      </c>
      <c r="C249" s="37">
        <f>'HIST - cubic meters per day'!C249*6.2898</f>
        <v/>
      </c>
      <c r="D249" s="37">
        <f>'HIST - cubic meters per day'!D249*6.2898</f>
        <v/>
      </c>
      <c r="E249" s="37">
        <f>'HIST - cubic meters per day'!E249*6.2898</f>
        <v/>
      </c>
      <c r="F249" s="37">
        <f>'HIST - cubic meters per day'!F249*6.2898</f>
        <v/>
      </c>
      <c r="G249" s="37">
        <f>'HIST - cubic meters per day'!G249*6.2898</f>
        <v/>
      </c>
      <c r="H249" s="37">
        <f>'HIST - cubic meters per day'!H249*6.2898</f>
        <v/>
      </c>
      <c r="I249" s="37">
        <f>'HIST - cubic meters per day'!I249*6.2898</f>
        <v/>
      </c>
      <c r="J249" s="37">
        <f>'HIST - cubic meters per day'!J249*6.2898</f>
        <v/>
      </c>
      <c r="K249" s="37">
        <f>'HIST - cubic meters per day'!K249*6.2898</f>
        <v/>
      </c>
      <c r="L249" s="37">
        <f>'HIST - cubic meters per day'!L249*6.2898</f>
        <v/>
      </c>
      <c r="M249" s="37">
        <f>'HIST - cubic meters per day'!M249*6.2898</f>
        <v/>
      </c>
      <c r="N249" s="37">
        <f>'HIST - cubic meters per day'!N249*6.2898</f>
        <v/>
      </c>
      <c r="O249" s="37">
        <f>'HIST - cubic meters per day'!O249*6.2898</f>
        <v/>
      </c>
      <c r="P249" s="37">
        <f>'HIST - cubic meters per day'!P249*6.2898</f>
        <v/>
      </c>
      <c r="Q249" s="37">
        <f>'HIST - cubic meters per day'!Q249*6.2898</f>
        <v/>
      </c>
      <c r="R249" s="37">
        <f>'HIST - cubic meters per day'!R249*6.2898</f>
        <v/>
      </c>
      <c r="S249" s="46">
        <f>'HIST - cubic meters per day'!S249*6.2898</f>
        <v/>
      </c>
      <c r="U249" s="45">
        <f>'HIST - cubic meters per day'!U249*6.2898</f>
        <v/>
      </c>
      <c r="V249" s="45">
        <f>'HIST - cubic meters per day'!V249*6.2898</f>
        <v/>
      </c>
    </row>
    <row r="250" ht="12" customHeight="1">
      <c r="A250" s="44" t="n">
        <v>44075</v>
      </c>
      <c r="B250" s="37">
        <f>'HIST - cubic meters per day'!B250*6.2898</f>
        <v/>
      </c>
      <c r="C250" s="37">
        <f>'HIST - cubic meters per day'!C250*6.2898</f>
        <v/>
      </c>
      <c r="D250" s="37">
        <f>'HIST - cubic meters per day'!D250*6.2898</f>
        <v/>
      </c>
      <c r="E250" s="37">
        <f>'HIST - cubic meters per day'!E250*6.2898</f>
        <v/>
      </c>
      <c r="F250" s="37">
        <f>'HIST - cubic meters per day'!F250*6.2898</f>
        <v/>
      </c>
      <c r="G250" s="37">
        <f>'HIST - cubic meters per day'!G250*6.2898</f>
        <v/>
      </c>
      <c r="H250" s="37">
        <f>'HIST - cubic meters per day'!H250*6.2898</f>
        <v/>
      </c>
      <c r="I250" s="37">
        <f>'HIST - cubic meters per day'!I250*6.2898</f>
        <v/>
      </c>
      <c r="J250" s="37">
        <f>'HIST - cubic meters per day'!J250*6.2898</f>
        <v/>
      </c>
      <c r="K250" s="37">
        <f>'HIST - cubic meters per day'!K250*6.2898</f>
        <v/>
      </c>
      <c r="L250" s="37">
        <f>'HIST - cubic meters per day'!L250*6.2898</f>
        <v/>
      </c>
      <c r="M250" s="37">
        <f>'HIST - cubic meters per day'!M250*6.2898</f>
        <v/>
      </c>
      <c r="N250" s="37">
        <f>'HIST - cubic meters per day'!N250*6.2898</f>
        <v/>
      </c>
      <c r="O250" s="37">
        <f>'HIST - cubic meters per day'!O250*6.2898</f>
        <v/>
      </c>
      <c r="P250" s="37">
        <f>'HIST - cubic meters per day'!P250*6.2898</f>
        <v/>
      </c>
      <c r="Q250" s="37">
        <f>'HIST - cubic meters per day'!Q250*6.2898</f>
        <v/>
      </c>
      <c r="R250" s="37">
        <f>'HIST - cubic meters per day'!R250*6.2898</f>
        <v/>
      </c>
      <c r="S250" s="46">
        <f>'HIST - cubic meters per day'!S250*6.2898</f>
        <v/>
      </c>
      <c r="U250" s="45">
        <f>'HIST - cubic meters per day'!U250*6.2898</f>
        <v/>
      </c>
      <c r="V250" s="45">
        <f>'HIST - cubic meters per day'!V250*6.2898</f>
        <v/>
      </c>
    </row>
    <row r="251" ht="12" customHeight="1">
      <c r="A251" s="44" t="n">
        <v>44105</v>
      </c>
      <c r="B251" s="37">
        <f>'HIST - cubic meters per day'!B251*6.2898</f>
        <v/>
      </c>
      <c r="C251" s="37">
        <f>'HIST - cubic meters per day'!C251*6.2898</f>
        <v/>
      </c>
      <c r="D251" s="37">
        <f>'HIST - cubic meters per day'!D251*6.2898</f>
        <v/>
      </c>
      <c r="E251" s="37">
        <f>'HIST - cubic meters per day'!E251*6.2898</f>
        <v/>
      </c>
      <c r="F251" s="37">
        <f>'HIST - cubic meters per day'!F251*6.2898</f>
        <v/>
      </c>
      <c r="G251" s="37">
        <f>'HIST - cubic meters per day'!G251*6.2898</f>
        <v/>
      </c>
      <c r="H251" s="37">
        <f>'HIST - cubic meters per day'!H251*6.2898</f>
        <v/>
      </c>
      <c r="I251" s="37">
        <f>'HIST - cubic meters per day'!I251*6.2898</f>
        <v/>
      </c>
      <c r="J251" s="37">
        <f>'HIST - cubic meters per day'!J251*6.2898</f>
        <v/>
      </c>
      <c r="K251" s="37">
        <f>'HIST - cubic meters per day'!K251*6.2898</f>
        <v/>
      </c>
      <c r="L251" s="37">
        <f>'HIST - cubic meters per day'!L251*6.2898</f>
        <v/>
      </c>
      <c r="M251" s="37">
        <f>'HIST - cubic meters per day'!M251*6.2898</f>
        <v/>
      </c>
      <c r="N251" s="37">
        <f>'HIST - cubic meters per day'!N251*6.2898</f>
        <v/>
      </c>
      <c r="O251" s="37">
        <f>'HIST - cubic meters per day'!O251*6.2898</f>
        <v/>
      </c>
      <c r="P251" s="37">
        <f>'HIST - cubic meters per day'!P251*6.2898</f>
        <v/>
      </c>
      <c r="Q251" s="37">
        <f>'HIST - cubic meters per day'!Q251*6.2898</f>
        <v/>
      </c>
      <c r="R251" s="37">
        <f>'HIST - cubic meters per day'!R251*6.2898</f>
        <v/>
      </c>
      <c r="S251" s="46">
        <f>'HIST - cubic meters per day'!S251*6.2898</f>
        <v/>
      </c>
      <c r="U251" s="45">
        <f>'HIST - cubic meters per day'!U251*6.2898</f>
        <v/>
      </c>
      <c r="V251" s="45">
        <f>'HIST - cubic meters per day'!V251*6.2898</f>
        <v/>
      </c>
    </row>
    <row r="252" ht="12" customHeight="1">
      <c r="A252" s="44" t="n">
        <v>44136</v>
      </c>
      <c r="B252" s="37">
        <f>'HIST - cubic meters per day'!B252*6.2898</f>
        <v/>
      </c>
      <c r="C252" s="37">
        <f>'HIST - cubic meters per day'!C252*6.2898</f>
        <v/>
      </c>
      <c r="D252" s="37">
        <f>'HIST - cubic meters per day'!D252*6.2898</f>
        <v/>
      </c>
      <c r="E252" s="37">
        <f>'HIST - cubic meters per day'!E252*6.2898</f>
        <v/>
      </c>
      <c r="F252" s="37">
        <f>'HIST - cubic meters per day'!F252*6.2898</f>
        <v/>
      </c>
      <c r="G252" s="37">
        <f>'HIST - cubic meters per day'!G252*6.2898</f>
        <v/>
      </c>
      <c r="H252" s="37">
        <f>'HIST - cubic meters per day'!H252*6.2898</f>
        <v/>
      </c>
      <c r="I252" s="37">
        <f>'HIST - cubic meters per day'!I252*6.2898</f>
        <v/>
      </c>
      <c r="J252" s="37">
        <f>'HIST - cubic meters per day'!J252*6.2898</f>
        <v/>
      </c>
      <c r="K252" s="37">
        <f>'HIST - cubic meters per day'!K252*6.2898</f>
        <v/>
      </c>
      <c r="L252" s="37">
        <f>'HIST - cubic meters per day'!L252*6.2898</f>
        <v/>
      </c>
      <c r="M252" s="37">
        <f>'HIST - cubic meters per day'!M252*6.2898</f>
        <v/>
      </c>
      <c r="N252" s="37">
        <f>'HIST - cubic meters per day'!N252*6.2898</f>
        <v/>
      </c>
      <c r="O252" s="37">
        <f>'HIST - cubic meters per day'!O252*6.2898</f>
        <v/>
      </c>
      <c r="P252" s="37">
        <f>'HIST - cubic meters per day'!P252*6.2898</f>
        <v/>
      </c>
      <c r="Q252" s="37">
        <f>'HIST - cubic meters per day'!Q252*6.2898</f>
        <v/>
      </c>
      <c r="R252" s="37">
        <f>'HIST - cubic meters per day'!R252*6.2898</f>
        <v/>
      </c>
      <c r="S252" s="46">
        <f>'HIST - cubic meters per day'!S252*6.2898</f>
        <v/>
      </c>
      <c r="U252" s="45">
        <f>'HIST - cubic meters per day'!U252*6.2898</f>
        <v/>
      </c>
      <c r="V252" s="45">
        <f>'HIST - cubic meters per day'!V252*6.2898</f>
        <v/>
      </c>
    </row>
    <row r="253" ht="12" customHeight="1">
      <c r="A253" s="44" t="n">
        <v>44166</v>
      </c>
      <c r="B253" s="37">
        <f>'HIST - cubic meters per day'!B253*6.2898</f>
        <v/>
      </c>
      <c r="C253" s="37">
        <f>'HIST - cubic meters per day'!C253*6.2898</f>
        <v/>
      </c>
      <c r="D253" s="37">
        <f>'HIST - cubic meters per day'!D253*6.2898</f>
        <v/>
      </c>
      <c r="E253" s="37">
        <f>'HIST - cubic meters per day'!E253*6.2898</f>
        <v/>
      </c>
      <c r="F253" s="37">
        <f>'HIST - cubic meters per day'!F253*6.2898</f>
        <v/>
      </c>
      <c r="G253" s="37">
        <f>'HIST - cubic meters per day'!G253*6.2898</f>
        <v/>
      </c>
      <c r="H253" s="37">
        <f>'HIST - cubic meters per day'!H253*6.2898</f>
        <v/>
      </c>
      <c r="I253" s="37">
        <f>'HIST - cubic meters per day'!I253*6.2898</f>
        <v/>
      </c>
      <c r="J253" s="37">
        <f>'HIST - cubic meters per day'!J253*6.2898</f>
        <v/>
      </c>
      <c r="K253" s="37">
        <f>'HIST - cubic meters per day'!K253*6.2898</f>
        <v/>
      </c>
      <c r="L253" s="37">
        <f>'HIST - cubic meters per day'!L253*6.2898</f>
        <v/>
      </c>
      <c r="M253" s="37">
        <f>'HIST - cubic meters per day'!M253*6.2898</f>
        <v/>
      </c>
      <c r="N253" s="37">
        <f>'HIST - cubic meters per day'!N253*6.2898</f>
        <v/>
      </c>
      <c r="O253" s="37">
        <f>'HIST - cubic meters per day'!O253*6.2898</f>
        <v/>
      </c>
      <c r="P253" s="37">
        <f>'HIST - cubic meters per day'!P253*6.2898</f>
        <v/>
      </c>
      <c r="Q253" s="37">
        <f>'HIST - cubic meters per day'!Q253*6.2898</f>
        <v/>
      </c>
      <c r="R253" s="37">
        <f>'HIST - cubic meters per day'!R253*6.2898</f>
        <v/>
      </c>
      <c r="S253" s="46">
        <f>'HIST - cubic meters per day'!S253*6.2898</f>
        <v/>
      </c>
      <c r="U253" s="45">
        <f>'HIST - cubic meters per day'!U253*6.2898</f>
        <v/>
      </c>
      <c r="V253" s="45">
        <f>'HIST - cubic meters per day'!V253*6.2898</f>
        <v/>
      </c>
    </row>
    <row r="254" ht="12" customHeight="1">
      <c r="A254" s="44" t="n">
        <v>44197</v>
      </c>
      <c r="B254" s="37">
        <f>'HIST - cubic meters per day'!B254*6.2898</f>
        <v/>
      </c>
      <c r="C254" s="37">
        <f>'HIST - cubic meters per day'!C254*6.2898</f>
        <v/>
      </c>
      <c r="D254" s="37">
        <f>'HIST - cubic meters per day'!D254*6.2898</f>
        <v/>
      </c>
      <c r="E254" s="37">
        <f>'HIST - cubic meters per day'!E254*6.2898</f>
        <v/>
      </c>
      <c r="F254" s="37">
        <f>'HIST - cubic meters per day'!F254*6.2898</f>
        <v/>
      </c>
      <c r="G254" s="37">
        <f>'HIST - cubic meters per day'!G254*6.2898</f>
        <v/>
      </c>
      <c r="H254" s="37">
        <f>'HIST - cubic meters per day'!H254*6.2898</f>
        <v/>
      </c>
      <c r="I254" s="37">
        <f>'HIST - cubic meters per day'!I254*6.2898</f>
        <v/>
      </c>
      <c r="J254" s="37">
        <f>'HIST - cubic meters per day'!J254*6.2898</f>
        <v/>
      </c>
      <c r="K254" s="37">
        <f>'HIST - cubic meters per day'!K254*6.2898</f>
        <v/>
      </c>
      <c r="L254" s="37">
        <f>'HIST - cubic meters per day'!L254*6.2898</f>
        <v/>
      </c>
      <c r="M254" s="37">
        <f>'HIST - cubic meters per day'!M254*6.2898</f>
        <v/>
      </c>
      <c r="N254" s="37">
        <f>'HIST - cubic meters per day'!N254*6.2898</f>
        <v/>
      </c>
      <c r="O254" s="37">
        <f>'HIST - cubic meters per day'!O254*6.2898</f>
        <v/>
      </c>
      <c r="P254" s="37">
        <f>'HIST - cubic meters per day'!P254*6.2898</f>
        <v/>
      </c>
      <c r="Q254" s="37">
        <f>'HIST - cubic meters per day'!Q254*6.2898</f>
        <v/>
      </c>
      <c r="R254" s="37">
        <f>'HIST - cubic meters per day'!R254*6.2898</f>
        <v/>
      </c>
      <c r="S254" s="46">
        <f>'HIST - cubic meters per day'!S254*6.2898</f>
        <v/>
      </c>
      <c r="U254" s="45">
        <f>'HIST - cubic meters per day'!U254*6.2898</f>
        <v/>
      </c>
      <c r="V254" s="45">
        <f>'HIST - cubic meters per day'!V254*6.2898</f>
        <v/>
      </c>
    </row>
    <row r="255" ht="12" customHeight="1">
      <c r="A255" s="44" t="n">
        <v>44228</v>
      </c>
      <c r="B255" s="37">
        <f>'HIST - cubic meters per day'!B255*6.2898</f>
        <v/>
      </c>
      <c r="C255" s="37">
        <f>'HIST - cubic meters per day'!C255*6.2898</f>
        <v/>
      </c>
      <c r="D255" s="37">
        <f>'HIST - cubic meters per day'!D255*6.2898</f>
        <v/>
      </c>
      <c r="E255" s="37">
        <f>'HIST - cubic meters per day'!E255*6.2898</f>
        <v/>
      </c>
      <c r="F255" s="37">
        <f>'HIST - cubic meters per day'!F255*6.2898</f>
        <v/>
      </c>
      <c r="G255" s="37">
        <f>'HIST - cubic meters per day'!G255*6.2898</f>
        <v/>
      </c>
      <c r="H255" s="37">
        <f>'HIST - cubic meters per day'!H255*6.2898</f>
        <v/>
      </c>
      <c r="I255" s="37">
        <f>'HIST - cubic meters per day'!I255*6.2898</f>
        <v/>
      </c>
      <c r="J255" s="37">
        <f>'HIST - cubic meters per day'!J255*6.2898</f>
        <v/>
      </c>
      <c r="K255" s="37">
        <f>'HIST - cubic meters per day'!K255*6.2898</f>
        <v/>
      </c>
      <c r="L255" s="37">
        <f>'HIST - cubic meters per day'!L255*6.2898</f>
        <v/>
      </c>
      <c r="M255" s="37">
        <f>'HIST - cubic meters per day'!M255*6.2898</f>
        <v/>
      </c>
      <c r="N255" s="37">
        <f>'HIST - cubic meters per day'!N255*6.2898</f>
        <v/>
      </c>
      <c r="O255" s="37">
        <f>'HIST - cubic meters per day'!O255*6.2898</f>
        <v/>
      </c>
      <c r="P255" s="37">
        <f>'HIST - cubic meters per day'!P255*6.2898</f>
        <v/>
      </c>
      <c r="Q255" s="37">
        <f>'HIST - cubic meters per day'!Q255*6.2898</f>
        <v/>
      </c>
      <c r="R255" s="37">
        <f>'HIST - cubic meters per day'!R255*6.2898</f>
        <v/>
      </c>
      <c r="S255" s="46">
        <f>'HIST - cubic meters per day'!S255*6.2898</f>
        <v/>
      </c>
      <c r="U255" s="45">
        <f>'HIST - cubic meters per day'!U255*6.2898</f>
        <v/>
      </c>
      <c r="V255" s="45">
        <f>'HIST - cubic meters per day'!V255*6.2898</f>
        <v/>
      </c>
    </row>
    <row r="256" ht="12" customHeight="1">
      <c r="A256" s="44" t="n">
        <v>44256</v>
      </c>
      <c r="B256" s="37">
        <f>'HIST - cubic meters per day'!B256*6.2898</f>
        <v/>
      </c>
      <c r="C256" s="37">
        <f>'HIST - cubic meters per day'!C256*6.2898</f>
        <v/>
      </c>
      <c r="D256" s="37">
        <f>'HIST - cubic meters per day'!D256*6.2898</f>
        <v/>
      </c>
      <c r="E256" s="37">
        <f>'HIST - cubic meters per day'!E256*6.2898</f>
        <v/>
      </c>
      <c r="F256" s="37">
        <f>'HIST - cubic meters per day'!F256*6.2898</f>
        <v/>
      </c>
      <c r="G256" s="37">
        <f>'HIST - cubic meters per day'!G256*6.2898</f>
        <v/>
      </c>
      <c r="H256" s="37">
        <f>'HIST - cubic meters per day'!H256*6.2898</f>
        <v/>
      </c>
      <c r="I256" s="37">
        <f>'HIST - cubic meters per day'!I256*6.2898</f>
        <v/>
      </c>
      <c r="J256" s="37">
        <f>'HIST - cubic meters per day'!J256*6.2898</f>
        <v/>
      </c>
      <c r="K256" s="37">
        <f>'HIST - cubic meters per day'!K256*6.2898</f>
        <v/>
      </c>
      <c r="L256" s="37">
        <f>'HIST - cubic meters per day'!L256*6.2898</f>
        <v/>
      </c>
      <c r="M256" s="37">
        <f>'HIST - cubic meters per day'!M256*6.2898</f>
        <v/>
      </c>
      <c r="N256" s="37">
        <f>'HIST - cubic meters per day'!N256*6.2898</f>
        <v/>
      </c>
      <c r="O256" s="37">
        <f>'HIST - cubic meters per day'!O256*6.2898</f>
        <v/>
      </c>
      <c r="P256" s="37">
        <f>'HIST - cubic meters per day'!P256*6.2898</f>
        <v/>
      </c>
      <c r="Q256" s="37">
        <f>'HIST - cubic meters per day'!Q256*6.2898</f>
        <v/>
      </c>
      <c r="R256" s="37">
        <f>'HIST - cubic meters per day'!R256*6.2898</f>
        <v/>
      </c>
      <c r="S256" s="46">
        <f>'HIST - cubic meters per day'!S256*6.2898</f>
        <v/>
      </c>
      <c r="U256" s="45">
        <f>'HIST - cubic meters per day'!U256*6.2898</f>
        <v/>
      </c>
      <c r="V256" s="45">
        <f>'HIST - cubic meters per day'!V256*6.2898</f>
        <v/>
      </c>
    </row>
    <row r="257" ht="12" customHeight="1">
      <c r="A257" s="44" t="n">
        <v>44287</v>
      </c>
      <c r="B257" s="37">
        <f>'HIST - cubic meters per day'!B257*6.2898</f>
        <v/>
      </c>
      <c r="C257" s="37">
        <f>'HIST - cubic meters per day'!C257*6.2898</f>
        <v/>
      </c>
      <c r="D257" s="37">
        <f>'HIST - cubic meters per day'!D257*6.2898</f>
        <v/>
      </c>
      <c r="E257" s="37">
        <f>'HIST - cubic meters per day'!E257*6.2898</f>
        <v/>
      </c>
      <c r="F257" s="37">
        <f>'HIST - cubic meters per day'!F257*6.2898</f>
        <v/>
      </c>
      <c r="G257" s="37">
        <f>'HIST - cubic meters per day'!G257*6.2898</f>
        <v/>
      </c>
      <c r="H257" s="37">
        <f>'HIST - cubic meters per day'!H257*6.2898</f>
        <v/>
      </c>
      <c r="I257" s="37">
        <f>'HIST - cubic meters per day'!I257*6.2898</f>
        <v/>
      </c>
      <c r="J257" s="37">
        <f>'HIST - cubic meters per day'!J257*6.2898</f>
        <v/>
      </c>
      <c r="K257" s="37">
        <f>'HIST - cubic meters per day'!K257*6.2898</f>
        <v/>
      </c>
      <c r="L257" s="37">
        <f>'HIST - cubic meters per day'!L257*6.2898</f>
        <v/>
      </c>
      <c r="M257" s="37">
        <f>'HIST - cubic meters per day'!M257*6.2898</f>
        <v/>
      </c>
      <c r="N257" s="37">
        <f>'HIST - cubic meters per day'!N257*6.2898</f>
        <v/>
      </c>
      <c r="O257" s="37">
        <f>'HIST - cubic meters per day'!O257*6.2898</f>
        <v/>
      </c>
      <c r="P257" s="37">
        <f>'HIST - cubic meters per day'!P257*6.2898</f>
        <v/>
      </c>
      <c r="Q257" s="37">
        <f>'HIST - cubic meters per day'!Q257*6.2898</f>
        <v/>
      </c>
      <c r="R257" s="37">
        <f>'HIST - cubic meters per day'!R257*6.2898</f>
        <v/>
      </c>
      <c r="S257" s="46">
        <f>'HIST - cubic meters per day'!S257*6.2898</f>
        <v/>
      </c>
      <c r="U257" s="45">
        <f>'HIST - cubic meters per day'!U257*6.2898</f>
        <v/>
      </c>
      <c r="V257" s="45">
        <f>'HIST - cubic meters per day'!V257*6.2898</f>
        <v/>
      </c>
    </row>
    <row r="258" ht="12" customHeight="1">
      <c r="A258" s="44" t="n">
        <v>44317</v>
      </c>
      <c r="B258" s="37">
        <f>'HIST - cubic meters per day'!B258*6.2898</f>
        <v/>
      </c>
      <c r="C258" s="37">
        <f>'HIST - cubic meters per day'!C258*6.2898</f>
        <v/>
      </c>
      <c r="D258" s="37">
        <f>'HIST - cubic meters per day'!D258*6.2898</f>
        <v/>
      </c>
      <c r="E258" s="37">
        <f>'HIST - cubic meters per day'!E258*6.2898</f>
        <v/>
      </c>
      <c r="F258" s="37">
        <f>'HIST - cubic meters per day'!F258*6.2898</f>
        <v/>
      </c>
      <c r="G258" s="37">
        <f>'HIST - cubic meters per day'!G258*6.2898</f>
        <v/>
      </c>
      <c r="H258" s="37">
        <f>'HIST - cubic meters per day'!H258*6.2898</f>
        <v/>
      </c>
      <c r="I258" s="37">
        <f>'HIST - cubic meters per day'!I258*6.2898</f>
        <v/>
      </c>
      <c r="J258" s="37">
        <f>'HIST - cubic meters per day'!J258*6.2898</f>
        <v/>
      </c>
      <c r="K258" s="37">
        <f>'HIST - cubic meters per day'!K258*6.2898</f>
        <v/>
      </c>
      <c r="L258" s="37">
        <f>'HIST - cubic meters per day'!L258*6.2898</f>
        <v/>
      </c>
      <c r="M258" s="37">
        <f>'HIST - cubic meters per day'!M258*6.2898</f>
        <v/>
      </c>
      <c r="N258" s="37">
        <f>'HIST - cubic meters per day'!N258*6.2898</f>
        <v/>
      </c>
      <c r="O258" s="37">
        <f>'HIST - cubic meters per day'!O258*6.2898</f>
        <v/>
      </c>
      <c r="P258" s="37">
        <f>'HIST - cubic meters per day'!P258*6.2898</f>
        <v/>
      </c>
      <c r="Q258" s="37">
        <f>'HIST - cubic meters per day'!Q258*6.2898</f>
        <v/>
      </c>
      <c r="R258" s="37">
        <f>'HIST - cubic meters per day'!R258*6.2898</f>
        <v/>
      </c>
      <c r="S258" s="46">
        <f>'HIST - cubic meters per day'!S258*6.2898</f>
        <v/>
      </c>
      <c r="U258" s="45">
        <f>'HIST - cubic meters per day'!U258*6.2898</f>
        <v/>
      </c>
      <c r="V258" s="45">
        <f>'HIST - cubic meters per day'!V258*6.2898</f>
        <v/>
      </c>
    </row>
    <row r="259" ht="12" customHeight="1">
      <c r="A259" s="44" t="n">
        <v>44348</v>
      </c>
      <c r="B259" s="37">
        <f>'HIST - cubic meters per day'!B259*6.2898</f>
        <v/>
      </c>
      <c r="C259" s="37">
        <f>'HIST - cubic meters per day'!C259*6.2898</f>
        <v/>
      </c>
      <c r="D259" s="37">
        <f>'HIST - cubic meters per day'!D259*6.2898</f>
        <v/>
      </c>
      <c r="E259" s="37">
        <f>'HIST - cubic meters per day'!E259*6.2898</f>
        <v/>
      </c>
      <c r="F259" s="37">
        <f>'HIST - cubic meters per day'!F259*6.2898</f>
        <v/>
      </c>
      <c r="G259" s="37">
        <f>'HIST - cubic meters per day'!G259*6.2898</f>
        <v/>
      </c>
      <c r="H259" s="37">
        <f>'HIST - cubic meters per day'!H259*6.2898</f>
        <v/>
      </c>
      <c r="I259" s="37">
        <f>'HIST - cubic meters per day'!I259*6.2898</f>
        <v/>
      </c>
      <c r="J259" s="37">
        <f>'HIST - cubic meters per day'!J259*6.2898</f>
        <v/>
      </c>
      <c r="K259" s="37">
        <f>'HIST - cubic meters per day'!K259*6.2898</f>
        <v/>
      </c>
      <c r="L259" s="37">
        <f>'HIST - cubic meters per day'!L259*6.2898</f>
        <v/>
      </c>
      <c r="M259" s="37">
        <f>'HIST - cubic meters per day'!M259*6.2898</f>
        <v/>
      </c>
      <c r="N259" s="37">
        <f>'HIST - cubic meters per day'!N259*6.2898</f>
        <v/>
      </c>
      <c r="O259" s="37">
        <f>'HIST - cubic meters per day'!O259*6.2898</f>
        <v/>
      </c>
      <c r="P259" s="37">
        <f>'HIST - cubic meters per day'!P259*6.2898</f>
        <v/>
      </c>
      <c r="Q259" s="37">
        <f>'HIST - cubic meters per day'!Q259*6.2898</f>
        <v/>
      </c>
      <c r="R259" s="37">
        <f>'HIST - cubic meters per day'!R259*6.2898</f>
        <v/>
      </c>
      <c r="S259" s="46">
        <f>'HIST - cubic meters per day'!S259*6.2898</f>
        <v/>
      </c>
      <c r="U259" s="45">
        <f>'HIST - cubic meters per day'!U259*6.2898</f>
        <v/>
      </c>
      <c r="V259" s="45">
        <f>'HIST - cubic meters per day'!V259*6.2898</f>
        <v/>
      </c>
    </row>
    <row r="260" ht="12" customHeight="1">
      <c r="A260" s="44" t="n">
        <v>44378</v>
      </c>
      <c r="B260" s="37">
        <f>'HIST - cubic meters per day'!B260*6.2898</f>
        <v/>
      </c>
      <c r="C260" s="37">
        <f>'HIST - cubic meters per day'!C260*6.2898</f>
        <v/>
      </c>
      <c r="D260" s="37">
        <f>'HIST - cubic meters per day'!D260*6.2898</f>
        <v/>
      </c>
      <c r="E260" s="37">
        <f>'HIST - cubic meters per day'!E260*6.2898</f>
        <v/>
      </c>
      <c r="F260" s="37">
        <f>'HIST - cubic meters per day'!F260*6.2898</f>
        <v/>
      </c>
      <c r="G260" s="37">
        <f>'HIST - cubic meters per day'!G260*6.2898</f>
        <v/>
      </c>
      <c r="H260" s="37">
        <f>'HIST - cubic meters per day'!H260*6.2898</f>
        <v/>
      </c>
      <c r="I260" s="37">
        <f>'HIST - cubic meters per day'!I260*6.2898</f>
        <v/>
      </c>
      <c r="J260" s="37">
        <f>'HIST - cubic meters per day'!J260*6.2898</f>
        <v/>
      </c>
      <c r="K260" s="37">
        <f>'HIST - cubic meters per day'!K260*6.2898</f>
        <v/>
      </c>
      <c r="L260" s="37">
        <f>'HIST - cubic meters per day'!L260*6.2898</f>
        <v/>
      </c>
      <c r="M260" s="37">
        <f>'HIST - cubic meters per day'!M260*6.2898</f>
        <v/>
      </c>
      <c r="N260" s="37">
        <f>'HIST - cubic meters per day'!N260*6.2898</f>
        <v/>
      </c>
      <c r="O260" s="37">
        <f>'HIST - cubic meters per day'!O260*6.2898</f>
        <v/>
      </c>
      <c r="P260" s="37">
        <f>'HIST - cubic meters per day'!P260*6.2898</f>
        <v/>
      </c>
      <c r="Q260" s="37">
        <f>'HIST - cubic meters per day'!Q260*6.2898</f>
        <v/>
      </c>
      <c r="R260" s="37">
        <f>'HIST - cubic meters per day'!R260*6.2898</f>
        <v/>
      </c>
      <c r="S260" s="46">
        <f>'HIST - cubic meters per day'!S260*6.2898</f>
        <v/>
      </c>
      <c r="U260" s="45">
        <f>'HIST - cubic meters per day'!U260*6.2898</f>
        <v/>
      </c>
      <c r="V260" s="45">
        <f>'HIST - cubic meters per day'!V260*6.2898</f>
        <v/>
      </c>
    </row>
    <row r="261" ht="12" customHeight="1">
      <c r="A261" s="44" t="n">
        <v>44409</v>
      </c>
      <c r="B261" s="37">
        <f>'HIST - cubic meters per day'!B261*6.2898</f>
        <v/>
      </c>
      <c r="C261" s="37">
        <f>'HIST - cubic meters per day'!C261*6.2898</f>
        <v/>
      </c>
      <c r="D261" s="37">
        <f>'HIST - cubic meters per day'!D261*6.2898</f>
        <v/>
      </c>
      <c r="E261" s="37">
        <f>'HIST - cubic meters per day'!E261*6.2898</f>
        <v/>
      </c>
      <c r="F261" s="37">
        <f>'HIST - cubic meters per day'!F261*6.2898</f>
        <v/>
      </c>
      <c r="G261" s="37">
        <f>'HIST - cubic meters per day'!G261*6.2898</f>
        <v/>
      </c>
      <c r="H261" s="37">
        <f>'HIST - cubic meters per day'!H261*6.2898</f>
        <v/>
      </c>
      <c r="I261" s="37">
        <f>'HIST - cubic meters per day'!I261*6.2898</f>
        <v/>
      </c>
      <c r="J261" s="37">
        <f>'HIST - cubic meters per day'!J261*6.2898</f>
        <v/>
      </c>
      <c r="K261" s="37">
        <f>'HIST - cubic meters per day'!K261*6.2898</f>
        <v/>
      </c>
      <c r="L261" s="37">
        <f>'HIST - cubic meters per day'!L261*6.2898</f>
        <v/>
      </c>
      <c r="M261" s="37">
        <f>'HIST - cubic meters per day'!M261*6.2898</f>
        <v/>
      </c>
      <c r="N261" s="37">
        <f>'HIST - cubic meters per day'!N261*6.2898</f>
        <v/>
      </c>
      <c r="O261" s="37">
        <f>'HIST - cubic meters per day'!O261*6.2898</f>
        <v/>
      </c>
      <c r="P261" s="37">
        <f>'HIST - cubic meters per day'!P261*6.2898</f>
        <v/>
      </c>
      <c r="Q261" s="37">
        <f>'HIST - cubic meters per day'!Q261*6.2898</f>
        <v/>
      </c>
      <c r="R261" s="37">
        <f>'HIST - cubic meters per day'!R261*6.2898</f>
        <v/>
      </c>
      <c r="S261" s="46">
        <f>'HIST - cubic meters per day'!S261*6.2898</f>
        <v/>
      </c>
      <c r="U261" s="45">
        <f>'HIST - cubic meters per day'!U261*6.2898</f>
        <v/>
      </c>
      <c r="V261" s="45">
        <f>'HIST - cubic meters per day'!V261*6.2898</f>
        <v/>
      </c>
    </row>
    <row r="262" ht="12" customHeight="1">
      <c r="A262" s="44" t="n">
        <v>44440</v>
      </c>
      <c r="B262" s="37">
        <f>'HIST - cubic meters per day'!B262*6.2898</f>
        <v/>
      </c>
      <c r="C262" s="37">
        <f>'HIST - cubic meters per day'!C262*6.2898</f>
        <v/>
      </c>
      <c r="D262" s="37">
        <f>'HIST - cubic meters per day'!D262*6.2898</f>
        <v/>
      </c>
      <c r="E262" s="37">
        <f>'HIST - cubic meters per day'!E262*6.2898</f>
        <v/>
      </c>
      <c r="F262" s="37">
        <f>'HIST - cubic meters per day'!F262*6.2898</f>
        <v/>
      </c>
      <c r="G262" s="37">
        <f>'HIST - cubic meters per day'!G262*6.2898</f>
        <v/>
      </c>
      <c r="H262" s="37">
        <f>'HIST - cubic meters per day'!H262*6.2898</f>
        <v/>
      </c>
      <c r="I262" s="37">
        <f>'HIST - cubic meters per day'!I262*6.2898</f>
        <v/>
      </c>
      <c r="J262" s="37">
        <f>'HIST - cubic meters per day'!J262*6.2898</f>
        <v/>
      </c>
      <c r="K262" s="37">
        <f>'HIST - cubic meters per day'!K262*6.2898</f>
        <v/>
      </c>
      <c r="L262" s="37">
        <f>'HIST - cubic meters per day'!L262*6.2898</f>
        <v/>
      </c>
      <c r="M262" s="37">
        <f>'HIST - cubic meters per day'!M262*6.2898</f>
        <v/>
      </c>
      <c r="N262" s="37">
        <f>'HIST - cubic meters per day'!N262*6.2898</f>
        <v/>
      </c>
      <c r="O262" s="37">
        <f>'HIST - cubic meters per day'!O262*6.2898</f>
        <v/>
      </c>
      <c r="P262" s="37">
        <f>'HIST - cubic meters per day'!P262*6.2898</f>
        <v/>
      </c>
      <c r="Q262" s="37">
        <f>'HIST - cubic meters per day'!Q262*6.2898</f>
        <v/>
      </c>
      <c r="R262" s="37">
        <f>'HIST - cubic meters per day'!R262*6.2898</f>
        <v/>
      </c>
      <c r="S262" s="46">
        <f>'HIST - cubic meters per day'!S262*6.2898</f>
        <v/>
      </c>
      <c r="U262" s="45">
        <f>'HIST - cubic meters per day'!U262*6.2898</f>
        <v/>
      </c>
      <c r="V262" s="45">
        <f>'HIST - cubic meters per day'!V262*6.2898</f>
        <v/>
      </c>
    </row>
    <row r="263" ht="12" customHeight="1">
      <c r="A263" s="44" t="n">
        <v>44470</v>
      </c>
      <c r="B263" s="37">
        <f>'HIST - cubic meters per day'!B263*6.2898</f>
        <v/>
      </c>
      <c r="C263" s="37">
        <f>'HIST - cubic meters per day'!C263*6.2898</f>
        <v/>
      </c>
      <c r="D263" s="37">
        <f>'HIST - cubic meters per day'!D263*6.2898</f>
        <v/>
      </c>
      <c r="E263" s="37">
        <f>'HIST - cubic meters per day'!E263*6.2898</f>
        <v/>
      </c>
      <c r="F263" s="37">
        <f>'HIST - cubic meters per day'!F263*6.2898</f>
        <v/>
      </c>
      <c r="G263" s="37">
        <f>'HIST - cubic meters per day'!G263*6.2898</f>
        <v/>
      </c>
      <c r="H263" s="37">
        <f>'HIST - cubic meters per day'!H263*6.2898</f>
        <v/>
      </c>
      <c r="I263" s="37">
        <f>'HIST - cubic meters per day'!I263*6.2898</f>
        <v/>
      </c>
      <c r="J263" s="37">
        <f>'HIST - cubic meters per day'!J263*6.2898</f>
        <v/>
      </c>
      <c r="K263" s="37">
        <f>'HIST - cubic meters per day'!K263*6.2898</f>
        <v/>
      </c>
      <c r="L263" s="37">
        <f>'HIST - cubic meters per day'!L263*6.2898</f>
        <v/>
      </c>
      <c r="M263" s="37">
        <f>'HIST - cubic meters per day'!M263*6.2898</f>
        <v/>
      </c>
      <c r="N263" s="37">
        <f>'HIST - cubic meters per day'!N263*6.2898</f>
        <v/>
      </c>
      <c r="O263" s="37">
        <f>'HIST - cubic meters per day'!O263*6.2898</f>
        <v/>
      </c>
      <c r="P263" s="37">
        <f>'HIST - cubic meters per day'!P263*6.2898</f>
        <v/>
      </c>
      <c r="Q263" s="37">
        <f>'HIST - cubic meters per day'!Q263*6.2898</f>
        <v/>
      </c>
      <c r="R263" s="37">
        <f>'HIST - cubic meters per day'!R263*6.2898</f>
        <v/>
      </c>
      <c r="S263" s="46">
        <f>'HIST - cubic meters per day'!S263*6.2898</f>
        <v/>
      </c>
      <c r="U263" s="45">
        <f>'HIST - cubic meters per day'!U263*6.2898</f>
        <v/>
      </c>
      <c r="V263" s="45">
        <f>'HIST - cubic meters per day'!V263*6.2898</f>
        <v/>
      </c>
    </row>
    <row r="264" ht="12" customHeight="1">
      <c r="A264" s="44" t="n">
        <v>44501</v>
      </c>
      <c r="B264" s="37">
        <f>'HIST - cubic meters per day'!B264*6.2898</f>
        <v/>
      </c>
      <c r="C264" s="37">
        <f>'HIST - cubic meters per day'!C264*6.2898</f>
        <v/>
      </c>
      <c r="D264" s="37">
        <f>'HIST - cubic meters per day'!D264*6.2898</f>
        <v/>
      </c>
      <c r="E264" s="37">
        <f>'HIST - cubic meters per day'!E264*6.2898</f>
        <v/>
      </c>
      <c r="F264" s="37">
        <f>'HIST - cubic meters per day'!F264*6.2898</f>
        <v/>
      </c>
      <c r="G264" s="37">
        <f>'HIST - cubic meters per day'!G264*6.2898</f>
        <v/>
      </c>
      <c r="H264" s="37">
        <f>'HIST - cubic meters per day'!H264*6.2898</f>
        <v/>
      </c>
      <c r="I264" s="37">
        <f>'HIST - cubic meters per day'!I264*6.2898</f>
        <v/>
      </c>
      <c r="J264" s="37">
        <f>'HIST - cubic meters per day'!J264*6.2898</f>
        <v/>
      </c>
      <c r="K264" s="37">
        <f>'HIST - cubic meters per day'!K264*6.2898</f>
        <v/>
      </c>
      <c r="L264" s="37">
        <f>'HIST - cubic meters per day'!L264*6.2898</f>
        <v/>
      </c>
      <c r="M264" s="37">
        <f>'HIST - cubic meters per day'!M264*6.2898</f>
        <v/>
      </c>
      <c r="N264" s="37">
        <f>'HIST - cubic meters per day'!N264*6.2898</f>
        <v/>
      </c>
      <c r="O264" s="37">
        <f>'HIST - cubic meters per day'!O264*6.2898</f>
        <v/>
      </c>
      <c r="P264" s="37">
        <f>'HIST - cubic meters per day'!P264*6.2898</f>
        <v/>
      </c>
      <c r="Q264" s="37">
        <f>'HIST - cubic meters per day'!Q264*6.2898</f>
        <v/>
      </c>
      <c r="R264" s="37">
        <f>'HIST - cubic meters per day'!R264*6.2898</f>
        <v/>
      </c>
      <c r="S264" s="46">
        <f>'HIST - cubic meters per day'!S264*6.2898</f>
        <v/>
      </c>
      <c r="U264" s="45">
        <f>'HIST - cubic meters per day'!U264*6.2898</f>
        <v/>
      </c>
      <c r="V264" s="45">
        <f>'HIST - cubic meters per day'!V264*6.2898</f>
        <v/>
      </c>
    </row>
    <row r="265" ht="12" customHeight="1">
      <c r="A265" s="44" t="n">
        <v>44531</v>
      </c>
      <c r="B265" s="37">
        <f>'HIST - cubic meters per day'!B265*6.2898</f>
        <v/>
      </c>
      <c r="C265" s="37">
        <f>'HIST - cubic meters per day'!C265*6.2898</f>
        <v/>
      </c>
      <c r="D265" s="37">
        <f>'HIST - cubic meters per day'!D265*6.2898</f>
        <v/>
      </c>
      <c r="E265" s="37">
        <f>'HIST - cubic meters per day'!E265*6.2898</f>
        <v/>
      </c>
      <c r="F265" s="37">
        <f>'HIST - cubic meters per day'!F265*6.2898</f>
        <v/>
      </c>
      <c r="G265" s="37">
        <f>'HIST - cubic meters per day'!G265*6.2898</f>
        <v/>
      </c>
      <c r="H265" s="37">
        <f>'HIST - cubic meters per day'!H265*6.2898</f>
        <v/>
      </c>
      <c r="I265" s="37">
        <f>'HIST - cubic meters per day'!I265*6.2898</f>
        <v/>
      </c>
      <c r="J265" s="37">
        <f>'HIST - cubic meters per day'!J265*6.2898</f>
        <v/>
      </c>
      <c r="K265" s="37">
        <f>'HIST - cubic meters per day'!K265*6.2898</f>
        <v/>
      </c>
      <c r="L265" s="37">
        <f>'HIST - cubic meters per day'!L265*6.2898</f>
        <v/>
      </c>
      <c r="M265" s="37">
        <f>'HIST - cubic meters per day'!M265*6.2898</f>
        <v/>
      </c>
      <c r="N265" s="37">
        <f>'HIST - cubic meters per day'!N265*6.2898</f>
        <v/>
      </c>
      <c r="O265" s="37">
        <f>'HIST - cubic meters per day'!O265*6.2898</f>
        <v/>
      </c>
      <c r="P265" s="37">
        <f>'HIST - cubic meters per day'!P265*6.2898</f>
        <v/>
      </c>
      <c r="Q265" s="37">
        <f>'HIST - cubic meters per day'!Q265*6.2898</f>
        <v/>
      </c>
      <c r="R265" s="37">
        <f>'HIST - cubic meters per day'!R265*6.2898</f>
        <v/>
      </c>
      <c r="S265" s="46">
        <f>'HIST - cubic meters per day'!S265*6.2898</f>
        <v/>
      </c>
      <c r="U265" s="45">
        <f>'HIST - cubic meters per day'!U265*6.2898</f>
        <v/>
      </c>
      <c r="V265" s="45">
        <f>'HIST - cubic meters per day'!V265*6.2898</f>
        <v/>
      </c>
    </row>
    <row r="266" ht="12" customHeight="1">
      <c r="A266" s="44" t="n">
        <v>44562</v>
      </c>
      <c r="B266" s="37">
        <f>'HIST - cubic meters per day'!B266*6.2898</f>
        <v/>
      </c>
      <c r="C266" s="37">
        <f>'HIST - cubic meters per day'!C266*6.2898</f>
        <v/>
      </c>
      <c r="D266" s="37">
        <f>'HIST - cubic meters per day'!D266*6.2898</f>
        <v/>
      </c>
      <c r="E266" s="37">
        <f>'HIST - cubic meters per day'!E266*6.2898</f>
        <v/>
      </c>
      <c r="F266" s="37">
        <f>'HIST - cubic meters per day'!F266*6.2898</f>
        <v/>
      </c>
      <c r="G266" s="37">
        <f>'HIST - cubic meters per day'!G266*6.2898</f>
        <v/>
      </c>
      <c r="H266" s="37">
        <f>'HIST - cubic meters per day'!H266*6.2898</f>
        <v/>
      </c>
      <c r="I266" s="37">
        <f>'HIST - cubic meters per day'!I266*6.2898</f>
        <v/>
      </c>
      <c r="J266" s="37">
        <f>'HIST - cubic meters per day'!J266*6.2898</f>
        <v/>
      </c>
      <c r="K266" s="37">
        <f>'HIST - cubic meters per day'!K266*6.2898</f>
        <v/>
      </c>
      <c r="L266" s="37">
        <f>'HIST - cubic meters per day'!L266*6.2898</f>
        <v/>
      </c>
      <c r="M266" s="37">
        <f>'HIST - cubic meters per day'!M266*6.2898</f>
        <v/>
      </c>
      <c r="N266" s="37">
        <f>'HIST - cubic meters per day'!N266*6.2898</f>
        <v/>
      </c>
      <c r="O266" s="37">
        <f>'HIST - cubic meters per day'!O266*6.2898</f>
        <v/>
      </c>
      <c r="P266" s="37">
        <f>'HIST - cubic meters per day'!P266*6.2898</f>
        <v/>
      </c>
      <c r="Q266" s="37">
        <f>'HIST - cubic meters per day'!Q266*6.2898</f>
        <v/>
      </c>
      <c r="R266" s="37">
        <f>'HIST - cubic meters per day'!R266*6.2898</f>
        <v/>
      </c>
      <c r="S266" s="46">
        <f>'HIST - cubic meters per day'!S266*6.2898</f>
        <v/>
      </c>
      <c r="U266" s="45">
        <f>'HIST - cubic meters per day'!U266*6.2898</f>
        <v/>
      </c>
      <c r="V266" s="45">
        <f>'HIST - cubic meters per day'!V266*6.2898</f>
        <v/>
      </c>
    </row>
    <row r="267" ht="12" customHeight="1">
      <c r="A267" s="44" t="n">
        <v>44593</v>
      </c>
      <c r="B267" s="37">
        <f>'HIST - cubic meters per day'!B267*6.2898</f>
        <v/>
      </c>
      <c r="C267" s="37">
        <f>'HIST - cubic meters per day'!C267*6.2898</f>
        <v/>
      </c>
      <c r="D267" s="37">
        <f>'HIST - cubic meters per day'!D267*6.2898</f>
        <v/>
      </c>
      <c r="E267" s="37">
        <f>'HIST - cubic meters per day'!E267*6.2898</f>
        <v/>
      </c>
      <c r="F267" s="37">
        <f>'HIST - cubic meters per day'!F267*6.2898</f>
        <v/>
      </c>
      <c r="G267" s="37">
        <f>'HIST - cubic meters per day'!G267*6.2898</f>
        <v/>
      </c>
      <c r="H267" s="37">
        <f>'HIST - cubic meters per day'!H267*6.2898</f>
        <v/>
      </c>
      <c r="I267" s="37">
        <f>'HIST - cubic meters per day'!I267*6.2898</f>
        <v/>
      </c>
      <c r="J267" s="37">
        <f>'HIST - cubic meters per day'!J267*6.2898</f>
        <v/>
      </c>
      <c r="K267" s="37">
        <f>'HIST - cubic meters per day'!K267*6.2898</f>
        <v/>
      </c>
      <c r="L267" s="37">
        <f>'HIST - cubic meters per day'!L267*6.2898</f>
        <v/>
      </c>
      <c r="M267" s="37">
        <f>'HIST - cubic meters per day'!M267*6.2898</f>
        <v/>
      </c>
      <c r="N267" s="37">
        <f>'HIST - cubic meters per day'!N267*6.2898</f>
        <v/>
      </c>
      <c r="O267" s="37">
        <f>'HIST - cubic meters per day'!O267*6.2898</f>
        <v/>
      </c>
      <c r="P267" s="37">
        <f>'HIST - cubic meters per day'!P267*6.2898</f>
        <v/>
      </c>
      <c r="Q267" s="37">
        <f>'HIST - cubic meters per day'!Q267*6.2898</f>
        <v/>
      </c>
      <c r="R267" s="37">
        <f>'HIST - cubic meters per day'!R267*6.2898</f>
        <v/>
      </c>
      <c r="S267" s="46">
        <f>'HIST - cubic meters per day'!S267*6.2898</f>
        <v/>
      </c>
      <c r="U267" s="45">
        <f>'HIST - cubic meters per day'!U267*6.2898</f>
        <v/>
      </c>
      <c r="V267" s="45">
        <f>'HIST - cubic meters per day'!V267*6.2898</f>
        <v/>
      </c>
    </row>
    <row r="268" ht="12" customHeight="1">
      <c r="A268" s="44" t="n">
        <v>44621</v>
      </c>
      <c r="B268" s="37">
        <f>'HIST - cubic meters per day'!B268*6.2898</f>
        <v/>
      </c>
      <c r="C268" s="37">
        <f>'HIST - cubic meters per day'!C268*6.2898</f>
        <v/>
      </c>
      <c r="D268" s="37">
        <f>'HIST - cubic meters per day'!D268*6.2898</f>
        <v/>
      </c>
      <c r="E268" s="37">
        <f>'HIST - cubic meters per day'!E268*6.2898</f>
        <v/>
      </c>
      <c r="F268" s="37">
        <f>'HIST - cubic meters per day'!F268*6.2898</f>
        <v/>
      </c>
      <c r="G268" s="37">
        <f>'HIST - cubic meters per day'!G268*6.2898</f>
        <v/>
      </c>
      <c r="H268" s="37">
        <f>'HIST - cubic meters per day'!H268*6.2898</f>
        <v/>
      </c>
      <c r="I268" s="37">
        <f>'HIST - cubic meters per day'!I268*6.2898</f>
        <v/>
      </c>
      <c r="J268" s="37">
        <f>'HIST - cubic meters per day'!J268*6.2898</f>
        <v/>
      </c>
      <c r="K268" s="37">
        <f>'HIST - cubic meters per day'!K268*6.2898</f>
        <v/>
      </c>
      <c r="L268" s="37">
        <f>'HIST - cubic meters per day'!L268*6.2898</f>
        <v/>
      </c>
      <c r="M268" s="37">
        <f>'HIST - cubic meters per day'!M268*6.2898</f>
        <v/>
      </c>
      <c r="N268" s="37">
        <f>'HIST - cubic meters per day'!N268*6.2898</f>
        <v/>
      </c>
      <c r="O268" s="37">
        <f>'HIST - cubic meters per day'!O268*6.2898</f>
        <v/>
      </c>
      <c r="P268" s="37">
        <f>'HIST - cubic meters per day'!P268*6.2898</f>
        <v/>
      </c>
      <c r="Q268" s="37">
        <f>'HIST - cubic meters per day'!Q268*6.2898</f>
        <v/>
      </c>
      <c r="R268" s="37">
        <f>'HIST - cubic meters per day'!R268*6.2898</f>
        <v/>
      </c>
      <c r="S268" s="46">
        <f>'HIST - cubic meters per day'!S268*6.2898</f>
        <v/>
      </c>
      <c r="U268" s="45">
        <f>'HIST - cubic meters per day'!U268*6.2898</f>
        <v/>
      </c>
      <c r="V268" s="45">
        <f>'HIST - cubic meters per day'!V268*6.2898</f>
        <v/>
      </c>
    </row>
    <row r="269" ht="12" customHeight="1">
      <c r="A269" s="44" t="n">
        <v>44652</v>
      </c>
      <c r="B269" s="37">
        <f>'HIST - cubic meters per day'!B269*6.2898</f>
        <v/>
      </c>
      <c r="C269" s="37">
        <f>'HIST - cubic meters per day'!C269*6.2898</f>
        <v/>
      </c>
      <c r="D269" s="37">
        <f>'HIST - cubic meters per day'!D269*6.2898</f>
        <v/>
      </c>
      <c r="E269" s="37">
        <f>'HIST - cubic meters per day'!E269*6.2898</f>
        <v/>
      </c>
      <c r="F269" s="37">
        <f>'HIST - cubic meters per day'!F269*6.2898</f>
        <v/>
      </c>
      <c r="G269" s="37">
        <f>'HIST - cubic meters per day'!G269*6.2898</f>
        <v/>
      </c>
      <c r="H269" s="37">
        <f>'HIST - cubic meters per day'!H269*6.2898</f>
        <v/>
      </c>
      <c r="I269" s="37">
        <f>'HIST - cubic meters per day'!I269*6.2898</f>
        <v/>
      </c>
      <c r="J269" s="37">
        <f>'HIST - cubic meters per day'!J269*6.2898</f>
        <v/>
      </c>
      <c r="K269" s="37">
        <f>'HIST - cubic meters per day'!K269*6.2898</f>
        <v/>
      </c>
      <c r="L269" s="37">
        <f>'HIST - cubic meters per day'!L269*6.2898</f>
        <v/>
      </c>
      <c r="M269" s="37">
        <f>'HIST - cubic meters per day'!M269*6.2898</f>
        <v/>
      </c>
      <c r="N269" s="37">
        <f>'HIST - cubic meters per day'!N269*6.2898</f>
        <v/>
      </c>
      <c r="O269" s="37">
        <f>'HIST - cubic meters per day'!O269*6.2898</f>
        <v/>
      </c>
      <c r="P269" s="37">
        <f>'HIST - cubic meters per day'!P269*6.2898</f>
        <v/>
      </c>
      <c r="Q269" s="37">
        <f>'HIST - cubic meters per day'!Q269*6.2898</f>
        <v/>
      </c>
      <c r="R269" s="37">
        <f>'HIST - cubic meters per day'!R269*6.2898</f>
        <v/>
      </c>
      <c r="S269" s="46">
        <f>'HIST - cubic meters per day'!S269*6.2898</f>
        <v/>
      </c>
      <c r="U269" s="45">
        <f>'HIST - cubic meters per day'!U269*6.2898</f>
        <v/>
      </c>
      <c r="V269" s="45">
        <f>'HIST - cubic meters per day'!V269*6.2898</f>
        <v/>
      </c>
    </row>
    <row r="270" ht="12" customHeight="1">
      <c r="A270" s="44" t="n">
        <v>44682</v>
      </c>
      <c r="B270" s="37">
        <f>'HIST - cubic meters per day'!B270*6.2898</f>
        <v/>
      </c>
      <c r="C270" s="37">
        <f>'HIST - cubic meters per day'!C270*6.2898</f>
        <v/>
      </c>
      <c r="D270" s="37">
        <f>'HIST - cubic meters per day'!D270*6.2898</f>
        <v/>
      </c>
      <c r="E270" s="37">
        <f>'HIST - cubic meters per day'!E270*6.2898</f>
        <v/>
      </c>
      <c r="F270" s="37">
        <f>'HIST - cubic meters per day'!F270*6.2898</f>
        <v/>
      </c>
      <c r="G270" s="37">
        <f>'HIST - cubic meters per day'!G270*6.2898</f>
        <v/>
      </c>
      <c r="H270" s="37">
        <f>'HIST - cubic meters per day'!H270*6.2898</f>
        <v/>
      </c>
      <c r="I270" s="37">
        <f>'HIST - cubic meters per day'!I270*6.2898</f>
        <v/>
      </c>
      <c r="J270" s="37">
        <f>'HIST - cubic meters per day'!J270*6.2898</f>
        <v/>
      </c>
      <c r="K270" s="37">
        <f>'HIST - cubic meters per day'!K270*6.2898</f>
        <v/>
      </c>
      <c r="L270" s="37">
        <f>'HIST - cubic meters per day'!L270*6.2898</f>
        <v/>
      </c>
      <c r="M270" s="37">
        <f>'HIST - cubic meters per day'!M270*6.2898</f>
        <v/>
      </c>
      <c r="N270" s="37">
        <f>'HIST - cubic meters per day'!N270*6.2898</f>
        <v/>
      </c>
      <c r="O270" s="37">
        <f>'HIST - cubic meters per day'!O270*6.2898</f>
        <v/>
      </c>
      <c r="P270" s="37">
        <f>'HIST - cubic meters per day'!P270*6.2898</f>
        <v/>
      </c>
      <c r="Q270" s="37">
        <f>'HIST - cubic meters per day'!Q270*6.2898</f>
        <v/>
      </c>
      <c r="R270" s="37">
        <f>'HIST - cubic meters per day'!R270*6.2898</f>
        <v/>
      </c>
      <c r="S270" s="46">
        <f>'HIST - cubic meters per day'!S270*6.2898</f>
        <v/>
      </c>
      <c r="U270" s="45">
        <f>'HIST - cubic meters per day'!U270*6.2898</f>
        <v/>
      </c>
      <c r="V270" s="45">
        <f>'HIST - cubic meters per day'!V270*6.2898</f>
        <v/>
      </c>
    </row>
    <row r="271" ht="12" customHeight="1">
      <c r="A271" s="44" t="n">
        <v>44713</v>
      </c>
      <c r="B271" s="37">
        <f>'HIST - cubic meters per day'!B271*6.2898</f>
        <v/>
      </c>
      <c r="C271" s="37">
        <f>'HIST - cubic meters per day'!C271*6.2898</f>
        <v/>
      </c>
      <c r="D271" s="37">
        <f>'HIST - cubic meters per day'!D271*6.2898</f>
        <v/>
      </c>
      <c r="E271" s="37">
        <f>'HIST - cubic meters per day'!E271*6.2898</f>
        <v/>
      </c>
      <c r="F271" s="37">
        <f>'HIST - cubic meters per day'!F271*6.2898</f>
        <v/>
      </c>
      <c r="G271" s="37">
        <f>'HIST - cubic meters per day'!G271*6.2898</f>
        <v/>
      </c>
      <c r="H271" s="37">
        <f>'HIST - cubic meters per day'!H271*6.2898</f>
        <v/>
      </c>
      <c r="I271" s="37">
        <f>'HIST - cubic meters per day'!I271*6.2898</f>
        <v/>
      </c>
      <c r="J271" s="37">
        <f>'HIST - cubic meters per day'!J271*6.2898</f>
        <v/>
      </c>
      <c r="K271" s="37">
        <f>'HIST - cubic meters per day'!K271*6.2898</f>
        <v/>
      </c>
      <c r="L271" s="37">
        <f>'HIST - cubic meters per day'!L271*6.2898</f>
        <v/>
      </c>
      <c r="M271" s="37">
        <f>'HIST - cubic meters per day'!M271*6.2898</f>
        <v/>
      </c>
      <c r="N271" s="37">
        <f>'HIST - cubic meters per day'!N271*6.2898</f>
        <v/>
      </c>
      <c r="O271" s="37">
        <f>'HIST - cubic meters per day'!O271*6.2898</f>
        <v/>
      </c>
      <c r="P271" s="37">
        <f>'HIST - cubic meters per day'!P271*6.2898</f>
        <v/>
      </c>
      <c r="Q271" s="37">
        <f>'HIST - cubic meters per day'!Q271*6.2898</f>
        <v/>
      </c>
      <c r="R271" s="37">
        <f>'HIST - cubic meters per day'!R271*6.2898</f>
        <v/>
      </c>
      <c r="S271" s="46">
        <f>'HIST - cubic meters per day'!S271*6.2898</f>
        <v/>
      </c>
      <c r="U271" s="45">
        <f>'HIST - cubic meters per day'!U271*6.2898</f>
        <v/>
      </c>
      <c r="V271" s="45">
        <f>'HIST - cubic meters per day'!V271*6.2898</f>
        <v/>
      </c>
    </row>
    <row r="272" ht="12" customHeight="1">
      <c r="A272" s="44" t="n">
        <v>44743</v>
      </c>
      <c r="B272" s="37">
        <f>'HIST - cubic meters per day'!B272*6.2898</f>
        <v/>
      </c>
      <c r="C272" s="37">
        <f>'HIST - cubic meters per day'!C272*6.2898</f>
        <v/>
      </c>
      <c r="D272" s="37">
        <f>'HIST - cubic meters per day'!D272*6.2898</f>
        <v/>
      </c>
      <c r="E272" s="37">
        <f>'HIST - cubic meters per day'!E272*6.2898</f>
        <v/>
      </c>
      <c r="F272" s="37">
        <f>'HIST - cubic meters per day'!F272*6.2898</f>
        <v/>
      </c>
      <c r="G272" s="37">
        <f>'HIST - cubic meters per day'!G272*6.2898</f>
        <v/>
      </c>
      <c r="H272" s="37">
        <f>'HIST - cubic meters per day'!H272*6.2898</f>
        <v/>
      </c>
      <c r="I272" s="37">
        <f>'HIST - cubic meters per day'!I272*6.2898</f>
        <v/>
      </c>
      <c r="J272" s="37">
        <f>'HIST - cubic meters per day'!J272*6.2898</f>
        <v/>
      </c>
      <c r="K272" s="37">
        <f>'HIST - cubic meters per day'!K272*6.2898</f>
        <v/>
      </c>
      <c r="L272" s="37">
        <f>'HIST - cubic meters per day'!L272*6.2898</f>
        <v/>
      </c>
      <c r="M272" s="37">
        <f>'HIST - cubic meters per day'!M272*6.2898</f>
        <v/>
      </c>
      <c r="N272" s="37">
        <f>'HIST - cubic meters per day'!N272*6.2898</f>
        <v/>
      </c>
      <c r="O272" s="37">
        <f>'HIST - cubic meters per day'!O272*6.2898</f>
        <v/>
      </c>
      <c r="P272" s="37">
        <f>'HIST - cubic meters per day'!P272*6.2898</f>
        <v/>
      </c>
      <c r="Q272" s="37">
        <f>'HIST - cubic meters per day'!Q272*6.2898</f>
        <v/>
      </c>
      <c r="R272" s="37">
        <f>'HIST - cubic meters per day'!R272*6.2898</f>
        <v/>
      </c>
      <c r="S272" s="46">
        <f>'HIST - cubic meters per day'!S272*6.2898</f>
        <v/>
      </c>
      <c r="U272" s="45">
        <f>'HIST - cubic meters per day'!U272*6.2898</f>
        <v/>
      </c>
      <c r="V272" s="45">
        <f>'HIST - cubic meters per day'!V272*6.2898</f>
        <v/>
      </c>
    </row>
    <row r="273" ht="12" customHeight="1">
      <c r="A273" s="44" t="n">
        <v>44774</v>
      </c>
      <c r="B273" s="37">
        <f>'HIST - cubic meters per day'!B273*6.2898</f>
        <v/>
      </c>
      <c r="C273" s="37">
        <f>'HIST - cubic meters per day'!C273*6.2898</f>
        <v/>
      </c>
      <c r="D273" s="37">
        <f>'HIST - cubic meters per day'!D273*6.2898</f>
        <v/>
      </c>
      <c r="E273" s="37">
        <f>'HIST - cubic meters per day'!E273*6.2898</f>
        <v/>
      </c>
      <c r="F273" s="37">
        <f>'HIST - cubic meters per day'!F273*6.2898</f>
        <v/>
      </c>
      <c r="G273" s="37">
        <f>'HIST - cubic meters per day'!G273*6.2898</f>
        <v/>
      </c>
      <c r="H273" s="37">
        <f>'HIST - cubic meters per day'!H273*6.2898</f>
        <v/>
      </c>
      <c r="I273" s="37">
        <f>'HIST - cubic meters per day'!I273*6.2898</f>
        <v/>
      </c>
      <c r="J273" s="37">
        <f>'HIST - cubic meters per day'!J273*6.2898</f>
        <v/>
      </c>
      <c r="K273" s="37">
        <f>'HIST - cubic meters per day'!K273*6.2898</f>
        <v/>
      </c>
      <c r="L273" s="37">
        <f>'HIST - cubic meters per day'!L273*6.2898</f>
        <v/>
      </c>
      <c r="M273" s="37">
        <f>'HIST - cubic meters per day'!M273*6.2898</f>
        <v/>
      </c>
      <c r="N273" s="37">
        <f>'HIST - cubic meters per day'!N273*6.2898</f>
        <v/>
      </c>
      <c r="O273" s="37">
        <f>'HIST - cubic meters per day'!O273*6.2898</f>
        <v/>
      </c>
      <c r="P273" s="37">
        <f>'HIST - cubic meters per day'!P273*6.2898</f>
        <v/>
      </c>
      <c r="Q273" s="37">
        <f>'HIST - cubic meters per day'!Q273*6.2898</f>
        <v/>
      </c>
      <c r="R273" s="37">
        <f>'HIST - cubic meters per day'!R273*6.2898</f>
        <v/>
      </c>
      <c r="S273" s="46">
        <f>'HIST - cubic meters per day'!S273*6.2898</f>
        <v/>
      </c>
      <c r="U273" s="45">
        <f>'HIST - cubic meters per day'!U273*6.2898</f>
        <v/>
      </c>
      <c r="V273" s="45">
        <f>'HIST - cubic meters per day'!V273*6.2898</f>
        <v/>
      </c>
    </row>
    <row r="274" ht="12" customHeight="1">
      <c r="A274" s="44" t="n">
        <v>44805</v>
      </c>
      <c r="B274" s="37">
        <f>'HIST - cubic meters per day'!B274*6.2898</f>
        <v/>
      </c>
      <c r="C274" s="37">
        <f>'HIST - cubic meters per day'!C274*6.2898</f>
        <v/>
      </c>
      <c r="D274" s="37">
        <f>'HIST - cubic meters per day'!D274*6.2898</f>
        <v/>
      </c>
      <c r="E274" s="37">
        <f>'HIST - cubic meters per day'!E274*6.2898</f>
        <v/>
      </c>
      <c r="F274" s="37">
        <f>'HIST - cubic meters per day'!F274*6.2898</f>
        <v/>
      </c>
      <c r="G274" s="37">
        <f>'HIST - cubic meters per day'!G274*6.2898</f>
        <v/>
      </c>
      <c r="H274" s="37">
        <f>'HIST - cubic meters per day'!H274*6.2898</f>
        <v/>
      </c>
      <c r="I274" s="37">
        <f>'HIST - cubic meters per day'!I274*6.2898</f>
        <v/>
      </c>
      <c r="J274" s="37">
        <f>'HIST - cubic meters per day'!J274*6.2898</f>
        <v/>
      </c>
      <c r="K274" s="37">
        <f>'HIST - cubic meters per day'!K274*6.2898</f>
        <v/>
      </c>
      <c r="L274" s="37">
        <f>'HIST - cubic meters per day'!L274*6.2898</f>
        <v/>
      </c>
      <c r="M274" s="37">
        <f>'HIST - cubic meters per day'!M274*6.2898</f>
        <v/>
      </c>
      <c r="N274" s="37">
        <f>'HIST - cubic meters per day'!N274*6.2898</f>
        <v/>
      </c>
      <c r="O274" s="37">
        <f>'HIST - cubic meters per day'!O274*6.2898</f>
        <v/>
      </c>
      <c r="P274" s="37">
        <f>'HIST - cubic meters per day'!P274*6.2898</f>
        <v/>
      </c>
      <c r="Q274" s="37">
        <f>'HIST - cubic meters per day'!Q274*6.2898</f>
        <v/>
      </c>
      <c r="R274" s="37">
        <f>'HIST - cubic meters per day'!R274*6.2898</f>
        <v/>
      </c>
      <c r="S274" s="46">
        <f>'HIST - cubic meters per day'!S274*6.2898</f>
        <v/>
      </c>
      <c r="U274" s="45">
        <f>'HIST - cubic meters per day'!U274*6.2898</f>
        <v/>
      </c>
      <c r="V274" s="45">
        <f>'HIST - cubic meters per day'!V274*6.2898</f>
        <v/>
      </c>
    </row>
    <row r="275" ht="12" customHeight="1">
      <c r="A275" s="44" t="n">
        <v>44835</v>
      </c>
      <c r="B275" s="37">
        <f>'HIST - cubic meters per day'!B275*6.2898</f>
        <v/>
      </c>
      <c r="C275" s="37">
        <f>'HIST - cubic meters per day'!C275*6.2898</f>
        <v/>
      </c>
      <c r="D275" s="37">
        <f>'HIST - cubic meters per day'!D275*6.2898</f>
        <v/>
      </c>
      <c r="E275" s="37">
        <f>'HIST - cubic meters per day'!E275*6.2898</f>
        <v/>
      </c>
      <c r="F275" s="37">
        <f>'HIST - cubic meters per day'!F275*6.2898</f>
        <v/>
      </c>
      <c r="G275" s="37">
        <f>'HIST - cubic meters per day'!G275*6.2898</f>
        <v/>
      </c>
      <c r="H275" s="37">
        <f>'HIST - cubic meters per day'!H275*6.2898</f>
        <v/>
      </c>
      <c r="I275" s="37">
        <f>'HIST - cubic meters per day'!I275*6.2898</f>
        <v/>
      </c>
      <c r="J275" s="37">
        <f>'HIST - cubic meters per day'!J275*6.2898</f>
        <v/>
      </c>
      <c r="K275" s="37">
        <f>'HIST - cubic meters per day'!K275*6.2898</f>
        <v/>
      </c>
      <c r="L275" s="37">
        <f>'HIST - cubic meters per day'!L275*6.2898</f>
        <v/>
      </c>
      <c r="M275" s="37">
        <f>'HIST - cubic meters per day'!M275*6.2898</f>
        <v/>
      </c>
      <c r="N275" s="37">
        <f>'HIST - cubic meters per day'!N275*6.2898</f>
        <v/>
      </c>
      <c r="O275" s="37">
        <f>'HIST - cubic meters per day'!O275*6.2898</f>
        <v/>
      </c>
      <c r="P275" s="37">
        <f>'HIST - cubic meters per day'!P275*6.2898</f>
        <v/>
      </c>
      <c r="Q275" s="37">
        <f>'HIST - cubic meters per day'!Q275*6.2898</f>
        <v/>
      </c>
      <c r="R275" s="37">
        <f>'HIST - cubic meters per day'!R275*6.2898</f>
        <v/>
      </c>
      <c r="S275" s="46">
        <f>'HIST - cubic meters per day'!S275*6.2898</f>
        <v/>
      </c>
      <c r="U275" s="45">
        <f>'HIST - cubic meters per day'!U275*6.2898</f>
        <v/>
      </c>
      <c r="V275" s="45">
        <f>'HIST - cubic meters per day'!V275*6.2898</f>
        <v/>
      </c>
    </row>
    <row r="276" ht="12" customHeight="1">
      <c r="A276" s="44" t="n">
        <v>44866</v>
      </c>
      <c r="B276" s="37">
        <f>'HIST - cubic meters per day'!B276*6.2898</f>
        <v/>
      </c>
      <c r="C276" s="37">
        <f>'HIST - cubic meters per day'!C276*6.2898</f>
        <v/>
      </c>
      <c r="D276" s="37">
        <f>'HIST - cubic meters per day'!D276*6.2898</f>
        <v/>
      </c>
      <c r="E276" s="37">
        <f>'HIST - cubic meters per day'!E276*6.2898</f>
        <v/>
      </c>
      <c r="F276" s="37">
        <f>'HIST - cubic meters per day'!F276*6.2898</f>
        <v/>
      </c>
      <c r="G276" s="37">
        <f>'HIST - cubic meters per day'!G276*6.2898</f>
        <v/>
      </c>
      <c r="H276" s="37">
        <f>'HIST - cubic meters per day'!H276*6.2898</f>
        <v/>
      </c>
      <c r="I276" s="37">
        <f>'HIST - cubic meters per day'!I276*6.2898</f>
        <v/>
      </c>
      <c r="J276" s="37">
        <f>'HIST - cubic meters per day'!J276*6.2898</f>
        <v/>
      </c>
      <c r="K276" s="37">
        <f>'HIST - cubic meters per day'!K276*6.2898</f>
        <v/>
      </c>
      <c r="L276" s="37">
        <f>'HIST - cubic meters per day'!L276*6.2898</f>
        <v/>
      </c>
      <c r="M276" s="37">
        <f>'HIST - cubic meters per day'!M276*6.2898</f>
        <v/>
      </c>
      <c r="N276" s="37">
        <f>'HIST - cubic meters per day'!N276*6.2898</f>
        <v/>
      </c>
      <c r="O276" s="37">
        <f>'HIST - cubic meters per day'!O276*6.2898</f>
        <v/>
      </c>
      <c r="P276" s="37">
        <f>'HIST - cubic meters per day'!P276*6.2898</f>
        <v/>
      </c>
      <c r="Q276" s="37">
        <f>'HIST - cubic meters per day'!Q276*6.2898</f>
        <v/>
      </c>
      <c r="R276" s="37">
        <f>'HIST - cubic meters per day'!R276*6.2898</f>
        <v/>
      </c>
      <c r="S276" s="46">
        <f>'HIST - cubic meters per day'!S276*6.2898</f>
        <v/>
      </c>
      <c r="U276" s="45">
        <f>'HIST - cubic meters per day'!U276*6.2898</f>
        <v/>
      </c>
      <c r="V276" s="45">
        <f>'HIST - cubic meters per day'!V276*6.2898</f>
        <v/>
      </c>
    </row>
    <row r="277" ht="12" customHeight="1">
      <c r="A277" s="44" t="n">
        <v>44896</v>
      </c>
      <c r="B277" s="37">
        <f>'HIST - cubic meters per day'!B277*6.2898</f>
        <v/>
      </c>
      <c r="C277" s="37">
        <f>'HIST - cubic meters per day'!C277*6.2898</f>
        <v/>
      </c>
      <c r="D277" s="37">
        <f>'HIST - cubic meters per day'!D277*6.2898</f>
        <v/>
      </c>
      <c r="E277" s="37">
        <f>'HIST - cubic meters per day'!E277*6.2898</f>
        <v/>
      </c>
      <c r="F277" s="37">
        <f>'HIST - cubic meters per day'!F277*6.2898</f>
        <v/>
      </c>
      <c r="G277" s="37">
        <f>'HIST - cubic meters per day'!G277*6.2898</f>
        <v/>
      </c>
      <c r="H277" s="37">
        <f>'HIST - cubic meters per day'!H277*6.2898</f>
        <v/>
      </c>
      <c r="I277" s="37">
        <f>'HIST - cubic meters per day'!I277*6.2898</f>
        <v/>
      </c>
      <c r="J277" s="37">
        <f>'HIST - cubic meters per day'!J277*6.2898</f>
        <v/>
      </c>
      <c r="K277" s="37">
        <f>'HIST - cubic meters per day'!K277*6.2898</f>
        <v/>
      </c>
      <c r="L277" s="37">
        <f>'HIST - cubic meters per day'!L277*6.2898</f>
        <v/>
      </c>
      <c r="M277" s="37">
        <f>'HIST - cubic meters per day'!M277*6.2898</f>
        <v/>
      </c>
      <c r="N277" s="37">
        <f>'HIST - cubic meters per day'!N277*6.2898</f>
        <v/>
      </c>
      <c r="O277" s="37">
        <f>'HIST - cubic meters per day'!O277*6.2898</f>
        <v/>
      </c>
      <c r="P277" s="37">
        <f>'HIST - cubic meters per day'!P277*6.2898</f>
        <v/>
      </c>
      <c r="Q277" s="37">
        <f>'HIST - cubic meters per day'!Q277*6.2898</f>
        <v/>
      </c>
      <c r="R277" s="37">
        <f>'HIST - cubic meters per day'!R277*6.2898</f>
        <v/>
      </c>
      <c r="S277" s="46">
        <f>'HIST - cubic meters per day'!S277*6.2898</f>
        <v/>
      </c>
      <c r="U277" s="45">
        <f>'HIST - cubic meters per day'!U277*6.2898</f>
        <v/>
      </c>
      <c r="V277" s="45">
        <f>'HIST - cubic meters per day'!V277*6.2898</f>
        <v/>
      </c>
    </row>
    <row r="278" ht="12" customHeight="1">
      <c r="A278" s="44" t="n">
        <v>44927</v>
      </c>
      <c r="B278" s="37">
        <f>'HIST - cubic meters per day'!B278*6.2898</f>
        <v/>
      </c>
      <c r="C278" s="37">
        <f>'HIST - cubic meters per day'!C278*6.2898</f>
        <v/>
      </c>
      <c r="D278" s="37">
        <f>'HIST - cubic meters per day'!D278*6.2898</f>
        <v/>
      </c>
      <c r="E278" s="37">
        <f>'HIST - cubic meters per day'!E278*6.2898</f>
        <v/>
      </c>
      <c r="F278" s="37">
        <f>'HIST - cubic meters per day'!F278*6.2898</f>
        <v/>
      </c>
      <c r="G278" s="37">
        <f>'HIST - cubic meters per day'!G278*6.2898</f>
        <v/>
      </c>
      <c r="H278" s="37">
        <f>'HIST - cubic meters per day'!H278*6.2898</f>
        <v/>
      </c>
      <c r="I278" s="37">
        <f>'HIST - cubic meters per day'!I278*6.2898</f>
        <v/>
      </c>
      <c r="J278" s="37">
        <f>'HIST - cubic meters per day'!J278*6.2898</f>
        <v/>
      </c>
      <c r="K278" s="37">
        <f>'HIST - cubic meters per day'!K278*6.2898</f>
        <v/>
      </c>
      <c r="L278" s="37">
        <f>'HIST - cubic meters per day'!L278*6.2898</f>
        <v/>
      </c>
      <c r="M278" s="37">
        <f>'HIST - cubic meters per day'!M278*6.2898</f>
        <v/>
      </c>
      <c r="N278" s="37">
        <f>'HIST - cubic meters per day'!N278*6.2898</f>
        <v/>
      </c>
      <c r="O278" s="37">
        <f>'HIST - cubic meters per day'!O278*6.2898</f>
        <v/>
      </c>
      <c r="P278" s="37">
        <f>'HIST - cubic meters per day'!P278*6.2898</f>
        <v/>
      </c>
      <c r="Q278" s="37">
        <f>'HIST - cubic meters per day'!Q278*6.2898</f>
        <v/>
      </c>
      <c r="R278" s="37">
        <f>'HIST - cubic meters per day'!R278*6.2898</f>
        <v/>
      </c>
      <c r="S278" s="46">
        <f>'HIST - cubic meters per day'!S278*6.2898</f>
        <v/>
      </c>
      <c r="U278" s="45">
        <f>'HIST - cubic meters per day'!U278*6.2898</f>
        <v/>
      </c>
      <c r="V278" s="45">
        <f>'HIST - cubic meters per day'!V278*6.2898</f>
        <v/>
      </c>
      <c r="X278" s="52" t="n"/>
    </row>
    <row r="279" ht="12" customHeight="1">
      <c r="A279" s="44" t="n">
        <v>44958</v>
      </c>
      <c r="B279" s="37">
        <f>'HIST - cubic meters per day'!B279*6.2898</f>
        <v/>
      </c>
      <c r="C279" s="37">
        <f>'HIST - cubic meters per day'!C279*6.2898</f>
        <v/>
      </c>
      <c r="D279" s="37">
        <f>'HIST - cubic meters per day'!D279*6.2898</f>
        <v/>
      </c>
      <c r="E279" s="37">
        <f>'HIST - cubic meters per day'!E279*6.2898</f>
        <v/>
      </c>
      <c r="F279" s="37">
        <f>'HIST - cubic meters per day'!F279*6.2898</f>
        <v/>
      </c>
      <c r="G279" s="37">
        <f>'HIST - cubic meters per day'!G279*6.2898</f>
        <v/>
      </c>
      <c r="H279" s="37">
        <f>'HIST - cubic meters per day'!H279*6.2898</f>
        <v/>
      </c>
      <c r="I279" s="37">
        <f>'HIST - cubic meters per day'!I279*6.2898</f>
        <v/>
      </c>
      <c r="J279" s="37">
        <f>'HIST - cubic meters per day'!J279*6.2898</f>
        <v/>
      </c>
      <c r="K279" s="37">
        <f>'HIST - cubic meters per day'!K279*6.2898</f>
        <v/>
      </c>
      <c r="L279" s="37">
        <f>'HIST - cubic meters per day'!L279*6.2898</f>
        <v/>
      </c>
      <c r="M279" s="37">
        <f>'HIST - cubic meters per day'!M279*6.2898</f>
        <v/>
      </c>
      <c r="N279" s="37">
        <f>'HIST - cubic meters per day'!N279*6.2898</f>
        <v/>
      </c>
      <c r="O279" s="37">
        <f>'HIST - cubic meters per day'!O279*6.2898</f>
        <v/>
      </c>
      <c r="P279" s="37">
        <f>'HIST - cubic meters per day'!P279*6.2898</f>
        <v/>
      </c>
      <c r="Q279" s="37">
        <f>'HIST - cubic meters per day'!Q279*6.2898</f>
        <v/>
      </c>
      <c r="R279" s="37">
        <f>'HIST - cubic meters per day'!R279*6.2898</f>
        <v/>
      </c>
      <c r="S279" s="46">
        <f>'HIST - cubic meters per day'!S279*6.2898</f>
        <v/>
      </c>
      <c r="U279" s="45">
        <f>'HIST - cubic meters per day'!U279*6.2898</f>
        <v/>
      </c>
      <c r="V279" s="45">
        <f>'HIST - cubic meters per day'!V279*6.2898</f>
        <v/>
      </c>
      <c r="X279" s="52" t="n"/>
    </row>
    <row r="280" ht="12" customHeight="1">
      <c r="A280" s="44" t="n">
        <v>44986</v>
      </c>
      <c r="B280" s="37">
        <f>'HIST - cubic meters per day'!B280*6.2898</f>
        <v/>
      </c>
      <c r="C280" s="37">
        <f>'HIST - cubic meters per day'!C280*6.2898</f>
        <v/>
      </c>
      <c r="D280" s="37">
        <f>'HIST - cubic meters per day'!D280*6.2898</f>
        <v/>
      </c>
      <c r="E280" s="37">
        <f>'HIST - cubic meters per day'!E280*6.2898</f>
        <v/>
      </c>
      <c r="F280" s="37">
        <f>'HIST - cubic meters per day'!F280*6.2898</f>
        <v/>
      </c>
      <c r="G280" s="37">
        <f>'HIST - cubic meters per day'!G280*6.2898</f>
        <v/>
      </c>
      <c r="H280" s="37">
        <f>'HIST - cubic meters per day'!H280*6.2898</f>
        <v/>
      </c>
      <c r="I280" s="37">
        <f>'HIST - cubic meters per day'!I280*6.2898</f>
        <v/>
      </c>
      <c r="J280" s="37">
        <f>'HIST - cubic meters per day'!J280*6.2898</f>
        <v/>
      </c>
      <c r="K280" s="37">
        <f>'HIST - cubic meters per day'!K280*6.2898</f>
        <v/>
      </c>
      <c r="L280" s="37">
        <f>'HIST - cubic meters per day'!L280*6.2898</f>
        <v/>
      </c>
      <c r="M280" s="37">
        <f>'HIST - cubic meters per day'!M280*6.2898</f>
        <v/>
      </c>
      <c r="N280" s="37">
        <f>'HIST - cubic meters per day'!N280*6.2898</f>
        <v/>
      </c>
      <c r="O280" s="37">
        <f>'HIST - cubic meters per day'!O280*6.2898</f>
        <v/>
      </c>
      <c r="P280" s="37">
        <f>'HIST - cubic meters per day'!P280*6.2898</f>
        <v/>
      </c>
      <c r="Q280" s="37">
        <f>'HIST - cubic meters per day'!Q280*6.2898</f>
        <v/>
      </c>
      <c r="R280" s="37">
        <f>'HIST - cubic meters per day'!R280*6.2898</f>
        <v/>
      </c>
      <c r="S280" s="46">
        <f>'HIST - cubic meters per day'!S280*6.2898</f>
        <v/>
      </c>
      <c r="U280" s="45">
        <f>'HIST - cubic meters per day'!U280*6.2898</f>
        <v/>
      </c>
      <c r="V280" s="45">
        <f>'HIST - cubic meters per day'!V280*6.2898</f>
        <v/>
      </c>
    </row>
    <row r="281" ht="12" customHeight="1">
      <c r="A281" s="44" t="n">
        <v>45017</v>
      </c>
      <c r="B281" s="37">
        <f>'HIST - cubic meters per day'!B281*6.2898</f>
        <v/>
      </c>
      <c r="C281" s="37">
        <f>'HIST - cubic meters per day'!C281*6.2898</f>
        <v/>
      </c>
      <c r="D281" s="37">
        <f>'HIST - cubic meters per day'!D281*6.2898</f>
        <v/>
      </c>
      <c r="E281" s="37">
        <f>'HIST - cubic meters per day'!E281*6.2898</f>
        <v/>
      </c>
      <c r="F281" s="37">
        <f>'HIST - cubic meters per day'!F281*6.2898</f>
        <v/>
      </c>
      <c r="G281" s="37">
        <f>'HIST - cubic meters per day'!G281*6.2898</f>
        <v/>
      </c>
      <c r="H281" s="37">
        <f>'HIST - cubic meters per day'!H281*6.2898</f>
        <v/>
      </c>
      <c r="I281" s="37">
        <f>'HIST - cubic meters per day'!I281*6.2898</f>
        <v/>
      </c>
      <c r="J281" s="37">
        <f>'HIST - cubic meters per day'!J281*6.2898</f>
        <v/>
      </c>
      <c r="K281" s="37">
        <f>'HIST - cubic meters per day'!K281*6.2898</f>
        <v/>
      </c>
      <c r="L281" s="37">
        <f>'HIST - cubic meters per day'!L281*6.2898</f>
        <v/>
      </c>
      <c r="M281" s="37">
        <f>'HIST - cubic meters per day'!M281*6.2898</f>
        <v/>
      </c>
      <c r="N281" s="37">
        <f>'HIST - cubic meters per day'!N281*6.2898</f>
        <v/>
      </c>
      <c r="O281" s="37">
        <f>'HIST - cubic meters per day'!O281*6.2898</f>
        <v/>
      </c>
      <c r="P281" s="37">
        <f>'HIST - cubic meters per day'!P281*6.2898</f>
        <v/>
      </c>
      <c r="Q281" s="37">
        <f>'HIST - cubic meters per day'!Q281*6.2898</f>
        <v/>
      </c>
      <c r="R281" s="37">
        <f>'HIST - cubic meters per day'!R281*6.2898</f>
        <v/>
      </c>
      <c r="S281" s="46">
        <f>'HIST - cubic meters per day'!S281*6.2898</f>
        <v/>
      </c>
      <c r="U281" s="45">
        <f>'HIST - cubic meters per day'!U281*6.2898</f>
        <v/>
      </c>
      <c r="V281" s="45">
        <f>'HIST - cubic meters per day'!V281*6.2898</f>
        <v/>
      </c>
    </row>
    <row r="282" ht="12" customHeight="1">
      <c r="A282" s="44" t="n">
        <v>45047</v>
      </c>
      <c r="B282" s="37">
        <f>'HIST - cubic meters per day'!B282*6.2898</f>
        <v/>
      </c>
      <c r="C282" s="37">
        <f>'HIST - cubic meters per day'!C282*6.2898</f>
        <v/>
      </c>
      <c r="D282" s="37">
        <f>'HIST - cubic meters per day'!D282*6.2898</f>
        <v/>
      </c>
      <c r="E282" s="37">
        <f>'HIST - cubic meters per day'!E282*6.2898</f>
        <v/>
      </c>
      <c r="F282" s="37">
        <f>'HIST - cubic meters per day'!F282*6.2898</f>
        <v/>
      </c>
      <c r="G282" s="37">
        <f>'HIST - cubic meters per day'!G282*6.2898</f>
        <v/>
      </c>
      <c r="H282" s="37">
        <f>'HIST - cubic meters per day'!H282*6.2898</f>
        <v/>
      </c>
      <c r="I282" s="37">
        <f>'HIST - cubic meters per day'!I282*6.2898</f>
        <v/>
      </c>
      <c r="J282" s="37">
        <f>'HIST - cubic meters per day'!J282*6.2898</f>
        <v/>
      </c>
      <c r="K282" s="37">
        <f>'HIST - cubic meters per day'!K282*6.2898</f>
        <v/>
      </c>
      <c r="L282" s="37">
        <f>'HIST - cubic meters per day'!L282*6.2898</f>
        <v/>
      </c>
      <c r="M282" s="37">
        <f>'HIST - cubic meters per day'!M282*6.2898</f>
        <v/>
      </c>
      <c r="N282" s="37">
        <f>'HIST - cubic meters per day'!N282*6.2898</f>
        <v/>
      </c>
      <c r="O282" s="37">
        <f>'HIST - cubic meters per day'!O282*6.2898</f>
        <v/>
      </c>
      <c r="P282" s="37">
        <f>'HIST - cubic meters per day'!P282*6.2898</f>
        <v/>
      </c>
      <c r="Q282" s="37">
        <f>'HIST - cubic meters per day'!Q282*6.2898</f>
        <v/>
      </c>
      <c r="R282" s="37">
        <f>'HIST - cubic meters per day'!R282*6.2898</f>
        <v/>
      </c>
      <c r="S282" s="46">
        <f>'HIST - cubic meters per day'!S282*6.2898</f>
        <v/>
      </c>
      <c r="U282" s="45">
        <f>'HIST - cubic meters per day'!U282*6.2898</f>
        <v/>
      </c>
      <c r="V282" s="45">
        <f>'HIST - cubic meters per day'!V282*6.2898</f>
        <v/>
      </c>
    </row>
    <row r="283" ht="12" customHeight="1">
      <c r="A283" s="44" t="n">
        <v>45078</v>
      </c>
      <c r="B283" s="37">
        <f>'HIST - cubic meters per day'!B283*6.2898</f>
        <v/>
      </c>
      <c r="C283" s="37">
        <f>'HIST - cubic meters per day'!C283*6.2898</f>
        <v/>
      </c>
      <c r="D283" s="37">
        <f>'HIST - cubic meters per day'!D283*6.2898</f>
        <v/>
      </c>
      <c r="E283" s="37">
        <f>'HIST - cubic meters per day'!E283*6.2898</f>
        <v/>
      </c>
      <c r="F283" s="37">
        <f>'HIST - cubic meters per day'!F283*6.2898</f>
        <v/>
      </c>
      <c r="G283" s="37">
        <f>'HIST - cubic meters per day'!G283*6.2898</f>
        <v/>
      </c>
      <c r="H283" s="37">
        <f>'HIST - cubic meters per day'!H283*6.2898</f>
        <v/>
      </c>
      <c r="I283" s="37">
        <f>'HIST - cubic meters per day'!I283*6.2898</f>
        <v/>
      </c>
      <c r="J283" s="37">
        <f>'HIST - cubic meters per day'!J283*6.2898</f>
        <v/>
      </c>
      <c r="K283" s="37">
        <f>'HIST - cubic meters per day'!K283*6.2898</f>
        <v/>
      </c>
      <c r="L283" s="37">
        <f>'HIST - cubic meters per day'!L283*6.2898</f>
        <v/>
      </c>
      <c r="M283" s="37">
        <f>'HIST - cubic meters per day'!M283*6.2898</f>
        <v/>
      </c>
      <c r="N283" s="37">
        <f>'HIST - cubic meters per day'!N283*6.2898</f>
        <v/>
      </c>
      <c r="O283" s="37">
        <f>'HIST - cubic meters per day'!O283*6.2898</f>
        <v/>
      </c>
      <c r="P283" s="37">
        <f>'HIST - cubic meters per day'!P283*6.2898</f>
        <v/>
      </c>
      <c r="Q283" s="37">
        <f>'HIST - cubic meters per day'!Q283*6.2898</f>
        <v/>
      </c>
      <c r="R283" s="37">
        <f>'HIST - cubic meters per day'!R283*6.2898</f>
        <v/>
      </c>
      <c r="S283" s="46">
        <f>'HIST - cubic meters per day'!S283*6.2898</f>
        <v/>
      </c>
      <c r="U283" s="45">
        <f>'HIST - cubic meters per day'!U283*6.2898</f>
        <v/>
      </c>
      <c r="V283" s="45">
        <f>'HIST - cubic meters per day'!V283*6.2898</f>
        <v/>
      </c>
    </row>
    <row r="284" ht="12" customHeight="1">
      <c r="A284" s="44" t="n">
        <v>45108</v>
      </c>
      <c r="B284" s="37">
        <f>'HIST - cubic meters per day'!B284*6.2898</f>
        <v/>
      </c>
      <c r="C284" s="37">
        <f>'HIST - cubic meters per day'!C284*6.2898</f>
        <v/>
      </c>
      <c r="D284" s="37">
        <f>'HIST - cubic meters per day'!D284*6.2898</f>
        <v/>
      </c>
      <c r="E284" s="37">
        <f>'HIST - cubic meters per day'!E284*6.2898</f>
        <v/>
      </c>
      <c r="F284" s="37">
        <f>'HIST - cubic meters per day'!F284*6.2898</f>
        <v/>
      </c>
      <c r="G284" s="37">
        <f>'HIST - cubic meters per day'!G284*6.2898</f>
        <v/>
      </c>
      <c r="H284" s="37">
        <f>'HIST - cubic meters per day'!H284*6.2898</f>
        <v/>
      </c>
      <c r="I284" s="37">
        <f>'HIST - cubic meters per day'!I284*6.2898</f>
        <v/>
      </c>
      <c r="J284" s="37">
        <f>'HIST - cubic meters per day'!J284*6.2898</f>
        <v/>
      </c>
      <c r="K284" s="37">
        <f>'HIST - cubic meters per day'!K284*6.2898</f>
        <v/>
      </c>
      <c r="L284" s="37">
        <f>'HIST - cubic meters per day'!L284*6.2898</f>
        <v/>
      </c>
      <c r="M284" s="37">
        <f>'HIST - cubic meters per day'!M284*6.2898</f>
        <v/>
      </c>
      <c r="N284" s="37">
        <f>'HIST - cubic meters per day'!N284*6.2898</f>
        <v/>
      </c>
      <c r="O284" s="37">
        <f>'HIST - cubic meters per day'!O284*6.2898</f>
        <v/>
      </c>
      <c r="P284" s="37">
        <f>'HIST - cubic meters per day'!P284*6.2898</f>
        <v/>
      </c>
      <c r="Q284" s="37">
        <f>'HIST - cubic meters per day'!Q284*6.2898</f>
        <v/>
      </c>
      <c r="R284" s="37">
        <f>'HIST - cubic meters per day'!R284*6.2898</f>
        <v/>
      </c>
      <c r="S284" s="46">
        <f>'HIST - cubic meters per day'!S284*6.2898</f>
        <v/>
      </c>
      <c r="U284" s="45">
        <f>'HIST - cubic meters per day'!U284*6.2898</f>
        <v/>
      </c>
      <c r="V284" s="45">
        <f>'HIST - cubic meters per day'!V284*6.2898</f>
        <v/>
      </c>
    </row>
    <row r="285" ht="12" customHeight="1">
      <c r="A285" s="44" t="n">
        <v>45139</v>
      </c>
      <c r="B285" s="37">
        <f>'HIST - cubic meters per day'!B285*6.2898</f>
        <v/>
      </c>
      <c r="C285" s="37">
        <f>'HIST - cubic meters per day'!C285*6.2898</f>
        <v/>
      </c>
      <c r="D285" s="37">
        <f>'HIST - cubic meters per day'!D285*6.2898</f>
        <v/>
      </c>
      <c r="E285" s="37">
        <f>'HIST - cubic meters per day'!E285*6.2898</f>
        <v/>
      </c>
      <c r="F285" s="37">
        <f>'HIST - cubic meters per day'!F285*6.2898</f>
        <v/>
      </c>
      <c r="G285" s="37">
        <f>'HIST - cubic meters per day'!G285*6.2898</f>
        <v/>
      </c>
      <c r="H285" s="37">
        <f>'HIST - cubic meters per day'!H285*6.2898</f>
        <v/>
      </c>
      <c r="I285" s="37">
        <f>'HIST - cubic meters per day'!I285*6.2898</f>
        <v/>
      </c>
      <c r="J285" s="37">
        <f>'HIST - cubic meters per day'!J285*6.2898</f>
        <v/>
      </c>
      <c r="K285" s="37">
        <f>'HIST - cubic meters per day'!K285*6.2898</f>
        <v/>
      </c>
      <c r="L285" s="37">
        <f>'HIST - cubic meters per day'!L285*6.2898</f>
        <v/>
      </c>
      <c r="M285" s="37">
        <f>'HIST - cubic meters per day'!M285*6.2898</f>
        <v/>
      </c>
      <c r="N285" s="37">
        <f>'HIST - cubic meters per day'!N285*6.2898</f>
        <v/>
      </c>
      <c r="O285" s="37">
        <f>'HIST - cubic meters per day'!O285*6.2898</f>
        <v/>
      </c>
      <c r="P285" s="37">
        <f>'HIST - cubic meters per day'!P285*6.2898</f>
        <v/>
      </c>
      <c r="Q285" s="37">
        <f>'HIST - cubic meters per day'!Q285*6.2898</f>
        <v/>
      </c>
      <c r="R285" s="37">
        <f>'HIST - cubic meters per day'!R285*6.2898</f>
        <v/>
      </c>
      <c r="S285" s="46">
        <f>'HIST - cubic meters per day'!S285*6.2898</f>
        <v/>
      </c>
      <c r="U285" s="45">
        <f>'HIST - cubic meters per day'!U285*6.2898</f>
        <v/>
      </c>
      <c r="V285" s="45">
        <f>'HIST - cubic meters per day'!V285*6.2898</f>
        <v/>
      </c>
    </row>
    <row r="286" ht="12" customHeight="1">
      <c r="A286" s="44" t="n">
        <v>45170</v>
      </c>
      <c r="B286" s="37">
        <f>'HIST - cubic meters per day'!B286*6.2898</f>
        <v/>
      </c>
      <c r="C286" s="37">
        <f>'HIST - cubic meters per day'!C286*6.2898</f>
        <v/>
      </c>
      <c r="D286" s="37">
        <f>'HIST - cubic meters per day'!D286*6.2898</f>
        <v/>
      </c>
      <c r="E286" s="37">
        <f>'HIST - cubic meters per day'!E286*6.2898</f>
        <v/>
      </c>
      <c r="F286" s="37">
        <f>'HIST - cubic meters per day'!F286*6.2898</f>
        <v/>
      </c>
      <c r="G286" s="37">
        <f>'HIST - cubic meters per day'!G286*6.2898</f>
        <v/>
      </c>
      <c r="H286" s="37">
        <f>'HIST - cubic meters per day'!H286*6.2898</f>
        <v/>
      </c>
      <c r="I286" s="37">
        <f>'HIST - cubic meters per day'!I286*6.2898</f>
        <v/>
      </c>
      <c r="J286" s="37">
        <f>'HIST - cubic meters per day'!J286*6.2898</f>
        <v/>
      </c>
      <c r="K286" s="37">
        <f>'HIST - cubic meters per day'!K286*6.2898</f>
        <v/>
      </c>
      <c r="L286" s="37">
        <f>'HIST - cubic meters per day'!L286*6.2898</f>
        <v/>
      </c>
      <c r="M286" s="37">
        <f>'HIST - cubic meters per day'!M286*6.2898</f>
        <v/>
      </c>
      <c r="N286" s="37">
        <f>'HIST - cubic meters per day'!N286*6.2898</f>
        <v/>
      </c>
      <c r="O286" s="37">
        <f>'HIST - cubic meters per day'!O286*6.2898</f>
        <v/>
      </c>
      <c r="P286" s="37">
        <f>'HIST - cubic meters per day'!P286*6.2898</f>
        <v/>
      </c>
      <c r="Q286" s="37">
        <f>'HIST - cubic meters per day'!Q286*6.2898</f>
        <v/>
      </c>
      <c r="R286" s="37">
        <f>'HIST - cubic meters per day'!R286*6.2898</f>
        <v/>
      </c>
      <c r="S286" s="46">
        <f>'HIST - cubic meters per day'!S286*6.2898</f>
        <v/>
      </c>
      <c r="U286" s="45">
        <f>'HIST - cubic meters per day'!U286*6.2898</f>
        <v/>
      </c>
      <c r="V286" s="45">
        <f>'HIST - cubic meters per day'!V286*6.2898</f>
        <v/>
      </c>
    </row>
    <row r="287" ht="12" customHeight="1">
      <c r="A287" s="44" t="n">
        <v>45200</v>
      </c>
      <c r="B287" s="37">
        <f>'HIST - cubic meters per day'!B287*6.2898</f>
        <v/>
      </c>
      <c r="C287" s="37">
        <f>'HIST - cubic meters per day'!C287*6.2898</f>
        <v/>
      </c>
      <c r="D287" s="37">
        <f>'HIST - cubic meters per day'!D287*6.2898</f>
        <v/>
      </c>
      <c r="E287" s="37">
        <f>'HIST - cubic meters per day'!E287*6.2898</f>
        <v/>
      </c>
      <c r="F287" s="37">
        <f>'HIST - cubic meters per day'!F287*6.2898</f>
        <v/>
      </c>
      <c r="G287" s="37">
        <f>'HIST - cubic meters per day'!G287*6.2898</f>
        <v/>
      </c>
      <c r="H287" s="37">
        <f>'HIST - cubic meters per day'!H287*6.2898</f>
        <v/>
      </c>
      <c r="I287" s="37">
        <f>'HIST - cubic meters per day'!I287*6.2898</f>
        <v/>
      </c>
      <c r="J287" s="37">
        <f>'HIST - cubic meters per day'!J287*6.2898</f>
        <v/>
      </c>
      <c r="K287" s="37">
        <f>'HIST - cubic meters per day'!K287*6.2898</f>
        <v/>
      </c>
      <c r="L287" s="37">
        <f>'HIST - cubic meters per day'!L287*6.2898</f>
        <v/>
      </c>
      <c r="M287" s="37">
        <f>'HIST - cubic meters per day'!M287*6.2898</f>
        <v/>
      </c>
      <c r="N287" s="37">
        <f>'HIST - cubic meters per day'!N287*6.2898</f>
        <v/>
      </c>
      <c r="O287" s="37">
        <f>'HIST - cubic meters per day'!O287*6.2898</f>
        <v/>
      </c>
      <c r="P287" s="37">
        <f>'HIST - cubic meters per day'!P287*6.2898</f>
        <v/>
      </c>
      <c r="Q287" s="37">
        <f>'HIST - cubic meters per day'!Q287*6.2898</f>
        <v/>
      </c>
      <c r="R287" s="37">
        <f>'HIST - cubic meters per day'!R287*6.2898</f>
        <v/>
      </c>
      <c r="S287" s="46">
        <f>'HIST - cubic meters per day'!S287*6.2898</f>
        <v/>
      </c>
      <c r="U287" s="45">
        <f>'HIST - cubic meters per day'!U287*6.2898</f>
        <v/>
      </c>
      <c r="V287" s="45">
        <f>'HIST - cubic meters per day'!V287*6.2898</f>
        <v/>
      </c>
      <c r="W287" s="52" t="n"/>
    </row>
    <row r="288" ht="12" customHeight="1">
      <c r="A288" s="44" t="n">
        <v>45231</v>
      </c>
      <c r="B288" s="37">
        <f>'HIST - cubic meters per day'!B288*6.2898</f>
        <v/>
      </c>
      <c r="C288" s="37">
        <f>'HIST - cubic meters per day'!C288*6.2898</f>
        <v/>
      </c>
      <c r="D288" s="37">
        <f>'HIST - cubic meters per day'!D288*6.2898</f>
        <v/>
      </c>
      <c r="E288" s="37">
        <f>'HIST - cubic meters per day'!E288*6.2898</f>
        <v/>
      </c>
      <c r="F288" s="37">
        <f>'HIST - cubic meters per day'!F288*6.2898</f>
        <v/>
      </c>
      <c r="G288" s="37">
        <f>'HIST - cubic meters per day'!G288*6.2898</f>
        <v/>
      </c>
      <c r="H288" s="37">
        <f>'HIST - cubic meters per day'!H288*6.2898</f>
        <v/>
      </c>
      <c r="I288" s="37">
        <f>'HIST - cubic meters per day'!I288*6.2898</f>
        <v/>
      </c>
      <c r="J288" s="37">
        <f>'HIST - cubic meters per day'!J288*6.2898</f>
        <v/>
      </c>
      <c r="K288" s="37">
        <f>'HIST - cubic meters per day'!K288*6.2898</f>
        <v/>
      </c>
      <c r="L288" s="37">
        <f>'HIST - cubic meters per day'!L288*6.2898</f>
        <v/>
      </c>
      <c r="M288" s="37">
        <f>'HIST - cubic meters per day'!M288*6.2898</f>
        <v/>
      </c>
      <c r="N288" s="37">
        <f>'HIST - cubic meters per day'!N288*6.2898</f>
        <v/>
      </c>
      <c r="O288" s="37">
        <f>'HIST - cubic meters per day'!O288*6.2898</f>
        <v/>
      </c>
      <c r="P288" s="37">
        <f>'HIST - cubic meters per day'!P288*6.2898</f>
        <v/>
      </c>
      <c r="Q288" s="37">
        <f>'HIST - cubic meters per day'!Q288*6.2898</f>
        <v/>
      </c>
      <c r="R288" s="37">
        <f>'HIST - cubic meters per day'!R288*6.2898</f>
        <v/>
      </c>
      <c r="S288" s="46">
        <f>'HIST - cubic meters per day'!S288*6.2898</f>
        <v/>
      </c>
      <c r="U288" s="45">
        <f>'HIST - cubic meters per day'!U288*6.2898</f>
        <v/>
      </c>
      <c r="V288" s="45">
        <f>'HIST - cubic meters per day'!V288*6.2898</f>
        <v/>
      </c>
    </row>
    <row r="289" ht="12" customHeight="1">
      <c r="A289" s="44" t="n">
        <v>45261</v>
      </c>
      <c r="B289" s="37">
        <f>'HIST - cubic meters per day'!B289*6.2898</f>
        <v/>
      </c>
      <c r="C289" s="37">
        <f>'HIST - cubic meters per day'!C289*6.2898</f>
        <v/>
      </c>
      <c r="D289" s="37">
        <f>'HIST - cubic meters per day'!D289*6.2898</f>
        <v/>
      </c>
      <c r="E289" s="37">
        <f>'HIST - cubic meters per day'!E289*6.2898</f>
        <v/>
      </c>
      <c r="F289" s="37">
        <f>'HIST - cubic meters per day'!F289*6.2898</f>
        <v/>
      </c>
      <c r="G289" s="37">
        <f>'HIST - cubic meters per day'!G289*6.2898</f>
        <v/>
      </c>
      <c r="H289" s="37">
        <f>'HIST - cubic meters per day'!H289*6.2898</f>
        <v/>
      </c>
      <c r="I289" s="37">
        <f>'HIST - cubic meters per day'!I289*6.2898</f>
        <v/>
      </c>
      <c r="J289" s="37">
        <f>'HIST - cubic meters per day'!J289*6.2898</f>
        <v/>
      </c>
      <c r="K289" s="37">
        <f>'HIST - cubic meters per day'!K289*6.2898</f>
        <v/>
      </c>
      <c r="L289" s="37">
        <f>'HIST - cubic meters per day'!L289*6.2898</f>
        <v/>
      </c>
      <c r="M289" s="37">
        <f>'HIST - cubic meters per day'!M289*6.2898</f>
        <v/>
      </c>
      <c r="N289" s="37">
        <f>'HIST - cubic meters per day'!N289*6.2898</f>
        <v/>
      </c>
      <c r="O289" s="37">
        <f>'HIST - cubic meters per day'!O289*6.2898</f>
        <v/>
      </c>
      <c r="P289" s="37">
        <f>'HIST - cubic meters per day'!P289*6.2898</f>
        <v/>
      </c>
      <c r="Q289" s="37">
        <f>'HIST - cubic meters per day'!Q289*6.2898</f>
        <v/>
      </c>
      <c r="R289" s="37">
        <f>'HIST - cubic meters per day'!R289*6.2898</f>
        <v/>
      </c>
      <c r="S289" s="46">
        <f>'HIST - cubic meters per day'!S289*6.2898</f>
        <v/>
      </c>
      <c r="U289" s="45">
        <f>'HIST - cubic meters per day'!U289*6.2898</f>
        <v/>
      </c>
      <c r="V289" s="45">
        <f>'HIST - cubic meters per day'!V289*6.2898</f>
        <v/>
      </c>
    </row>
    <row r="290" ht="12" customHeight="1">
      <c r="A290" s="44" t="n">
        <v>45292</v>
      </c>
      <c r="B290" s="37">
        <f>'HIST - cubic meters per day'!B290*6.2898</f>
        <v/>
      </c>
      <c r="C290" s="37">
        <f>'HIST - cubic meters per day'!C290*6.2898</f>
        <v/>
      </c>
      <c r="D290" s="37">
        <f>'HIST - cubic meters per day'!D290*6.2898</f>
        <v/>
      </c>
      <c r="E290" s="37">
        <f>'HIST - cubic meters per day'!E290*6.2898</f>
        <v/>
      </c>
      <c r="F290" s="37">
        <f>'HIST - cubic meters per day'!F290*6.2898</f>
        <v/>
      </c>
      <c r="G290" s="37">
        <f>'HIST - cubic meters per day'!G290*6.2898</f>
        <v/>
      </c>
      <c r="H290" s="37">
        <f>'HIST - cubic meters per day'!H290*6.2898</f>
        <v/>
      </c>
      <c r="I290" s="37">
        <f>'HIST - cubic meters per day'!I290*6.2898</f>
        <v/>
      </c>
      <c r="J290" s="37">
        <f>'HIST - cubic meters per day'!J290*6.2898</f>
        <v/>
      </c>
      <c r="K290" s="37">
        <f>'HIST - cubic meters per day'!K290*6.2898</f>
        <v/>
      </c>
      <c r="L290" s="37">
        <f>'HIST - cubic meters per day'!L290*6.2898</f>
        <v/>
      </c>
      <c r="M290" s="37">
        <f>'HIST - cubic meters per day'!M290*6.2898</f>
        <v/>
      </c>
      <c r="N290" s="37">
        <f>'HIST - cubic meters per day'!N290*6.2898</f>
        <v/>
      </c>
      <c r="O290" s="37">
        <f>'HIST - cubic meters per day'!O290*6.2898</f>
        <v/>
      </c>
      <c r="P290" s="37">
        <f>'HIST - cubic meters per day'!P290*6.2898</f>
        <v/>
      </c>
      <c r="Q290" s="37">
        <f>'HIST - cubic meters per day'!Q290*6.2898</f>
        <v/>
      </c>
      <c r="R290" s="37" t="n"/>
      <c r="S290" s="46">
        <f>'HIST - cubic meters per day'!S290*6.2898</f>
        <v/>
      </c>
      <c r="U290" s="45">
        <f>'HIST - cubic meters per day'!U290*6.2898</f>
        <v/>
      </c>
      <c r="V290" s="45">
        <f>'HIST - cubic meters per day'!V290*6.2898</f>
        <v/>
      </c>
      <c r="X290" s="52" t="n"/>
    </row>
    <row r="291" ht="12" customHeight="1">
      <c r="A291" s="44" t="n">
        <v>45323</v>
      </c>
      <c r="B291" s="37">
        <f>'HIST - cubic meters per day'!B291*6.2898</f>
        <v/>
      </c>
      <c r="C291" s="37">
        <f>'HIST - cubic meters per day'!C291*6.2898</f>
        <v/>
      </c>
      <c r="D291" s="37">
        <f>'HIST - cubic meters per day'!D291*6.2898</f>
        <v/>
      </c>
      <c r="E291" s="37">
        <f>'HIST - cubic meters per day'!E291*6.2898</f>
        <v/>
      </c>
      <c r="F291" s="37">
        <f>'HIST - cubic meters per day'!F291*6.2898</f>
        <v/>
      </c>
      <c r="G291" s="37">
        <f>'HIST - cubic meters per day'!G291*6.2898</f>
        <v/>
      </c>
      <c r="H291" s="37">
        <f>'HIST - cubic meters per day'!H291*6.2898</f>
        <v/>
      </c>
      <c r="I291" s="37">
        <f>'HIST - cubic meters per day'!I291*6.2898</f>
        <v/>
      </c>
      <c r="J291" s="37">
        <f>'HIST - cubic meters per day'!J291*6.2898</f>
        <v/>
      </c>
      <c r="K291" s="37">
        <f>'HIST - cubic meters per day'!K291*6.2898</f>
        <v/>
      </c>
      <c r="L291" s="37">
        <f>'HIST - cubic meters per day'!L291*6.2898</f>
        <v/>
      </c>
      <c r="M291" s="37">
        <f>'HIST - cubic meters per day'!M291*6.2898</f>
        <v/>
      </c>
      <c r="N291" s="37">
        <f>'HIST - cubic meters per day'!N291*6.2898</f>
        <v/>
      </c>
      <c r="O291" s="37">
        <f>'HIST - cubic meters per day'!O291*6.2898</f>
        <v/>
      </c>
      <c r="P291" s="37">
        <f>'HIST - cubic meters per day'!P291*6.2898</f>
        <v/>
      </c>
      <c r="Q291" s="37">
        <f>'HIST - cubic meters per day'!Q291*6.2898</f>
        <v/>
      </c>
      <c r="R291" s="37" t="n"/>
      <c r="S291" s="46">
        <f>'HIST - cubic meters per day'!S291*6.2898</f>
        <v/>
      </c>
      <c r="U291" s="45">
        <f>'HIST - cubic meters per day'!U291*6.2898</f>
        <v/>
      </c>
      <c r="V291" s="45">
        <f>'HIST - cubic meters per day'!V291*6.2898</f>
        <v/>
      </c>
      <c r="X291" s="45" t="n"/>
    </row>
    <row r="292" ht="12" customHeight="1">
      <c r="A292" s="44" t="n">
        <v>45352</v>
      </c>
      <c r="B292" s="37">
        <f>'HIST - cubic meters per day'!B292*6.2898</f>
        <v/>
      </c>
      <c r="C292" s="37">
        <f>'HIST - cubic meters per day'!C292*6.2898</f>
        <v/>
      </c>
      <c r="D292" s="37">
        <f>'HIST - cubic meters per day'!D292*6.2898</f>
        <v/>
      </c>
      <c r="E292" s="37">
        <f>'HIST - cubic meters per day'!E292*6.2898</f>
        <v/>
      </c>
      <c r="F292" s="37">
        <f>'HIST - cubic meters per day'!F292*6.2898</f>
        <v/>
      </c>
      <c r="G292" s="37">
        <f>'HIST - cubic meters per day'!G292*6.2898</f>
        <v/>
      </c>
      <c r="H292" s="37">
        <f>'HIST - cubic meters per day'!H292*6.2898</f>
        <v/>
      </c>
      <c r="I292" s="37">
        <f>'HIST - cubic meters per day'!I292*6.2898</f>
        <v/>
      </c>
      <c r="J292" s="37">
        <f>'HIST - cubic meters per day'!J292*6.2898</f>
        <v/>
      </c>
      <c r="K292" s="37">
        <f>'HIST - cubic meters per day'!K292*6.2898</f>
        <v/>
      </c>
      <c r="L292" s="37">
        <f>'HIST - cubic meters per day'!L292*6.2898</f>
        <v/>
      </c>
      <c r="M292" s="37">
        <f>'HIST - cubic meters per day'!M292*6.2898</f>
        <v/>
      </c>
      <c r="N292" s="37">
        <f>'HIST - cubic meters per day'!N292*6.2898</f>
        <v/>
      </c>
      <c r="O292" s="37">
        <f>'HIST - cubic meters per day'!O292*6.2898</f>
        <v/>
      </c>
      <c r="P292" s="37">
        <f>'HIST - cubic meters per day'!P292*6.2898</f>
        <v/>
      </c>
      <c r="Q292" s="37">
        <f>'HIST - cubic meters per day'!Q292*6.2898</f>
        <v/>
      </c>
      <c r="R292" s="37" t="n"/>
      <c r="S292" s="46">
        <f>'HIST - cubic meters per day'!S292*6.2898</f>
        <v/>
      </c>
      <c r="U292" s="45">
        <f>'HIST - cubic meters per day'!U292*6.2898</f>
        <v/>
      </c>
      <c r="V292" s="45">
        <f>'HIST - cubic meters per day'!V292*6.2898</f>
        <v/>
      </c>
    </row>
    <row r="293" ht="12" customHeight="1">
      <c r="A293" s="44" t="n">
        <v>45383</v>
      </c>
      <c r="B293" s="37">
        <f>'HIST - cubic meters per day'!B293*6.2898</f>
        <v/>
      </c>
      <c r="C293" s="37">
        <f>'HIST - cubic meters per day'!C293*6.2898</f>
        <v/>
      </c>
      <c r="D293" s="37">
        <f>'HIST - cubic meters per day'!D293*6.2898</f>
        <v/>
      </c>
      <c r="E293" s="37">
        <f>'HIST - cubic meters per day'!E293*6.2898</f>
        <v/>
      </c>
      <c r="F293" s="37">
        <f>'HIST - cubic meters per day'!F293*6.2898</f>
        <v/>
      </c>
      <c r="G293" s="37">
        <f>'HIST - cubic meters per day'!G293*6.2898</f>
        <v/>
      </c>
      <c r="H293" s="37">
        <f>'HIST - cubic meters per day'!H293*6.2898</f>
        <v/>
      </c>
      <c r="I293" s="37">
        <f>'HIST - cubic meters per day'!I293*6.2898</f>
        <v/>
      </c>
      <c r="J293" s="37">
        <f>'HIST - cubic meters per day'!J293*6.2898</f>
        <v/>
      </c>
      <c r="K293" s="37">
        <f>'HIST - cubic meters per day'!K293*6.2898</f>
        <v/>
      </c>
      <c r="L293" s="37">
        <f>'HIST - cubic meters per day'!L293*6.2898</f>
        <v/>
      </c>
      <c r="M293" s="37">
        <f>'HIST - cubic meters per day'!M293*6.2898</f>
        <v/>
      </c>
      <c r="N293" s="37">
        <f>'HIST - cubic meters per day'!N293*6.2898</f>
        <v/>
      </c>
      <c r="O293" s="37">
        <f>'HIST - cubic meters per day'!O293*6.2898</f>
        <v/>
      </c>
      <c r="P293" s="37">
        <f>'HIST - cubic meters per day'!P293*6.2898</f>
        <v/>
      </c>
      <c r="Q293" s="37">
        <f>'HIST - cubic meters per day'!Q293*6.2898</f>
        <v/>
      </c>
      <c r="R293" s="37" t="n"/>
      <c r="S293" s="46">
        <f>'HIST - cubic meters per day'!S293*6.2898</f>
        <v/>
      </c>
      <c r="U293" s="45">
        <f>'HIST - cubic meters per day'!U293*6.2898</f>
        <v/>
      </c>
      <c r="V293" s="45">
        <f>'HIST - cubic meters per day'!V293*6.2898</f>
        <v/>
      </c>
    </row>
    <row r="294" ht="12" customHeight="1">
      <c r="A294" s="44" t="n">
        <v>45413</v>
      </c>
      <c r="B294" s="37">
        <f>'HIST - cubic meters per day'!B294*6.2898</f>
        <v/>
      </c>
      <c r="C294" s="37">
        <f>'HIST - cubic meters per day'!C294*6.2898</f>
        <v/>
      </c>
      <c r="D294" s="37">
        <f>'HIST - cubic meters per day'!D294*6.2898</f>
        <v/>
      </c>
      <c r="E294" s="37">
        <f>'HIST - cubic meters per day'!E294*6.2898</f>
        <v/>
      </c>
      <c r="F294" s="37">
        <f>'HIST - cubic meters per day'!F294*6.2898</f>
        <v/>
      </c>
      <c r="G294" s="37">
        <f>'HIST - cubic meters per day'!G294*6.2898</f>
        <v/>
      </c>
      <c r="H294" s="37">
        <f>'HIST - cubic meters per day'!H294*6.2898</f>
        <v/>
      </c>
      <c r="I294" s="37">
        <f>'HIST - cubic meters per day'!I294*6.2898</f>
        <v/>
      </c>
      <c r="J294" s="37">
        <f>'HIST - cubic meters per day'!J294*6.2898</f>
        <v/>
      </c>
      <c r="K294" s="37">
        <f>'HIST - cubic meters per day'!K294*6.2898</f>
        <v/>
      </c>
      <c r="L294" s="37">
        <f>'HIST - cubic meters per day'!L294*6.2898</f>
        <v/>
      </c>
      <c r="M294" s="37">
        <f>'HIST - cubic meters per day'!M294*6.2898</f>
        <v/>
      </c>
      <c r="N294" s="37">
        <f>'HIST - cubic meters per day'!N294*6.2898</f>
        <v/>
      </c>
      <c r="O294" s="37">
        <f>'HIST - cubic meters per day'!O294*6.2898</f>
        <v/>
      </c>
      <c r="P294" s="37">
        <f>'HIST - cubic meters per day'!P294*6.2898</f>
        <v/>
      </c>
      <c r="Q294" s="37">
        <f>'HIST - cubic meters per day'!Q294*6.2898</f>
        <v/>
      </c>
      <c r="R294" s="37" t="n"/>
      <c r="S294" s="46">
        <f>'HIST - cubic meters per day'!S294*6.2898</f>
        <v/>
      </c>
      <c r="U294" s="45">
        <f>'HIST - cubic meters per day'!U294*6.2898</f>
        <v/>
      </c>
      <c r="V294" s="45">
        <f>'HIST - cubic meters per day'!V294*6.2898</f>
        <v/>
      </c>
    </row>
    <row r="295" ht="12" customHeight="1">
      <c r="A295" s="44" t="n">
        <v>45444</v>
      </c>
      <c r="B295" s="37">
        <f>'HIST - cubic meters per day'!B295*6.2898</f>
        <v/>
      </c>
      <c r="C295" s="37">
        <f>'HIST - cubic meters per day'!C295*6.2898</f>
        <v/>
      </c>
      <c r="D295" s="37">
        <f>'HIST - cubic meters per day'!D295*6.2898</f>
        <v/>
      </c>
      <c r="E295" s="37">
        <f>'HIST - cubic meters per day'!E295*6.2898</f>
        <v/>
      </c>
      <c r="F295" s="37">
        <f>'HIST - cubic meters per day'!F295*6.2898</f>
        <v/>
      </c>
      <c r="G295" s="37">
        <f>'HIST - cubic meters per day'!G295*6.2898</f>
        <v/>
      </c>
      <c r="H295" s="37">
        <f>'HIST - cubic meters per day'!H295*6.2898</f>
        <v/>
      </c>
      <c r="I295" s="37">
        <f>'HIST - cubic meters per day'!I295*6.2898</f>
        <v/>
      </c>
      <c r="J295" s="37">
        <f>'HIST - cubic meters per day'!J295*6.2898</f>
        <v/>
      </c>
      <c r="K295" s="37">
        <f>'HIST - cubic meters per day'!K295*6.2898</f>
        <v/>
      </c>
      <c r="L295" s="37">
        <f>'HIST - cubic meters per day'!L295*6.2898</f>
        <v/>
      </c>
      <c r="M295" s="37">
        <f>'HIST - cubic meters per day'!M295*6.2898</f>
        <v/>
      </c>
      <c r="N295" s="37">
        <f>'HIST - cubic meters per day'!N295*6.2898</f>
        <v/>
      </c>
      <c r="O295" s="37">
        <f>'HIST - cubic meters per day'!O295*6.2898</f>
        <v/>
      </c>
      <c r="P295" s="37">
        <f>'HIST - cubic meters per day'!P295*6.2898</f>
        <v/>
      </c>
      <c r="Q295" s="37">
        <f>'HIST - cubic meters per day'!Q295*6.2898</f>
        <v/>
      </c>
      <c r="R295" s="37" t="n"/>
      <c r="S295" s="46">
        <f>'HIST - cubic meters per day'!S295*6.2898</f>
        <v/>
      </c>
      <c r="U295" s="45">
        <f>'HIST - cubic meters per day'!U295*6.2898</f>
        <v/>
      </c>
      <c r="V295" s="45">
        <f>'HIST - cubic meters per day'!V295*6.2898</f>
        <v/>
      </c>
    </row>
    <row r="296" ht="12" customHeight="1">
      <c r="A296" s="44" t="n">
        <v>45474</v>
      </c>
      <c r="B296" s="37">
        <f>'HIST - cubic meters per day'!B296*6.2898</f>
        <v/>
      </c>
      <c r="C296" s="37">
        <f>'HIST - cubic meters per day'!C296*6.2898</f>
        <v/>
      </c>
      <c r="D296" s="37">
        <f>'HIST - cubic meters per day'!D296*6.2898</f>
        <v/>
      </c>
      <c r="E296" s="37">
        <f>'HIST - cubic meters per day'!E296*6.2898</f>
        <v/>
      </c>
      <c r="F296" s="37">
        <f>'HIST - cubic meters per day'!F296*6.2898</f>
        <v/>
      </c>
      <c r="G296" s="37">
        <f>'HIST - cubic meters per day'!G296*6.2898</f>
        <v/>
      </c>
      <c r="H296" s="37">
        <f>'HIST - cubic meters per day'!H296*6.2898</f>
        <v/>
      </c>
      <c r="I296" s="37">
        <f>'HIST - cubic meters per day'!I296*6.2898</f>
        <v/>
      </c>
      <c r="J296" s="37">
        <f>'HIST - cubic meters per day'!J296*6.2898</f>
        <v/>
      </c>
      <c r="K296" s="37">
        <f>'HIST - cubic meters per day'!K296*6.2898</f>
        <v/>
      </c>
      <c r="L296" s="37">
        <f>'HIST - cubic meters per day'!L296*6.2898</f>
        <v/>
      </c>
      <c r="M296" s="37">
        <f>'HIST - cubic meters per day'!M296*6.2898</f>
        <v/>
      </c>
      <c r="N296" s="37">
        <f>'HIST - cubic meters per day'!N296*6.2898</f>
        <v/>
      </c>
      <c r="O296" s="37">
        <f>'HIST - cubic meters per day'!O296*6.2898</f>
        <v/>
      </c>
      <c r="P296" s="37">
        <f>'HIST - cubic meters per day'!P296*6.2898</f>
        <v/>
      </c>
      <c r="Q296" s="37">
        <f>'HIST - cubic meters per day'!Q296*6.2898</f>
        <v/>
      </c>
      <c r="R296" s="37" t="n"/>
      <c r="S296" s="46">
        <f>'HIST - cubic meters per day'!S296*6.2898</f>
        <v/>
      </c>
      <c r="U296" s="45">
        <f>'HIST - cubic meters per day'!U296*6.2898</f>
        <v/>
      </c>
      <c r="V296" s="45">
        <f>'HIST - cubic meters per day'!V296*6.2898</f>
        <v/>
      </c>
    </row>
    <row r="297" ht="12" customHeight="1">
      <c r="A297" s="44" t="n">
        <v>45505</v>
      </c>
      <c r="B297" s="37">
        <f>'HIST - cubic meters per day'!B297*6.2898</f>
        <v/>
      </c>
      <c r="C297" s="37">
        <f>'HIST - cubic meters per day'!C297*6.2898</f>
        <v/>
      </c>
      <c r="D297" s="37">
        <f>'HIST - cubic meters per day'!D297*6.2898</f>
        <v/>
      </c>
      <c r="E297" s="37">
        <f>'HIST - cubic meters per day'!E297*6.2898</f>
        <v/>
      </c>
      <c r="F297" s="37">
        <f>'HIST - cubic meters per day'!F297*6.2898</f>
        <v/>
      </c>
      <c r="G297" s="37">
        <f>'HIST - cubic meters per day'!G297*6.2898</f>
        <v/>
      </c>
      <c r="H297" s="37">
        <f>'HIST - cubic meters per day'!H297*6.2898</f>
        <v/>
      </c>
      <c r="I297" s="37">
        <f>'HIST - cubic meters per day'!I297*6.2898</f>
        <v/>
      </c>
      <c r="J297" s="37">
        <f>'HIST - cubic meters per day'!J297*6.2898</f>
        <v/>
      </c>
      <c r="K297" s="37">
        <f>'HIST - cubic meters per day'!K297*6.2898</f>
        <v/>
      </c>
      <c r="L297" s="37">
        <f>'HIST - cubic meters per day'!L297*6.2898</f>
        <v/>
      </c>
      <c r="M297" s="37">
        <f>'HIST - cubic meters per day'!M297*6.2898</f>
        <v/>
      </c>
      <c r="N297" s="37">
        <f>'HIST - cubic meters per day'!N297*6.2898</f>
        <v/>
      </c>
      <c r="O297" s="37">
        <f>'HIST - cubic meters per day'!O297*6.2898</f>
        <v/>
      </c>
      <c r="P297" s="37">
        <f>'HIST - cubic meters per day'!P297*6.2898</f>
        <v/>
      </c>
      <c r="Q297" s="37">
        <f>'HIST - cubic meters per day'!Q297*6.2898</f>
        <v/>
      </c>
      <c r="R297" s="37" t="n"/>
      <c r="S297" s="46">
        <f>'HIST - cubic meters per day'!S297*6.2898</f>
        <v/>
      </c>
      <c r="U297" s="45">
        <f>'HIST - cubic meters per day'!U297*6.2898</f>
        <v/>
      </c>
      <c r="V297" s="45">
        <f>'HIST - cubic meters per day'!V297*6.2898</f>
        <v/>
      </c>
    </row>
    <row r="298" ht="12" customHeight="1">
      <c r="A298" s="44" t="n">
        <v>45536</v>
      </c>
      <c r="B298" s="37">
        <f>'HIST - cubic meters per day'!B298*6.2898</f>
        <v/>
      </c>
      <c r="C298" s="37">
        <f>'HIST - cubic meters per day'!C298*6.2898</f>
        <v/>
      </c>
      <c r="D298" s="37">
        <f>'HIST - cubic meters per day'!D298*6.2898</f>
        <v/>
      </c>
      <c r="E298" s="37" t="n"/>
      <c r="F298" s="37">
        <f>'HIST - cubic meters per day'!F298*6.2898</f>
        <v/>
      </c>
      <c r="G298" s="37">
        <f>'HIST - cubic meters per day'!G298*6.2898</f>
        <v/>
      </c>
      <c r="H298" s="37">
        <f>'HIST - cubic meters per day'!H298*6.2898</f>
        <v/>
      </c>
      <c r="I298" s="37">
        <f>'HIST - cubic meters per day'!I298*6.2898</f>
        <v/>
      </c>
      <c r="J298" s="37">
        <f>'HIST - cubic meters per day'!J298*6.2898</f>
        <v/>
      </c>
      <c r="K298" s="37">
        <f>'HIST - cubic meters per day'!K298*6.2898</f>
        <v/>
      </c>
      <c r="L298" s="37">
        <f>'HIST - cubic meters per day'!L298*6.2898</f>
        <v/>
      </c>
      <c r="M298" s="37">
        <f>'HIST - cubic meters per day'!M298*6.2898</f>
        <v/>
      </c>
      <c r="N298" s="37">
        <f>'HIST - cubic meters per day'!N298*6.2898</f>
        <v/>
      </c>
      <c r="O298" s="37">
        <f>'HIST - cubic meters per day'!O298*6.2898</f>
        <v/>
      </c>
      <c r="P298" s="37">
        <f>'HIST - cubic meters per day'!P298*6.2898</f>
        <v/>
      </c>
      <c r="Q298" s="37">
        <f>'HIST - cubic meters per day'!Q298*6.2898</f>
        <v/>
      </c>
      <c r="R298" s="37" t="n"/>
      <c r="S298" s="46">
        <f>'HIST - cubic meters per day'!S298*6.2898</f>
        <v/>
      </c>
      <c r="U298" s="45">
        <f>'HIST - cubic meters per day'!U298*6.2898</f>
        <v/>
      </c>
      <c r="V298" s="45">
        <f>'HIST - cubic meters per day'!V298*6.2898</f>
        <v/>
      </c>
    </row>
    <row r="299" ht="12" customHeight="1">
      <c r="A299" s="44" t="n">
        <v>45566</v>
      </c>
      <c r="B299" s="37">
        <f>'HIST - cubic meters per day'!B299*6.2898</f>
        <v/>
      </c>
      <c r="C299" s="37">
        <f>'HIST - cubic meters per day'!C299*6.2898</f>
        <v/>
      </c>
      <c r="D299" s="37">
        <f>'HIST - cubic meters per day'!D299*6.2898</f>
        <v/>
      </c>
      <c r="E299" s="37" t="n"/>
      <c r="F299" s="37">
        <f>'HIST - cubic meters per day'!F299*6.2898</f>
        <v/>
      </c>
      <c r="G299" s="37">
        <f>'HIST - cubic meters per day'!G299*6.2898</f>
        <v/>
      </c>
      <c r="H299" s="37">
        <f>'HIST - cubic meters per day'!H299*6.2898</f>
        <v/>
      </c>
      <c r="I299" s="37">
        <f>'HIST - cubic meters per day'!I299*6.2898</f>
        <v/>
      </c>
      <c r="J299" s="37">
        <f>'HIST - cubic meters per day'!J299*6.2898</f>
        <v/>
      </c>
      <c r="K299" s="37">
        <f>'HIST - cubic meters per day'!K299*6.2898</f>
        <v/>
      </c>
      <c r="L299" s="37">
        <f>'HIST - cubic meters per day'!L299*6.2898</f>
        <v/>
      </c>
      <c r="M299" s="37">
        <f>'HIST - cubic meters per day'!M299*6.2898</f>
        <v/>
      </c>
      <c r="N299" s="37">
        <f>'HIST - cubic meters per day'!N299*6.2898</f>
        <v/>
      </c>
      <c r="O299" s="37">
        <f>'HIST - cubic meters per day'!O299*6.2898</f>
        <v/>
      </c>
      <c r="P299" s="37">
        <f>'HIST - cubic meters per day'!P299*6.2898</f>
        <v/>
      </c>
      <c r="Q299" s="37">
        <f>'HIST - cubic meters per day'!Q299*6.2898</f>
        <v/>
      </c>
      <c r="R299" s="37" t="n"/>
      <c r="S299" s="46">
        <f>'HIST - cubic meters per day'!S299*6.2898</f>
        <v/>
      </c>
      <c r="U299" s="45">
        <f>'HIST - cubic meters per day'!U299*6.2898</f>
        <v/>
      </c>
      <c r="V299" s="45">
        <f>'HIST - cubic meters per day'!V299*6.2898</f>
        <v/>
      </c>
    </row>
    <row r="300" ht="12" customHeight="1">
      <c r="A300" s="44" t="n">
        <v>45597</v>
      </c>
      <c r="B300" s="37">
        <f>'HIST - cubic meters per day'!B300*6.2898</f>
        <v/>
      </c>
      <c r="C300" s="37">
        <f>'HIST - cubic meters per day'!C300*6.2898</f>
        <v/>
      </c>
      <c r="D300" s="37" t="n"/>
      <c r="E300" s="37" t="n"/>
      <c r="F300" s="37">
        <f>'HIST - cubic meters per day'!F300*6.2898</f>
        <v/>
      </c>
      <c r="G300" s="37">
        <f>'HIST - cubic meters per day'!G300*6.2898</f>
        <v/>
      </c>
      <c r="H300" s="37">
        <f>'HIST - cubic meters per day'!H300*6.2898</f>
        <v/>
      </c>
      <c r="I300" s="37">
        <f>'HIST - cubic meters per day'!I300*6.2898</f>
        <v/>
      </c>
      <c r="J300" s="37">
        <f>'HIST - cubic meters per day'!J300*6.2898</f>
        <v/>
      </c>
      <c r="K300" s="37">
        <f>'HIST - cubic meters per day'!K300*6.2898</f>
        <v/>
      </c>
      <c r="L300" s="37">
        <f>'HIST - cubic meters per day'!L300*6.2898</f>
        <v/>
      </c>
      <c r="M300" s="37">
        <f>'HIST - cubic meters per day'!M300*6.2898</f>
        <v/>
      </c>
      <c r="N300" s="37">
        <f>'HIST - cubic meters per day'!N300*6.2898</f>
        <v/>
      </c>
      <c r="O300" s="37">
        <f>'HIST - cubic meters per day'!O300*6.2898</f>
        <v/>
      </c>
      <c r="P300" s="37">
        <f>'HIST - cubic meters per day'!P300*6.2898</f>
        <v/>
      </c>
      <c r="Q300" s="37">
        <f>'HIST - cubic meters per day'!Q300*6.2898</f>
        <v/>
      </c>
      <c r="R300" s="37" t="n"/>
      <c r="S300" s="46">
        <f>'HIST - cubic meters per day'!S300*6.2898</f>
        <v/>
      </c>
      <c r="U300" s="45">
        <f>'HIST - cubic meters per day'!U300*6.2898</f>
        <v/>
      </c>
      <c r="V300" s="45">
        <f>'HIST - cubic meters per day'!V300*6.2898</f>
        <v/>
      </c>
    </row>
    <row r="301" ht="12" customHeight="1">
      <c r="A301" s="44" t="n">
        <v>45627</v>
      </c>
      <c r="B301" s="37">
        <f>'HIST - cubic meters per day'!B301*6.2898</f>
        <v/>
      </c>
      <c r="C301" s="37">
        <f>'HIST - cubic meters per day'!C301*6.2898</f>
        <v/>
      </c>
      <c r="D301" s="37" t="n"/>
      <c r="E301" s="37" t="n"/>
      <c r="F301" s="37" t="n"/>
      <c r="G301" s="37">
        <f>'HIST - cubic meters per day'!G301*6.2898</f>
        <v/>
      </c>
      <c r="H301" s="37">
        <f>'HIST - cubic meters per day'!H301*6.2898</f>
        <v/>
      </c>
      <c r="I301" s="37">
        <f>'HIST - cubic meters per day'!I301*6.2898</f>
        <v/>
      </c>
      <c r="J301" s="37">
        <f>'HIST - cubic meters per day'!J301*6.2898</f>
        <v/>
      </c>
      <c r="K301" s="37">
        <f>'HIST - cubic meters per day'!K301*6.2898</f>
        <v/>
      </c>
      <c r="L301" s="37">
        <f>'HIST - cubic meters per day'!L301*6.2898</f>
        <v/>
      </c>
      <c r="M301" s="37">
        <f>'HIST - cubic meters per day'!M301*6.2898</f>
        <v/>
      </c>
      <c r="N301" s="37">
        <f>'HIST - cubic meters per day'!N301*6.2898</f>
        <v/>
      </c>
      <c r="O301" s="37">
        <f>'HIST - cubic meters per day'!O301*6.2898</f>
        <v/>
      </c>
      <c r="P301" s="37">
        <f>'HIST - cubic meters per day'!P301*6.2898</f>
        <v/>
      </c>
      <c r="Q301" s="37">
        <f>'HIST - cubic meters per day'!Q301*6.2898</f>
        <v/>
      </c>
      <c r="R301" s="37" t="n"/>
      <c r="S301" s="46">
        <f>'HIST - cubic meters per day'!S301*6.2898</f>
        <v/>
      </c>
      <c r="U301" s="45">
        <f>'HIST - cubic meters per day'!U301*6.2898</f>
        <v/>
      </c>
      <c r="V301" s="45">
        <f>'HIST - cubic meters per day'!V301*6.2898</f>
        <v/>
      </c>
    </row>
    <row r="302" ht="12" customHeight="1">
      <c r="A302" s="44" t="n">
        <v>45658</v>
      </c>
      <c r="B302" s="37">
        <f>'HIST - cubic meters per day'!B302*6.2898</f>
        <v/>
      </c>
      <c r="C302" s="37">
        <f>'HIST - cubic meters per day'!C302*6.2898</f>
        <v/>
      </c>
      <c r="D302" s="37" t="n"/>
      <c r="E302" s="37" t="n"/>
      <c r="F302" s="37" t="n"/>
      <c r="G302" s="37" t="n"/>
      <c r="H302" s="37" t="n"/>
      <c r="I302" s="37" t="n"/>
      <c r="J302" s="37">
        <f>'HIST - cubic meters per day'!J302*6.2898</f>
        <v/>
      </c>
      <c r="K302" s="37">
        <f>'HIST - cubic meters per day'!K302*6.2898</f>
        <v/>
      </c>
      <c r="L302" s="37">
        <f>'HIST - cubic meters per day'!L302*6.2898</f>
        <v/>
      </c>
      <c r="M302" s="37">
        <f>'HIST - cubic meters per day'!M302*6.2898</f>
        <v/>
      </c>
      <c r="N302" s="37">
        <f>'HIST - cubic meters per day'!N302*6.2898</f>
        <v/>
      </c>
      <c r="O302" s="37">
        <f>'HIST - cubic meters per day'!O302*6.2898</f>
        <v/>
      </c>
      <c r="P302" s="37">
        <f>'HIST - cubic meters per day'!P302*6.2898</f>
        <v/>
      </c>
      <c r="Q302" s="37">
        <f>'HIST - cubic meters per day'!Q302*6.2898</f>
        <v/>
      </c>
      <c r="R302" s="37" t="n"/>
      <c r="S302" s="46">
        <f>'HIST - cubic meters per day'!S302*6.2898</f>
        <v/>
      </c>
      <c r="U302" s="45">
        <f>'HIST - cubic meters per day'!U302*6.2898</f>
        <v/>
      </c>
      <c r="V302" s="45">
        <f>'HIST - cubic meters per day'!V302*6.2898</f>
        <v/>
      </c>
    </row>
    <row r="303" ht="12" customHeight="1">
      <c r="A303" s="44" t="n">
        <v>45689</v>
      </c>
      <c r="D303" s="37" t="n"/>
      <c r="R303" s="37" t="n"/>
    </row>
    <row r="304" ht="12" customHeight="1">
      <c r="A304" s="44" t="n">
        <v>45717</v>
      </c>
      <c r="D304" s="37" t="n"/>
      <c r="R304" s="37" t="n"/>
    </row>
    <row r="305" ht="12" customHeight="1">
      <c r="A305" s="44" t="n">
        <v>45748</v>
      </c>
      <c r="D305" s="37" t="n"/>
      <c r="R305" s="37" t="n"/>
    </row>
    <row r="306" ht="12" customHeight="1">
      <c r="A306" s="44" t="n">
        <v>45778</v>
      </c>
      <c r="D306" s="37" t="n"/>
      <c r="R306" s="37" t="n"/>
    </row>
    <row r="307" ht="12" customHeight="1">
      <c r="A307" s="44" t="n">
        <v>45809</v>
      </c>
      <c r="D307" s="37" t="n"/>
      <c r="R307" s="37" t="n"/>
    </row>
    <row r="308" ht="12" customHeight="1">
      <c r="A308" s="44" t="n">
        <v>45839</v>
      </c>
      <c r="D308" s="37" t="n"/>
      <c r="R308" s="37" t="n"/>
    </row>
    <row r="309" ht="12" customHeight="1">
      <c r="A309" s="44" t="n">
        <v>45870</v>
      </c>
      <c r="D309" s="37" t="n"/>
      <c r="R309" s="37" t="n"/>
    </row>
    <row r="310" ht="12" customHeight="1">
      <c r="A310" s="44" t="n">
        <v>45901</v>
      </c>
      <c r="D310" s="37" t="n"/>
      <c r="R310" s="37" t="n"/>
    </row>
    <row r="311" ht="12" customHeight="1">
      <c r="A311" s="44" t="n">
        <v>45931</v>
      </c>
      <c r="D311" s="37" t="n"/>
      <c r="R311" s="37" t="n"/>
    </row>
    <row r="312" ht="12" customHeight="1">
      <c r="A312" s="44" t="n">
        <v>45962</v>
      </c>
      <c r="D312" s="37" t="n"/>
      <c r="R312" s="37" t="n"/>
    </row>
    <row r="313" ht="12" customHeight="1">
      <c r="A313" s="44" t="n">
        <v>45992</v>
      </c>
      <c r="D313" s="37" t="n"/>
      <c r="R313" s="3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 Budgell</dc:creator>
  <dc:title>Estimated Production Crude Oil and Equivalent (m3/d) / Estimation d'approvisionnement de pétrole brut et d'équivalents (m3/j)</dc:title>
  <dc:subject>Estimated Production Crude Oil and Equivalent (m3/d) / Estimation d'approvisionnement de pétrole brut et d'équivalents (m3/j)</dc:subject>
  <dcterms:created xsi:type="dcterms:W3CDTF">1999-10-21T19:49:35Z</dcterms:created>
  <dcterms:modified xsi:type="dcterms:W3CDTF">2025-08-02T00:52:35Z</dcterms:modified>
  <cp:lastModifiedBy>Bradford Griffin</cp:lastModifiedBy>
  <cp:keywords>Estimated Production Crude Oil and Equivalent (m3/d)/Estimation d'approvisionnement de pétrole brut et d'équivalents (m3/j)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M_Links_Updated" fmtid="{D5CDD505-2E9C-101B-9397-08002B2CF9AE}" pid="2">
    <vt:bool>1</vt:bool>
  </property>
  <property name="MediaServiceImageTags" fmtid="{D5CDD505-2E9C-101B-9397-08002B2CF9AE}" pid="3">
    <vt:lpwstr/>
  </property>
  <property name="ContentTypeId" fmtid="{D5CDD505-2E9C-101B-9397-08002B2CF9AE}" pid="4">
    <vt:lpwstr>0x010100CEF22DAF496ADE498A94ECACB103F1AD</vt:lpwstr>
  </property>
</Properties>
</file>