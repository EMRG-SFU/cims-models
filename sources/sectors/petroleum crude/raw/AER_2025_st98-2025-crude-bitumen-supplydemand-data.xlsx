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18" firstSheet="0" activeTab="1" autoFilterDateGrouping="1"/>
  </bookViews>
  <sheets>
    <sheet name="Disclaimer" sheetId="1" state="visible" r:id="rId1"/>
    <sheet name="Figures" sheetId="2" state="visible" r:id="rId2"/>
    <sheet name="Tables" sheetId="3" state="visible" r:id="rId3"/>
    <sheet name="Units and Conversion Factors" sheetId="4" state="visible" r:id="rId4"/>
  </sheets>
  <definedNames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CorrelationEnabledState" hidden="1">1</definedName>
    <definedName name="_AtRisk_SimSetting_GoalSeekTargetValue" hidden="1">0</definedName>
    <definedName name="_AtRisk_SimSetting_LiveUpdate" hidden="1">TRUE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-1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5000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_xlnm.Print_Area" localSheetId="0">'Disclaimer'!$A$1:$K$47</definedName>
    <definedName name="_xlnm.Print_Area" localSheetId="1">'Figures'!$B$1:$BW$69</definedName>
  </definedNames>
  <calcPr calcId="191029" fullCalcOnLoad="1" iterate="1" calcOnSave="0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"/>
    <numFmt numFmtId="166" formatCode="0.0000000"/>
    <numFmt numFmtId="167" formatCode="#\ ###"/>
  </numFmts>
  <fonts count="48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sz val="10"/>
      <vertAlign val="superscript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Calibri"/>
      <family val="2"/>
      <b val="1"/>
      <i val="1"/>
      <color rgb="FFFA3526"/>
      <sz val="14"/>
      <u val="single"/>
      <scheme val="minor"/>
    </font>
    <font>
      <name val="Calibri"/>
      <family val="2"/>
      <b val="1"/>
      <i val="1"/>
      <color rgb="FFFA3526"/>
      <sz val="14"/>
      <scheme val="minor"/>
    </font>
    <font>
      <name val="Arial"/>
      <family val="2"/>
      <color theme="0" tint="-0.499984740745262"/>
      <sz val="9"/>
    </font>
    <font>
      <name val="Arial"/>
      <family val="2"/>
      <sz val="10"/>
      <vertAlign val="superscript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10"/>
      <vertAlign val="superscript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 Narrow"/>
      <family val="2"/>
      <sz val="10"/>
    </font>
    <font>
      <name val="Arial"/>
      <family val="2"/>
      <color theme="0" tint="-0.499984740745262"/>
      <sz val="9"/>
      <vertAlign val="superscript"/>
    </font>
    <font>
      <name val="Calibri"/>
      <family val="2"/>
      <color rgb="FF006100"/>
      <sz val="11"/>
      <scheme val="minor"/>
    </font>
    <font>
      <name val="Arial"/>
      <family val="2"/>
      <color theme="0" tint="-0.499984740745262"/>
      <sz val="10"/>
    </font>
    <font>
      <name val="Arial"/>
      <family val="2"/>
      <color theme="0" tint="-0.499984740745262"/>
      <sz val="10"/>
      <vertAlign val="superscript"/>
    </font>
    <font>
      <name val="Arial"/>
      <family val="2"/>
      <color rgb="FFFF0000"/>
      <sz val="10"/>
    </font>
    <font>
      <name val="Arial"/>
      <family val="2"/>
      <color theme="1" tint="0.499984740745262"/>
      <sz val="10"/>
    </font>
    <font>
      <name val="Arial"/>
      <family val="2"/>
      <color theme="1" tint="0.499984740745262"/>
      <sz val="10"/>
      <vertAlign val="superscript"/>
    </font>
    <font>
      <name val="Arial"/>
      <family val="2"/>
      <b val="1"/>
      <color theme="1"/>
      <sz val="10"/>
    </font>
    <font>
      <name val="Arial"/>
      <family val="2"/>
      <b val="1"/>
      <color theme="1"/>
      <sz val="10"/>
      <vertAlign val="superscript"/>
    </font>
  </fonts>
  <fills count="28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</fills>
  <borders count="1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0" tint="-0.3499862666707358"/>
      </top>
      <bottom/>
      <diagonal/>
    </border>
    <border>
      <left/>
      <right/>
      <top/>
      <bottom style="thin">
        <color theme="0" tint="-0.349986266670735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theme="0" tint="-0.3499862666707358"/>
      </bottom>
      <diagonal/>
    </border>
    <border>
      <left/>
      <right style="thin">
        <color indexed="64"/>
      </right>
      <top/>
      <bottom style="thin">
        <color theme="0" tint="-0.3499862666707358"/>
      </bottom>
      <diagonal/>
    </border>
    <border>
      <left style="thin">
        <color indexed="64"/>
      </left>
      <right/>
      <top style="thin">
        <color theme="0" tint="-0.3499862666707358"/>
      </top>
      <bottom/>
      <diagonal/>
    </border>
    <border>
      <left/>
      <right style="thin">
        <color indexed="64"/>
      </right>
      <top style="thin">
        <color theme="0" tint="-0.3499862666707358"/>
      </top>
      <bottom/>
      <diagonal/>
    </border>
    <border>
      <left style="thin">
        <color indexed="64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3499862666707358"/>
      </top>
      <bottom style="thin">
        <color indexed="64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auto="1"/>
      </left>
      <right/>
      <top style="thin">
        <color auto="1"/>
      </top>
      <bottom style="thin">
        <color theme="0" tint="-0.249946592608417"/>
      </bottom>
      <diagonal/>
    </border>
    <border>
      <left style="thin">
        <color auto="1"/>
      </left>
      <right/>
      <top style="thin">
        <color theme="0" tint="-0.249946592608417"/>
      </top>
      <bottom style="thin">
        <color auto="1"/>
      </bottom>
      <diagonal/>
    </border>
    <border>
      <left/>
      <right/>
      <top style="thin">
        <color auto="1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theme="0" tint="-0.249946592608417"/>
      </bottom>
      <diagonal/>
    </border>
    <border>
      <left/>
      <right style="thin">
        <color auto="1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auto="1"/>
      </right>
      <top style="thin">
        <color theme="0" tint="-0.249946592608417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381">
    <xf numFmtId="0" fontId="0" fillId="0" borderId="0"/>
    <xf numFmtId="43" fontId="12" fillId="0" borderId="0"/>
    <xf numFmtId="9" fontId="12" fillId="0" borderId="0"/>
    <xf numFmtId="0" fontId="7" fillId="0" borderId="0"/>
    <xf numFmtId="0" fontId="12" fillId="0" borderId="0"/>
    <xf numFmtId="0" fontId="13" fillId="2" borderId="0"/>
    <xf numFmtId="0" fontId="13" fillId="3" borderId="0"/>
    <xf numFmtId="0" fontId="13" fillId="4" borderId="0"/>
    <xf numFmtId="0" fontId="13" fillId="5" borderId="0"/>
    <xf numFmtId="0" fontId="13" fillId="6" borderId="0"/>
    <xf numFmtId="0" fontId="13" fillId="7" borderId="0"/>
    <xf numFmtId="0" fontId="13" fillId="8" borderId="0"/>
    <xf numFmtId="0" fontId="13" fillId="9" borderId="0"/>
    <xf numFmtId="0" fontId="13" fillId="10" borderId="0"/>
    <xf numFmtId="0" fontId="13" fillId="5" borderId="0"/>
    <xf numFmtId="0" fontId="13" fillId="8" borderId="0"/>
    <xf numFmtId="0" fontId="13" fillId="11" borderId="0"/>
    <xf numFmtId="0" fontId="14" fillId="12" borderId="0"/>
    <xf numFmtId="0" fontId="14" fillId="9" borderId="0"/>
    <xf numFmtId="0" fontId="14" fillId="10" borderId="0"/>
    <xf numFmtId="0" fontId="14" fillId="13" borderId="0"/>
    <xf numFmtId="0" fontId="14" fillId="14" borderId="0"/>
    <xf numFmtId="0" fontId="14" fillId="15" borderId="0"/>
    <xf numFmtId="0" fontId="14" fillId="16" borderId="0"/>
    <xf numFmtId="0" fontId="14" fillId="17" borderId="0"/>
    <xf numFmtId="0" fontId="14" fillId="18" borderId="0"/>
    <xf numFmtId="0" fontId="14" fillId="13" borderId="0"/>
    <xf numFmtId="0" fontId="14" fillId="14" borderId="0"/>
    <xf numFmtId="0" fontId="14" fillId="19" borderId="0"/>
    <xf numFmtId="0" fontId="15" fillId="3" borderId="0"/>
    <xf numFmtId="0" fontId="16" fillId="20" borderId="47"/>
    <xf numFmtId="0" fontId="17" fillId="21" borderId="15"/>
    <xf numFmtId="0" fontId="18" fillId="0" borderId="0"/>
    <xf numFmtId="0" fontId="19" fillId="4" borderId="0"/>
    <xf numFmtId="0" fontId="20" fillId="0" borderId="16"/>
    <xf numFmtId="0" fontId="21" fillId="0" borderId="17"/>
    <xf numFmtId="0" fontId="22" fillId="0" borderId="18"/>
    <xf numFmtId="0" fontId="22" fillId="0" borderId="0"/>
    <xf numFmtId="0" fontId="23" fillId="7" borderId="47"/>
    <xf numFmtId="0" fontId="24" fillId="0" borderId="19"/>
    <xf numFmtId="0" fontId="25" fillId="22" borderId="0"/>
    <xf numFmtId="0" fontId="12" fillId="23" borderId="48"/>
    <xf numFmtId="0" fontId="26" fillId="20" borderId="49"/>
    <xf numFmtId="9" fontId="12" fillId="0" borderId="0"/>
    <xf numFmtId="0" fontId="27" fillId="0" borderId="0"/>
    <xf numFmtId="0" fontId="28" fillId="0" borderId="50"/>
    <xf numFmtId="0" fontId="29" fillId="0" borderId="0"/>
    <xf numFmtId="0" fontId="12" fillId="0" borderId="0"/>
    <xf numFmtId="0" fontId="7" fillId="0" borderId="0"/>
    <xf numFmtId="43" fontId="12" fillId="0" borderId="0"/>
    <xf numFmtId="9" fontId="12" fillId="0" borderId="0"/>
    <xf numFmtId="0" fontId="7" fillId="0" borderId="0"/>
    <xf numFmtId="0" fontId="12" fillId="0" borderId="0"/>
    <xf numFmtId="0" fontId="16" fillId="20" borderId="47"/>
    <xf numFmtId="0" fontId="12" fillId="23" borderId="48"/>
    <xf numFmtId="0" fontId="26" fillId="20" borderId="49"/>
    <xf numFmtId="9" fontId="12" fillId="0" borderId="0"/>
    <xf numFmtId="0" fontId="28" fillId="0" borderId="50"/>
    <xf numFmtId="0" fontId="12" fillId="0" borderId="0"/>
    <xf numFmtId="0" fontId="7" fillId="0" borderId="0"/>
    <xf numFmtId="43" fontId="12" fillId="0" borderId="0"/>
    <xf numFmtId="0" fontId="23" fillId="7" borderId="47"/>
    <xf numFmtId="0" fontId="7" fillId="0" borderId="0"/>
    <xf numFmtId="0" fontId="16" fillId="20" borderId="47"/>
    <xf numFmtId="0" fontId="12" fillId="23" borderId="48"/>
    <xf numFmtId="0" fontId="26" fillId="20" borderId="49"/>
    <xf numFmtId="0" fontId="28" fillId="0" borderId="50"/>
    <xf numFmtId="0" fontId="7" fillId="0" borderId="0"/>
    <xf numFmtId="0" fontId="23" fillId="7" borderId="47"/>
    <xf numFmtId="0" fontId="12" fillId="23" borderId="48"/>
    <xf numFmtId="0" fontId="26" fillId="20" borderId="49"/>
    <xf numFmtId="0" fontId="28" fillId="0" borderId="5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2" fillId="0" borderId="0"/>
    <xf numFmtId="9" fontId="12" fillId="0" borderId="0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" fillId="0" borderId="50"/>
    <xf numFmtId="0" fontId="7" fillId="0" borderId="0"/>
    <xf numFmtId="0" fontId="26" fillId="20" borderId="49"/>
    <xf numFmtId="0" fontId="26" fillId="20" borderId="49"/>
    <xf numFmtId="0" fontId="28" fillId="0" borderId="50"/>
    <xf numFmtId="0" fontId="23" fillId="7" borderId="47"/>
    <xf numFmtId="0" fontId="7" fillId="0" borderId="0"/>
    <xf numFmtId="0" fontId="7" fillId="0" borderId="0"/>
    <xf numFmtId="0" fontId="16" fillId="20" borderId="47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7" fillId="0" borderId="0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7" fillId="0" borderId="0"/>
    <xf numFmtId="0" fontId="7" fillId="0" borderId="0"/>
    <xf numFmtId="0" fontId="7" fillId="0" borderId="0"/>
    <xf numFmtId="0" fontId="23" fillId="7" borderId="47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" fillId="0" borderId="50"/>
    <xf numFmtId="0" fontId="7" fillId="0" borderId="0"/>
    <xf numFmtId="0" fontId="26" fillId="20" borderId="49"/>
    <xf numFmtId="0" fontId="23" fillId="7" borderId="47"/>
    <xf numFmtId="0" fontId="7" fillId="0" borderId="0"/>
    <xf numFmtId="0" fontId="7" fillId="0" borderId="0"/>
    <xf numFmtId="0" fontId="16" fillId="20" borderId="47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2" fillId="23" borderId="48"/>
    <xf numFmtId="0" fontId="16" fillId="20" borderId="47"/>
    <xf numFmtId="0" fontId="26" fillId="20" borderId="49"/>
    <xf numFmtId="0" fontId="28" fillId="0" borderId="50"/>
    <xf numFmtId="0" fontId="12" fillId="23" borderId="48"/>
    <xf numFmtId="0" fontId="23" fillId="7" borderId="47"/>
    <xf numFmtId="0" fontId="16" fillId="20" borderId="47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12" fillId="23" borderId="48"/>
    <xf numFmtId="0" fontId="26" fillId="20" borderId="49"/>
    <xf numFmtId="0" fontId="26" fillId="20" borderId="49"/>
    <xf numFmtId="0" fontId="23" fillId="7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16" fillId="20" borderId="47"/>
    <xf numFmtId="0" fontId="16" fillId="20" borderId="47"/>
    <xf numFmtId="0" fontId="12" fillId="23" borderId="48"/>
    <xf numFmtId="0" fontId="23" fillId="7" borderId="47"/>
    <xf numFmtId="0" fontId="23" fillId="7" borderId="47"/>
    <xf numFmtId="0" fontId="26" fillId="20" borderId="49"/>
    <xf numFmtId="0" fontId="28" fillId="0" borderId="50"/>
    <xf numFmtId="0" fontId="23" fillId="7" borderId="47"/>
    <xf numFmtId="0" fontId="26" fillId="20" borderId="49"/>
    <xf numFmtId="0" fontId="12" fillId="23" borderId="48"/>
    <xf numFmtId="0" fontId="28" fillId="0" borderId="50"/>
    <xf numFmtId="0" fontId="16" fillId="20" borderId="47"/>
    <xf numFmtId="0" fontId="16" fillId="20" borderId="47"/>
    <xf numFmtId="0" fontId="26" fillId="20" borderId="49"/>
    <xf numFmtId="0" fontId="26" fillId="20" borderId="49"/>
    <xf numFmtId="0" fontId="16" fillId="20" borderId="47"/>
    <xf numFmtId="0" fontId="28" fillId="0" borderId="50"/>
    <xf numFmtId="0" fontId="12" fillId="23" borderId="48"/>
    <xf numFmtId="0" fontId="12" fillId="23" borderId="48"/>
    <xf numFmtId="0" fontId="26" fillId="20" borderId="49"/>
    <xf numFmtId="0" fontId="12" fillId="23" borderId="48"/>
    <xf numFmtId="0" fontId="16" fillId="20" borderId="47"/>
    <xf numFmtId="0" fontId="23" fillId="7" borderId="47"/>
    <xf numFmtId="0" fontId="16" fillId="20" borderId="47"/>
    <xf numFmtId="0" fontId="12" fillId="23" borderId="48"/>
    <xf numFmtId="0" fontId="12" fillId="23" borderId="48"/>
    <xf numFmtId="0" fontId="23" fillId="7" borderId="47"/>
    <xf numFmtId="0" fontId="28" fillId="0" borderId="50"/>
    <xf numFmtId="0" fontId="16" fillId="20" borderId="47"/>
    <xf numFmtId="0" fontId="12" fillId="23" borderId="48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12" fillId="23" borderId="48"/>
    <xf numFmtId="0" fontId="26" fillId="20" borderId="49"/>
    <xf numFmtId="0" fontId="26" fillId="20" borderId="49"/>
    <xf numFmtId="0" fontId="28" fillId="0" borderId="50"/>
    <xf numFmtId="0" fontId="26" fillId="20" borderId="49"/>
    <xf numFmtId="0" fontId="23" fillId="7" borderId="47"/>
    <xf numFmtId="0" fontId="12" fillId="23" borderId="48"/>
    <xf numFmtId="0" fontId="16" fillId="20" borderId="47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2" fillId="23" borderId="48"/>
    <xf numFmtId="0" fontId="16" fillId="20" borderId="47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2" fillId="23" borderId="48"/>
    <xf numFmtId="0" fontId="26" fillId="20" borderId="49"/>
    <xf numFmtId="0" fontId="23" fillId="7" borderId="47"/>
    <xf numFmtId="0" fontId="23" fillId="7" borderId="47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6" fillId="20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16" fillId="20" borderId="47"/>
    <xf numFmtId="0" fontId="12" fillId="23" borderId="48"/>
    <xf numFmtId="0" fontId="23" fillId="7" borderId="47"/>
    <xf numFmtId="0" fontId="23" fillId="7" borderId="47"/>
    <xf numFmtId="0" fontId="28" fillId="0" borderId="50"/>
    <xf numFmtId="0" fontId="12" fillId="23" borderId="48"/>
    <xf numFmtId="0" fontId="12" fillId="23" borderId="48"/>
    <xf numFmtId="0" fontId="26" fillId="20" borderId="49"/>
    <xf numFmtId="0" fontId="28" fillId="0" borderId="50"/>
    <xf numFmtId="0" fontId="28" fillId="0" borderId="50"/>
    <xf numFmtId="0" fontId="28" fillId="0" borderId="50"/>
    <xf numFmtId="0" fontId="26" fillId="20" borderId="49"/>
    <xf numFmtId="0" fontId="23" fillId="7" borderId="47"/>
    <xf numFmtId="0" fontId="28" fillId="0" borderId="50"/>
    <xf numFmtId="0" fontId="12" fillId="23" borderId="48"/>
    <xf numFmtId="0" fontId="16" fillId="20" borderId="47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2" fillId="23" borderId="48"/>
    <xf numFmtId="0" fontId="23" fillId="7" borderId="47"/>
    <xf numFmtId="0" fontId="23" fillId="7" borderId="47"/>
    <xf numFmtId="0" fontId="12" fillId="23" borderId="48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7" fillId="0" borderId="0"/>
    <xf numFmtId="0" fontId="7" fillId="0" borderId="0"/>
    <xf numFmtId="0" fontId="26" fillId="20" borderId="49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6" fillId="20" borderId="49"/>
    <xf numFmtId="0" fontId="28" fillId="0" borderId="50"/>
    <xf numFmtId="0" fontId="28" fillId="0" borderId="50"/>
    <xf numFmtId="0" fontId="23" fillId="7" borderId="47"/>
    <xf numFmtId="0" fontId="23" fillId="7" borderId="47"/>
    <xf numFmtId="0" fontId="28" fillId="0" borderId="50"/>
    <xf numFmtId="0" fontId="26" fillId="20" borderId="49"/>
    <xf numFmtId="0" fontId="16" fillId="20" borderId="47"/>
    <xf numFmtId="0" fontId="16" fillId="20" borderId="47"/>
    <xf numFmtId="0" fontId="28" fillId="0" borderId="50"/>
    <xf numFmtId="0" fontId="28" fillId="0" borderId="50"/>
    <xf numFmtId="0" fontId="28" fillId="0" borderId="50"/>
    <xf numFmtId="0" fontId="26" fillId="20" borderId="49"/>
    <xf numFmtId="0" fontId="23" fillId="7" borderId="47"/>
    <xf numFmtId="0" fontId="12" fillId="23" borderId="48"/>
    <xf numFmtId="0" fontId="26" fillId="20" borderId="49"/>
    <xf numFmtId="0" fontId="16" fillId="20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12" fillId="23" borderId="48"/>
    <xf numFmtId="0" fontId="12" fillId="23" borderId="48"/>
    <xf numFmtId="0" fontId="16" fillId="20" borderId="47"/>
    <xf numFmtId="0" fontId="28" fillId="0" borderId="50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3" fillId="7" borderId="47"/>
    <xf numFmtId="0" fontId="16" fillId="20" borderId="47"/>
    <xf numFmtId="0" fontId="26" fillId="20" borderId="49"/>
    <xf numFmtId="0" fontId="28" fillId="0" borderId="50"/>
    <xf numFmtId="0" fontId="23" fillId="7" borderId="47"/>
    <xf numFmtId="0" fontId="16" fillId="20" borderId="47"/>
    <xf numFmtId="0" fontId="26" fillId="20" borderId="49"/>
    <xf numFmtId="0" fontId="23" fillId="7" borderId="47"/>
    <xf numFmtId="0" fontId="28" fillId="0" borderId="50"/>
    <xf numFmtId="0" fontId="12" fillId="23" borderId="48"/>
    <xf numFmtId="0" fontId="16" fillId="20" borderId="47"/>
    <xf numFmtId="0" fontId="28" fillId="0" borderId="50"/>
    <xf numFmtId="0" fontId="12" fillId="23" borderId="48"/>
    <xf numFmtId="0" fontId="16" fillId="20" borderId="47"/>
    <xf numFmtId="0" fontId="16" fillId="20" borderId="47"/>
    <xf numFmtId="0" fontId="26" fillId="20" borderId="49"/>
    <xf numFmtId="0" fontId="12" fillId="23" borderId="48"/>
    <xf numFmtId="0" fontId="26" fillId="20" borderId="49"/>
    <xf numFmtId="0" fontId="26" fillId="20" borderId="49"/>
    <xf numFmtId="0" fontId="26" fillId="20" borderId="49"/>
    <xf numFmtId="0" fontId="16" fillId="20" borderId="47"/>
    <xf numFmtId="0" fontId="26" fillId="20" borderId="49"/>
    <xf numFmtId="0" fontId="12" fillId="23" borderId="48"/>
    <xf numFmtId="0" fontId="12" fillId="23" borderId="48"/>
    <xf numFmtId="0" fontId="12" fillId="23" borderId="48"/>
    <xf numFmtId="0" fontId="26" fillId="20" borderId="49"/>
    <xf numFmtId="0" fontId="26" fillId="20" borderId="49"/>
    <xf numFmtId="0" fontId="23" fillId="7" borderId="47"/>
    <xf numFmtId="0" fontId="28" fillId="0" borderId="50"/>
    <xf numFmtId="0" fontId="16" fillId="20" borderId="47"/>
    <xf numFmtId="0" fontId="23" fillId="7" borderId="47"/>
    <xf numFmtId="0" fontId="23" fillId="7" borderId="47"/>
    <xf numFmtId="0" fontId="28" fillId="0" borderId="50"/>
    <xf numFmtId="0" fontId="23" fillId="7" borderId="47"/>
    <xf numFmtId="0" fontId="28" fillId="0" borderId="50"/>
    <xf numFmtId="0" fontId="12" fillId="23" borderId="48"/>
    <xf numFmtId="0" fontId="16" fillId="20" borderId="47"/>
    <xf numFmtId="0" fontId="23" fillId="7" borderId="47"/>
    <xf numFmtId="0" fontId="26" fillId="20" borderId="49"/>
    <xf numFmtId="0" fontId="16" fillId="20" borderId="47"/>
    <xf numFmtId="0" fontId="28" fillId="0" borderId="50"/>
    <xf numFmtId="0" fontId="26" fillId="20" borderId="49"/>
    <xf numFmtId="0" fontId="28" fillId="0" borderId="50"/>
    <xf numFmtId="0" fontId="28" fillId="0" borderId="50"/>
    <xf numFmtId="0" fontId="28" fillId="0" borderId="50"/>
    <xf numFmtId="0" fontId="23" fillId="7" borderId="47"/>
    <xf numFmtId="0" fontId="23" fillId="7" borderId="47"/>
    <xf numFmtId="0" fontId="26" fillId="20" borderId="49"/>
    <xf numFmtId="0" fontId="12" fillId="23" borderId="48"/>
    <xf numFmtId="0" fontId="23" fillId="7" borderId="47"/>
    <xf numFmtId="0" fontId="12" fillId="23" borderId="48"/>
    <xf numFmtId="0" fontId="28" fillId="0" borderId="50"/>
    <xf numFmtId="0" fontId="12" fillId="23" borderId="48"/>
    <xf numFmtId="0" fontId="16" fillId="20" borderId="47"/>
    <xf numFmtId="0" fontId="26" fillId="20" borderId="49"/>
    <xf numFmtId="0" fontId="16" fillId="20" borderId="47"/>
    <xf numFmtId="0" fontId="28" fillId="0" borderId="50"/>
    <xf numFmtId="0" fontId="23" fillId="7" borderId="47"/>
    <xf numFmtId="0" fontId="23" fillId="7" borderId="47"/>
    <xf numFmtId="0" fontId="26" fillId="20" borderId="49"/>
    <xf numFmtId="0" fontId="16" fillId="20" borderId="47"/>
    <xf numFmtId="0" fontId="23" fillId="7" borderId="47"/>
    <xf numFmtId="0" fontId="26" fillId="20" borderId="49"/>
    <xf numFmtId="0" fontId="28" fillId="0" borderId="50"/>
    <xf numFmtId="0" fontId="16" fillId="20" borderId="47"/>
    <xf numFmtId="0" fontId="28" fillId="0" borderId="50"/>
    <xf numFmtId="0" fontId="16" fillId="20" borderId="47"/>
    <xf numFmtId="0" fontId="16" fillId="20" borderId="47"/>
    <xf numFmtId="0" fontId="16" fillId="20" borderId="47"/>
    <xf numFmtId="0" fontId="28" fillId="0" borderId="50"/>
    <xf numFmtId="0" fontId="23" fillId="7" borderId="47"/>
    <xf numFmtId="0" fontId="16" fillId="20" borderId="47"/>
    <xf numFmtId="0" fontId="28" fillId="0" borderId="50"/>
    <xf numFmtId="0" fontId="23" fillId="7" borderId="47"/>
    <xf numFmtId="0" fontId="16" fillId="20" borderId="47"/>
    <xf numFmtId="0" fontId="28" fillId="0" borderId="50"/>
    <xf numFmtId="0" fontId="26" fillId="20" borderId="49"/>
    <xf numFmtId="0" fontId="26" fillId="20" borderId="49"/>
    <xf numFmtId="0" fontId="16" fillId="20" borderId="47"/>
    <xf numFmtId="0" fontId="12" fillId="23" borderId="48"/>
    <xf numFmtId="0" fontId="28" fillId="0" borderId="50"/>
    <xf numFmtId="0" fontId="26" fillId="20" borderId="49"/>
    <xf numFmtId="0" fontId="23" fillId="7" borderId="47"/>
    <xf numFmtId="0" fontId="23" fillId="7" borderId="47"/>
    <xf numFmtId="0" fontId="16" fillId="20" borderId="47"/>
    <xf numFmtId="0" fontId="28" fillId="0" borderId="50"/>
    <xf numFmtId="0" fontId="23" fillId="7" borderId="47"/>
    <xf numFmtId="0" fontId="23" fillId="7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3" fillId="7" borderId="47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6" fillId="20" borderId="49"/>
    <xf numFmtId="0" fontId="23" fillId="7" borderId="47"/>
    <xf numFmtId="0" fontId="28" fillId="0" borderId="50"/>
    <xf numFmtId="0" fontId="23" fillId="7" borderId="47"/>
    <xf numFmtId="0" fontId="12" fillId="23" borderId="48"/>
    <xf numFmtId="0" fontId="16" fillId="20" borderId="47"/>
    <xf numFmtId="0" fontId="16" fillId="20" borderId="47"/>
    <xf numFmtId="0" fontId="28" fillId="0" borderId="50"/>
    <xf numFmtId="0" fontId="28" fillId="0" borderId="50"/>
    <xf numFmtId="0" fontId="23" fillId="7" borderId="47"/>
    <xf numFmtId="0" fontId="26" fillId="20" borderId="49"/>
    <xf numFmtId="0" fontId="23" fillId="7" borderId="47"/>
    <xf numFmtId="0" fontId="12" fillId="23" borderId="48"/>
    <xf numFmtId="0" fontId="28" fillId="0" borderId="50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6" fillId="20" borderId="49"/>
    <xf numFmtId="0" fontId="12" fillId="23" borderId="48"/>
    <xf numFmtId="0" fontId="12" fillId="23" borderId="48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12" fillId="23" borderId="48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3" fillId="7" borderId="47"/>
    <xf numFmtId="0" fontId="23" fillId="7" borderId="47"/>
    <xf numFmtId="0" fontId="23" fillId="7" borderId="47"/>
    <xf numFmtId="0" fontId="28" fillId="0" borderId="50"/>
    <xf numFmtId="0" fontId="28" fillId="0" borderId="50"/>
    <xf numFmtId="0" fontId="26" fillId="20" borderId="49"/>
    <xf numFmtId="0" fontId="23" fillId="7" borderId="47"/>
    <xf numFmtId="0" fontId="16" fillId="20" borderId="47"/>
    <xf numFmtId="0" fontId="16" fillId="20" borderId="47"/>
    <xf numFmtId="0" fontId="23" fillId="7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23" fillId="7" borderId="47"/>
    <xf numFmtId="0" fontId="16" fillId="20" borderId="47"/>
    <xf numFmtId="0" fontId="12" fillId="23" borderId="48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3" fillId="7" borderId="47"/>
    <xf numFmtId="0" fontId="12" fillId="23" borderId="48"/>
    <xf numFmtId="0" fontId="16" fillId="20" borderId="47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12" fillId="23" borderId="48"/>
    <xf numFmtId="0" fontId="28" fillId="0" borderId="50"/>
    <xf numFmtId="0" fontId="23" fillId="7" borderId="47"/>
    <xf numFmtId="0" fontId="23" fillId="7" borderId="47"/>
    <xf numFmtId="0" fontId="28" fillId="0" borderId="50"/>
    <xf numFmtId="0" fontId="12" fillId="23" borderId="48"/>
    <xf numFmtId="0" fontId="12" fillId="23" borderId="48"/>
    <xf numFmtId="0" fontId="23" fillId="7" borderId="47"/>
    <xf numFmtId="0" fontId="28" fillId="0" borderId="50"/>
    <xf numFmtId="0" fontId="28" fillId="0" borderId="50"/>
    <xf numFmtId="0" fontId="26" fillId="20" borderId="49"/>
    <xf numFmtId="0" fontId="23" fillId="7" borderId="47"/>
    <xf numFmtId="0" fontId="23" fillId="7" borderId="47"/>
    <xf numFmtId="0" fontId="26" fillId="20" borderId="49"/>
    <xf numFmtId="0" fontId="16" fillId="20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6" fillId="20" borderId="47"/>
    <xf numFmtId="0" fontId="16" fillId="20" borderId="47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3" fillId="7" borderId="47"/>
    <xf numFmtId="0" fontId="28" fillId="0" borderId="50"/>
    <xf numFmtId="0" fontId="26" fillId="20" borderId="49"/>
    <xf numFmtId="0" fontId="12" fillId="23" borderId="48"/>
    <xf numFmtId="0" fontId="12" fillId="23" borderId="48"/>
    <xf numFmtId="0" fontId="26" fillId="20" borderId="49"/>
    <xf numFmtId="0" fontId="26" fillId="20" borderId="49"/>
    <xf numFmtId="0" fontId="23" fillId="7" borderId="47"/>
    <xf numFmtId="0" fontId="26" fillId="20" borderId="49"/>
    <xf numFmtId="0" fontId="12" fillId="23" borderId="48"/>
    <xf numFmtId="0" fontId="12" fillId="23" borderId="48"/>
    <xf numFmtId="0" fontId="23" fillId="7" borderId="47"/>
    <xf numFmtId="0" fontId="16" fillId="20" borderId="47"/>
    <xf numFmtId="0" fontId="16" fillId="20" borderId="47"/>
    <xf numFmtId="0" fontId="16" fillId="20" borderId="47"/>
    <xf numFmtId="0" fontId="26" fillId="20" borderId="49"/>
    <xf numFmtId="0" fontId="23" fillId="7" borderId="47"/>
    <xf numFmtId="0" fontId="12" fillId="23" borderId="48"/>
    <xf numFmtId="0" fontId="23" fillId="7" borderId="47"/>
    <xf numFmtId="0" fontId="26" fillId="20" borderId="49"/>
    <xf numFmtId="0" fontId="23" fillId="7" borderId="47"/>
    <xf numFmtId="0" fontId="12" fillId="23" borderId="48"/>
    <xf numFmtId="0" fontId="26" fillId="20" borderId="49"/>
    <xf numFmtId="0" fontId="26" fillId="20" borderId="49"/>
    <xf numFmtId="0" fontId="12" fillId="23" borderId="48"/>
    <xf numFmtId="0" fontId="28" fillId="0" borderId="50"/>
    <xf numFmtId="0" fontId="28" fillId="0" borderId="50"/>
    <xf numFmtId="0" fontId="23" fillId="7" borderId="47"/>
    <xf numFmtId="0" fontId="16" fillId="20" borderId="47"/>
    <xf numFmtId="0" fontId="28" fillId="0" borderId="50"/>
    <xf numFmtId="0" fontId="26" fillId="20" borderId="49"/>
    <xf numFmtId="0" fontId="28" fillId="0" borderId="50"/>
    <xf numFmtId="0" fontId="26" fillId="20" borderId="49"/>
    <xf numFmtId="0" fontId="28" fillId="0" borderId="50"/>
    <xf numFmtId="0" fontId="28" fillId="0" borderId="50"/>
    <xf numFmtId="0" fontId="28" fillId="0" borderId="50"/>
    <xf numFmtId="0" fontId="26" fillId="20" borderId="49"/>
    <xf numFmtId="0" fontId="16" fillId="20" borderId="47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3" fillId="7" borderId="47"/>
    <xf numFmtId="0" fontId="28" fillId="0" borderId="50"/>
    <xf numFmtId="0" fontId="26" fillId="20" borderId="49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6" fillId="20" borderId="47"/>
    <xf numFmtId="0" fontId="12" fillId="23" borderId="48"/>
    <xf numFmtId="0" fontId="26" fillId="20" borderId="49"/>
    <xf numFmtId="0" fontId="26" fillId="20" borderId="49"/>
    <xf numFmtId="0" fontId="23" fillId="7" borderId="47"/>
    <xf numFmtId="0" fontId="26" fillId="20" borderId="49"/>
    <xf numFmtId="0" fontId="12" fillId="23" borderId="48"/>
    <xf numFmtId="0" fontId="23" fillId="7" borderId="47"/>
    <xf numFmtId="0" fontId="16" fillId="20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16" fillId="20" borderId="47"/>
    <xf numFmtId="0" fontId="23" fillId="7" borderId="47"/>
    <xf numFmtId="0" fontId="28" fillId="0" borderId="50"/>
    <xf numFmtId="0" fontId="26" fillId="20" borderId="49"/>
    <xf numFmtId="0" fontId="26" fillId="20" borderId="49"/>
    <xf numFmtId="0" fontId="28" fillId="0" borderId="50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12" fillId="23" borderId="48"/>
    <xf numFmtId="0" fontId="28" fillId="0" borderId="50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16" fillId="20" borderId="47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6" fillId="20" borderId="47"/>
    <xf numFmtId="0" fontId="16" fillId="20" borderId="47"/>
    <xf numFmtId="0" fontId="12" fillId="23" borderId="48"/>
    <xf numFmtId="0" fontId="28" fillId="0" borderId="50"/>
    <xf numFmtId="0" fontId="23" fillId="7" borderId="47"/>
    <xf numFmtId="0" fontId="16" fillId="20" borderId="47"/>
    <xf numFmtId="0" fontId="28" fillId="0" borderId="50"/>
    <xf numFmtId="0" fontId="28" fillId="0" borderId="50"/>
    <xf numFmtId="0" fontId="26" fillId="20" borderId="49"/>
    <xf numFmtId="0" fontId="26" fillId="20" borderId="49"/>
    <xf numFmtId="0" fontId="23" fillId="7" borderId="47"/>
    <xf numFmtId="0" fontId="16" fillId="20" borderId="47"/>
    <xf numFmtId="0" fontId="26" fillId="20" borderId="49"/>
    <xf numFmtId="0" fontId="28" fillId="0" borderId="50"/>
    <xf numFmtId="0" fontId="26" fillId="20" borderId="49"/>
    <xf numFmtId="0" fontId="23" fillId="7" borderId="47"/>
    <xf numFmtId="0" fontId="26" fillId="20" borderId="49"/>
    <xf numFmtId="0" fontId="12" fillId="23" borderId="48"/>
    <xf numFmtId="0" fontId="12" fillId="23" borderId="48"/>
    <xf numFmtId="0" fontId="12" fillId="23" borderId="48"/>
    <xf numFmtId="0" fontId="16" fillId="20" borderId="47"/>
    <xf numFmtId="0" fontId="12" fillId="23" borderId="48"/>
    <xf numFmtId="0" fontId="23" fillId="7" borderId="47"/>
    <xf numFmtId="0" fontId="28" fillId="0" borderId="50"/>
    <xf numFmtId="0" fontId="12" fillId="23" borderId="48"/>
    <xf numFmtId="0" fontId="23" fillId="7" borderId="47"/>
    <xf numFmtId="0" fontId="28" fillId="0" borderId="50"/>
    <xf numFmtId="0" fontId="28" fillId="0" borderId="50"/>
    <xf numFmtId="0" fontId="23" fillId="7" borderId="47"/>
    <xf numFmtId="0" fontId="26" fillId="20" borderId="49"/>
    <xf numFmtId="0" fontId="23" fillId="7" borderId="47"/>
    <xf numFmtId="0" fontId="16" fillId="20" borderId="47"/>
    <xf numFmtId="0" fontId="12" fillId="23" borderId="48"/>
    <xf numFmtId="0" fontId="28" fillId="0" borderId="50"/>
    <xf numFmtId="0" fontId="23" fillId="7" borderId="47"/>
    <xf numFmtId="0" fontId="28" fillId="0" borderId="50"/>
    <xf numFmtId="0" fontId="28" fillId="0" borderId="50"/>
    <xf numFmtId="0" fontId="12" fillId="23" borderId="48"/>
    <xf numFmtId="0" fontId="23" fillId="7" borderId="47"/>
    <xf numFmtId="0" fontId="28" fillId="0" borderId="50"/>
    <xf numFmtId="0" fontId="16" fillId="20" borderId="47"/>
    <xf numFmtId="0" fontId="12" fillId="23" borderId="48"/>
    <xf numFmtId="0" fontId="16" fillId="20" borderId="47"/>
    <xf numFmtId="0" fontId="16" fillId="20" borderId="47"/>
    <xf numFmtId="0" fontId="16" fillId="20" borderId="47"/>
    <xf numFmtId="0" fontId="26" fillId="20" borderId="49"/>
    <xf numFmtId="0" fontId="12" fillId="23" borderId="48"/>
    <xf numFmtId="0" fontId="12" fillId="23" borderId="48"/>
    <xf numFmtId="0" fontId="23" fillId="7" borderId="47"/>
    <xf numFmtId="0" fontId="16" fillId="20" borderId="47"/>
    <xf numFmtId="0" fontId="26" fillId="20" borderId="49"/>
    <xf numFmtId="0" fontId="26" fillId="20" borderId="49"/>
    <xf numFmtId="0" fontId="26" fillId="20" borderId="49"/>
    <xf numFmtId="0" fontId="23" fillId="7" borderId="47"/>
    <xf numFmtId="0" fontId="12" fillId="23" borderId="48"/>
    <xf numFmtId="0" fontId="26" fillId="20" borderId="49"/>
    <xf numFmtId="0" fontId="23" fillId="7" borderId="47"/>
    <xf numFmtId="0" fontId="28" fillId="0" borderId="50"/>
    <xf numFmtId="0" fontId="28" fillId="0" borderId="50"/>
    <xf numFmtId="0" fontId="28" fillId="0" borderId="50"/>
    <xf numFmtId="0" fontId="23" fillId="7" borderId="47"/>
    <xf numFmtId="0" fontId="23" fillId="7" borderId="47"/>
    <xf numFmtId="0" fontId="12" fillId="23" borderId="48"/>
    <xf numFmtId="0" fontId="16" fillId="20" borderId="47"/>
    <xf numFmtId="0" fontId="28" fillId="0" borderId="50"/>
    <xf numFmtId="0" fontId="28" fillId="0" borderId="50"/>
    <xf numFmtId="0" fontId="28" fillId="0" borderId="50"/>
    <xf numFmtId="0" fontId="16" fillId="20" borderId="47"/>
    <xf numFmtId="0" fontId="23" fillId="7" borderId="47"/>
    <xf numFmtId="0" fontId="28" fillId="0" borderId="50"/>
    <xf numFmtId="0" fontId="26" fillId="20" borderId="49"/>
    <xf numFmtId="0" fontId="28" fillId="0" borderId="50"/>
    <xf numFmtId="0" fontId="26" fillId="20" borderId="49"/>
    <xf numFmtId="0" fontId="16" fillId="20" borderId="47"/>
    <xf numFmtId="0" fontId="26" fillId="20" borderId="49"/>
    <xf numFmtId="0" fontId="26" fillId="20" borderId="49"/>
    <xf numFmtId="0" fontId="16" fillId="20" borderId="47"/>
    <xf numFmtId="0" fontId="26" fillId="20" borderId="49"/>
    <xf numFmtId="0" fontId="12" fillId="23" borderId="48"/>
    <xf numFmtId="0" fontId="23" fillId="7" borderId="47"/>
    <xf numFmtId="0" fontId="26" fillId="20" borderId="49"/>
    <xf numFmtId="0" fontId="23" fillId="7" borderId="47"/>
    <xf numFmtId="0" fontId="16" fillId="20" borderId="47"/>
    <xf numFmtId="0" fontId="28" fillId="0" borderId="50"/>
    <xf numFmtId="0" fontId="16" fillId="20" borderId="47"/>
    <xf numFmtId="0" fontId="16" fillId="20" borderId="47"/>
    <xf numFmtId="0" fontId="23" fillId="7" borderId="47"/>
    <xf numFmtId="0" fontId="28" fillId="0" borderId="50"/>
    <xf numFmtId="0" fontId="23" fillId="7" borderId="47"/>
    <xf numFmtId="0" fontId="23" fillId="7" borderId="47"/>
    <xf numFmtId="0" fontId="12" fillId="23" borderId="48"/>
    <xf numFmtId="0" fontId="16" fillId="20" borderId="47"/>
    <xf numFmtId="0" fontId="28" fillId="0" borderId="50"/>
    <xf numFmtId="0" fontId="12" fillId="23" borderId="48"/>
    <xf numFmtId="0" fontId="16" fillId="20" borderId="47"/>
    <xf numFmtId="0" fontId="26" fillId="20" borderId="49"/>
    <xf numFmtId="0" fontId="16" fillId="20" borderId="47"/>
    <xf numFmtId="0" fontId="23" fillId="7" borderId="47"/>
    <xf numFmtId="0" fontId="12" fillId="23" borderId="48"/>
    <xf numFmtId="0" fontId="23" fillId="7" borderId="47"/>
    <xf numFmtId="0" fontId="28" fillId="0" borderId="50"/>
    <xf numFmtId="0" fontId="16" fillId="20" borderId="47"/>
    <xf numFmtId="0" fontId="23" fillId="7" borderId="47"/>
    <xf numFmtId="0" fontId="12" fillId="23" borderId="48"/>
    <xf numFmtId="0" fontId="16" fillId="20" borderId="47"/>
    <xf numFmtId="0" fontId="23" fillId="7" borderId="47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6" fillId="20" borderId="49"/>
    <xf numFmtId="0" fontId="26" fillId="20" borderId="49"/>
    <xf numFmtId="0" fontId="23" fillId="7" borderId="47"/>
    <xf numFmtId="0" fontId="26" fillId="20" borderId="49"/>
    <xf numFmtId="0" fontId="23" fillId="7" borderId="47"/>
    <xf numFmtId="0" fontId="28" fillId="0" borderId="50"/>
    <xf numFmtId="0" fontId="12" fillId="23" borderId="48"/>
    <xf numFmtId="0" fontId="23" fillId="7" borderId="47"/>
    <xf numFmtId="0" fontId="28" fillId="0" borderId="50"/>
    <xf numFmtId="0" fontId="26" fillId="20" borderId="49"/>
    <xf numFmtId="0" fontId="23" fillId="7" borderId="47"/>
    <xf numFmtId="0" fontId="26" fillId="20" borderId="49"/>
    <xf numFmtId="0" fontId="12" fillId="23" borderId="48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2" fillId="23" borderId="48"/>
    <xf numFmtId="0" fontId="16" fillId="20" borderId="47"/>
    <xf numFmtId="0" fontId="12" fillId="23" borderId="48"/>
    <xf numFmtId="0" fontId="23" fillId="7" borderId="47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6" fillId="20" borderId="47"/>
    <xf numFmtId="0" fontId="12" fillId="23" borderId="48"/>
    <xf numFmtId="0" fontId="12" fillId="23" borderId="48"/>
    <xf numFmtId="0" fontId="16" fillId="20" borderId="47"/>
    <xf numFmtId="0" fontId="28" fillId="0" borderId="50"/>
    <xf numFmtId="0" fontId="12" fillId="23" borderId="48"/>
    <xf numFmtId="0" fontId="26" fillId="20" borderId="49"/>
    <xf numFmtId="0" fontId="28" fillId="0" borderId="50"/>
    <xf numFmtId="0" fontId="12" fillId="23" borderId="48"/>
    <xf numFmtId="0" fontId="23" fillId="7" borderId="47"/>
    <xf numFmtId="0" fontId="12" fillId="23" borderId="48"/>
    <xf numFmtId="0" fontId="26" fillId="20" borderId="49"/>
    <xf numFmtId="0" fontId="23" fillId="7" borderId="47"/>
    <xf numFmtId="0" fontId="28" fillId="0" borderId="50"/>
    <xf numFmtId="0" fontId="26" fillId="20" borderId="49"/>
    <xf numFmtId="0" fontId="26" fillId="20" borderId="49"/>
    <xf numFmtId="0" fontId="12" fillId="23" borderId="48"/>
    <xf numFmtId="0" fontId="28" fillId="0" borderId="50"/>
    <xf numFmtId="0" fontId="16" fillId="20" borderId="47"/>
    <xf numFmtId="0" fontId="23" fillId="7" borderId="47"/>
    <xf numFmtId="0" fontId="12" fillId="23" borderId="48"/>
    <xf numFmtId="0" fontId="16" fillId="20" borderId="47"/>
    <xf numFmtId="0" fontId="28" fillId="0" borderId="50"/>
    <xf numFmtId="0" fontId="12" fillId="23" borderId="48"/>
    <xf numFmtId="0" fontId="12" fillId="23" borderId="48"/>
    <xf numFmtId="0" fontId="12" fillId="23" borderId="48"/>
    <xf numFmtId="0" fontId="26" fillId="20" borderId="49"/>
    <xf numFmtId="0" fontId="16" fillId="20" borderId="47"/>
    <xf numFmtId="0" fontId="28" fillId="0" borderId="50"/>
    <xf numFmtId="0" fontId="16" fillId="20" borderId="47"/>
    <xf numFmtId="0" fontId="28" fillId="0" borderId="50"/>
    <xf numFmtId="0" fontId="23" fillId="7" borderId="47"/>
    <xf numFmtId="0" fontId="23" fillId="7" borderId="47"/>
    <xf numFmtId="0" fontId="26" fillId="20" borderId="49"/>
    <xf numFmtId="0" fontId="23" fillId="7" borderId="47"/>
    <xf numFmtId="0" fontId="16" fillId="20" borderId="47"/>
    <xf numFmtId="0" fontId="28" fillId="0" borderId="50"/>
    <xf numFmtId="0" fontId="26" fillId="20" borderId="49"/>
    <xf numFmtId="0" fontId="28" fillId="0" borderId="50"/>
    <xf numFmtId="0" fontId="16" fillId="20" borderId="47"/>
    <xf numFmtId="0" fontId="26" fillId="20" borderId="49"/>
    <xf numFmtId="0" fontId="16" fillId="20" borderId="47"/>
    <xf numFmtId="0" fontId="26" fillId="20" borderId="49"/>
    <xf numFmtId="0" fontId="23" fillId="7" borderId="47"/>
    <xf numFmtId="0" fontId="28" fillId="0" borderId="50"/>
    <xf numFmtId="0" fontId="12" fillId="23" borderId="48"/>
    <xf numFmtId="0" fontId="28" fillId="0" borderId="50"/>
    <xf numFmtId="0" fontId="23" fillId="7" borderId="47"/>
    <xf numFmtId="0" fontId="16" fillId="20" borderId="47"/>
    <xf numFmtId="0" fontId="26" fillId="20" borderId="49"/>
    <xf numFmtId="0" fontId="26" fillId="20" borderId="49"/>
    <xf numFmtId="0" fontId="28" fillId="0" borderId="50"/>
    <xf numFmtId="0" fontId="16" fillId="20" borderId="47"/>
    <xf numFmtId="0" fontId="26" fillId="20" borderId="49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26" fillId="20" borderId="49"/>
    <xf numFmtId="0" fontId="23" fillId="7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40" fillId="25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6" fillId="20" borderId="47"/>
    <xf numFmtId="0" fontId="12" fillId="23" borderId="48"/>
    <xf numFmtId="0" fontId="26" fillId="20" borderId="49"/>
    <xf numFmtId="0" fontId="28" fillId="0" borderId="50"/>
    <xf numFmtId="0" fontId="7" fillId="0" borderId="0"/>
    <xf numFmtId="0" fontId="23" fillId="7" borderId="47"/>
    <xf numFmtId="0" fontId="12" fillId="23" borderId="48"/>
    <xf numFmtId="0" fontId="26" fillId="20" borderId="49"/>
    <xf numFmtId="0" fontId="28" fillId="0" borderId="50"/>
    <xf numFmtId="0" fontId="26" fillId="20" borderId="49"/>
    <xf numFmtId="0" fontId="7" fillId="0" borderId="0"/>
    <xf numFmtId="0" fontId="26" fillId="20" borderId="49"/>
    <xf numFmtId="0" fontId="23" fillId="7" borderId="47"/>
    <xf numFmtId="0" fontId="26" fillId="20" borderId="49"/>
    <xf numFmtId="0" fontId="23" fillId="7" borderId="47"/>
    <xf numFmtId="0" fontId="16" fillId="20" borderId="47"/>
    <xf numFmtId="0" fontId="26" fillId="20" borderId="49"/>
    <xf numFmtId="0" fontId="28" fillId="0" borderId="50"/>
    <xf numFmtId="0" fontId="26" fillId="20" borderId="49"/>
    <xf numFmtId="0" fontId="23" fillId="7" borderId="47"/>
    <xf numFmtId="0" fontId="16" fillId="20" borderId="47"/>
    <xf numFmtId="0" fontId="23" fillId="7" borderId="47"/>
    <xf numFmtId="0" fontId="22" fillId="0" borderId="18"/>
    <xf numFmtId="0" fontId="28" fillId="0" borderId="50"/>
    <xf numFmtId="0" fontId="23" fillId="7" borderId="47"/>
    <xf numFmtId="0" fontId="26" fillId="20" borderId="49"/>
    <xf numFmtId="0" fontId="16" fillId="20" borderId="47"/>
    <xf numFmtId="0" fontId="28" fillId="0" borderId="50"/>
    <xf numFmtId="0" fontId="7" fillId="0" borderId="0"/>
    <xf numFmtId="0" fontId="7" fillId="0" borderId="0"/>
    <xf numFmtId="0" fontId="16" fillId="20" borderId="47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" fillId="0" borderId="50"/>
    <xf numFmtId="0" fontId="7" fillId="0" borderId="0"/>
    <xf numFmtId="0" fontId="26" fillId="20" borderId="49"/>
    <xf numFmtId="0" fontId="26" fillId="20" borderId="49"/>
    <xf numFmtId="0" fontId="28" fillId="0" borderId="50"/>
    <xf numFmtId="0" fontId="23" fillId="7" borderId="47"/>
    <xf numFmtId="0" fontId="7" fillId="0" borderId="0"/>
    <xf numFmtId="0" fontId="7" fillId="0" borderId="0"/>
    <xf numFmtId="0" fontId="16" fillId="20" borderId="47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2" fillId="23" borderId="48"/>
    <xf numFmtId="0" fontId="12" fillId="23" borderId="48"/>
    <xf numFmtId="0" fontId="16" fillId="20" borderId="47"/>
    <xf numFmtId="0" fontId="12" fillId="23" borderId="48"/>
    <xf numFmtId="0" fontId="28" fillId="0" borderId="50"/>
    <xf numFmtId="0" fontId="12" fillId="23" borderId="48"/>
    <xf numFmtId="0" fontId="26" fillId="20" borderId="49"/>
    <xf numFmtId="0" fontId="28" fillId="0" borderId="50"/>
    <xf numFmtId="0" fontId="26" fillId="20" borderId="49"/>
    <xf numFmtId="0" fontId="28" fillId="0" borderId="50"/>
    <xf numFmtId="0" fontId="23" fillId="7" borderId="47"/>
    <xf numFmtId="0" fontId="26" fillId="20" borderId="49"/>
    <xf numFmtId="0" fontId="26" fillId="20" borderId="49"/>
    <xf numFmtId="0" fontId="28" fillId="0" borderId="50"/>
    <xf numFmtId="0" fontId="23" fillId="7" borderId="47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16" fillId="20" borderId="47"/>
    <xf numFmtId="0" fontId="28" fillId="0" borderId="50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16" fillId="20" borderId="47"/>
    <xf numFmtId="0" fontId="26" fillId="20" borderId="49"/>
    <xf numFmtId="0" fontId="28" fillId="0" borderId="50"/>
    <xf numFmtId="0" fontId="16" fillId="20" borderId="47"/>
    <xf numFmtId="0" fontId="28" fillId="0" borderId="50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28" fillId="0" borderId="50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6" fillId="20" borderId="47"/>
    <xf numFmtId="0" fontId="12" fillId="23" borderId="48"/>
    <xf numFmtId="0" fontId="26" fillId="20" borderId="49"/>
    <xf numFmtId="0" fontId="28" fillId="0" borderId="50"/>
    <xf numFmtId="0" fontId="7" fillId="0" borderId="0"/>
    <xf numFmtId="0" fontId="23" fillId="7" borderId="47"/>
    <xf numFmtId="0" fontId="12" fillId="23" borderId="48"/>
    <xf numFmtId="0" fontId="26" fillId="20" borderId="49"/>
    <xf numFmtId="0" fontId="28" fillId="0" borderId="50"/>
    <xf numFmtId="0" fontId="7" fillId="0" borderId="0"/>
    <xf numFmtId="0" fontId="7" fillId="0" borderId="0"/>
    <xf numFmtId="0" fontId="7" fillId="0" borderId="0"/>
    <xf numFmtId="0" fontId="26" fillId="20" borderId="49"/>
    <xf numFmtId="0" fontId="28" fillId="0" borderId="50"/>
    <xf numFmtId="0" fontId="23" fillId="7" borderId="47"/>
    <xf numFmtId="0" fontId="26" fillId="20" borderId="49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2" fillId="23" borderId="48"/>
    <xf numFmtId="0" fontId="12" fillId="23" borderId="48"/>
    <xf numFmtId="0" fontId="23" fillId="7" borderId="47"/>
    <xf numFmtId="0" fontId="16" fillId="20" borderId="47"/>
    <xf numFmtId="0" fontId="16" fillId="20" borderId="47"/>
    <xf numFmtId="0" fontId="12" fillId="23" borderId="48"/>
    <xf numFmtId="0" fontId="12" fillId="23" borderId="48"/>
    <xf numFmtId="0" fontId="7" fillId="0" borderId="0"/>
    <xf numFmtId="0" fontId="7" fillId="0" borderId="0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" fillId="0" borderId="50"/>
    <xf numFmtId="0" fontId="7" fillId="0" borderId="0"/>
    <xf numFmtId="0" fontId="26" fillId="20" borderId="49"/>
    <xf numFmtId="0" fontId="26" fillId="20" borderId="49"/>
    <xf numFmtId="0" fontId="28" fillId="0" borderId="50"/>
    <xf numFmtId="0" fontId="23" fillId="7" borderId="47"/>
    <xf numFmtId="0" fontId="7" fillId="0" borderId="0"/>
    <xf numFmtId="0" fontId="7" fillId="0" borderId="0"/>
    <xf numFmtId="0" fontId="16" fillId="20" borderId="47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7" fillId="0" borderId="0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7" fillId="0" borderId="0"/>
    <xf numFmtId="0" fontId="7" fillId="0" borderId="0"/>
    <xf numFmtId="0" fontId="7" fillId="0" borderId="0"/>
    <xf numFmtId="0" fontId="23" fillId="7" borderId="47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" fillId="0" borderId="50"/>
    <xf numFmtId="0" fontId="7" fillId="0" borderId="0"/>
    <xf numFmtId="0" fontId="26" fillId="20" borderId="49"/>
    <xf numFmtId="0" fontId="23" fillId="7" borderId="47"/>
    <xf numFmtId="0" fontId="7" fillId="0" borderId="0"/>
    <xf numFmtId="0" fontId="7" fillId="0" borderId="0"/>
    <xf numFmtId="0" fontId="16" fillId="20" borderId="47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3" fillId="7" borderId="47"/>
    <xf numFmtId="0" fontId="28" fillId="0" borderId="50"/>
    <xf numFmtId="0" fontId="16" fillId="20" borderId="47"/>
    <xf numFmtId="0" fontId="28" fillId="0" borderId="50"/>
    <xf numFmtId="0" fontId="12" fillId="23" borderId="48"/>
    <xf numFmtId="0" fontId="16" fillId="20" borderId="47"/>
    <xf numFmtId="0" fontId="12" fillId="23" borderId="48"/>
    <xf numFmtId="0" fontId="26" fillId="20" borderId="49"/>
    <xf numFmtId="0" fontId="16" fillId="20" borderId="47"/>
    <xf numFmtId="0" fontId="16" fillId="20" borderId="47"/>
    <xf numFmtId="0" fontId="16" fillId="20" borderId="47"/>
    <xf numFmtId="0" fontId="26" fillId="20" borderId="49"/>
    <xf numFmtId="0" fontId="28" fillId="0" borderId="50"/>
    <xf numFmtId="0" fontId="12" fillId="23" borderId="48"/>
    <xf numFmtId="0" fontId="23" fillId="7" borderId="47"/>
    <xf numFmtId="0" fontId="16" fillId="20" borderId="47"/>
    <xf numFmtId="0" fontId="26" fillId="20" borderId="49"/>
    <xf numFmtId="0" fontId="23" fillId="7" borderId="47"/>
    <xf numFmtId="0" fontId="23" fillId="7" borderId="47"/>
    <xf numFmtId="0" fontId="23" fillId="7" borderId="47"/>
    <xf numFmtId="0" fontId="23" fillId="7" borderId="47"/>
    <xf numFmtId="0" fontId="26" fillId="20" borderId="49"/>
    <xf numFmtId="0" fontId="12" fillId="23" borderId="48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26" fillId="20" borderId="49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2" fillId="23" borderId="48"/>
    <xf numFmtId="0" fontId="28" fillId="0" borderId="50"/>
    <xf numFmtId="0" fontId="26" fillId="20" borderId="49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16" fillId="20" borderId="47"/>
    <xf numFmtId="0" fontId="12" fillId="23" borderId="48"/>
    <xf numFmtId="0" fontId="23" fillId="7" borderId="47"/>
    <xf numFmtId="0" fontId="28" fillId="0" borderId="50"/>
    <xf numFmtId="0" fontId="23" fillId="7" borderId="47"/>
    <xf numFmtId="0" fontId="23" fillId="7" borderId="47"/>
    <xf numFmtId="0" fontId="16" fillId="20" borderId="47"/>
    <xf numFmtId="0" fontId="28" fillId="0" borderId="50"/>
    <xf numFmtId="0" fontId="16" fillId="20" borderId="47"/>
    <xf numFmtId="0" fontId="26" fillId="20" borderId="49"/>
    <xf numFmtId="0" fontId="23" fillId="7" borderId="47"/>
    <xf numFmtId="0" fontId="16" fillId="20" borderId="47"/>
    <xf numFmtId="0" fontId="28" fillId="0" borderId="50"/>
    <xf numFmtId="0" fontId="16" fillId="20" borderId="47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28" fillId="0" borderId="50"/>
    <xf numFmtId="0" fontId="28" fillId="0" borderId="50"/>
    <xf numFmtId="0" fontId="28" fillId="0" borderId="50"/>
    <xf numFmtId="0" fontId="16" fillId="20" borderId="47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2" fillId="23" borderId="48"/>
    <xf numFmtId="0" fontId="23" fillId="7" borderId="47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6" fillId="20" borderId="49"/>
    <xf numFmtId="0" fontId="23" fillId="7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8" fillId="0" borderId="50"/>
    <xf numFmtId="0" fontId="26" fillId="20" borderId="49"/>
    <xf numFmtId="0" fontId="26" fillId="20" borderId="49"/>
    <xf numFmtId="0" fontId="23" fillId="7" borderId="47"/>
    <xf numFmtId="0" fontId="23" fillId="7" borderId="47"/>
    <xf numFmtId="0" fontId="12" fillId="23" borderId="48"/>
    <xf numFmtId="0" fontId="16" fillId="20" borderId="47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23" fillId="7" borderId="47"/>
    <xf numFmtId="0" fontId="26" fillId="20" borderId="49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3" fillId="7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8" fillId="0" borderId="50"/>
    <xf numFmtId="0" fontId="16" fillId="20" borderId="47"/>
    <xf numFmtId="0" fontId="23" fillId="7" borderId="47"/>
    <xf numFmtId="0" fontId="28" fillId="0" borderId="50"/>
    <xf numFmtId="0" fontId="23" fillId="7" borderId="47"/>
    <xf numFmtId="0" fontId="16" fillId="20" borderId="47"/>
    <xf numFmtId="0" fontId="28" fillId="0" borderId="50"/>
    <xf numFmtId="0" fontId="26" fillId="20" borderId="49"/>
    <xf numFmtId="0" fontId="26" fillId="20" borderId="49"/>
    <xf numFmtId="0" fontId="23" fillId="7" borderId="47"/>
    <xf numFmtId="0" fontId="16" fillId="20" borderId="47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8" fillId="0" borderId="50"/>
    <xf numFmtId="0" fontId="16" fillId="20" borderId="47"/>
    <xf numFmtId="0" fontId="23" fillId="7" borderId="47"/>
    <xf numFmtId="0" fontId="28" fillId="0" borderId="50"/>
    <xf numFmtId="0" fontId="16" fillId="20" borderId="47"/>
    <xf numFmtId="0" fontId="28" fillId="0" borderId="50"/>
    <xf numFmtId="0" fontId="26" fillId="20" borderId="49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26" fillId="20" borderId="49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3" fillId="7" borderId="47"/>
    <xf numFmtId="0" fontId="28" fillId="0" borderId="50"/>
    <xf numFmtId="0" fontId="26" fillId="20" borderId="49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3" fillId="7" borderId="47"/>
    <xf numFmtId="0" fontId="28" fillId="0" borderId="50"/>
    <xf numFmtId="0" fontId="26" fillId="20" borderId="49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6" fillId="20" borderId="47"/>
    <xf numFmtId="0" fontId="23" fillId="7" borderId="47"/>
    <xf numFmtId="0" fontId="12" fillId="23" borderId="48"/>
    <xf numFmtId="0" fontId="23" fillId="7" borderId="47"/>
    <xf numFmtId="0" fontId="7" fillId="0" borderId="0"/>
    <xf numFmtId="0" fontId="16" fillId="20" borderId="47"/>
    <xf numFmtId="0" fontId="26" fillId="20" borderId="49"/>
    <xf numFmtId="0" fontId="16" fillId="20" borderId="47"/>
    <xf numFmtId="0" fontId="28" fillId="0" borderId="50"/>
    <xf numFmtId="0" fontId="26" fillId="20" borderId="49"/>
    <xf numFmtId="0" fontId="26" fillId="20" borderId="49"/>
    <xf numFmtId="0" fontId="26" fillId="20" borderId="49"/>
    <xf numFmtId="0" fontId="12" fillId="23" borderId="48"/>
    <xf numFmtId="0" fontId="12" fillId="23" borderId="48"/>
    <xf numFmtId="0" fontId="12" fillId="23" borderId="48"/>
    <xf numFmtId="0" fontId="28" fillId="0" borderId="50"/>
    <xf numFmtId="0" fontId="16" fillId="20" borderId="47"/>
    <xf numFmtId="0" fontId="23" fillId="7" borderId="47"/>
    <xf numFmtId="0" fontId="26" fillId="20" borderId="49"/>
    <xf numFmtId="0" fontId="16" fillId="20" borderId="47"/>
    <xf numFmtId="0" fontId="16" fillId="20" borderId="47"/>
    <xf numFmtId="0" fontId="28" fillId="0" borderId="50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12" fillId="23" borderId="48"/>
    <xf numFmtId="0" fontId="12" fillId="23" borderId="48"/>
    <xf numFmtId="0" fontId="26" fillId="20" borderId="49"/>
    <xf numFmtId="0" fontId="16" fillId="20" borderId="47"/>
    <xf numFmtId="0" fontId="28" fillId="0" borderId="50"/>
    <xf numFmtId="0" fontId="28" fillId="0" borderId="50"/>
    <xf numFmtId="0" fontId="7" fillId="0" borderId="0"/>
    <xf numFmtId="0" fontId="16" fillId="20" borderId="47"/>
    <xf numFmtId="0" fontId="16" fillId="20" borderId="47"/>
    <xf numFmtId="0" fontId="7" fillId="0" borderId="0"/>
    <xf numFmtId="0" fontId="28" fillId="0" borderId="50"/>
    <xf numFmtId="0" fontId="26" fillId="20" borderId="49"/>
    <xf numFmtId="0" fontId="12" fillId="23" borderId="48"/>
    <xf numFmtId="0" fontId="7" fillId="0" borderId="0"/>
    <xf numFmtId="0" fontId="16" fillId="20" borderId="47"/>
    <xf numFmtId="0" fontId="23" fillId="7" borderId="47"/>
    <xf numFmtId="0" fontId="12" fillId="23" borderId="48"/>
    <xf numFmtId="0" fontId="26" fillId="20" borderId="49"/>
    <xf numFmtId="0" fontId="16" fillId="20" borderId="47"/>
    <xf numFmtId="0" fontId="28" fillId="0" borderId="50"/>
    <xf numFmtId="0" fontId="26" fillId="20" borderId="49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2" fillId="23" borderId="48"/>
    <xf numFmtId="0" fontId="7" fillId="0" borderId="0"/>
    <xf numFmtId="0" fontId="12" fillId="23" borderId="48"/>
    <xf numFmtId="0" fontId="12" fillId="23" borderId="48"/>
    <xf numFmtId="0" fontId="12" fillId="23" borderId="48"/>
    <xf numFmtId="0" fontId="26" fillId="20" borderId="49"/>
    <xf numFmtId="0" fontId="7" fillId="0" borderId="0"/>
    <xf numFmtId="0" fontId="7" fillId="0" borderId="0"/>
    <xf numFmtId="0" fontId="23" fillId="7" borderId="47"/>
    <xf numFmtId="0" fontId="7" fillId="0" borderId="0"/>
    <xf numFmtId="0" fontId="26" fillId="20" borderId="49"/>
    <xf numFmtId="0" fontId="12" fillId="23" borderId="48"/>
    <xf numFmtId="0" fontId="23" fillId="7" borderId="47"/>
    <xf numFmtId="0" fontId="12" fillId="23" borderId="48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20" borderId="49"/>
    <xf numFmtId="0" fontId="26" fillId="20" borderId="49"/>
    <xf numFmtId="0" fontId="16" fillId="20" borderId="47"/>
    <xf numFmtId="0" fontId="7" fillId="0" borderId="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8" fillId="0" borderId="50"/>
    <xf numFmtId="0" fontId="7" fillId="0" borderId="0"/>
    <xf numFmtId="0" fontId="7" fillId="0" borderId="0"/>
    <xf numFmtId="0" fontId="7" fillId="0" borderId="0"/>
    <xf numFmtId="0" fontId="23" fillId="7" borderId="47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" fillId="0" borderId="50"/>
    <xf numFmtId="0" fontId="23" fillId="7" borderId="47"/>
    <xf numFmtId="0" fontId="7" fillId="0" borderId="0"/>
    <xf numFmtId="0" fontId="7" fillId="0" borderId="0"/>
    <xf numFmtId="0" fontId="16" fillId="20" borderId="47"/>
    <xf numFmtId="0" fontId="7" fillId="0" borderId="0"/>
    <xf numFmtId="0" fontId="16" fillId="20" borderId="47"/>
    <xf numFmtId="0" fontId="23" fillId="7" borderId="47"/>
    <xf numFmtId="0" fontId="12" fillId="23" borderId="48"/>
    <xf numFmtId="0" fontId="28" fillId="0" borderId="50"/>
    <xf numFmtId="0" fontId="16" fillId="20" borderId="47"/>
    <xf numFmtId="0" fontId="12" fillId="23" borderId="48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6" fillId="20" borderId="47"/>
    <xf numFmtId="0" fontId="23" fillId="7" borderId="47"/>
    <xf numFmtId="0" fontId="12" fillId="23" borderId="48"/>
    <xf numFmtId="0" fontId="28" fillId="0" borderId="50"/>
    <xf numFmtId="0" fontId="28" fillId="0" borderId="50"/>
    <xf numFmtId="0" fontId="16" fillId="20" borderId="47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3" fillId="7" borderId="47"/>
    <xf numFmtId="0" fontId="12" fillId="23" borderId="48"/>
    <xf numFmtId="0" fontId="16" fillId="20" borderId="47"/>
    <xf numFmtId="0" fontId="23" fillId="7" borderId="47"/>
    <xf numFmtId="0" fontId="12" fillId="23" borderId="48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3" fillId="7" borderId="47"/>
    <xf numFmtId="0" fontId="23" fillId="7" borderId="47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12" fillId="23" borderId="48"/>
    <xf numFmtId="0" fontId="12" fillId="23" borderId="48"/>
    <xf numFmtId="0" fontId="16" fillId="20" borderId="47"/>
    <xf numFmtId="0" fontId="23" fillId="7" borderId="47"/>
    <xf numFmtId="0" fontId="12" fillId="23" borderId="48"/>
    <xf numFmtId="0" fontId="23" fillId="7" borderId="47"/>
    <xf numFmtId="0" fontId="16" fillId="20" borderId="47"/>
    <xf numFmtId="0" fontId="23" fillId="7" borderId="47"/>
    <xf numFmtId="0" fontId="12" fillId="23" borderId="48"/>
    <xf numFmtId="0" fontId="7" fillId="0" borderId="0"/>
    <xf numFmtId="0" fontId="7" fillId="0" borderId="0"/>
    <xf numFmtId="0" fontId="12" fillId="23" borderId="48"/>
    <xf numFmtId="0" fontId="23" fillId="7" borderId="47"/>
    <xf numFmtId="0" fontId="28" fillId="0" borderId="50"/>
    <xf numFmtId="0" fontId="28" fillId="0" borderId="50"/>
    <xf numFmtId="0" fontId="23" fillId="7" borderId="47"/>
    <xf numFmtId="0" fontId="26" fillId="20" borderId="49"/>
    <xf numFmtId="0" fontId="23" fillId="7" borderId="47"/>
    <xf numFmtId="0" fontId="23" fillId="7" borderId="47"/>
    <xf numFmtId="0" fontId="23" fillId="7" borderId="47"/>
    <xf numFmtId="0" fontId="28" fillId="0" borderId="50"/>
    <xf numFmtId="0" fontId="12" fillId="23" borderId="48"/>
    <xf numFmtId="0" fontId="12" fillId="23" borderId="48"/>
    <xf numFmtId="0" fontId="16" fillId="20" borderId="47"/>
    <xf numFmtId="0" fontId="16" fillId="20" borderId="47"/>
    <xf numFmtId="0" fontId="16" fillId="20" borderId="47"/>
    <xf numFmtId="0" fontId="23" fillId="7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12" fillId="23" borderId="48"/>
    <xf numFmtId="0" fontId="26" fillId="20" borderId="49"/>
    <xf numFmtId="0" fontId="28" fillId="0" borderId="50"/>
    <xf numFmtId="0" fontId="26" fillId="20" borderId="49"/>
    <xf numFmtId="0" fontId="28" fillId="0" borderId="50"/>
    <xf numFmtId="0" fontId="12" fillId="23" borderId="48"/>
    <xf numFmtId="0" fontId="23" fillId="7" borderId="47"/>
    <xf numFmtId="0" fontId="23" fillId="7" borderId="47"/>
    <xf numFmtId="0" fontId="16" fillId="20" borderId="47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12" fillId="23" borderId="48"/>
    <xf numFmtId="0" fontId="23" fillId="7" borderId="47"/>
    <xf numFmtId="0" fontId="16" fillId="20" borderId="47"/>
    <xf numFmtId="0" fontId="28" fillId="0" borderId="50"/>
    <xf numFmtId="0" fontId="26" fillId="20" borderId="49"/>
    <xf numFmtId="0" fontId="12" fillId="23" borderId="48"/>
    <xf numFmtId="0" fontId="16" fillId="20" borderId="47"/>
    <xf numFmtId="0" fontId="23" fillId="7" borderId="47"/>
    <xf numFmtId="0" fontId="28" fillId="0" borderId="50"/>
    <xf numFmtId="0" fontId="26" fillId="20" borderId="49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8" fillId="0" borderId="50"/>
    <xf numFmtId="0" fontId="26" fillId="20" borderId="49"/>
    <xf numFmtId="0" fontId="26" fillId="20" borderId="49"/>
    <xf numFmtId="0" fontId="28" fillId="0" borderId="50"/>
    <xf numFmtId="0" fontId="23" fillId="7" borderId="47"/>
    <xf numFmtId="0" fontId="16" fillId="20" borderId="47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2" fillId="23" borderId="48"/>
    <xf numFmtId="0" fontId="16" fillId="20" borderId="47"/>
    <xf numFmtId="0" fontId="23" fillId="7" borderId="47"/>
    <xf numFmtId="0" fontId="12" fillId="23" borderId="48"/>
    <xf numFmtId="0" fontId="26" fillId="20" borderId="49"/>
    <xf numFmtId="0" fontId="28" fillId="0" borderId="50"/>
    <xf numFmtId="0" fontId="16" fillId="20" borderId="47"/>
    <xf numFmtId="0" fontId="23" fillId="7" borderId="47"/>
    <xf numFmtId="0" fontId="12" fillId="23" borderId="48"/>
    <xf numFmtId="0" fontId="26" fillId="20" borderId="49"/>
    <xf numFmtId="0" fontId="26" fillId="20" borderId="49"/>
    <xf numFmtId="0" fontId="26" fillId="20" borderId="49"/>
    <xf numFmtId="0" fontId="28" fillId="0" borderId="50"/>
    <xf numFmtId="0" fontId="28" fillId="0" borderId="50"/>
    <xf numFmtId="0" fontId="26" fillId="20" borderId="49"/>
    <xf numFmtId="0" fontId="28" fillId="0" borderId="50"/>
    <xf numFmtId="0" fontId="28" fillId="0" borderId="50"/>
    <xf numFmtId="0" fontId="28" fillId="0" borderId="50"/>
    <xf numFmtId="0" fontId="26" fillId="20" borderId="49"/>
    <xf numFmtId="0" fontId="26" fillId="20" borderId="49"/>
    <xf numFmtId="0" fontId="28" fillId="0" borderId="50"/>
    <xf numFmtId="0" fontId="26" fillId="20" borderId="49"/>
    <xf numFmtId="0" fontId="28" fillId="0" borderId="50"/>
    <xf numFmtId="0" fontId="26" fillId="20" borderId="49"/>
    <xf numFmtId="0" fontId="28" fillId="0" borderId="50"/>
    <xf numFmtId="0" fontId="26" fillId="20" borderId="49"/>
    <xf numFmtId="0" fontId="28" fillId="0" borderId="50"/>
    <xf numFmtId="0" fontId="26" fillId="20" borderId="49"/>
    <xf numFmtId="0" fontId="28" fillId="0" borderId="50"/>
    <xf numFmtId="0" fontId="26" fillId="20" borderId="49"/>
    <xf numFmtId="0" fontId="28" fillId="0" borderId="50"/>
    <xf numFmtId="0" fontId="7" fillId="0" borderId="0"/>
  </cellStyleXfs>
  <cellXfs count="446">
    <xf numFmtId="0" fontId="0" fillId="0" borderId="0" pivotButton="0" quotePrefix="0" xfId="0"/>
    <xf numFmtId="0" fontId="30" fillId="0" borderId="0" pivotButton="0" quotePrefix="0" xfId="48"/>
    <xf numFmtId="0" fontId="6" fillId="0" borderId="0" pivotButton="0" quotePrefix="0" xfId="48"/>
    <xf numFmtId="0" fontId="31" fillId="0" borderId="0" pivotButton="0" quotePrefix="0" xfId="48"/>
    <xf numFmtId="0" fontId="8" fillId="0" borderId="0" applyAlignment="1" pivotButton="0" quotePrefix="0" xfId="0">
      <alignment horizontal="center"/>
    </xf>
    <xf numFmtId="0" fontId="10" fillId="0" borderId="3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8" fillId="0" borderId="3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2" fillId="0" borderId="0" applyAlignment="1" pivotButton="0" quotePrefix="0" xfId="72">
      <alignment vertical="center"/>
    </xf>
    <xf numFmtId="0" fontId="36" fillId="0" borderId="0" applyAlignment="1" pivotButton="0" quotePrefix="0" xfId="72">
      <alignment horizontal="center" vertical="center" wrapText="1"/>
    </xf>
    <xf numFmtId="0" fontId="37" fillId="0" borderId="0" applyAlignment="1" pivotButton="0" quotePrefix="0" xfId="72">
      <alignment horizontal="center" vertical="center"/>
    </xf>
    <xf numFmtId="0" fontId="8" fillId="0" borderId="34" applyAlignment="1" pivotButton="0" quotePrefix="0" xfId="0">
      <alignment vertical="center"/>
    </xf>
    <xf numFmtId="0" fontId="8" fillId="0" borderId="36" applyAlignment="1" pivotButton="0" quotePrefix="0" xfId="0">
      <alignment vertical="center"/>
    </xf>
    <xf numFmtId="0" fontId="8" fillId="0" borderId="35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8" fillId="24" borderId="3" applyAlignment="1" pivotButton="0" quotePrefix="0" xfId="0">
      <alignment vertical="center"/>
    </xf>
    <xf numFmtId="0" fontId="8" fillId="24" borderId="4" applyAlignment="1" pivotButton="0" quotePrefix="0" xfId="0">
      <alignment vertical="center"/>
    </xf>
    <xf numFmtId="0" fontId="8" fillId="24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7" applyAlignment="1" pivotButton="0" quotePrefix="0" xfId="0">
      <alignment vertical="center"/>
    </xf>
    <xf numFmtId="164" fontId="8" fillId="0" borderId="1" applyAlignment="1" pivotButton="0" quotePrefix="0" xfId="52">
      <alignment horizontal="center" vertical="center"/>
    </xf>
    <xf numFmtId="164" fontId="8" fillId="0" borderId="0" applyAlignment="1" pivotButton="0" quotePrefix="0" xfId="0">
      <alignment vertical="center"/>
    </xf>
    <xf numFmtId="164" fontId="8" fillId="0" borderId="3" applyAlignment="1" pivotButton="0" quotePrefix="0" xfId="0">
      <alignment vertical="center"/>
    </xf>
    <xf numFmtId="0" fontId="0" fillId="24" borderId="34" applyAlignment="1" pivotButton="0" quotePrefix="0" xfId="0">
      <alignment vertical="center"/>
    </xf>
    <xf numFmtId="0" fontId="0" fillId="24" borderId="35" applyAlignment="1" pivotButton="0" quotePrefix="0" xfId="0">
      <alignment vertical="center"/>
    </xf>
    <xf numFmtId="0" fontId="0" fillId="24" borderId="36" applyAlignment="1" pivotButton="0" quotePrefix="0" xfId="0">
      <alignment vertical="center"/>
    </xf>
    <xf numFmtId="0" fontId="0" fillId="24" borderId="0" applyAlignment="1" pivotButton="0" quotePrefix="0" xfId="0">
      <alignment vertical="center"/>
    </xf>
    <xf numFmtId="0" fontId="0" fillId="24" borderId="0" applyAlignment="1" pivotButton="0" quotePrefix="0" xfId="0">
      <alignment horizontal="center" vertical="center"/>
    </xf>
    <xf numFmtId="0" fontId="39" fillId="0" borderId="0" applyAlignment="1" pivotButton="0" quotePrefix="0" xfId="52">
      <alignment vertical="center"/>
    </xf>
    <xf numFmtId="0" fontId="38" fillId="0" borderId="0" applyAlignment="1" pivotButton="0" quotePrefix="0" xfId="72">
      <alignment vertical="center"/>
    </xf>
    <xf numFmtId="164" fontId="37" fillId="0" borderId="0" applyAlignment="1" pivotButton="0" quotePrefix="0" xfId="72">
      <alignment horizontal="center" vertical="center"/>
    </xf>
    <xf numFmtId="0" fontId="8" fillId="0" borderId="0" applyAlignment="1" pivotButton="0" quotePrefix="0" xfId="52">
      <alignment horizontal="center" vertical="center"/>
    </xf>
    <xf numFmtId="9" fontId="8" fillId="0" borderId="0" applyAlignment="1" pivotButton="0" quotePrefix="0" xfId="52">
      <alignment horizontal="center" vertical="center"/>
    </xf>
    <xf numFmtId="0" fontId="43" fillId="0" borderId="0" applyAlignment="1" pivotButton="0" quotePrefix="0" xfId="52">
      <alignment vertical="center"/>
    </xf>
    <xf numFmtId="0" fontId="43" fillId="0" borderId="0" applyAlignment="1" pivotButton="0" quotePrefix="0" xfId="52">
      <alignment horizontal="center" vertical="center"/>
    </xf>
    <xf numFmtId="0" fontId="41" fillId="0" borderId="0" applyAlignment="1" pivotButton="0" quotePrefix="0" xfId="52">
      <alignment vertical="center"/>
    </xf>
    <xf numFmtId="0" fontId="41" fillId="0" borderId="0" applyAlignment="1" pivotButton="0" quotePrefix="0" xfId="0">
      <alignment vertical="center"/>
    </xf>
    <xf numFmtId="0" fontId="32" fillId="0" borderId="0" applyAlignment="1" pivotButton="0" quotePrefix="0" xfId="72">
      <alignment horizontal="left" vertical="center"/>
    </xf>
    <xf numFmtId="0" fontId="41" fillId="0" borderId="0" applyAlignment="1" pivotButton="0" quotePrefix="0" xfId="72">
      <alignment vertical="center"/>
    </xf>
    <xf numFmtId="0" fontId="10" fillId="0" borderId="1" applyAlignment="1" pivotButton="0" quotePrefix="0" xfId="0">
      <alignment horizontal="center" vertical="center" wrapText="1"/>
    </xf>
    <xf numFmtId="0" fontId="8" fillId="0" borderId="56" applyAlignment="1" pivotButton="0" quotePrefix="0" xfId="0">
      <alignment vertical="center"/>
    </xf>
    <xf numFmtId="0" fontId="8" fillId="0" borderId="53" applyAlignment="1" pivotButton="0" quotePrefix="0" xfId="0">
      <alignment vertical="center"/>
    </xf>
    <xf numFmtId="0" fontId="8" fillId="0" borderId="54" applyAlignment="1" pivotButton="0" quotePrefix="0" xfId="0">
      <alignment vertical="center"/>
    </xf>
    <xf numFmtId="0" fontId="10" fillId="0" borderId="1" applyAlignment="1" pivotButton="0" quotePrefix="0" xfId="52">
      <alignment horizontal="center" vertical="center" wrapText="1"/>
    </xf>
    <xf numFmtId="0" fontId="10" fillId="0" borderId="52" applyAlignment="1" pivotButton="0" quotePrefix="0" xfId="72">
      <alignment horizontal="center" vertical="center" wrapText="1"/>
    </xf>
    <xf numFmtId="0" fontId="10" fillId="26" borderId="52" applyAlignment="1" pivotButton="0" quotePrefix="0" xfId="72">
      <alignment horizontal="center" vertical="center" wrapText="1"/>
    </xf>
    <xf numFmtId="0" fontId="8" fillId="26" borderId="44" applyAlignment="1" pivotButton="0" quotePrefix="0" xfId="52">
      <alignment horizontal="center" vertical="center"/>
    </xf>
    <xf numFmtId="0" fontId="10" fillId="0" borderId="52" applyAlignment="1" pivotButton="0" quotePrefix="0" xfId="52">
      <alignment horizontal="center" vertical="center"/>
    </xf>
    <xf numFmtId="0" fontId="34" fillId="0" borderId="56" applyAlignment="1" pivotButton="0" quotePrefix="0" xfId="72">
      <alignment horizontal="center" vertical="center" wrapText="1"/>
    </xf>
    <xf numFmtId="0" fontId="34" fillId="0" borderId="57" applyAlignment="1" pivotButton="0" quotePrefix="0" xfId="72">
      <alignment horizontal="center" vertical="center" wrapText="1"/>
    </xf>
    <xf numFmtId="0" fontId="34" fillId="0" borderId="58" applyAlignment="1" pivotButton="0" quotePrefix="0" xfId="72">
      <alignment horizontal="center" vertical="center" wrapText="1"/>
    </xf>
    <xf numFmtId="0" fontId="10" fillId="0" borderId="57" applyAlignment="1" pivotButton="0" quotePrefix="0" xfId="52">
      <alignment horizontal="center" vertical="center" wrapText="1"/>
    </xf>
    <xf numFmtId="0" fontId="8" fillId="0" borderId="57" applyAlignment="1" pivotButton="0" quotePrefix="0" xfId="52">
      <alignment horizontal="center" vertical="center"/>
    </xf>
    <xf numFmtId="9" fontId="8" fillId="0" borderId="57" applyAlignment="1" pivotButton="0" quotePrefix="0" xfId="52">
      <alignment horizontal="center" vertical="center"/>
    </xf>
    <xf numFmtId="0" fontId="10" fillId="0" borderId="52" applyAlignment="1" pivotButton="0" quotePrefix="0" xfId="52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8" fillId="0" borderId="11" applyAlignment="1" pivotButton="0" quotePrefix="1" xfId="0">
      <alignment horizontal="center" vertical="center" wrapText="1"/>
    </xf>
    <xf numFmtId="0" fontId="8" fillId="0" borderId="1" applyAlignment="1" pivotButton="0" quotePrefix="0" xfId="0">
      <alignment horizontal="left" vertical="center" wrapText="1" indent="1"/>
    </xf>
    <xf numFmtId="165" fontId="8" fillId="0" borderId="1" applyAlignment="1" pivotButton="0" quotePrefix="0" xfId="0">
      <alignment horizontal="left" vertical="center" wrapText="1" indent="1"/>
    </xf>
    <xf numFmtId="166" fontId="8" fillId="0" borderId="1" applyAlignment="1" pivotButton="0" quotePrefix="0" xfId="0">
      <alignment horizontal="left" vertical="center" wrapText="1" indent="1"/>
    </xf>
    <xf numFmtId="1" fontId="8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  <xf numFmtId="0" fontId="10" fillId="0" borderId="40" applyAlignment="1" pivotButton="0" quotePrefix="0" xfId="0">
      <alignment horizontal="left" vertical="center" wrapText="1" indent="1"/>
    </xf>
    <xf numFmtId="0" fontId="10" fillId="0" borderId="46" applyAlignment="1" pivotButton="0" quotePrefix="0" xfId="0">
      <alignment horizontal="left" vertical="center" wrapText="1" indent="1"/>
    </xf>
    <xf numFmtId="1" fontId="8" fillId="0" borderId="40" applyAlignment="1" pivotButton="0" quotePrefix="0" xfId="0">
      <alignment horizontal="left" vertical="center" wrapText="1" indent="1"/>
    </xf>
    <xf numFmtId="0" fontId="8" fillId="0" borderId="46" applyAlignment="1" pivotButton="0" quotePrefix="0" xfId="0">
      <alignment horizontal="left" vertical="center" wrapText="1" indent="1"/>
    </xf>
    <xf numFmtId="0" fontId="8" fillId="0" borderId="1" applyAlignment="1" pivotButton="0" quotePrefix="1" xfId="0">
      <alignment horizontal="center" vertical="center" wrapText="1"/>
    </xf>
    <xf numFmtId="0" fontId="10" fillId="0" borderId="52" applyAlignment="1" pivotButton="0" quotePrefix="0" xfId="0">
      <alignment horizontal="left" vertical="center" wrapText="1" indent="1"/>
    </xf>
    <xf numFmtId="0" fontId="8" fillId="0" borderId="52" applyAlignment="1" pivotButton="0" quotePrefix="0" xfId="0">
      <alignment horizontal="left" vertical="center" wrapText="1" indent="1"/>
    </xf>
    <xf numFmtId="164" fontId="8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8" fillId="0" borderId="53" applyAlignment="1" pivotButton="0" quotePrefix="0" xfId="0">
      <alignment horizontal="center" vertical="center"/>
    </xf>
    <xf numFmtId="0" fontId="8" fillId="0" borderId="54" applyAlignment="1" pivotButton="0" quotePrefix="0" xfId="0">
      <alignment horizontal="center" vertical="center"/>
    </xf>
    <xf numFmtId="0" fontId="8" fillId="0" borderId="54" applyAlignment="1" pivotButton="0" quotePrefix="0" xfId="0">
      <alignment horizontal="center" vertical="center" wrapText="1"/>
    </xf>
    <xf numFmtId="0" fontId="8" fillId="0" borderId="59" applyAlignment="1" pivotButton="0" quotePrefix="0" xfId="0">
      <alignment horizontal="center" vertical="center"/>
    </xf>
    <xf numFmtId="0" fontId="8" fillId="0" borderId="57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5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 wrapText="1"/>
    </xf>
    <xf numFmtId="0" fontId="10" fillId="0" borderId="12" applyAlignment="1" pivotButton="0" quotePrefix="0" xfId="0">
      <alignment horizontal="center" vertical="center" wrapText="1"/>
    </xf>
    <xf numFmtId="0" fontId="10" fillId="0" borderId="39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10" fillId="0" borderId="38" applyAlignment="1" pivotButton="0" quotePrefix="0" xfId="0">
      <alignment horizontal="center" vertical="center" wrapText="1"/>
    </xf>
    <xf numFmtId="0" fontId="8" fillId="0" borderId="60" applyAlignment="1" pivotButton="0" quotePrefix="0" xfId="0">
      <alignment vertical="center"/>
    </xf>
    <xf numFmtId="0" fontId="8" fillId="0" borderId="64" applyAlignment="1" pivotButton="0" quotePrefix="0" xfId="0">
      <alignment vertical="center"/>
    </xf>
    <xf numFmtId="0" fontId="10" fillId="0" borderId="46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8" fillId="0" borderId="46" applyAlignment="1" pivotButton="0" quotePrefix="0" xfId="0">
      <alignment vertical="center"/>
    </xf>
    <xf numFmtId="0" fontId="8" fillId="0" borderId="1" applyAlignment="1" pivotButton="0" quotePrefix="0" xfId="52">
      <alignment horizontal="left" vertical="center"/>
    </xf>
    <xf numFmtId="0" fontId="8" fillId="0" borderId="8" applyAlignment="1" pivotButton="0" quotePrefix="0" xfId="52">
      <alignment horizontal="left" vertical="center" wrapText="1"/>
    </xf>
    <xf numFmtId="0" fontId="8" fillId="0" borderId="66" applyAlignment="1" pivotButton="0" quotePrefix="0" xfId="0">
      <alignment vertical="center"/>
    </xf>
    <xf numFmtId="0" fontId="8" fillId="0" borderId="13" applyAlignment="1" pivotButton="0" quotePrefix="0" xfId="0">
      <alignment vertical="center"/>
    </xf>
    <xf numFmtId="0" fontId="8" fillId="0" borderId="65" applyAlignment="1" pivotButton="0" quotePrefix="0" xfId="0">
      <alignment vertical="center"/>
    </xf>
    <xf numFmtId="164" fontId="8" fillId="0" borderId="0" applyAlignment="1" pivotButton="0" quotePrefix="0" xfId="72">
      <alignment horizontal="center" vertical="center" wrapText="1"/>
    </xf>
    <xf numFmtId="164" fontId="8" fillId="26" borderId="0" applyAlignment="1" pivotButton="0" quotePrefix="0" xfId="72">
      <alignment horizontal="center" vertical="center" wrapText="1"/>
    </xf>
    <xf numFmtId="0" fontId="8" fillId="0" borderId="46" applyAlignment="1" pivotButton="0" quotePrefix="0" xfId="72">
      <alignment vertical="center" wrapText="1"/>
    </xf>
    <xf numFmtId="0" fontId="10" fillId="26" borderId="40" applyAlignment="1" pivotButton="0" quotePrefix="0" xfId="72">
      <alignment horizontal="center" vertical="center" wrapText="1"/>
    </xf>
    <xf numFmtId="0" fontId="8" fillId="0" borderId="53" applyAlignment="1" pivotButton="0" quotePrefix="0" xfId="72">
      <alignment horizontal="left" vertical="center" wrapText="1" indent="1"/>
    </xf>
    <xf numFmtId="164" fontId="8" fillId="26" borderId="54" applyAlignment="1" pivotButton="0" quotePrefix="0" xfId="72">
      <alignment horizontal="center" vertical="center" wrapText="1"/>
    </xf>
    <xf numFmtId="164" fontId="8" fillId="0" borderId="0" applyAlignment="1" pivotButton="0" quotePrefix="0" xfId="52">
      <alignment horizontal="center" vertical="center"/>
    </xf>
    <xf numFmtId="0" fontId="10" fillId="0" borderId="46" applyAlignment="1" pivotButton="0" quotePrefix="0" xfId="52">
      <alignment vertical="center"/>
    </xf>
    <xf numFmtId="0" fontId="10" fillId="0" borderId="40" applyAlignment="1" pivotButton="0" quotePrefix="0" xfId="52">
      <alignment horizontal="center" vertical="center"/>
    </xf>
    <xf numFmtId="0" fontId="8" fillId="26" borderId="68" applyAlignment="1" pivotButton="0" quotePrefix="0" xfId="52">
      <alignment horizontal="center" vertical="center"/>
    </xf>
    <xf numFmtId="0" fontId="8" fillId="0" borderId="53" applyAlignment="1" pivotButton="0" quotePrefix="0" xfId="52">
      <alignment horizontal="left" vertical="center" indent="1"/>
    </xf>
    <xf numFmtId="164" fontId="8" fillId="0" borderId="54" applyAlignment="1" pivotButton="0" quotePrefix="0" xfId="52">
      <alignment horizontal="center" vertical="center"/>
    </xf>
    <xf numFmtId="0" fontId="10" fillId="0" borderId="45" applyAlignment="1" pivotButton="0" quotePrefix="0" xfId="73">
      <alignment horizontal="center" vertical="center" wrapText="1"/>
    </xf>
    <xf numFmtId="0" fontId="10" fillId="0" borderId="39" applyAlignment="1" pivotButton="0" quotePrefix="0" xfId="72">
      <alignment horizontal="center" vertical="center" wrapText="1"/>
    </xf>
    <xf numFmtId="0" fontId="8" fillId="0" borderId="67" applyAlignment="1" pivotButton="0" quotePrefix="0" xfId="72">
      <alignment vertical="center" wrapText="1"/>
    </xf>
    <xf numFmtId="164" fontId="8" fillId="0" borderId="68" applyAlignment="1" pivotButton="0" quotePrefix="0" xfId="72">
      <alignment horizontal="center" vertical="center" wrapText="1"/>
    </xf>
    <xf numFmtId="0" fontId="8" fillId="0" borderId="71" applyAlignment="1" pivotButton="0" quotePrefix="0" xfId="72">
      <alignment vertical="center" wrapText="1"/>
    </xf>
    <xf numFmtId="164" fontId="8" fillId="0" borderId="72" applyAlignment="1" pivotButton="0" quotePrefix="0" xfId="72">
      <alignment horizontal="center" vertical="center" wrapText="1"/>
    </xf>
    <xf numFmtId="0" fontId="8" fillId="0" borderId="69" applyAlignment="1" pivotButton="0" quotePrefix="0" xfId="72">
      <alignment vertical="center" wrapText="1"/>
    </xf>
    <xf numFmtId="164" fontId="8" fillId="0" borderId="70" applyAlignment="1" pivotButton="0" quotePrefix="0" xfId="72">
      <alignment horizontal="center" vertical="center" wrapText="1"/>
    </xf>
    <xf numFmtId="3" fontId="8" fillId="0" borderId="0" applyAlignment="1" pivotButton="0" quotePrefix="0" xfId="52">
      <alignment horizontal="center" vertical="center"/>
    </xf>
    <xf numFmtId="3" fontId="8" fillId="0" borderId="57" applyAlignment="1" pivotButton="0" quotePrefix="0" xfId="52">
      <alignment horizontal="center" vertical="center"/>
    </xf>
    <xf numFmtId="0" fontId="10" fillId="0" borderId="55" applyAlignment="1" pivotButton="0" quotePrefix="0" xfId="52">
      <alignment horizontal="center" vertical="center" wrapText="1"/>
    </xf>
    <xf numFmtId="0" fontId="10" fillId="0" borderId="40" applyAlignment="1" pivotButton="0" quotePrefix="0" xfId="52">
      <alignment horizontal="center" vertical="center" wrapText="1"/>
    </xf>
    <xf numFmtId="0" fontId="10" fillId="0" borderId="59" applyAlignment="1" pivotButton="0" quotePrefix="0" xfId="52">
      <alignment vertical="center" wrapText="1"/>
    </xf>
    <xf numFmtId="0" fontId="10" fillId="0" borderId="39" applyAlignment="1" pivotButton="0" quotePrefix="0" xfId="52">
      <alignment horizontal="center" vertical="center" wrapText="1"/>
    </xf>
    <xf numFmtId="0" fontId="8" fillId="0" borderId="53" applyAlignment="1" pivotButton="0" quotePrefix="0" xfId="52">
      <alignment vertical="center"/>
    </xf>
    <xf numFmtId="0" fontId="8" fillId="0" borderId="54" applyAlignment="1" pivotButton="0" quotePrefix="0" xfId="52">
      <alignment horizontal="center" vertical="center"/>
    </xf>
    <xf numFmtId="0" fontId="8" fillId="0" borderId="59" applyAlignment="1" pivotButton="0" quotePrefix="0" xfId="52">
      <alignment vertical="center"/>
    </xf>
    <xf numFmtId="0" fontId="8" fillId="0" borderId="39" applyAlignment="1" pivotButton="0" quotePrefix="0" xfId="52">
      <alignment horizontal="center" vertical="center"/>
    </xf>
    <xf numFmtId="0" fontId="36" fillId="0" borderId="0" applyAlignment="1" pivotButton="0" quotePrefix="0" xfId="72">
      <alignment vertical="center" wrapText="1"/>
    </xf>
    <xf numFmtId="164" fontId="36" fillId="0" borderId="0" applyAlignment="1" pivotButton="0" quotePrefix="0" xfId="72">
      <alignment horizontal="center" vertical="center" wrapText="1"/>
    </xf>
    <xf numFmtId="164" fontId="8" fillId="0" borderId="0" applyAlignment="1" pivotButton="0" quotePrefix="0" xfId="73">
      <alignment horizontal="center" vertical="center" wrapText="1"/>
    </xf>
    <xf numFmtId="0" fontId="8" fillId="0" borderId="0" applyAlignment="1" pivotButton="0" quotePrefix="0" xfId="73">
      <alignment horizontal="center" vertical="center" wrapText="1"/>
    </xf>
    <xf numFmtId="0" fontId="34" fillId="0" borderId="55" applyAlignment="1" pivotButton="0" quotePrefix="0" xfId="72">
      <alignment vertical="center" wrapText="1"/>
    </xf>
    <xf numFmtId="0" fontId="34" fillId="0" borderId="45" applyAlignment="1" pivotButton="0" quotePrefix="0" xfId="72">
      <alignment horizontal="center" vertical="center" wrapText="1"/>
    </xf>
    <xf numFmtId="0" fontId="34" fillId="0" borderId="59" applyAlignment="1" pivotButton="0" quotePrefix="0" xfId="72">
      <alignment horizontal="left" vertical="center" wrapText="1" indent="1"/>
    </xf>
    <xf numFmtId="0" fontId="34" fillId="0" borderId="39" applyAlignment="1" pivotButton="0" quotePrefix="0" xfId="72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8" fillId="0" borderId="0" applyAlignment="1" pivotButton="0" quotePrefix="0" xfId="72">
      <alignment horizontal="center" vertical="center" wrapText="1"/>
    </xf>
    <xf numFmtId="0" fontId="34" fillId="0" borderId="0" applyAlignment="1" pivotButton="0" quotePrefix="0" xfId="72">
      <alignment vertical="center" wrapText="1"/>
    </xf>
    <xf numFmtId="0" fontId="3" fillId="0" borderId="0" applyAlignment="1" pivotButton="0" quotePrefix="0" xfId="72">
      <alignment horizontal="center" vertical="center"/>
    </xf>
    <xf numFmtId="0" fontId="34" fillId="0" borderId="76" applyAlignment="1" pivotButton="0" quotePrefix="0" xfId="72">
      <alignment vertical="center" wrapText="1"/>
    </xf>
    <xf numFmtId="0" fontId="34" fillId="0" borderId="77" applyAlignment="1" pivotButton="0" quotePrefix="0" xfId="72">
      <alignment horizontal="center" vertical="center" wrapText="1"/>
    </xf>
    <xf numFmtId="0" fontId="44" fillId="0" borderId="0" applyAlignment="1" pivotButton="0" quotePrefix="0" xfId="72">
      <alignment vertical="center"/>
    </xf>
    <xf numFmtId="0" fontId="8" fillId="0" borderId="9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8" fillId="0" borderId="40" applyAlignment="1" pivotButton="0" quotePrefix="0" xfId="0">
      <alignment horizontal="center" vertical="center"/>
    </xf>
    <xf numFmtId="164" fontId="8" fillId="0" borderId="10" applyAlignment="1" pivotButton="0" quotePrefix="0" xfId="0">
      <alignment horizontal="center" vertical="center"/>
    </xf>
    <xf numFmtId="0" fontId="8" fillId="0" borderId="78" applyAlignment="1" pivotButton="0" quotePrefix="0" xfId="0">
      <alignment horizontal="center" vertical="center"/>
    </xf>
    <xf numFmtId="164" fontId="8" fillId="0" borderId="8" applyAlignment="1" pivotButton="0" quotePrefix="0" xfId="0">
      <alignment horizontal="center" vertical="center"/>
    </xf>
    <xf numFmtId="164" fontId="8" fillId="0" borderId="79" applyAlignment="1" pivotButton="0" quotePrefix="0" xfId="0">
      <alignment horizontal="center" vertical="center"/>
    </xf>
    <xf numFmtId="164" fontId="8" fillId="0" borderId="80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164" fontId="8" fillId="0" borderId="52" applyAlignment="1" pivotButton="0" quotePrefix="0" xfId="0">
      <alignment horizontal="center" vertical="center"/>
    </xf>
    <xf numFmtId="164" fontId="8" fillId="0" borderId="41" applyAlignment="1" pivotButton="0" quotePrefix="0" xfId="0">
      <alignment horizontal="center" vertical="center"/>
    </xf>
    <xf numFmtId="0" fontId="41" fillId="0" borderId="56" applyAlignment="1" pivotButton="0" quotePrefix="0" xfId="0">
      <alignment vertical="top" wrapText="1"/>
    </xf>
    <xf numFmtId="0" fontId="41" fillId="0" borderId="0" applyAlignment="1" pivotButton="0" quotePrefix="0" xfId="0">
      <alignment vertical="top"/>
    </xf>
    <xf numFmtId="0" fontId="8" fillId="0" borderId="53" applyAlignment="1" pivotButton="0" quotePrefix="0" xfId="72">
      <alignment vertical="center" wrapText="1"/>
    </xf>
    <xf numFmtId="164" fontId="0" fillId="0" borderId="0" applyAlignment="1" pivotButton="0" quotePrefix="0" xfId="0">
      <alignment vertical="center"/>
    </xf>
    <xf numFmtId="0" fontId="8" fillId="0" borderId="69" applyAlignment="1" pivotButton="0" quotePrefix="0" xfId="52">
      <alignment vertical="center"/>
    </xf>
    <xf numFmtId="164" fontId="8" fillId="0" borderId="43" applyAlignment="1" pivotButton="0" quotePrefix="0" xfId="52">
      <alignment horizontal="center" vertical="center"/>
    </xf>
    <xf numFmtId="164" fontId="8" fillId="0" borderId="70" applyAlignment="1" pivotButton="0" quotePrefix="0" xfId="52">
      <alignment horizontal="center" vertical="center"/>
    </xf>
    <xf numFmtId="0" fontId="8" fillId="0" borderId="59" applyAlignment="1" pivotButton="0" quotePrefix="0" xfId="0">
      <alignment horizontal="left" vertical="center" indent="1"/>
    </xf>
    <xf numFmtId="0" fontId="8" fillId="26" borderId="53" applyAlignment="1" pivotButton="0" quotePrefix="0" xfId="0">
      <alignment vertical="center"/>
    </xf>
    <xf numFmtId="0" fontId="8" fillId="26" borderId="0" applyAlignment="1" pivotButton="0" quotePrefix="0" xfId="0">
      <alignment horizontal="center" vertical="center"/>
    </xf>
    <xf numFmtId="0" fontId="8" fillId="26" borderId="54" applyAlignment="1" pivotButton="0" quotePrefix="0" xfId="0">
      <alignment horizontal="center" vertical="center"/>
    </xf>
    <xf numFmtId="0" fontId="8" fillId="0" borderId="55" applyAlignment="1" pivotButton="0" quotePrefix="0" xfId="0">
      <alignment vertical="center"/>
    </xf>
    <xf numFmtId="0" fontId="8" fillId="26" borderId="67" applyAlignment="1" pivotButton="0" quotePrefix="0" xfId="52">
      <alignment vertical="center"/>
    </xf>
    <xf numFmtId="164" fontId="8" fillId="0" borderId="57" applyAlignment="1" pivotButton="0" quotePrefix="0" xfId="0">
      <alignment horizontal="center" vertical="center"/>
    </xf>
    <xf numFmtId="164" fontId="8" fillId="0" borderId="39" applyAlignment="1" pivotButton="0" quotePrefix="0" xfId="0">
      <alignment horizontal="center" vertical="center"/>
    </xf>
    <xf numFmtId="164" fontId="8" fillId="0" borderId="56" applyAlignment="1" pivotButton="0" quotePrefix="0" xfId="0">
      <alignment horizontal="center" vertical="center"/>
    </xf>
    <xf numFmtId="164" fontId="8" fillId="0" borderId="45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164" fontId="8" fillId="0" borderId="0" applyAlignment="1" pivotButton="0" quotePrefix="0" xfId="72">
      <alignment vertical="center"/>
    </xf>
    <xf numFmtId="0" fontId="36" fillId="0" borderId="81" applyAlignment="1" pivotButton="0" quotePrefix="0" xfId="72">
      <alignment horizontal="center" vertical="center" wrapText="1"/>
    </xf>
    <xf numFmtId="0" fontId="8" fillId="0" borderId="81" applyAlignment="1" pivotButton="0" quotePrefix="0" xfId="72">
      <alignment horizontal="center" vertical="center" wrapText="1"/>
    </xf>
    <xf numFmtId="0" fontId="8" fillId="0" borderId="81" applyAlignment="1" pivotButton="0" quotePrefix="0" xfId="73">
      <alignment horizontal="center" vertical="center" wrapText="1"/>
    </xf>
    <xf numFmtId="164" fontId="8" fillId="0" borderId="81" applyAlignment="1" pivotButton="0" quotePrefix="0" xfId="72">
      <alignment horizontal="center" vertical="center" wrapText="1"/>
    </xf>
    <xf numFmtId="0" fontId="36" fillId="0" borderId="72" applyAlignment="1" pivotButton="0" quotePrefix="0" xfId="72">
      <alignment horizontal="center" vertical="center" wrapText="1"/>
    </xf>
    <xf numFmtId="0" fontId="8" fillId="0" borderId="72" applyAlignment="1" pivotButton="0" quotePrefix="0" xfId="72">
      <alignment horizontal="center" vertical="center" wrapText="1"/>
    </xf>
    <xf numFmtId="0" fontId="8" fillId="0" borderId="72" applyAlignment="1" pivotButton="0" quotePrefix="0" xfId="73">
      <alignment horizontal="center" vertical="center" wrapText="1"/>
    </xf>
    <xf numFmtId="0" fontId="8" fillId="0" borderId="82" applyAlignment="1" pivotButton="0" quotePrefix="0" xfId="72">
      <alignment horizontal="center" vertical="center" wrapText="1"/>
    </xf>
    <xf numFmtId="0" fontId="8" fillId="0" borderId="83" applyAlignment="1" pivotButton="0" quotePrefix="0" xfId="72">
      <alignment horizontal="center" vertical="center" wrapText="1"/>
    </xf>
    <xf numFmtId="0" fontId="8" fillId="0" borderId="42" applyAlignment="1" pivotButton="0" quotePrefix="0" xfId="0">
      <alignment horizontal="center" vertical="center"/>
    </xf>
    <xf numFmtId="164" fontId="8" fillId="0" borderId="11" applyAlignment="1" pivotButton="0" quotePrefix="0" xfId="0">
      <alignment horizontal="center" vertical="center"/>
    </xf>
    <xf numFmtId="164" fontId="8" fillId="0" borderId="85" applyAlignment="1" pivotButton="0" quotePrefix="0" xfId="0">
      <alignment horizontal="center" vertical="center"/>
    </xf>
    <xf numFmtId="0" fontId="8" fillId="0" borderId="6" applyAlignment="1" pivotButton="0" quotePrefix="0" xfId="0">
      <alignment vertical="center"/>
    </xf>
    <xf numFmtId="0" fontId="8" fillId="0" borderId="86" applyAlignment="1" pivotButton="0" quotePrefix="0" xfId="72">
      <alignment vertical="center" wrapText="1"/>
    </xf>
    <xf numFmtId="0" fontId="8" fillId="0" borderId="59" applyAlignment="1" pivotButton="0" quotePrefix="0" xfId="72">
      <alignment vertical="center" wrapText="1"/>
    </xf>
    <xf numFmtId="164" fontId="8" fillId="0" borderId="57" applyAlignment="1" pivotButton="0" quotePrefix="0" xfId="72">
      <alignment horizontal="center" vertical="center" wrapText="1"/>
    </xf>
    <xf numFmtId="164" fontId="8" fillId="26" borderId="57" applyAlignment="1" pivotButton="0" quotePrefix="0" xfId="72">
      <alignment horizontal="center" vertical="center" wrapText="1"/>
    </xf>
    <xf numFmtId="164" fontId="8" fillId="26" borderId="39" applyAlignment="1" pivotButton="0" quotePrefix="0" xfId="72">
      <alignment horizontal="center" vertical="center" wrapText="1"/>
    </xf>
    <xf numFmtId="0" fontId="8" fillId="0" borderId="0" applyAlignment="1" pivotButton="0" quotePrefix="0" xfId="72">
      <alignment vertical="center" wrapText="1"/>
    </xf>
    <xf numFmtId="0" fontId="8" fillId="0" borderId="0" applyAlignment="1" pivotButton="0" quotePrefix="0" xfId="73">
      <alignment vertical="center" wrapText="1"/>
    </xf>
    <xf numFmtId="0" fontId="36" fillId="0" borderId="88" applyAlignment="1" pivotButton="0" quotePrefix="0" xfId="72">
      <alignment vertical="center" wrapText="1"/>
    </xf>
    <xf numFmtId="0" fontId="8" fillId="0" borderId="84" applyAlignment="1" pivotButton="0" quotePrefix="0" xfId="72">
      <alignment vertical="center" wrapText="1"/>
    </xf>
    <xf numFmtId="0" fontId="8" fillId="0" borderId="45" applyAlignment="1" pivotButton="0" quotePrefix="0" xfId="72">
      <alignment horizontal="center" vertical="center" wrapText="1"/>
    </xf>
    <xf numFmtId="0" fontId="8" fillId="0" borderId="86" applyAlignment="1" pivotButton="0" quotePrefix="0" xfId="73">
      <alignment horizontal="left" vertical="center" wrapText="1"/>
    </xf>
    <xf numFmtId="0" fontId="8" fillId="0" borderId="89" applyAlignment="1" pivotButton="0" quotePrefix="0" xfId="73">
      <alignment vertical="center" wrapText="1"/>
    </xf>
    <xf numFmtId="0" fontId="41" fillId="0" borderId="56" applyAlignment="1" pivotButton="0" quotePrefix="0" xfId="72">
      <alignment vertical="center"/>
    </xf>
    <xf numFmtId="0" fontId="8" fillId="0" borderId="93" applyAlignment="1" pivotButton="0" quotePrefix="0" xfId="72">
      <alignment horizontal="center"/>
    </xf>
    <xf numFmtId="0" fontId="8" fillId="0" borderId="93" applyAlignment="1" pivotButton="0" quotePrefix="0" xfId="72">
      <alignment horizontal="center" vertical="center" wrapText="1"/>
    </xf>
    <xf numFmtId="0" fontId="8" fillId="0" borderId="89" applyAlignment="1" pivotButton="0" quotePrefix="0" xfId="72">
      <alignment vertical="center" wrapText="1"/>
    </xf>
    <xf numFmtId="0" fontId="8" fillId="0" borderId="94" applyAlignment="1" pivotButton="0" quotePrefix="0" xfId="72">
      <alignment horizontal="center" vertical="center" wrapText="1"/>
    </xf>
    <xf numFmtId="0" fontId="8" fillId="0" borderId="56" applyAlignment="1" pivotButton="0" quotePrefix="0" xfId="72">
      <alignment horizontal="center" vertical="center" wrapText="1"/>
    </xf>
    <xf numFmtId="164" fontId="8" fillId="0" borderId="87" applyAlignment="1" pivotButton="0" quotePrefix="0" xfId="72">
      <alignment horizontal="center" vertical="center" wrapText="1"/>
    </xf>
    <xf numFmtId="164" fontId="8" fillId="0" borderId="91" applyAlignment="1" pivotButton="0" quotePrefix="0" xfId="72">
      <alignment horizontal="center" vertical="center" wrapText="1"/>
    </xf>
    <xf numFmtId="0" fontId="34" fillId="0" borderId="95" applyAlignment="1" pivotButton="0" quotePrefix="0" xfId="72">
      <alignment horizontal="left" vertical="center" wrapText="1" indent="1"/>
    </xf>
    <xf numFmtId="0" fontId="34" fillId="0" borderId="0" applyAlignment="1" pivotButton="0" quotePrefix="0" xfId="72">
      <alignment horizontal="center" vertical="center" wrapText="1"/>
    </xf>
    <xf numFmtId="0" fontId="34" fillId="0" borderId="96" applyAlignment="1" pivotButton="0" quotePrefix="0" xfId="72">
      <alignment vertical="center" wrapText="1"/>
    </xf>
    <xf numFmtId="0" fontId="36" fillId="0" borderId="0" applyAlignment="1" applyProtection="1" pivotButton="0" quotePrefix="0" xfId="72">
      <alignment vertical="center" wrapText="1"/>
      <protection locked="0" hidden="0"/>
    </xf>
    <xf numFmtId="0" fontId="36" fillId="0" borderId="0" applyAlignment="1" applyProtection="1" pivotButton="0" quotePrefix="0" xfId="72">
      <alignment horizontal="center" vertical="center" wrapText="1"/>
      <protection locked="0" hidden="0"/>
    </xf>
    <xf numFmtId="164" fontId="8" fillId="0" borderId="0" applyAlignment="1" applyProtection="1" pivotButton="0" quotePrefix="0" xfId="72">
      <alignment horizontal="center" vertical="center" wrapText="1"/>
      <protection locked="0" hidden="0"/>
    </xf>
    <xf numFmtId="0" fontId="8" fillId="0" borderId="87" applyAlignment="1" applyProtection="1" pivotButton="0" quotePrefix="0" xfId="72">
      <alignment horizontal="center" vertical="center" wrapText="1"/>
      <protection locked="0" hidden="0"/>
    </xf>
    <xf numFmtId="0" fontId="36" fillId="0" borderId="88" applyAlignment="1" applyProtection="1" pivotButton="0" quotePrefix="0" xfId="72">
      <alignment vertical="center" wrapText="1"/>
      <protection locked="0" hidden="0"/>
    </xf>
    <xf numFmtId="0" fontId="8" fillId="0" borderId="90" applyAlignment="1" applyProtection="1" pivotButton="0" quotePrefix="0" xfId="72">
      <alignment vertical="center" wrapText="1"/>
      <protection locked="0" hidden="0"/>
    </xf>
    <xf numFmtId="0" fontId="8" fillId="0" borderId="92" applyAlignment="1" applyProtection="1" pivotButton="0" quotePrefix="0" xfId="72">
      <alignment vertical="center" wrapText="1"/>
      <protection locked="0" hidden="0"/>
    </xf>
    <xf numFmtId="0" fontId="36" fillId="0" borderId="86" applyAlignment="1" applyProtection="1" pivotButton="0" quotePrefix="0" xfId="72">
      <alignment vertical="center" wrapText="1"/>
      <protection locked="0" hidden="0"/>
    </xf>
    <xf numFmtId="0" fontId="8" fillId="0" borderId="93" applyAlignment="1" applyProtection="1" pivotButton="0" quotePrefix="0" xfId="72">
      <alignment horizontal="center" vertical="center" wrapText="1"/>
      <protection locked="0" hidden="0"/>
    </xf>
    <xf numFmtId="0" fontId="36" fillId="0" borderId="89" applyAlignment="1" applyProtection="1" pivotButton="0" quotePrefix="0" xfId="72">
      <alignment vertical="center" wrapText="1"/>
      <protection locked="0" hidden="0"/>
    </xf>
    <xf numFmtId="164" fontId="8" fillId="0" borderId="91" applyAlignment="1" applyProtection="1" pivotButton="0" quotePrefix="0" xfId="72">
      <alignment horizontal="center" vertical="center" wrapText="1"/>
      <protection locked="0" hidden="0"/>
    </xf>
    <xf numFmtId="0" fontId="8" fillId="0" borderId="94" applyAlignment="1" applyProtection="1" pivotButton="0" quotePrefix="0" xfId="72">
      <alignment horizontal="center" vertical="center" wrapText="1"/>
      <protection locked="0" hidden="0"/>
    </xf>
    <xf numFmtId="167" fontId="8" fillId="0" borderId="8" applyAlignment="1" pivotButton="0" quotePrefix="0" xfId="0">
      <alignment horizontal="center" vertical="center"/>
    </xf>
    <xf numFmtId="0" fontId="10" fillId="0" borderId="40" applyAlignment="1" pivotButton="0" quotePrefix="0" xfId="0">
      <alignment horizontal="center" vertical="center" wrapText="1"/>
    </xf>
    <xf numFmtId="0" fontId="10" fillId="0" borderId="52" applyAlignment="1" pivotButton="0" quotePrefix="0" xfId="0">
      <alignment horizontal="center" vertical="center" wrapText="1"/>
    </xf>
    <xf numFmtId="0" fontId="8" fillId="0" borderId="87" applyAlignment="1" pivotButton="0" quotePrefix="0" xfId="72">
      <alignment horizontal="center"/>
    </xf>
    <xf numFmtId="164" fontId="8" fillId="0" borderId="87" applyAlignment="1" pivotButton="0" quotePrefix="0" xfId="72">
      <alignment horizontal="center"/>
    </xf>
    <xf numFmtId="0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/>
    </xf>
    <xf numFmtId="0" fontId="10" fillId="0" borderId="98" applyAlignment="1" pivotButton="0" quotePrefix="0" xfId="0">
      <alignment horizontal="center" vertical="center" wrapText="1"/>
    </xf>
    <xf numFmtId="0" fontId="10" fillId="0" borderId="99" applyAlignment="1" pivotButton="0" quotePrefix="0" xfId="0">
      <alignment horizontal="center" vertical="center" wrapText="1"/>
    </xf>
    <xf numFmtId="0" fontId="8" fillId="0" borderId="97" applyAlignment="1" pivotButton="0" quotePrefix="0" xfId="0">
      <alignment horizontal="center" vertical="center"/>
    </xf>
    <xf numFmtId="164" fontId="8" fillId="0" borderId="98" applyAlignment="1" pivotButton="0" quotePrefix="0" xfId="0">
      <alignment horizontal="center" vertical="center"/>
    </xf>
    <xf numFmtId="164" fontId="8" fillId="0" borderId="99" applyAlignment="1" pivotButton="0" quotePrefix="0" xfId="0">
      <alignment horizontal="center" vertical="center"/>
    </xf>
    <xf numFmtId="0" fontId="8" fillId="0" borderId="100" applyAlignment="1" pivotButton="0" quotePrefix="0" xfId="0">
      <alignment horizontal="center" vertical="center"/>
    </xf>
    <xf numFmtId="164" fontId="8" fillId="0" borderId="101" applyAlignment="1" pivotButton="0" quotePrefix="0" xfId="0">
      <alignment horizontal="center" vertical="center"/>
    </xf>
    <xf numFmtId="164" fontId="8" fillId="0" borderId="102" applyAlignment="1" pivotButton="0" quotePrefix="0" xfId="0">
      <alignment horizontal="center" vertical="center"/>
    </xf>
    <xf numFmtId="0" fontId="8" fillId="0" borderId="103" applyAlignment="1" pivotButton="0" quotePrefix="0" xfId="0">
      <alignment vertical="center"/>
    </xf>
    <xf numFmtId="0" fontId="8" fillId="0" borderId="104" applyAlignment="1" pivotButton="0" quotePrefix="0" xfId="0">
      <alignment vertical="center"/>
    </xf>
    <xf numFmtId="0" fontId="8" fillId="0" borderId="105" applyAlignment="1" pivotButton="0" quotePrefix="0" xfId="0">
      <alignment vertical="center"/>
    </xf>
    <xf numFmtId="0" fontId="10" fillId="0" borderId="105" applyAlignment="1" pivotButton="0" quotePrefix="0" xfId="0">
      <alignment horizontal="center" vertical="center" wrapText="1"/>
    </xf>
    <xf numFmtId="164" fontId="8" fillId="0" borderId="105" applyAlignment="1" pivotButton="0" quotePrefix="0" xfId="0">
      <alignment horizontal="center" vertical="center"/>
    </xf>
    <xf numFmtId="164" fontId="8" fillId="0" borderId="106" applyAlignment="1" pivotButton="0" quotePrefix="0" xfId="0">
      <alignment horizontal="center" vertical="center"/>
    </xf>
    <xf numFmtId="0" fontId="8" fillId="0" borderId="107" applyAlignment="1" pivotButton="0" quotePrefix="0" xfId="0">
      <alignment vertical="center"/>
    </xf>
    <xf numFmtId="0" fontId="8" fillId="0" borderId="108" applyAlignment="1" pivotButton="0" quotePrefix="0" xfId="0">
      <alignment vertical="center"/>
    </xf>
    <xf numFmtId="0" fontId="10" fillId="0" borderId="4" applyAlignment="1" pivotButton="0" quotePrefix="0" xfId="0">
      <alignment horizontal="center" vertical="center" wrapText="1"/>
    </xf>
    <xf numFmtId="0" fontId="8" fillId="0" borderId="113" applyAlignment="1" pivotButton="0" quotePrefix="0" xfId="0">
      <alignment horizontal="center" vertical="center"/>
    </xf>
    <xf numFmtId="0" fontId="8" fillId="0" borderId="98" applyAlignment="1" pivotButton="0" quotePrefix="0" xfId="0">
      <alignment horizontal="center" vertical="center"/>
    </xf>
    <xf numFmtId="0" fontId="46" fillId="0" borderId="98" applyAlignment="1" pivotButton="0" quotePrefix="0" xfId="2380">
      <alignment horizontal="center" vertical="center" wrapText="1"/>
    </xf>
    <xf numFmtId="0" fontId="46" fillId="0" borderId="99" applyAlignment="1" pivotButton="0" quotePrefix="0" xfId="2380">
      <alignment horizontal="center" vertical="center" wrapText="1"/>
    </xf>
    <xf numFmtId="0" fontId="46" fillId="0" borderId="105" applyAlignment="1" pivotButton="0" quotePrefix="0" xfId="2380">
      <alignment horizontal="center" vertical="center" wrapText="1"/>
    </xf>
    <xf numFmtId="0" fontId="8" fillId="0" borderId="63" applyAlignment="1" pivotButton="0" quotePrefix="0" xfId="0">
      <alignment vertical="center"/>
    </xf>
    <xf numFmtId="0" fontId="8" fillId="0" borderId="57" applyAlignment="1" pivotButton="0" quotePrefix="0" xfId="0">
      <alignment vertical="center"/>
    </xf>
    <xf numFmtId="0" fontId="8" fillId="0" borderId="61" applyAlignment="1" pivotButton="0" quotePrefix="0" xfId="0">
      <alignment vertical="center"/>
    </xf>
    <xf numFmtId="0" fontId="8" fillId="0" borderId="112" applyAlignment="1" pivotButton="0" quotePrefix="0" xfId="0">
      <alignment horizontal="center" vertical="center"/>
    </xf>
    <xf numFmtId="164" fontId="8" fillId="0" borderId="116" applyAlignment="1" pivotButton="0" quotePrefix="0" xfId="0">
      <alignment horizontal="center" vertical="center"/>
    </xf>
    <xf numFmtId="0" fontId="10" fillId="0" borderId="103" applyAlignment="1" pivotButton="0" quotePrefix="0" xfId="0">
      <alignment horizontal="center" vertical="center" wrapText="1"/>
    </xf>
    <xf numFmtId="167" fontId="8" fillId="0" borderId="98" applyAlignment="1" pivotButton="0" quotePrefix="0" xfId="0">
      <alignment horizontal="center" vertical="center"/>
    </xf>
    <xf numFmtId="164" fontId="8" fillId="0" borderId="112" applyAlignment="1" pivotButton="0" quotePrefix="0" xfId="0">
      <alignment horizontal="center" vertical="center"/>
    </xf>
    <xf numFmtId="164" fontId="8" fillId="0" borderId="115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0" fontId="10" fillId="0" borderId="5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center" vertical="center"/>
    </xf>
    <xf numFmtId="0" fontId="10" fillId="0" borderId="114" applyAlignment="1" pivotButton="0" quotePrefix="0" xfId="72">
      <alignment vertical="center" wrapText="1"/>
    </xf>
    <xf numFmtId="0" fontId="34" fillId="0" borderId="110" applyAlignment="1" pivotButton="0" quotePrefix="0" xfId="72">
      <alignment horizontal="center" vertical="center" wrapText="1"/>
    </xf>
    <xf numFmtId="0" fontId="34" fillId="0" borderId="115" applyAlignment="1" pivotButton="0" quotePrefix="0" xfId="72">
      <alignment horizontal="center" vertical="center" wrapText="1"/>
    </xf>
    <xf numFmtId="0" fontId="41" fillId="0" borderId="0" applyAlignment="1" pivotButton="0" quotePrefix="0" xfId="72">
      <alignment horizontal="center" vertical="center"/>
    </xf>
    <xf numFmtId="0" fontId="8" fillId="27" borderId="86" applyAlignment="1" pivotButton="0" quotePrefix="0" xfId="72">
      <alignment vertical="center" wrapText="1"/>
    </xf>
    <xf numFmtId="164" fontId="8" fillId="27" borderId="87" applyAlignment="1" pivotButton="0" quotePrefix="0" xfId="72">
      <alignment horizontal="center" vertical="center" wrapText="1"/>
    </xf>
    <xf numFmtId="0" fontId="8" fillId="27" borderId="93" applyAlignment="1" pivotButton="0" quotePrefix="0" xfId="72">
      <alignment horizontal="center" vertical="center" wrapText="1"/>
    </xf>
    <xf numFmtId="0" fontId="8" fillId="27" borderId="88" applyAlignment="1" pivotButton="0" quotePrefix="0" xfId="72">
      <alignment vertical="center" wrapText="1"/>
    </xf>
    <xf numFmtId="0" fontId="8" fillId="27" borderId="90" applyAlignment="1" pivotButton="0" quotePrefix="0" xfId="72">
      <alignment horizontal="center" vertical="center" wrapText="1"/>
    </xf>
    <xf numFmtId="0" fontId="8" fillId="27" borderId="92" applyAlignment="1" pivotButton="0" quotePrefix="0" xfId="72">
      <alignment horizontal="center" vertical="center" wrapText="1"/>
    </xf>
    <xf numFmtId="0" fontId="10" fillId="0" borderId="55" applyAlignment="1" pivotButton="0" quotePrefix="0" xfId="72">
      <alignment vertical="center"/>
    </xf>
    <xf numFmtId="0" fontId="10" fillId="0" borderId="56" applyAlignment="1" pivotButton="0" quotePrefix="0" xfId="72">
      <alignment vertical="center"/>
    </xf>
    <xf numFmtId="0" fontId="10" fillId="0" borderId="45" applyAlignment="1" pivotButton="0" quotePrefix="0" xfId="72">
      <alignment vertical="center"/>
    </xf>
    <xf numFmtId="0" fontId="34" fillId="0" borderId="55" applyAlignment="1" pivotButton="0" quotePrefix="0" xfId="72">
      <alignment vertical="center"/>
    </xf>
    <xf numFmtId="0" fontId="37" fillId="0" borderId="56" applyAlignment="1" pivotButton="0" quotePrefix="0" xfId="72">
      <alignment horizontal="center" vertical="center"/>
    </xf>
    <xf numFmtId="0" fontId="37" fillId="0" borderId="45" applyAlignment="1" pivotButton="0" quotePrefix="0" xfId="72">
      <alignment horizontal="center" vertical="center"/>
    </xf>
    <xf numFmtId="0" fontId="37" fillId="0" borderId="45" applyAlignment="1" pivotButton="0" quotePrefix="0" xfId="72">
      <alignment horizontal="left" vertical="center"/>
    </xf>
    <xf numFmtId="0" fontId="10" fillId="0" borderId="9" applyAlignment="1" pivotButton="0" quotePrefix="0" xfId="0">
      <alignment horizontal="center" vertical="center"/>
    </xf>
    <xf numFmtId="0" fontId="10" fillId="0" borderId="107" applyAlignment="1" pivotButton="0" quotePrefix="0" xfId="0">
      <alignment horizontal="center" vertical="center"/>
    </xf>
    <xf numFmtId="0" fontId="10" fillId="0" borderId="104" applyAlignment="1" pivotButton="0" quotePrefix="0" xfId="0">
      <alignment horizontal="center" vertical="center"/>
    </xf>
    <xf numFmtId="0" fontId="10" fillId="0" borderId="108" applyAlignment="1" pivotButton="0" quotePrefix="0" xfId="0">
      <alignment horizontal="center" vertical="center"/>
    </xf>
    <xf numFmtId="0" fontId="10" fillId="0" borderId="109" applyAlignment="1" pivotButton="0" quotePrefix="0" xfId="0">
      <alignment horizontal="center" vertical="center"/>
    </xf>
    <xf numFmtId="0" fontId="10" fillId="0" borderId="110" applyAlignment="1" pivotButton="0" quotePrefix="0" xfId="0">
      <alignment horizontal="center" vertical="center"/>
    </xf>
    <xf numFmtId="0" fontId="10" fillId="0" borderId="111" applyAlignment="1" pivotButton="0" quotePrefix="0" xfId="0">
      <alignment horizontal="center" vertical="center"/>
    </xf>
    <xf numFmtId="0" fontId="10" fillId="0" borderId="62" applyAlignment="1" pivotButton="0" quotePrefix="0" xfId="0">
      <alignment horizontal="center" vertical="center"/>
    </xf>
    <xf numFmtId="0" fontId="10" fillId="0" borderId="37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10" fillId="0" borderId="12" applyAlignment="1" pivotButton="0" quotePrefix="0" xfId="0">
      <alignment horizontal="center" vertical="center"/>
    </xf>
    <xf numFmtId="0" fontId="10" fillId="0" borderId="103" applyAlignment="1" pivotButton="0" quotePrefix="0" xfId="0">
      <alignment horizontal="center" vertical="center"/>
    </xf>
    <xf numFmtId="0" fontId="10" fillId="0" borderId="105" applyAlignment="1" pivotButton="0" quotePrefix="0" xfId="0">
      <alignment horizontal="center" vertical="center"/>
    </xf>
    <xf numFmtId="0" fontId="10" fillId="0" borderId="46" applyAlignment="1" pivotButton="0" quotePrefix="0" xfId="0">
      <alignment horizontal="center" vertical="center"/>
    </xf>
    <xf numFmtId="0" fontId="10" fillId="0" borderId="52" applyAlignment="1" pivotButton="0" quotePrefix="0" xfId="0">
      <alignment horizontal="center" vertical="center"/>
    </xf>
    <xf numFmtId="0" fontId="10" fillId="0" borderId="41" applyAlignment="1" pivotButton="0" quotePrefix="0" xfId="0">
      <alignment horizontal="center" vertical="center"/>
    </xf>
    <xf numFmtId="0" fontId="10" fillId="0" borderId="42" applyAlignment="1" pivotButton="0" quotePrefix="0" xfId="0">
      <alignment horizontal="center" vertical="center"/>
    </xf>
    <xf numFmtId="0" fontId="10" fillId="0" borderId="112" applyAlignment="1" pivotButton="0" quotePrefix="0" xfId="0">
      <alignment horizontal="center" vertical="center"/>
    </xf>
    <xf numFmtId="0" fontId="10" fillId="0" borderId="98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0" fillId="0" borderId="1" applyAlignment="1" pivotButton="0" quotePrefix="0" xfId="52">
      <alignment horizontal="center" vertical="center"/>
    </xf>
    <xf numFmtId="0" fontId="10" fillId="0" borderId="46" applyAlignment="1" pivotButton="0" quotePrefix="0" xfId="52">
      <alignment horizontal="center" vertical="center"/>
    </xf>
    <xf numFmtId="0" fontId="10" fillId="0" borderId="52" applyAlignment="1" pivotButton="0" quotePrefix="0" xfId="52">
      <alignment horizontal="center" vertical="center"/>
    </xf>
    <xf numFmtId="0" fontId="10" fillId="0" borderId="40" applyAlignment="1" pivotButton="0" quotePrefix="0" xfId="52">
      <alignment horizontal="center" vertical="center"/>
    </xf>
    <xf numFmtId="0" fontId="10" fillId="0" borderId="59" applyAlignment="1" pivotButton="0" quotePrefix="0" xfId="0">
      <alignment horizontal="center" vertical="center"/>
    </xf>
    <xf numFmtId="0" fontId="10" fillId="0" borderId="57" applyAlignment="1" pivotButton="0" quotePrefix="0" xfId="0">
      <alignment horizontal="center" vertical="center"/>
    </xf>
    <xf numFmtId="0" fontId="10" fillId="0" borderId="61" applyAlignment="1" pivotButton="0" quotePrefix="0" xfId="0">
      <alignment horizontal="center" vertical="center"/>
    </xf>
    <xf numFmtId="0" fontId="10" fillId="0" borderId="99" applyAlignment="1" pivotButton="0" quotePrefix="0" xfId="0">
      <alignment horizontal="center" vertical="center"/>
    </xf>
    <xf numFmtId="0" fontId="10" fillId="0" borderId="51" applyAlignment="1" pivotButton="0" quotePrefix="0" xfId="0">
      <alignment horizontal="center" vertical="center"/>
    </xf>
    <xf numFmtId="0" fontId="10" fillId="0" borderId="97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 wrapText="1"/>
    </xf>
    <xf numFmtId="0" fontId="10" fillId="0" borderId="53" applyAlignment="1" pivotButton="0" quotePrefix="0" xfId="72">
      <alignment horizontal="left" vertical="center" wrapText="1"/>
    </xf>
    <xf numFmtId="0" fontId="10" fillId="0" borderId="0" applyAlignment="1" pivotButton="0" quotePrefix="0" xfId="72">
      <alignment horizontal="left" vertical="center" wrapText="1"/>
    </xf>
    <xf numFmtId="0" fontId="10" fillId="0" borderId="54" applyAlignment="1" pivotButton="0" quotePrefix="0" xfId="72">
      <alignment horizontal="left" vertical="center" wrapText="1"/>
    </xf>
    <xf numFmtId="0" fontId="34" fillId="0" borderId="74" applyAlignment="1" pivotButton="0" quotePrefix="0" xfId="72">
      <alignment horizontal="left" vertical="center"/>
    </xf>
    <xf numFmtId="0" fontId="34" fillId="0" borderId="73" applyAlignment="1" pivotButton="0" quotePrefix="0" xfId="72">
      <alignment horizontal="left" vertical="center"/>
    </xf>
    <xf numFmtId="0" fontId="34" fillId="0" borderId="75" applyAlignment="1" pivotButton="0" quotePrefix="0" xfId="72">
      <alignment horizontal="left" vertical="center"/>
    </xf>
    <xf numFmtId="0" fontId="10" fillId="0" borderId="46" applyAlignment="1" pivotButton="0" quotePrefix="0" xfId="52">
      <alignment horizontal="left" vertical="center"/>
    </xf>
    <xf numFmtId="0" fontId="10" fillId="0" borderId="52" applyAlignment="1" pivotButton="0" quotePrefix="0" xfId="52">
      <alignment horizontal="left" vertical="center"/>
    </xf>
    <xf numFmtId="0" fontId="10" fillId="0" borderId="40" applyAlignment="1" pivotButton="0" quotePrefix="0" xfId="52">
      <alignment horizontal="left" vertical="center"/>
    </xf>
    <xf numFmtId="0" fontId="10" fillId="0" borderId="52" applyAlignment="1" pivotButton="0" quotePrefix="0" xfId="52">
      <alignment horizontal="center" vertical="center" wrapText="1"/>
    </xf>
    <xf numFmtId="0" fontId="10" fillId="0" borderId="55" applyAlignment="1" pivotButton="0" quotePrefix="0" xfId="72">
      <alignment vertical="center" wrapText="1"/>
    </xf>
    <xf numFmtId="0" fontId="10" fillId="0" borderId="59" applyAlignment="1" pivotButton="0" quotePrefix="0" xfId="72">
      <alignment vertical="center" wrapText="1"/>
    </xf>
    <xf numFmtId="0" fontId="34" fillId="0" borderId="55" applyAlignment="1" pivotButton="0" quotePrefix="0" xfId="72">
      <alignment horizontal="left" vertical="center"/>
    </xf>
    <xf numFmtId="0" fontId="34" fillId="0" borderId="56" applyAlignment="1" pivotButton="0" quotePrefix="0" xfId="72">
      <alignment horizontal="left" vertical="center"/>
    </xf>
    <xf numFmtId="0" fontId="34" fillId="0" borderId="46" applyAlignment="1" pivotButton="0" quotePrefix="0" xfId="72">
      <alignment vertical="center"/>
    </xf>
    <xf numFmtId="0" fontId="34" fillId="0" borderId="40" applyAlignment="1" pivotButton="0" quotePrefix="0" xfId="72">
      <alignment vertical="center"/>
    </xf>
    <xf numFmtId="0" fontId="10" fillId="0" borderId="46" applyAlignment="1" pivotButton="0" quotePrefix="0" xfId="72">
      <alignment horizontal="left" vertical="center"/>
    </xf>
    <xf numFmtId="0" fontId="10" fillId="0" borderId="52" applyAlignment="1" pivotButton="0" quotePrefix="0" xfId="72">
      <alignment horizontal="left" vertical="center"/>
    </xf>
    <xf numFmtId="0" fontId="10" fillId="0" borderId="40" applyAlignment="1" pivotButton="0" quotePrefix="0" xfId="72">
      <alignment horizontal="left" vertical="center"/>
    </xf>
    <xf numFmtId="0" fontId="10" fillId="0" borderId="46" applyAlignment="1" pivotButton="0" quotePrefix="0" xfId="0">
      <alignment horizontal="left" vertical="center" indent="1"/>
    </xf>
    <xf numFmtId="0" fontId="10" fillId="0" borderId="52" applyAlignment="1" pivotButton="0" quotePrefix="0" xfId="0">
      <alignment horizontal="left" vertical="center" indent="1"/>
    </xf>
    <xf numFmtId="0" fontId="10" fillId="0" borderId="40" applyAlignment="1" pivotButton="0" quotePrefix="0" xfId="0">
      <alignment horizontal="left" vertical="center" indent="1"/>
    </xf>
    <xf numFmtId="0" fontId="10" fillId="0" borderId="55" applyAlignment="1" pivotButton="0" quotePrefix="0" xfId="0">
      <alignment horizontal="left" vertical="center" wrapText="1"/>
    </xf>
    <xf numFmtId="0" fontId="10" fillId="0" borderId="56" applyAlignment="1" pivotButton="0" quotePrefix="0" xfId="0">
      <alignment horizontal="left" vertical="center" wrapText="1"/>
    </xf>
    <xf numFmtId="0" fontId="10" fillId="0" borderId="45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41" fillId="0" borderId="56" applyAlignment="1" pivotButton="0" quotePrefix="0" xfId="0">
      <alignment horizontal="left" vertical="center" wrapText="1"/>
    </xf>
    <xf numFmtId="0" fontId="42" fillId="0" borderId="56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10" fillId="0" borderId="46" applyAlignment="1" pivotButton="0" quotePrefix="0" xfId="0">
      <alignment horizontal="left" vertical="center" wrapText="1"/>
    </xf>
    <xf numFmtId="0" fontId="10" fillId="0" borderId="52" applyAlignment="1" pivotButton="0" quotePrefix="0" xfId="0">
      <alignment horizontal="left" vertical="center" wrapText="1"/>
    </xf>
    <xf numFmtId="0" fontId="10" fillId="0" borderId="40" applyAlignment="1" pivotButton="0" quotePrefix="0" xfId="0">
      <alignment horizontal="left" vertical="center" wrapText="1"/>
    </xf>
    <xf numFmtId="167" fontId="8" fillId="0" borderId="0" applyAlignment="1" pivotButton="0" quotePrefix="0" xfId="0">
      <alignment vertical="center"/>
    </xf>
    <xf numFmtId="0" fontId="0" fillId="0" borderId="104" pivotButton="0" quotePrefix="0" xfId="0"/>
    <xf numFmtId="0" fontId="0" fillId="0" borderId="105" pivotButton="0" quotePrefix="0" xfId="0"/>
    <xf numFmtId="0" fontId="10" fillId="0" borderId="117" applyAlignment="1" pivotButton="0" quotePrefix="0" xfId="0">
      <alignment horizontal="center" vertical="center"/>
    </xf>
    <xf numFmtId="0" fontId="0" fillId="0" borderId="108" pivotButton="0" quotePrefix="0" xfId="0"/>
    <xf numFmtId="0" fontId="10" fillId="0" borderId="124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0" fillId="0" borderId="127" pivotButton="0" quotePrefix="0" xfId="0"/>
    <xf numFmtId="0" fontId="0" fillId="0" borderId="128" pivotButton="0" quotePrefix="0" xfId="0"/>
    <xf numFmtId="0" fontId="10" fillId="0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2" pivotButton="0" quotePrefix="0" xfId="0"/>
    <xf numFmtId="0" fontId="0" fillId="0" borderId="62" pivotButton="0" quotePrefix="0" xfId="0"/>
    <xf numFmtId="0" fontId="0" fillId="0" borderId="37" pivotButton="0" quotePrefix="0" xfId="0"/>
    <xf numFmtId="0" fontId="0" fillId="0" borderId="120" pivotButton="0" quotePrefix="0" xfId="0"/>
    <xf numFmtId="0" fontId="0" fillId="0" borderId="12" pivotButton="0" quotePrefix="0" xfId="0"/>
    <xf numFmtId="164" fontId="8" fillId="0" borderId="1" applyAlignment="1" pivotButton="0" quotePrefix="0" xfId="52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8" fillId="0" borderId="10" applyAlignment="1" pivotButton="0" quotePrefix="0" xfId="0">
      <alignment horizontal="center" vertical="center"/>
    </xf>
    <xf numFmtId="164" fontId="8" fillId="0" borderId="4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8" fillId="0" borderId="98" applyAlignment="1" pivotButton="0" quotePrefix="0" xfId="0">
      <alignment horizontal="center" vertical="center"/>
    </xf>
    <xf numFmtId="164" fontId="8" fillId="0" borderId="99" applyAlignment="1" pivotButton="0" quotePrefix="0" xfId="0">
      <alignment horizontal="center" vertical="center"/>
    </xf>
    <xf numFmtId="164" fontId="8" fillId="0" borderId="105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167" fontId="8" fillId="0" borderId="98" applyAlignment="1" pivotButton="0" quotePrefix="0" xfId="0">
      <alignment horizontal="center" vertical="center"/>
    </xf>
    <xf numFmtId="167" fontId="8" fillId="0" borderId="8" applyAlignment="1" pivotButton="0" quotePrefix="0" xfId="0">
      <alignment horizontal="center" vertical="center"/>
    </xf>
    <xf numFmtId="164" fontId="8" fillId="0" borderId="0" applyAlignment="1" pivotButton="0" quotePrefix="0" xfId="0">
      <alignment vertical="center"/>
    </xf>
    <xf numFmtId="167" fontId="8" fillId="0" borderId="0" applyAlignment="1" pivotButton="0" quotePrefix="0" xfId="0">
      <alignment vertical="center"/>
    </xf>
    <xf numFmtId="164" fontId="8" fillId="0" borderId="3" applyAlignment="1" pivotButton="0" quotePrefix="0" xfId="0">
      <alignment vertical="center"/>
    </xf>
    <xf numFmtId="164" fontId="8" fillId="0" borderId="52" applyAlignment="1" pivotButton="0" quotePrefix="0" xfId="0">
      <alignment horizontal="center" vertical="center"/>
    </xf>
    <xf numFmtId="164" fontId="8" fillId="0" borderId="41" applyAlignment="1" pivotButton="0" quotePrefix="0" xfId="0">
      <alignment horizontal="center" vertical="center"/>
    </xf>
    <xf numFmtId="164" fontId="8" fillId="0" borderId="11" applyAlignment="1" pivotButton="0" quotePrefix="0" xfId="0">
      <alignment horizontal="center" vertical="center"/>
    </xf>
    <xf numFmtId="164" fontId="8" fillId="0" borderId="85" applyAlignment="1" pivotButton="0" quotePrefix="0" xfId="0">
      <alignment horizontal="center" vertical="center"/>
    </xf>
    <xf numFmtId="164" fontId="8" fillId="0" borderId="45" applyAlignment="1" pivotButton="0" quotePrefix="0" xfId="0">
      <alignment horizontal="center" vertical="center"/>
    </xf>
    <xf numFmtId="164" fontId="8" fillId="0" borderId="112" applyAlignment="1" pivotButton="0" quotePrefix="0" xfId="0">
      <alignment horizontal="center" vertical="center"/>
    </xf>
    <xf numFmtId="164" fontId="8" fillId="0" borderId="116" applyAlignment="1" pivotButton="0" quotePrefix="0" xfId="0">
      <alignment horizontal="center" vertical="center"/>
    </xf>
    <xf numFmtId="164" fontId="8" fillId="0" borderId="115" applyAlignment="1" pivotButton="0" quotePrefix="0" xfId="0">
      <alignment horizontal="center" vertical="center"/>
    </xf>
    <xf numFmtId="164" fontId="8" fillId="0" borderId="8" applyAlignment="1" pivotButton="0" quotePrefix="0" xfId="0">
      <alignment horizontal="center" vertical="center"/>
    </xf>
    <xf numFmtId="164" fontId="8" fillId="0" borderId="80" applyAlignment="1" pivotButton="0" quotePrefix="0" xfId="0">
      <alignment horizontal="center" vertical="center"/>
    </xf>
    <xf numFmtId="164" fontId="8" fillId="0" borderId="79" applyAlignment="1" pivotButton="0" quotePrefix="0" xfId="0">
      <alignment horizontal="center" vertical="center"/>
    </xf>
    <xf numFmtId="164" fontId="8" fillId="0" borderId="101" applyAlignment="1" pivotButton="0" quotePrefix="0" xfId="0">
      <alignment horizontal="center" vertical="center"/>
    </xf>
    <xf numFmtId="164" fontId="8" fillId="0" borderId="102" applyAlignment="1" pivotButton="0" quotePrefix="0" xfId="0">
      <alignment horizontal="center" vertical="center"/>
    </xf>
    <xf numFmtId="164" fontId="8" fillId="0" borderId="106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0" fontId="34" fillId="0" borderId="1" applyAlignment="1" pivotButton="0" quotePrefix="0" xfId="72">
      <alignment vertical="center"/>
    </xf>
    <xf numFmtId="0" fontId="10" fillId="0" borderId="1" applyAlignment="1" pivotButton="0" quotePrefix="0" xfId="52">
      <alignment horizontal="left" vertical="center"/>
    </xf>
    <xf numFmtId="0" fontId="34" fillId="0" borderId="114" applyAlignment="1" pivotButton="0" quotePrefix="0" xfId="72">
      <alignment horizontal="left" vertical="center"/>
    </xf>
    <xf numFmtId="0" fontId="10" fillId="0" borderId="1" applyAlignment="1" pivotButton="0" quotePrefix="0" xfId="72">
      <alignment horizontal="left" vertical="center"/>
    </xf>
    <xf numFmtId="0" fontId="34" fillId="0" borderId="129" applyAlignment="1" pivotButton="0" quotePrefix="0" xfId="72">
      <alignment horizontal="left" vertical="center"/>
    </xf>
    <xf numFmtId="0" fontId="0" fillId="0" borderId="73" pivotButton="0" quotePrefix="0" xfId="0"/>
    <xf numFmtId="0" fontId="0" fillId="0" borderId="75" pivotButton="0" quotePrefix="0" xfId="0"/>
    <xf numFmtId="0" fontId="10" fillId="0" borderId="130" applyAlignment="1" pivotButton="0" quotePrefix="0" xfId="72">
      <alignment vertical="center" wrapText="1"/>
    </xf>
    <xf numFmtId="0" fontId="10" fillId="0" borderId="104" applyAlignment="1" pivotButton="0" quotePrefix="0" xfId="52">
      <alignment horizontal="center" vertical="center" wrapText="1"/>
    </xf>
    <xf numFmtId="0" fontId="10" fillId="0" borderId="2" applyAlignment="1" pivotButton="0" quotePrefix="0" xfId="72">
      <alignment horizontal="left" vertical="center" wrapText="1"/>
    </xf>
    <xf numFmtId="0" fontId="0" fillId="0" borderId="54" pivotButton="0" quotePrefix="0" xfId="0"/>
    <xf numFmtId="0" fontId="0" fillId="0" borderId="131" pivotButton="0" quotePrefix="0" xfId="0"/>
    <xf numFmtId="164" fontId="8" fillId="0" borderId="0" applyAlignment="1" pivotButton="0" quotePrefix="0" xfId="72">
      <alignment horizontal="center" vertical="center" wrapText="1"/>
    </xf>
    <xf numFmtId="164" fontId="8" fillId="26" borderId="0" applyAlignment="1" pivotButton="0" quotePrefix="0" xfId="72">
      <alignment horizontal="center" vertical="center" wrapText="1"/>
    </xf>
    <xf numFmtId="164" fontId="8" fillId="26" borderId="54" applyAlignment="1" pivotButton="0" quotePrefix="0" xfId="72">
      <alignment horizontal="center" vertical="center" wrapText="1"/>
    </xf>
    <xf numFmtId="164" fontId="8" fillId="0" borderId="43" applyAlignment="1" pivotButton="0" quotePrefix="0" xfId="52">
      <alignment horizontal="center" vertical="center"/>
    </xf>
    <xf numFmtId="164" fontId="8" fillId="0" borderId="70" applyAlignment="1" pivotButton="0" quotePrefix="0" xfId="52">
      <alignment horizontal="center" vertical="center"/>
    </xf>
    <xf numFmtId="164" fontId="8" fillId="0" borderId="68" applyAlignment="1" pivotButton="0" quotePrefix="0" xfId="72">
      <alignment horizontal="center" vertical="center" wrapText="1"/>
    </xf>
    <xf numFmtId="164" fontId="8" fillId="0" borderId="0" applyAlignment="1" pivotButton="0" quotePrefix="0" xfId="52">
      <alignment horizontal="center" vertical="center"/>
    </xf>
    <xf numFmtId="164" fontId="8" fillId="0" borderId="54" applyAlignment="1" pivotButton="0" quotePrefix="0" xfId="52">
      <alignment horizontal="center" vertical="center"/>
    </xf>
    <xf numFmtId="164" fontId="8" fillId="0" borderId="72" applyAlignment="1" pivotButton="0" quotePrefix="0" xfId="72">
      <alignment horizontal="center" vertical="center" wrapText="1"/>
    </xf>
    <xf numFmtId="164" fontId="8" fillId="0" borderId="87" applyAlignment="1" pivotButton="0" quotePrefix="0" xfId="72">
      <alignment horizontal="center"/>
    </xf>
    <xf numFmtId="164" fontId="8" fillId="0" borderId="70" applyAlignment="1" pivotButton="0" quotePrefix="0" xfId="72">
      <alignment horizontal="center" vertical="center" wrapText="1"/>
    </xf>
    <xf numFmtId="164" fontId="8" fillId="0" borderId="87" applyAlignment="1" pivotButton="0" quotePrefix="0" xfId="72">
      <alignment horizontal="center" vertical="center" wrapText="1"/>
    </xf>
    <xf numFmtId="164" fontId="8" fillId="0" borderId="91" applyAlignment="1" applyProtection="1" pivotButton="0" quotePrefix="0" xfId="72">
      <alignment horizontal="center" vertical="center" wrapText="1"/>
      <protection locked="0" hidden="0"/>
    </xf>
    <xf numFmtId="164" fontId="10" fillId="0" borderId="0" applyAlignment="1" pivotButton="0" quotePrefix="0" xfId="0">
      <alignment horizontal="center" vertical="center"/>
    </xf>
    <xf numFmtId="164" fontId="8" fillId="0" borderId="0" applyAlignment="1" applyProtection="1" pivotButton="0" quotePrefix="0" xfId="72">
      <alignment horizontal="center" vertical="center" wrapText="1"/>
      <protection locked="0" hidden="0"/>
    </xf>
    <xf numFmtId="164" fontId="8" fillId="0" borderId="57" applyAlignment="1" pivotButton="0" quotePrefix="0" xfId="72">
      <alignment horizontal="center" vertical="center" wrapText="1"/>
    </xf>
    <xf numFmtId="164" fontId="8" fillId="26" borderId="57" applyAlignment="1" pivotButton="0" quotePrefix="0" xfId="72">
      <alignment horizontal="center" vertical="center" wrapText="1"/>
    </xf>
    <xf numFmtId="164" fontId="8" fillId="26" borderId="39" applyAlignment="1" pivotButton="0" quotePrefix="0" xfId="72">
      <alignment horizontal="center" vertical="center" wrapText="1"/>
    </xf>
    <xf numFmtId="164" fontId="8" fillId="0" borderId="0" applyAlignment="1" pivotButton="0" quotePrefix="0" xfId="72">
      <alignment vertical="center"/>
    </xf>
    <xf numFmtId="164" fontId="8" fillId="0" borderId="81" applyAlignment="1" pivotButton="0" quotePrefix="0" xfId="72">
      <alignment horizontal="center" vertical="center" wrapText="1"/>
    </xf>
    <xf numFmtId="164" fontId="8" fillId="0" borderId="57" applyAlignment="1" pivotButton="0" quotePrefix="0" xfId="0">
      <alignment horizontal="center" vertical="center"/>
    </xf>
    <xf numFmtId="164" fontId="8" fillId="0" borderId="39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36" fillId="0" borderId="0" applyAlignment="1" pivotButton="0" quotePrefix="0" xfId="72">
      <alignment horizontal="center" vertical="center" wrapText="1"/>
    </xf>
    <xf numFmtId="164" fontId="37" fillId="0" borderId="0" applyAlignment="1" pivotButton="0" quotePrefix="0" xfId="72">
      <alignment horizontal="center" vertical="center"/>
    </xf>
    <xf numFmtId="164" fontId="8" fillId="0" borderId="56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8" fillId="0" borderId="0" applyAlignment="1" pivotButton="0" quotePrefix="0" xfId="73">
      <alignment horizontal="center" vertical="center" wrapText="1"/>
    </xf>
    <xf numFmtId="164" fontId="8" fillId="27" borderId="87" applyAlignment="1" pivotButton="0" quotePrefix="0" xfId="72">
      <alignment horizontal="center" vertical="center" wrapText="1"/>
    </xf>
    <xf numFmtId="164" fontId="8" fillId="0" borderId="91" applyAlignment="1" pivotButton="0" quotePrefix="0" xfId="72">
      <alignment horizontal="center" vertical="center" wrapText="1"/>
    </xf>
    <xf numFmtId="0" fontId="10" fillId="0" borderId="112" applyAlignment="1" pivotButton="0" quotePrefix="0" xfId="0">
      <alignment horizontal="left" vertical="center" wrapText="1"/>
    </xf>
    <xf numFmtId="0" fontId="0" fillId="0" borderId="115" pivotButton="0" quotePrefix="0" xfId="0"/>
    <xf numFmtId="0" fontId="10" fillId="0" borderId="1" applyAlignment="1" pivotButton="0" quotePrefix="0" xfId="0">
      <alignment horizontal="left" vertical="center" indent="1"/>
    </xf>
    <xf numFmtId="165" fontId="8" fillId="0" borderId="1" applyAlignment="1" pivotButton="0" quotePrefix="0" xfId="0">
      <alignment horizontal="left" vertical="center" wrapText="1" indent="1"/>
    </xf>
    <xf numFmtId="166" fontId="8" fillId="0" borderId="1" applyAlignment="1" pivotButton="0" quotePrefix="0" xfId="0">
      <alignment horizontal="left" vertical="center" wrapText="1" indent="1"/>
    </xf>
    <xf numFmtId="0" fontId="42" fillId="0" borderId="110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center" vertical="center" wrapText="1"/>
    </xf>
    <xf numFmtId="0" fontId="41" fillId="0" borderId="110" applyAlignment="1" pivotButton="0" quotePrefix="0" xfId="0">
      <alignment horizontal="left" vertical="center" wrapText="1"/>
    </xf>
  </cellXfs>
  <cellStyles count="2381">
    <cellStyle name="Normal" xfId="0" builtinId="0"/>
    <cellStyle name="Comma 2" xfId="1"/>
    <cellStyle name="Percent 3" xfId="2"/>
    <cellStyle name="Normal 3" xfId="3"/>
    <cellStyle name="Normal 2" xfId="4"/>
    <cellStyle name="20% - Accent1 2" xfId="5"/>
    <cellStyle name="20% - Accent2 2" xfId="6"/>
    <cellStyle name="20% - Accent3 2" xfId="7"/>
    <cellStyle name="20% - Accent4 2" xfId="8"/>
    <cellStyle name="20% - Accent5 2" xfId="9"/>
    <cellStyle name="20% - Accent6 2" xfId="10"/>
    <cellStyle name="40% - Accent1 2" xfId="11"/>
    <cellStyle name="40% - Accent2 2" xfId="12"/>
    <cellStyle name="40% - Accent3 2" xfId="13"/>
    <cellStyle name="40% - Accent4 2" xfId="14"/>
    <cellStyle name="40% - Accent5 2" xfId="15"/>
    <cellStyle name="40% - Accent6 2" xfId="16"/>
    <cellStyle name="60% - Accent1 2" xfId="17"/>
    <cellStyle name="60% - Accent2 2" xfId="18"/>
    <cellStyle name="60% - Accent3 2" xfId="19"/>
    <cellStyle name="60% - Accent4 2" xfId="20"/>
    <cellStyle name="60% - Accent5 2" xfId="21"/>
    <cellStyle name="60% - Accent6 2" xfId="22"/>
    <cellStyle name="Accent1 2" xfId="23"/>
    <cellStyle name="Accent2 2" xfId="24"/>
    <cellStyle name="Accent3 2" xfId="25"/>
    <cellStyle name="Accent4 2" xfId="26"/>
    <cellStyle name="Accent5 2" xfId="27"/>
    <cellStyle name="Accent6 2" xfId="28"/>
    <cellStyle name="Bad 2" xfId="29"/>
    <cellStyle name="Calculation 2" xfId="30"/>
    <cellStyle name="Check Cell 2" xfId="31"/>
    <cellStyle name="Explanatory Text 2" xfId="32"/>
    <cellStyle name="Good 2" xfId="33"/>
    <cellStyle name="Heading 1 2" xfId="34"/>
    <cellStyle name="Heading 2 2" xfId="35"/>
    <cellStyle name="Heading 3 2" xfId="36"/>
    <cellStyle name="Heading 4 2" xfId="37"/>
    <cellStyle name="Input 2" xfId="38"/>
    <cellStyle name="Linked Cell 2" xfId="39"/>
    <cellStyle name="Neutral 2" xfId="40"/>
    <cellStyle name="Note 2" xfId="41"/>
    <cellStyle name="Output 2" xfId="42"/>
    <cellStyle name="Percent 2" xfId="43"/>
    <cellStyle name="Title 2" xfId="44"/>
    <cellStyle name="Total 2" xfId="45"/>
    <cellStyle name="Warning Text 2" xfId="46"/>
    <cellStyle name="Normal 59" xfId="47"/>
    <cellStyle name="Normal 4" xfId="48"/>
    <cellStyle name="Comma 2 2" xfId="49"/>
    <cellStyle name="Percent 3 2" xfId="50"/>
    <cellStyle name="Normal 3 2" xfId="51"/>
    <cellStyle name="Normal 2 2" xfId="52"/>
    <cellStyle name="Calculation 2 2" xfId="53"/>
    <cellStyle name="Note 2 2" xfId="54"/>
    <cellStyle name="Output 2 2" xfId="55"/>
    <cellStyle name="Percent 2 2" xfId="56"/>
    <cellStyle name="Total 2 2" xfId="57"/>
    <cellStyle name="Normal 59 2" xfId="58"/>
    <cellStyle name="Normal 4 2" xfId="59"/>
    <cellStyle name="Comma 3" xfId="60"/>
    <cellStyle name="Input 2 2" xfId="61"/>
    <cellStyle name="Normal 3 3" xfId="62"/>
    <cellStyle name="Calculation 2 3" xfId="63"/>
    <cellStyle name="Note 2 3" xfId="64"/>
    <cellStyle name="Output 2 3" xfId="65"/>
    <cellStyle name="Total 2 3" xfId="66"/>
    <cellStyle name="Normal 4 3" xfId="67"/>
    <cellStyle name="Input 2 3" xfId="68"/>
    <cellStyle name="Note 2 4" xfId="69"/>
    <cellStyle name="Output 2 4" xfId="70"/>
    <cellStyle name="Total 2 4" xfId="71"/>
    <cellStyle name="Normal 8" xfId="72"/>
    <cellStyle name="Normal 8 2" xfId="73"/>
    <cellStyle name="Normal 3 10" xfId="74"/>
    <cellStyle name="Normal 4 10" xfId="75"/>
    <cellStyle name="Normal 6" xfId="76"/>
    <cellStyle name="Normal 5" xfId="77"/>
    <cellStyle name="Percent 4" xfId="78"/>
    <cellStyle name="Normal 3 2 8" xfId="79"/>
    <cellStyle name="Calculation 2 2 13" xfId="80"/>
    <cellStyle name="Input 2 2 13" xfId="81"/>
    <cellStyle name="Note 2 2 13" xfId="82"/>
    <cellStyle name="Output 2 2 13" xfId="83"/>
    <cellStyle name="Total 2 2 13" xfId="84"/>
    <cellStyle name="Normal 4 2 8" xfId="85"/>
    <cellStyle name="Normal 7" xfId="86"/>
    <cellStyle name="Normal 3 3 8" xfId="87"/>
    <cellStyle name="Normal 4 3 8" xfId="88"/>
    <cellStyle name="Normal 8 7" xfId="89"/>
    <cellStyle name="Normal 9" xfId="90"/>
    <cellStyle name="Total 2 2 4" xfId="91"/>
    <cellStyle name="Normal 3 4" xfId="92"/>
    <cellStyle name="Output 2 2 5" xfId="93"/>
    <cellStyle name="Output 2 2 4" xfId="94"/>
    <cellStyle name="Total 2 2 5" xfId="95"/>
    <cellStyle name="Input 2 2 4" xfId="96"/>
    <cellStyle name="Normal 4 4" xfId="97"/>
    <cellStyle name="Normal 6 2" xfId="98"/>
    <cellStyle name="Calculation 2 2 4" xfId="99"/>
    <cellStyle name="Normal 3 2 2" xfId="100"/>
    <cellStyle name="Calculation 2 2 2" xfId="101"/>
    <cellStyle name="Input 2 2 2" xfId="102"/>
    <cellStyle name="Note 2 2 2" xfId="103"/>
    <cellStyle name="Output 2 2 2" xfId="104"/>
    <cellStyle name="Total 2 2 2" xfId="105"/>
    <cellStyle name="Note 2 2 4" xfId="106"/>
    <cellStyle name="Normal 4 2 2" xfId="107"/>
    <cellStyle name="Normal 7 2" xfId="108"/>
    <cellStyle name="Normal 3 3 2" xfId="109"/>
    <cellStyle name="Normal 4 3 2" xfId="110"/>
    <cellStyle name="Normal 8 2 6" xfId="111"/>
    <cellStyle name="Normal 9 2" xfId="112"/>
    <cellStyle name="Calculation 2 2 3" xfId="113"/>
    <cellStyle name="Input 2 2 3" xfId="114"/>
    <cellStyle name="Note 2 2 3" xfId="115"/>
    <cellStyle name="Output 2 2 3" xfId="116"/>
    <cellStyle name="Total 2 2 3" xfId="117"/>
    <cellStyle name="Calculation 2 2 5" xfId="118"/>
    <cellStyle name="Input 2 2 5" xfId="119"/>
    <cellStyle name="Note 2 2 5" xfId="120"/>
    <cellStyle name="Normal 3 5" xfId="121"/>
    <cellStyle name="Total 2 2 6" xfId="122"/>
    <cellStyle name="Output 2 2 6" xfId="123"/>
    <cellStyle name="Note 2 2 6" xfId="124"/>
    <cellStyle name="Input 2 2 6" xfId="125"/>
    <cellStyle name="Calculation 2 2 6" xfId="126"/>
    <cellStyle name="Total 2 3 15" xfId="127"/>
    <cellStyle name="Output 2 3 15" xfId="128"/>
    <cellStyle name="Note 2 3 15" xfId="129"/>
    <cellStyle name="Calculation 2 3 15" xfId="130"/>
    <cellStyle name="Normal 4 5" xfId="131"/>
    <cellStyle name="Normal 6 3" xfId="132"/>
    <cellStyle name="Normal 3 2 3" xfId="133"/>
    <cellStyle name="Input 2 3 15" xfId="134"/>
    <cellStyle name="Normal 4 2 3" xfId="135"/>
    <cellStyle name="Normal 7 3" xfId="136"/>
    <cellStyle name="Normal 3 3 3" xfId="137"/>
    <cellStyle name="Normal 4 3 3" xfId="138"/>
    <cellStyle name="Normal 8 3" xfId="139"/>
    <cellStyle name="Normal 9 3" xfId="140"/>
    <cellStyle name="Total 2 2 4 2" xfId="141"/>
    <cellStyle name="Normal 3 4 2" xfId="142"/>
    <cellStyle name="Output 2 2 4 2" xfId="143"/>
    <cellStyle name="Input 2 2 4 2" xfId="144"/>
    <cellStyle name="Normal 4 4 2" xfId="145"/>
    <cellStyle name="Normal 6 2 2" xfId="146"/>
    <cellStyle name="Calculation 2 2 4 2" xfId="147"/>
    <cellStyle name="Normal 3 2 2 2" xfId="148"/>
    <cellStyle name="Calculation 2 2 2 2" xfId="149"/>
    <cellStyle name="Input 2 2 2 2" xfId="150"/>
    <cellStyle name="Note 2 2 2 2" xfId="151"/>
    <cellStyle name="Output 2 2 2 2" xfId="152"/>
    <cellStyle name="Total 2 2 2 2" xfId="153"/>
    <cellStyle name="Note 2 2 4 2" xfId="154"/>
    <cellStyle name="Normal 4 2 2 2" xfId="155"/>
    <cellStyle name="Normal 7 2 2" xfId="156"/>
    <cellStyle name="Normal 3 3 2 2" xfId="157"/>
    <cellStyle name="Normal 4 3 2 2" xfId="158"/>
    <cellStyle name="Normal 8 2 2" xfId="159"/>
    <cellStyle name="Normal 9 2 2" xfId="160"/>
    <cellStyle name="Calculation 2 2 3 2" xfId="161"/>
    <cellStyle name="Input 2 2 3 2" xfId="162"/>
    <cellStyle name="Note 2 2 3 2" xfId="163"/>
    <cellStyle name="Output 2 2 3 2" xfId="164"/>
    <cellStyle name="Total 2 2 3 2" xfId="165"/>
    <cellStyle name="Total 2 2 4 3" xfId="166"/>
    <cellStyle name="Output 2 2 5 2" xfId="167"/>
    <cellStyle name="Output 2 2 4 3" xfId="168"/>
    <cellStyle name="Total 2 2 5 2" xfId="169"/>
    <cellStyle name="Input 2 2 4 3" xfId="170"/>
    <cellStyle name="Calculation 2 2 4 3" xfId="171"/>
    <cellStyle name="Calculation 2 2 2 3" xfId="172"/>
    <cellStyle name="Input 2 2 2 3" xfId="173"/>
    <cellStyle name="Note 2 2 2 3" xfId="174"/>
    <cellStyle name="Output 2 2 2 3" xfId="175"/>
    <cellStyle name="Total 2 2 2 3" xfId="176"/>
    <cellStyle name="Note 2 2 4 3" xfId="177"/>
    <cellStyle name="Calculation 2 2 3 3" xfId="178"/>
    <cellStyle name="Input 2 2 3 3" xfId="179"/>
    <cellStyle name="Note 2 2 3 3" xfId="180"/>
    <cellStyle name="Output 2 2 3 3" xfId="181"/>
    <cellStyle name="Total 2 2 3 3" xfId="182"/>
    <cellStyle name="Calculation 2 2 5 2" xfId="183"/>
    <cellStyle name="Input 2 2 5 2" xfId="184"/>
    <cellStyle name="Note 2 2 5 2" xfId="185"/>
    <cellStyle name="Total 2 2 4 4" xfId="186"/>
    <cellStyle name="Output 2 2 5 3" xfId="187"/>
    <cellStyle name="Output 2 2 4 4" xfId="188"/>
    <cellStyle name="Total 2 2 5 3" xfId="189"/>
    <cellStyle name="Input 2 2 4 4" xfId="190"/>
    <cellStyle name="Calculation 2 2 4 4" xfId="191"/>
    <cellStyle name="Calculation 2 2 2 4" xfId="192"/>
    <cellStyle name="Input 2 2 2 4" xfId="193"/>
    <cellStyle name="Note 2 2 2 4" xfId="194"/>
    <cellStyle name="Output 2 2 2 4" xfId="195"/>
    <cellStyle name="Total 2 2 2 4" xfId="196"/>
    <cellStyle name="Note 2 2 4 4" xfId="197"/>
    <cellStyle name="Calculation 2 2 3 4" xfId="198"/>
    <cellStyle name="Input 2 2 3 4" xfId="199"/>
    <cellStyle name="Note 2 2 3 4" xfId="200"/>
    <cellStyle name="Output 2 2 3 4" xfId="201"/>
    <cellStyle name="Total 2 2 3 4" xfId="202"/>
    <cellStyle name="Calculation 2 2 5 3" xfId="203"/>
    <cellStyle name="Input 2 2 5 3" xfId="204"/>
    <cellStyle name="Note 2 2 5 3" xfId="205"/>
    <cellStyle name="Note 2 2 7" xfId="206"/>
    <cellStyle name="Calculation 2 2 5 6" xfId="207"/>
    <cellStyle name="Output 2 2 5 5" xfId="208"/>
    <cellStyle name="Total 2 2 2 4 8" xfId="209"/>
    <cellStyle name="Note 2 2 6 4" xfId="210"/>
    <cellStyle name="Input 2 2 7" xfId="211"/>
    <cellStyle name="Calculation 2 2 8" xfId="212"/>
    <cellStyle name="Note 2 2 5 5" xfId="213"/>
    <cellStyle name="Input 2 2 5 5" xfId="214"/>
    <cellStyle name="Calculation 2 2 5 5" xfId="215"/>
    <cellStyle name="Total 2 2 3 6" xfId="216"/>
    <cellStyle name="Output 2 2 3 6" xfId="217"/>
    <cellStyle name="Note 2 2 3 6" xfId="218"/>
    <cellStyle name="Input 2 2 3 6" xfId="219"/>
    <cellStyle name="Calculation 2 2 3 6" xfId="220"/>
    <cellStyle name="Note 2 2 2 4 4" xfId="221"/>
    <cellStyle name="Output 2 2 4 4 4" xfId="222"/>
    <cellStyle name="Output 2 2 2 2 4" xfId="223"/>
    <cellStyle name="Input 2 2 2 10" xfId="224"/>
    <cellStyle name="Input 2 2 5 2 4" xfId="225"/>
    <cellStyle name="Note 2 2 4 6" xfId="226"/>
    <cellStyle name="Total 2 2 2 6" xfId="227"/>
    <cellStyle name="Output 2 2 2 6" xfId="228"/>
    <cellStyle name="Note 2 2 2 6" xfId="229"/>
    <cellStyle name="Input 2 2 2 6" xfId="230"/>
    <cellStyle name="Calculation 2 2 2 6" xfId="231"/>
    <cellStyle name="Calculation 2 2 3 9" xfId="232"/>
    <cellStyle name="Calculation 2 2 4 6" xfId="233"/>
    <cellStyle name="Note 2 2 3 3 4" xfId="234"/>
    <cellStyle name="Input 2 2 2 3 4" xfId="235"/>
    <cellStyle name="Input 2 2 4 6" xfId="236"/>
    <cellStyle name="Output 2 2 4 6" xfId="237"/>
    <cellStyle name="Total 2 2 4 6" xfId="238"/>
    <cellStyle name="Input 2 2 2 4 4" xfId="239"/>
    <cellStyle name="Output 2 2 5 3 4" xfId="240"/>
    <cellStyle name="Note 2 2 2 2 4" xfId="241"/>
    <cellStyle name="Total 2 5" xfId="242"/>
    <cellStyle name="Calculation 2 2 5 2 4" xfId="243"/>
    <cellStyle name="Calculation 2 2 3 3 4" xfId="244"/>
    <cellStyle name="Output 2 2 6 4" xfId="245"/>
    <cellStyle name="Output 2 2 7" xfId="246"/>
    <cellStyle name="Calculation 2 2 3 3 8" xfId="247"/>
    <cellStyle name="Total 2 2 5 10" xfId="248"/>
    <cellStyle name="Note 2 2 4 7" xfId="249"/>
    <cellStyle name="Note 2 2 2 3 8" xfId="250"/>
    <cellStyle name="Output 2 2 5 6" xfId="251"/>
    <cellStyle name="Note 2 2 2 4 8" xfId="252"/>
    <cellStyle name="Calculation 2 4" xfId="253"/>
    <cellStyle name="Input 2 2 6 4" xfId="254"/>
    <cellStyle name="Calculation 2 2 7" xfId="255"/>
    <cellStyle name="Note 2 5" xfId="256"/>
    <cellStyle name="Note 2 2 4 9" xfId="257"/>
    <cellStyle name="Input 2 2 5 6" xfId="258"/>
    <cellStyle name="Total 2 2 2 2 4" xfId="259"/>
    <cellStyle name="Calculation 2 2 9" xfId="260"/>
    <cellStyle name="Note 2 2 4 2 4" xfId="261"/>
    <cellStyle name="Total 2 2 5 5" xfId="262"/>
    <cellStyle name="Total 2 2 7" xfId="263"/>
    <cellStyle name="Output 2 2 4 4 8" xfId="264"/>
    <cellStyle name="Output 2 2 2 4 8" xfId="265"/>
    <cellStyle name="Total 2 2 9" xfId="266"/>
    <cellStyle name="Note 2 2 4 4 4" xfId="267"/>
    <cellStyle name="Output 2 2 3 10" xfId="268"/>
    <cellStyle name="Output 2 4 4" xfId="269"/>
    <cellStyle name="Total 2 2 2 2 8" xfId="270"/>
    <cellStyle name="Output 2 2 10" xfId="271"/>
    <cellStyle name="Input 2 4" xfId="272"/>
    <cellStyle name="Note 2 2 2 7" xfId="273"/>
    <cellStyle name="Calculation 2 2 2 3 4" xfId="274"/>
    <cellStyle name="Total 2 2 4 5" xfId="275"/>
    <cellStyle name="Output 2 2 5 4" xfId="276"/>
    <cellStyle name="Output 2 2 4 5" xfId="277"/>
    <cellStyle name="Total 2 2 5 4" xfId="278"/>
    <cellStyle name="Input 2 2 4 5" xfId="279"/>
    <cellStyle name="Note 2 2 3 10" xfId="280"/>
    <cellStyle name="Calculation 2 2 4 5" xfId="281"/>
    <cellStyle name="Total 2 2 2 8" xfId="282"/>
    <cellStyle name="Calculation 2 2 2 5" xfId="283"/>
    <cellStyle name="Input 2 2 2 5" xfId="284"/>
    <cellStyle name="Note 2 2 2 5" xfId="285"/>
    <cellStyle name="Output 2 2 2 5" xfId="286"/>
    <cellStyle name="Total 2 2 2 5" xfId="287"/>
    <cellStyle name="Note 2 2 4 5" xfId="288"/>
    <cellStyle name="Note 2 4 4" xfId="289"/>
    <cellStyle name="Output 2 2 5 7" xfId="290"/>
    <cellStyle name="Input 2 2 8" xfId="291"/>
    <cellStyle name="Input 2 2 4 7" xfId="292"/>
    <cellStyle name="Output 2 2 5 2 8" xfId="293"/>
    <cellStyle name="Calculation 2 2 3 5" xfId="294"/>
    <cellStyle name="Input 2 2 3 5" xfId="295"/>
    <cellStyle name="Note 2 2 3 5" xfId="296"/>
    <cellStyle name="Output 2 2 3 5" xfId="297"/>
    <cellStyle name="Total 2 2 3 5" xfId="298"/>
    <cellStyle name="Calculation 2 2 5 4" xfId="299"/>
    <cellStyle name="Input 2 2 5 4" xfId="300"/>
    <cellStyle name="Note 2 2 5 4" xfId="301"/>
    <cellStyle name="Calculation 2 2 4 2 4" xfId="302"/>
    <cellStyle name="Calculation 2 2 6 4" xfId="303"/>
    <cellStyle name="Total 2 2 6 2" xfId="304"/>
    <cellStyle name="Output 2 2 6 2" xfId="305"/>
    <cellStyle name="Note 2 2 6 2" xfId="306"/>
    <cellStyle name="Input 2 2 6 2" xfId="307"/>
    <cellStyle name="Calculation 2 2 6 2" xfId="308"/>
    <cellStyle name="Total 2 3 2" xfId="309"/>
    <cellStyle name="Output 2 3 2" xfId="310"/>
    <cellStyle name="Note 2 3 2" xfId="311"/>
    <cellStyle name="Calculation 2 3 2" xfId="312"/>
    <cellStyle name="Calculation 2 2 4 9" xfId="313"/>
    <cellStyle name="Note 2 2 3 7" xfId="314"/>
    <cellStyle name="Input 2 2 3 3 4" xfId="315"/>
    <cellStyle name="Input 2 3 2" xfId="316"/>
    <cellStyle name="Total 2 2 6 4" xfId="317"/>
    <cellStyle name="Note 2 2 9" xfId="318"/>
    <cellStyle name="Note 2 2 4 3 4" xfId="319"/>
    <cellStyle name="Output 2 2 8" xfId="320"/>
    <cellStyle name="Total 2 2 10" xfId="321"/>
    <cellStyle name="Total 2 2 4 2 2" xfId="322"/>
    <cellStyle name="Total 2 4 4" xfId="323"/>
    <cellStyle name="Output 2 2 4 2 2" xfId="324"/>
    <cellStyle name="Input 2 2 4 2 2" xfId="325"/>
    <cellStyle name="Total 2 2 8" xfId="326"/>
    <cellStyle name="Note 2 2 5 7" xfId="327"/>
    <cellStyle name="Calculation 2 2 4 2 2" xfId="328"/>
    <cellStyle name="Total 2 2 2 3 4" xfId="329"/>
    <cellStyle name="Calculation 2 2 2 2 2" xfId="330"/>
    <cellStyle name="Input 2 2 2 2 2" xfId="331"/>
    <cellStyle name="Note 2 2 2 2 2" xfId="332"/>
    <cellStyle name="Output 2 2 2 2 2" xfId="333"/>
    <cellStyle name="Total 2 2 2 2 2" xfId="334"/>
    <cellStyle name="Note 2 2 4 2 2" xfId="335"/>
    <cellStyle name="Note 2 2 3 2 8" xfId="336"/>
    <cellStyle name="Input 2 2 3 10" xfId="337"/>
    <cellStyle name="Input 2 5" xfId="338"/>
    <cellStyle name="Note 2 2 8" xfId="339"/>
    <cellStyle name="Output 2 2 3 2 4" xfId="340"/>
    <cellStyle name="Calculation 2 2 3 2 2" xfId="341"/>
    <cellStyle name="Input 2 2 3 2 2" xfId="342"/>
    <cellStyle name="Note 2 2 3 2 2" xfId="343"/>
    <cellStyle name="Output 2 2 3 2 2" xfId="344"/>
    <cellStyle name="Total 2 2 3 2 2" xfId="345"/>
    <cellStyle name="Total 2 2 4 3 2" xfId="346"/>
    <cellStyle name="Output 2 2 5 2 2" xfId="347"/>
    <cellStyle name="Output 2 2 4 3 2" xfId="348"/>
    <cellStyle name="Total 2 2 5 2 2" xfId="349"/>
    <cellStyle name="Input 2 2 4 3 2" xfId="350"/>
    <cellStyle name="Calculation 2 2 4 3 2" xfId="351"/>
    <cellStyle name="Calculation 2 2 2 3 2" xfId="352"/>
    <cellStyle name="Input 2 2 2 3 2" xfId="353"/>
    <cellStyle name="Note 2 2 2 3 2" xfId="354"/>
    <cellStyle name="Output 2 2 2 3 2" xfId="355"/>
    <cellStyle name="Total 2 2 2 3 2" xfId="356"/>
    <cellStyle name="Note 2 2 4 3 2" xfId="357"/>
    <cellStyle name="Calculation 2 2 3 3 2" xfId="358"/>
    <cellStyle name="Input 2 2 3 3 2" xfId="359"/>
    <cellStyle name="Note 2 2 3 3 2" xfId="360"/>
    <cellStyle name="Output 2 2 3 3 2" xfId="361"/>
    <cellStyle name="Total 2 2 3 3 2" xfId="362"/>
    <cellStyle name="Calculation 2 2 5 2 2" xfId="363"/>
    <cellStyle name="Input 2 2 5 2 2" xfId="364"/>
    <cellStyle name="Note 2 2 5 2 2" xfId="365"/>
    <cellStyle name="Total 2 2 4 4 2" xfId="366"/>
    <cellStyle name="Output 2 2 5 3 2" xfId="367"/>
    <cellStyle name="Output 2 2 4 4 2" xfId="368"/>
    <cellStyle name="Total 2 2 5 3 2" xfId="369"/>
    <cellStyle name="Input 2 2 4 4 2" xfId="370"/>
    <cellStyle name="Calculation 2 2 4 4 2" xfId="371"/>
    <cellStyle name="Calculation 2 2 2 4 2" xfId="372"/>
    <cellStyle name="Input 2 2 2 4 2" xfId="373"/>
    <cellStyle name="Note 2 2 2 4 2" xfId="374"/>
    <cellStyle name="Output 2 2 2 4 2" xfId="375"/>
    <cellStyle name="Total 2 2 2 4 2" xfId="376"/>
    <cellStyle name="Note 2 2 4 4 2" xfId="377"/>
    <cellStyle name="Calculation 2 2 3 4 2" xfId="378"/>
    <cellStyle name="Input 2 2 3 4 2" xfId="379"/>
    <cellStyle name="Note 2 2 3 4 2" xfId="380"/>
    <cellStyle name="Output 2 2 3 4 2" xfId="381"/>
    <cellStyle name="Total 2 2 3 4 2" xfId="382"/>
    <cellStyle name="Calculation 2 2 5 3 2" xfId="383"/>
    <cellStyle name="Input 2 2 5 3 2" xfId="384"/>
    <cellStyle name="Note 2 2 5 3 2" xfId="385"/>
    <cellStyle name="Normal 8 2 2 2" xfId="386"/>
    <cellStyle name="Normal 8 3 2" xfId="387"/>
    <cellStyle name="Output 2 3 4" xfId="388"/>
    <cellStyle name="Total 2 2 6 3" xfId="389"/>
    <cellStyle name="Output 2 2 6 3" xfId="390"/>
    <cellStyle name="Note 2 2 6 3" xfId="391"/>
    <cellStyle name="Input 2 2 6 3" xfId="392"/>
    <cellStyle name="Calculation 2 2 6 3" xfId="393"/>
    <cellStyle name="Total 2 3 3" xfId="394"/>
    <cellStyle name="Output 2 3 3" xfId="395"/>
    <cellStyle name="Note 2 3 3" xfId="396"/>
    <cellStyle name="Calculation 2 3 3" xfId="397"/>
    <cellStyle name="Output 2 2 2 3 4" xfId="398"/>
    <cellStyle name="Total 2 2 3 3 4" xfId="399"/>
    <cellStyle name="Total 2 2 3 10" xfId="400"/>
    <cellStyle name="Input 2 3 3" xfId="401"/>
    <cellStyle name="Input 2 2 2 2 4" xfId="402"/>
    <cellStyle name="Total 2 2 4 4 4" xfId="403"/>
    <cellStyle name="Output 2 5" xfId="404"/>
    <cellStyle name="Calculation 2 5" xfId="405"/>
    <cellStyle name="Calculation 2 2 4 4 4" xfId="406"/>
    <cellStyle name="Total 2 2 2 4 4" xfId="407"/>
    <cellStyle name="Total 2 2 4 2 3" xfId="408"/>
    <cellStyle name="Total 2 3 4" xfId="409"/>
    <cellStyle name="Output 2 2 4 2 3" xfId="410"/>
    <cellStyle name="Input 2 2 4 2 3" xfId="411"/>
    <cellStyle name="Note 2 2 2 3 4" xfId="412"/>
    <cellStyle name="Output 2 2 3 3 4" xfId="413"/>
    <cellStyle name="Calculation 2 2 4 2 3" xfId="414"/>
    <cellStyle name="Calculation 2 2 4 7" xfId="415"/>
    <cellStyle name="Calculation 2 2 2 2 3" xfId="416"/>
    <cellStyle name="Input 2 2 2 2 3" xfId="417"/>
    <cellStyle name="Note 2 2 2 2 3" xfId="418"/>
    <cellStyle name="Output 2 2 2 2 3" xfId="419"/>
    <cellStyle name="Total 2 2 2 2 3" xfId="420"/>
    <cellStyle name="Note 2 2 4 2 3" xfId="421"/>
    <cellStyle name="Calculation 2 2 2 2 4" xfId="422"/>
    <cellStyle name="Note 2 2 5 2 4" xfId="423"/>
    <cellStyle name="Note 2 2 4 8" xfId="424"/>
    <cellStyle name="Calculation 2 2 3 10" xfId="425"/>
    <cellStyle name="Total 2 2 5 3 4" xfId="426"/>
    <cellStyle name="Output 2 2 2 4 4" xfId="427"/>
    <cellStyle name="Calculation 2 2 3 2 3" xfId="428"/>
    <cellStyle name="Input 2 2 3 2 3" xfId="429"/>
    <cellStyle name="Note 2 2 3 2 3" xfId="430"/>
    <cellStyle name="Output 2 2 3 2 3" xfId="431"/>
    <cellStyle name="Total 2 2 3 2 3" xfId="432"/>
    <cellStyle name="Total 2 2 4 3 3" xfId="433"/>
    <cellStyle name="Output 2 2 5 2 3" xfId="434"/>
    <cellStyle name="Output 2 2 4 3 3" xfId="435"/>
    <cellStyle name="Total 2 2 5 2 3" xfId="436"/>
    <cellStyle name="Input 2 2 4 3 3" xfId="437"/>
    <cellStyle name="Calculation 2 2 4 3 3" xfId="438"/>
    <cellStyle name="Calculation 2 2 2 3 3" xfId="439"/>
    <cellStyle name="Input 2 2 2 3 3" xfId="440"/>
    <cellStyle name="Note 2 2 2 3 3" xfId="441"/>
    <cellStyle name="Output 2 2 2 3 3" xfId="442"/>
    <cellStyle name="Total 2 2 2 3 3" xfId="443"/>
    <cellStyle name="Note 2 2 4 3 3" xfId="444"/>
    <cellStyle name="Calculation 2 2 3 3 3" xfId="445"/>
    <cellStyle name="Input 2 2 3 3 3" xfId="446"/>
    <cellStyle name="Note 2 2 3 3 3" xfId="447"/>
    <cellStyle name="Output 2 2 3 3 3" xfId="448"/>
    <cellStyle name="Total 2 2 3 3 3" xfId="449"/>
    <cellStyle name="Calculation 2 2 5 2 3" xfId="450"/>
    <cellStyle name="Input 2 2 5 2 3" xfId="451"/>
    <cellStyle name="Note 2 2 5 2 3" xfId="452"/>
    <cellStyle name="Total 2 2 4 4 3" xfId="453"/>
    <cellStyle name="Output 2 2 5 3 3" xfId="454"/>
    <cellStyle name="Output 2 2 4 4 3" xfId="455"/>
    <cellStyle name="Total 2 2 5 3 3" xfId="456"/>
    <cellStyle name="Input 2 2 4 4 3" xfId="457"/>
    <cellStyle name="Calculation 2 2 4 4 3" xfId="458"/>
    <cellStyle name="Calculation 2 2 2 4 3" xfId="459"/>
    <cellStyle name="Input 2 2 2 4 3" xfId="460"/>
    <cellStyle name="Note 2 2 2 4 3" xfId="461"/>
    <cellStyle name="Output 2 2 2 4 3" xfId="462"/>
    <cellStyle name="Total 2 2 2 4 3" xfId="463"/>
    <cellStyle name="Note 2 2 4 4 3" xfId="464"/>
    <cellStyle name="Calculation 2 2 3 4 3" xfId="465"/>
    <cellStyle name="Input 2 2 3 4 3" xfId="466"/>
    <cellStyle name="Note 2 2 3 4 3" xfId="467"/>
    <cellStyle name="Output 2 2 3 4 3" xfId="468"/>
    <cellStyle name="Total 2 2 3 4 3" xfId="469"/>
    <cellStyle name="Calculation 2 2 5 3 3" xfId="470"/>
    <cellStyle name="Input 2 2 5 3 3" xfId="471"/>
    <cellStyle name="Note 2 2 5 3 3" xfId="472"/>
    <cellStyle name="Input 2 2 4 4 4" xfId="473"/>
    <cellStyle name="Calculation 2 2 2 4 4" xfId="474"/>
    <cellStyle name="Output 2 2 4 3 4" xfId="475"/>
    <cellStyle name="Total 2 2 4 2 4" xfId="476"/>
    <cellStyle name="Input 2 2 9" xfId="477"/>
    <cellStyle name="Calculation 2 2 2 10" xfId="478"/>
    <cellStyle name="Output 2 2 3 8" xfId="479"/>
    <cellStyle name="Input 2 2 3 9" xfId="480"/>
    <cellStyle name="Total 2 2 5 8" xfId="481"/>
    <cellStyle name="Note 2 2 4 2 8" xfId="482"/>
    <cellStyle name="Calculation 2 2 3 7" xfId="483"/>
    <cellStyle name="Total 2 2 5 7" xfId="484"/>
    <cellStyle name="Note 2 2 2 8" xfId="485"/>
    <cellStyle name="Calculation 2 2 5 8" xfId="486"/>
    <cellStyle name="Calculation 2 3 4" xfId="487"/>
    <cellStyle name="Output 2 2 4 9" xfId="488"/>
    <cellStyle name="Note 2 2 5 8" xfId="489"/>
    <cellStyle name="Output 2 2 2 8" xfId="490"/>
    <cellStyle name="Output 2 2 3 9" xfId="491"/>
    <cellStyle name="Output 2 2 2 9" xfId="492"/>
    <cellStyle name="Calculation 2 2 2 7" xfId="493"/>
    <cellStyle name="Output 2 2 4 7" xfId="494"/>
    <cellStyle name="Note 2 2 5 6" xfId="495"/>
    <cellStyle name="Note 2 3 4" xfId="496"/>
    <cellStyle name="Note 2 2 2 9" xfId="497"/>
    <cellStyle name="Output 2 2 3 7" xfId="498"/>
    <cellStyle name="Output 2 2 2 7" xfId="499"/>
    <cellStyle name="Input 2 2 10" xfId="500"/>
    <cellStyle name="Total 2 2 3 9" xfId="501"/>
    <cellStyle name="Calculation 2 2 10" xfId="502"/>
    <cellStyle name="Input 2 2 3 7" xfId="503"/>
    <cellStyle name="Input 2 2 4 8" xfId="504"/>
    <cellStyle name="Total 2 2 2 9" xfId="505"/>
    <cellStyle name="Input 2 2 2 7" xfId="506"/>
    <cellStyle name="Total 2 2 5 6" xfId="507"/>
    <cellStyle name="Note 2 2 3 2 4" xfId="508"/>
    <cellStyle name="Calculation 2 2 4 3 4" xfId="509"/>
    <cellStyle name="Input 2 2 4 2 4" xfId="510"/>
    <cellStyle name="Output 2 6" xfId="511"/>
    <cellStyle name="Calculation 2 2 3 8" xfId="512"/>
    <cellStyle name="Total 2 2 4 10" xfId="513"/>
    <cellStyle name="Output 2 2 5 9" xfId="514"/>
    <cellStyle name="Total 2 2 4 7" xfId="515"/>
    <cellStyle name="Total 2 2 3 7" xfId="516"/>
    <cellStyle name="Total 2 2 2 7" xfId="517"/>
    <cellStyle name="Input 2 6" xfId="518"/>
    <cellStyle name="Input 2 2 5 8" xfId="519"/>
    <cellStyle name="Output 2 2 5 2 4" xfId="520"/>
    <cellStyle name="Note 2 2 3 9" xfId="521"/>
    <cellStyle name="Input 2 2 6 8" xfId="522"/>
    <cellStyle name="Note 2 6" xfId="523"/>
    <cellStyle name="Total 2 2 3 8" xfId="524"/>
    <cellStyle name="Note 2 2 10" xfId="525"/>
    <cellStyle name="Calculation 2 2 2 8" xfId="526"/>
    <cellStyle name="Output 2 2 4 10" xfId="527"/>
    <cellStyle name="Calculation 2 2 4 4 8" xfId="528"/>
    <cellStyle name="Total 2 2 3 3 8" xfId="529"/>
    <cellStyle name="Input 2 2 3 2 4" xfId="530"/>
    <cellStyle name="Input 2 2 4 3 4" xfId="531"/>
    <cellStyle name="Output 2 2 4 2 4" xfId="532"/>
    <cellStyle name="Calculation 2 2 2 2 8" xfId="533"/>
    <cellStyle name="Input 2 2 3 8" xfId="534"/>
    <cellStyle name="Output 2 2 5 8" xfId="535"/>
    <cellStyle name="Total 2 2 4 3 4" xfId="536"/>
    <cellStyle name="Calculation 2 2 5 10" xfId="537"/>
    <cellStyle name="Total 2 2 4 8" xfId="538"/>
    <cellStyle name="Calculation 2 2 5 7" xfId="539"/>
    <cellStyle name="Calculation 2 2 2 9" xfId="540"/>
    <cellStyle name="Calculation 2 2 5 9" xfId="541"/>
    <cellStyle name="Total 2 2 6 5" xfId="542"/>
    <cellStyle name="Input 2 2 2 8" xfId="543"/>
    <cellStyle name="Calculation 2 2 4 8" xfId="544"/>
    <cellStyle name="Total 2 2 6 6" xfId="545"/>
    <cellStyle name="Input 2 3 4" xfId="546"/>
    <cellStyle name="Calculation 2 2 3 2 4" xfId="547"/>
    <cellStyle name="Total 2 2 5 2 4" xfId="548"/>
    <cellStyle name="Output 2 2 3 3 8" xfId="549"/>
    <cellStyle name="Output 2 2 9" xfId="550"/>
    <cellStyle name="Calculation 2 2 2 4 8" xfId="551"/>
    <cellStyle name="Note 2 2 3 8" xfId="552"/>
    <cellStyle name="Total 2 2 3 2 4" xfId="553"/>
    <cellStyle name="Output 2 2 4 8" xfId="554"/>
    <cellStyle name="Input 2 2 2 4 8" xfId="555"/>
    <cellStyle name="Input 2 2 5 7" xfId="556"/>
    <cellStyle name="Calculation 2 2 11" xfId="557"/>
    <cellStyle name="Total 2 2 4 9" xfId="558"/>
    <cellStyle name="Input 2 2 2 9" xfId="559"/>
    <cellStyle name="Input 2 2 4 9" xfId="560"/>
    <cellStyle name="Calculation 2 2 3 4 4" xfId="561"/>
    <cellStyle name="Input 2 2 3 4 4" xfId="562"/>
    <cellStyle name="Note 2 2 3 4 4" xfId="563"/>
    <cellStyle name="Output 2 2 3 4 4" xfId="564"/>
    <cellStyle name="Total 2 2 3 4 4" xfId="565"/>
    <cellStyle name="Calculation 2 2 5 3 4" xfId="566"/>
    <cellStyle name="Input 2 2 5 3 4" xfId="567"/>
    <cellStyle name="Note 2 2 5 3 4" xfId="568"/>
    <cellStyle name="Input 2 2 4 12" xfId="569"/>
    <cellStyle name="Total 2 2 4 11" xfId="570"/>
    <cellStyle name="Output 2 2 6 5" xfId="571"/>
    <cellStyle name="Note 2 2 6 5" xfId="572"/>
    <cellStyle name="Input 2 2 6 5" xfId="573"/>
    <cellStyle name="Calculation 2 2 6 5" xfId="574"/>
    <cellStyle name="Total 2 3 5" xfId="575"/>
    <cellStyle name="Output 2 3 5" xfId="576"/>
    <cellStyle name="Note 2 3 5" xfId="577"/>
    <cellStyle name="Calculation 2 3 5" xfId="578"/>
    <cellStyle name="Output 2 2 2 2 8" xfId="579"/>
    <cellStyle name="Input 2 2 4 10" xfId="580"/>
    <cellStyle name="Total 2 2 6 8" xfId="581"/>
    <cellStyle name="Input 2 3 5" xfId="582"/>
    <cellStyle name="Note 2 2 4 12" xfId="583"/>
    <cellStyle name="Calculation 2 2 4 12" xfId="584"/>
    <cellStyle name="Calculation 2 2 2 3 8" xfId="585"/>
    <cellStyle name="Total 2 2 2 10" xfId="586"/>
    <cellStyle name="Total 2 2 4 2 5" xfId="587"/>
    <cellStyle name="Input 2 2 2 11" xfId="588"/>
    <cellStyle name="Output 2 2 4 2 5" xfId="589"/>
    <cellStyle name="Input 2 2 4 2 5" xfId="590"/>
    <cellStyle name="Note 2 2 4 3 8" xfId="591"/>
    <cellStyle name="Total 2 2 5 9" xfId="592"/>
    <cellStyle name="Calculation 2 2 4 2 5" xfId="593"/>
    <cellStyle name="Calculation 2 2 2 2 5" xfId="594"/>
    <cellStyle name="Input 2 2 2 2 5" xfId="595"/>
    <cellStyle name="Note 2 2 2 2 5" xfId="596"/>
    <cellStyle name="Output 2 2 2 2 5" xfId="597"/>
    <cellStyle name="Total 2 2 2 2 5" xfId="598"/>
    <cellStyle name="Note 2 2 4 2 5" xfId="599"/>
    <cellStyle name="Calculation 2 2 4 10" xfId="600"/>
    <cellStyle name="Output 2 2 5 3 8" xfId="601"/>
    <cellStyle name="Note 2 2 6 8" xfId="602"/>
    <cellStyle name="Note 2 2 2 10" xfId="603"/>
    <cellStyle name="Output 2 2 6 8" xfId="604"/>
    <cellStyle name="Calculation 2 2 3 2 5" xfId="605"/>
    <cellStyle name="Input 2 2 3 2 5" xfId="606"/>
    <cellStyle name="Note 2 2 3 2 5" xfId="607"/>
    <cellStyle name="Output 2 2 3 2 5" xfId="608"/>
    <cellStyle name="Total 2 2 3 2 5" xfId="609"/>
    <cellStyle name="Total 2 2 4 3 5" xfId="610"/>
    <cellStyle name="Output 2 2 5 2 5" xfId="611"/>
    <cellStyle name="Output 2 2 4 3 5" xfId="612"/>
    <cellStyle name="Total 2 2 5 2 5" xfId="613"/>
    <cellStyle name="Input 2 2 4 3 5" xfId="614"/>
    <cellStyle name="Calculation 2 2 4 3 5" xfId="615"/>
    <cellStyle name="Calculation 2 2 2 3 5" xfId="616"/>
    <cellStyle name="Input 2 2 2 3 5" xfId="617"/>
    <cellStyle name="Note 2 2 2 3 5" xfId="618"/>
    <cellStyle name="Output 2 2 2 3 5" xfId="619"/>
    <cellStyle name="Total 2 2 2 3 5" xfId="620"/>
    <cellStyle name="Note 2 2 4 3 5" xfId="621"/>
    <cellStyle name="Calculation 2 2 3 3 5" xfId="622"/>
    <cellStyle name="Input 2 2 3 3 5" xfId="623"/>
    <cellStyle name="Note 2 2 3 3 5" xfId="624"/>
    <cellStyle name="Output 2 2 3 3 5" xfId="625"/>
    <cellStyle name="Total 2 2 3 3 5" xfId="626"/>
    <cellStyle name="Calculation 2 2 5 2 5" xfId="627"/>
    <cellStyle name="Input 2 2 5 2 5" xfId="628"/>
    <cellStyle name="Note 2 2 5 2 5" xfId="629"/>
    <cellStyle name="Total 2 2 4 4 5" xfId="630"/>
    <cellStyle name="Output 2 2 5 3 5" xfId="631"/>
    <cellStyle name="Output 2 2 4 4 5" xfId="632"/>
    <cellStyle name="Total 2 2 5 3 5" xfId="633"/>
    <cellStyle name="Input 2 2 4 4 5" xfId="634"/>
    <cellStyle name="Calculation 2 2 4 4 5" xfId="635"/>
    <cellStyle name="Calculation 2 2 2 4 5" xfId="636"/>
    <cellStyle name="Input 2 2 2 4 5" xfId="637"/>
    <cellStyle name="Note 2 2 2 4 5" xfId="638"/>
    <cellStyle name="Output 2 2 2 4 5" xfId="639"/>
    <cellStyle name="Total 2 2 2 4 5" xfId="640"/>
    <cellStyle name="Note 2 2 4 4 5" xfId="641"/>
    <cellStyle name="Calculation 2 2 3 4 5" xfId="642"/>
    <cellStyle name="Input 2 2 3 4 5" xfId="643"/>
    <cellStyle name="Note 2 2 3 4 5" xfId="644"/>
    <cellStyle name="Output 2 2 3 4 5" xfId="645"/>
    <cellStyle name="Total 2 2 3 4 5" xfId="646"/>
    <cellStyle name="Calculation 2 2 5 3 5" xfId="647"/>
    <cellStyle name="Input 2 2 5 3 5" xfId="648"/>
    <cellStyle name="Note 2 2 5 3 5" xfId="649"/>
    <cellStyle name="Output 2 2 2 10" xfId="650"/>
    <cellStyle name="Note 2 2 4 10" xfId="651"/>
    <cellStyle name="Output 2 2 6 6" xfId="652"/>
    <cellStyle name="Note 2 2 6 6" xfId="653"/>
    <cellStyle name="Input 2 2 6 6" xfId="654"/>
    <cellStyle name="Calculation 2 2 6 6" xfId="655"/>
    <cellStyle name="Total 2 3 6" xfId="656"/>
    <cellStyle name="Output 2 3 6" xfId="657"/>
    <cellStyle name="Note 2 3 6" xfId="658"/>
    <cellStyle name="Calculation 2 3 6" xfId="659"/>
    <cellStyle name="Input 2 2 4 2 8" xfId="660"/>
    <cellStyle name="Input 2 2 3 11" xfId="661"/>
    <cellStyle name="Input 2 3 6" xfId="662"/>
    <cellStyle name="Total 2 2 4 2 6" xfId="663"/>
    <cellStyle name="Total 2 2 5 11" xfId="664"/>
    <cellStyle name="Output 2 2 4 2 6" xfId="665"/>
    <cellStyle name="Input 2 2 4 2 6" xfId="666"/>
    <cellStyle name="Calculation 2 2 4 3 8" xfId="667"/>
    <cellStyle name="Calculation 2 2 4 2 6" xfId="668"/>
    <cellStyle name="Input 2 2 2 3 8" xfId="669"/>
    <cellStyle name="Calculation 2 2 2 2 6" xfId="670"/>
    <cellStyle name="Input 2 2 2 2 6" xfId="671"/>
    <cellStyle name="Note 2 2 2 2 6" xfId="672"/>
    <cellStyle name="Output 2 2 2 2 6" xfId="673"/>
    <cellStyle name="Total 2 2 2 2 6" xfId="674"/>
    <cellStyle name="Note 2 2 4 2 6" xfId="675"/>
    <cellStyle name="Input 2 2 2 12" xfId="676"/>
    <cellStyle name="Calculation 2 6" xfId="677"/>
    <cellStyle name="Note 2 2 4 11" xfId="678"/>
    <cellStyle name="Total 2 2 3 11" xfId="679"/>
    <cellStyle name="Calculation 2 2 3 2 6" xfId="680"/>
    <cellStyle name="Input 2 2 3 2 6" xfId="681"/>
    <cellStyle name="Note 2 2 3 2 6" xfId="682"/>
    <cellStyle name="Output 2 2 3 2 6" xfId="683"/>
    <cellStyle name="Total 2 2 3 2 6" xfId="684"/>
    <cellStyle name="Total 2 2 4 3 6" xfId="685"/>
    <cellStyle name="Output 2 2 5 2 6" xfId="686"/>
    <cellStyle name="Output 2 2 4 3 6" xfId="687"/>
    <cellStyle name="Total 2 2 5 2 6" xfId="688"/>
    <cellStyle name="Input 2 2 4 3 6" xfId="689"/>
    <cellStyle name="Calculation 2 2 4 3 6" xfId="690"/>
    <cellStyle name="Calculation 2 2 2 3 6" xfId="691"/>
    <cellStyle name="Input 2 2 2 3 6" xfId="692"/>
    <cellStyle name="Note 2 2 2 3 6" xfId="693"/>
    <cellStyle name="Output 2 2 2 3 6" xfId="694"/>
    <cellStyle name="Total 2 2 2 3 6" xfId="695"/>
    <cellStyle name="Note 2 2 4 3 6" xfId="696"/>
    <cellStyle name="Calculation 2 2 3 3 6" xfId="697"/>
    <cellStyle name="Input 2 2 3 3 6" xfId="698"/>
    <cellStyle name="Note 2 2 3 3 6" xfId="699"/>
    <cellStyle name="Output 2 2 3 3 6" xfId="700"/>
    <cellStyle name="Total 2 2 3 3 6" xfId="701"/>
    <cellStyle name="Calculation 2 2 5 2 6" xfId="702"/>
    <cellStyle name="Input 2 2 5 2 6" xfId="703"/>
    <cellStyle name="Note 2 2 5 2 6" xfId="704"/>
    <cellStyle name="Total 2 2 4 4 6" xfId="705"/>
    <cellStyle name="Output 2 2 5 3 6" xfId="706"/>
    <cellStyle name="Output 2 2 4 4 6" xfId="707"/>
    <cellStyle name="Total 2 2 5 3 6" xfId="708"/>
    <cellStyle name="Input 2 2 4 4 6" xfId="709"/>
    <cellStyle name="Calculation 2 2 4 4 6" xfId="710"/>
    <cellStyle name="Calculation 2 2 2 4 6" xfId="711"/>
    <cellStyle name="Input 2 2 2 4 6" xfId="712"/>
    <cellStyle name="Note 2 2 2 4 6" xfId="713"/>
    <cellStyle name="Output 2 2 2 4 6" xfId="714"/>
    <cellStyle name="Total 2 2 2 4 6" xfId="715"/>
    <cellStyle name="Note 2 2 4 4 6" xfId="716"/>
    <cellStyle name="Calculation 2 2 3 4 6" xfId="717"/>
    <cellStyle name="Input 2 2 3 4 6" xfId="718"/>
    <cellStyle name="Note 2 2 3 4 6" xfId="719"/>
    <cellStyle name="Output 2 2 3 4 6" xfId="720"/>
    <cellStyle name="Total 2 2 3 4 6" xfId="721"/>
    <cellStyle name="Calculation 2 2 5 3 6" xfId="722"/>
    <cellStyle name="Input 2 2 5 3 6" xfId="723"/>
    <cellStyle name="Note 2 2 5 3 6" xfId="724"/>
    <cellStyle name="Total 2 2 2 11" xfId="725"/>
    <cellStyle name="Output 2 2 11" xfId="726"/>
    <cellStyle name="Input 2 2 5 9" xfId="727"/>
    <cellStyle name="Note 2 2 5 9" xfId="728"/>
    <cellStyle name="Calculation 2 2 2 12" xfId="729"/>
    <cellStyle name="Total 2 2 6 7" xfId="730"/>
    <cellStyle name="Output 2 2 6 7" xfId="731"/>
    <cellStyle name="Note 2 2 6 7" xfId="732"/>
    <cellStyle name="Input 2 2 6 7" xfId="733"/>
    <cellStyle name="Calculation 2 2 6 7" xfId="734"/>
    <cellStyle name="Total 2 3 7" xfId="735"/>
    <cellStyle name="Output 2 3 7" xfId="736"/>
    <cellStyle name="Note 2 3 7" xfId="737"/>
    <cellStyle name="Calculation 2 3 7" xfId="738"/>
    <cellStyle name="Note 2 2 2 2 8" xfId="739"/>
    <cellStyle name="Total 2 2 2 3 8" xfId="740"/>
    <cellStyle name="Input 2 2 4 11" xfId="741"/>
    <cellStyle name="Input 2 3 7" xfId="742"/>
    <cellStyle name="Total 2 3 8" xfId="743"/>
    <cellStyle name="Note 2 2 3 3 8" xfId="744"/>
    <cellStyle name="Note 2 2 5 2 8" xfId="745"/>
    <cellStyle name="Input 2 2 4 4 8" xfId="746"/>
    <cellStyle name="Total 2 2 4 2 7" xfId="747"/>
    <cellStyle name="Total 2 6" xfId="748"/>
    <cellStyle name="Output 2 2 4 2 7" xfId="749"/>
    <cellStyle name="Input 2 2 4 2 7" xfId="750"/>
    <cellStyle name="Input 2 2 2 2 8" xfId="751"/>
    <cellStyle name="Output 2 2 2 3 8" xfId="752"/>
    <cellStyle name="Calculation 2 2 4 2 7" xfId="753"/>
    <cellStyle name="Calculation 2 2 4 11" xfId="754"/>
    <cellStyle name="Calculation 2 2 2 2 7" xfId="755"/>
    <cellStyle name="Input 2 2 2 2 7" xfId="756"/>
    <cellStyle name="Note 2 2 2 2 7" xfId="757"/>
    <cellStyle name="Output 2 2 2 2 7" xfId="758"/>
    <cellStyle name="Total 2 2 2 2 7" xfId="759"/>
    <cellStyle name="Note 2 2 4 2 7" xfId="760"/>
    <cellStyle name="Calculation 2 2 6 8" xfId="761"/>
    <cellStyle name="Input 2 2 3 3 8" xfId="762"/>
    <cellStyle name="Calculation 2 2 4 2 8" xfId="763"/>
    <cellStyle name="Calculation 2 2 5 2 8" xfId="764"/>
    <cellStyle name="Total 2 2 5 3 8" xfId="765"/>
    <cellStyle name="Calculation 2 2 3 2 7" xfId="766"/>
    <cellStyle name="Input 2 2 3 2 7" xfId="767"/>
    <cellStyle name="Note 2 2 3 2 7" xfId="768"/>
    <cellStyle name="Output 2 2 3 2 7" xfId="769"/>
    <cellStyle name="Total 2 2 3 2 7" xfId="770"/>
    <cellStyle name="Total 2 2 4 3 7" xfId="771"/>
    <cellStyle name="Output 2 2 5 2 7" xfId="772"/>
    <cellStyle name="Output 2 2 4 3 7" xfId="773"/>
    <cellStyle name="Total 2 2 5 2 7" xfId="774"/>
    <cellStyle name="Input 2 2 4 3 7" xfId="775"/>
    <cellStyle name="Calculation 2 2 4 3 7" xfId="776"/>
    <cellStyle name="Calculation 2 2 2 3 7" xfId="777"/>
    <cellStyle name="Input 2 2 2 3 7" xfId="778"/>
    <cellStyle name="Note 2 2 2 3 7" xfId="779"/>
    <cellStyle name="Output 2 2 2 3 7" xfId="780"/>
    <cellStyle name="Total 2 2 2 3 7" xfId="781"/>
    <cellStyle name="Note 2 2 4 3 7" xfId="782"/>
    <cellStyle name="Calculation 2 2 3 3 7" xfId="783"/>
    <cellStyle name="Input 2 2 3 3 7" xfId="784"/>
    <cellStyle name="Note 2 2 3 3 7" xfId="785"/>
    <cellStyle name="Output 2 2 3 3 7" xfId="786"/>
    <cellStyle name="Total 2 2 3 3 7" xfId="787"/>
    <cellStyle name="Calculation 2 2 5 2 7" xfId="788"/>
    <cellStyle name="Input 2 2 5 2 7" xfId="789"/>
    <cellStyle name="Note 2 2 5 2 7" xfId="790"/>
    <cellStyle name="Total 2 2 4 4 7" xfId="791"/>
    <cellStyle name="Output 2 2 5 3 7" xfId="792"/>
    <cellStyle name="Output 2 2 4 4 7" xfId="793"/>
    <cellStyle name="Total 2 2 5 3 7" xfId="794"/>
    <cellStyle name="Input 2 2 4 4 7" xfId="795"/>
    <cellStyle name="Calculation 2 2 4 4 7" xfId="796"/>
    <cellStyle name="Calculation 2 2 2 4 7" xfId="797"/>
    <cellStyle name="Input 2 2 2 4 7" xfId="798"/>
    <cellStyle name="Note 2 2 2 4 7" xfId="799"/>
    <cellStyle name="Output 2 2 2 4 7" xfId="800"/>
    <cellStyle name="Total 2 2 2 4 7" xfId="801"/>
    <cellStyle name="Note 2 2 4 4 7" xfId="802"/>
    <cellStyle name="Calculation 2 2 3 4 7" xfId="803"/>
    <cellStyle name="Input 2 2 3 4 7" xfId="804"/>
    <cellStyle name="Note 2 2 3 4 7" xfId="805"/>
    <cellStyle name="Output 2 2 3 4 7" xfId="806"/>
    <cellStyle name="Total 2 2 3 4 7" xfId="807"/>
    <cellStyle name="Calculation 2 2 5 3 7" xfId="808"/>
    <cellStyle name="Input 2 2 5 3 7" xfId="809"/>
    <cellStyle name="Note 2 2 5 3 7" xfId="810"/>
    <cellStyle name="Input 2 2 5 2 8" xfId="811"/>
    <cellStyle name="Total 2 2 4 4 8" xfId="812"/>
    <cellStyle name="Output 2 2 5 11" xfId="813"/>
    <cellStyle name="Note 2 7" xfId="814"/>
    <cellStyle name="Note 2 3 8" xfId="815"/>
    <cellStyle name="Output 2 2 4 12" xfId="816"/>
    <cellStyle name="Output 2 2 5 10" xfId="817"/>
    <cellStyle name="Input 2 2 5 10" xfId="818"/>
    <cellStyle name="Output 2 3 8" xfId="819"/>
    <cellStyle name="Note 2 2 3 11" xfId="820"/>
    <cellStyle name="Note 2 2 2 11" xfId="821"/>
    <cellStyle name="Input 2 2 11" xfId="822"/>
    <cellStyle name="Calculation 2 2 3 11" xfId="823"/>
    <cellStyle name="Calculation 2 7" xfId="824"/>
    <cellStyle name="Calculation 2 2 2 11" xfId="825"/>
    <cellStyle name="Output 2 2 4 11" xfId="826"/>
    <cellStyle name="Input 2 2 3 2 8" xfId="827"/>
    <cellStyle name="Note 2 2 5 10" xfId="828"/>
    <cellStyle name="Input 2 2 4 3 8" xfId="829"/>
    <cellStyle name="Output 2 2 4 2 8" xfId="830"/>
    <cellStyle name="Input 2 7" xfId="831"/>
    <cellStyle name="Note 2 2 2 12" xfId="832"/>
    <cellStyle name="Output 2 2 3 11" xfId="833"/>
    <cellStyle name="Output 2 2 2 11" xfId="834"/>
    <cellStyle name="Note 2 2 11" xfId="835"/>
    <cellStyle name="Total 2 2 4 3 8" xfId="836"/>
    <cellStyle name="Total 2 2 4 12" xfId="837"/>
    <cellStyle name="Input 2 3 8" xfId="838"/>
    <cellStyle name="Calculation 2 2 3 2 8" xfId="839"/>
    <cellStyle name="Total 2 2 5 2 8" xfId="840"/>
    <cellStyle name="Output 2 2 2 12" xfId="841"/>
    <cellStyle name="Total 2 2 3 2 8" xfId="842"/>
    <cellStyle name="Output 2 2 4 3 8" xfId="843"/>
    <cellStyle name="Total 2 2 4 2 8" xfId="844"/>
    <cellStyle name="Total 2 2 2 12" xfId="845"/>
    <cellStyle name="Total 2 7" xfId="846"/>
    <cellStyle name="Output 2 2 3 2 8" xfId="847"/>
    <cellStyle name="Calculation 2 3 8" xfId="848"/>
    <cellStyle name="Output 2 7" xfId="849"/>
    <cellStyle name="Total 2 2 11" xfId="850"/>
    <cellStyle name="Note 2 2 4 4 8" xfId="851"/>
    <cellStyle name="Calculation 2 2 3 4 8" xfId="852"/>
    <cellStyle name="Input 2 2 3 4 8" xfId="853"/>
    <cellStyle name="Note 2 2 3 4 8" xfId="854"/>
    <cellStyle name="Output 2 2 3 4 8" xfId="855"/>
    <cellStyle name="Total 2 2 3 4 8" xfId="856"/>
    <cellStyle name="Calculation 2 2 5 3 8" xfId="857"/>
    <cellStyle name="Input 2 2 5 3 8" xfId="858"/>
    <cellStyle name="Note 2 2 5 3 8" xfId="859"/>
    <cellStyle name="Calculation 2 2 3 12" xfId="860"/>
    <cellStyle name="Input 2 2 3 12" xfId="861"/>
    <cellStyle name="Note 2 2 3 12" xfId="862"/>
    <cellStyle name="Output 2 2 3 12" xfId="863"/>
    <cellStyle name="Total 2 2 3 12" xfId="864"/>
    <cellStyle name="Calculation 2 2 5 11" xfId="865"/>
    <cellStyle name="Input 2 2 5 11" xfId="866"/>
    <cellStyle name="Note 2 2 5 11" xfId="867"/>
    <cellStyle name="Total 2 2 6 9" xfId="868"/>
    <cellStyle name="Output 2 2 6 9" xfId="869"/>
    <cellStyle name="Note 2 2 6 9" xfId="870"/>
    <cellStyle name="Input 2 2 6 9" xfId="871"/>
    <cellStyle name="Calculation 2 2 6 9" xfId="872"/>
    <cellStyle name="Total 2 3 9" xfId="873"/>
    <cellStyle name="Output 2 3 9" xfId="874"/>
    <cellStyle name="Note 2 3 9" xfId="875"/>
    <cellStyle name="Calculation 2 3 9" xfId="876"/>
    <cellStyle name="Input 2 3 9" xfId="877"/>
    <cellStyle name="Total 2 2 4 2 9" xfId="878"/>
    <cellStyle name="Output 2 2 4 2 9" xfId="879"/>
    <cellStyle name="Input 2 2 4 2 9" xfId="880"/>
    <cellStyle name="Calculation 2 2 4 2 9" xfId="881"/>
    <cellStyle name="Calculation 2 2 2 2 9" xfId="882"/>
    <cellStyle name="Input 2 2 2 2 9" xfId="883"/>
    <cellStyle name="Note 2 2 2 2 9" xfId="884"/>
    <cellStyle name="Output 2 2 2 2 9" xfId="885"/>
    <cellStyle name="Total 2 2 2 2 9" xfId="886"/>
    <cellStyle name="Note 2 2 4 2 9" xfId="887"/>
    <cellStyle name="Calculation 2 2 3 2 9" xfId="888"/>
    <cellStyle name="Input 2 2 3 2 9" xfId="889"/>
    <cellStyle name="Note 2 2 3 2 9" xfId="890"/>
    <cellStyle name="Output 2 2 3 2 9" xfId="891"/>
    <cellStyle name="Total 2 2 3 2 9" xfId="892"/>
    <cellStyle name="Total 2 2 4 3 9" xfId="893"/>
    <cellStyle name="Output 2 2 5 2 9" xfId="894"/>
    <cellStyle name="Output 2 2 4 3 9" xfId="895"/>
    <cellStyle name="Total 2 2 5 2 9" xfId="896"/>
    <cellStyle name="Input 2 2 4 3 9" xfId="897"/>
    <cellStyle name="Calculation 2 2 4 3 9" xfId="898"/>
    <cellStyle name="Calculation 2 2 2 3 9" xfId="899"/>
    <cellStyle name="Input 2 2 2 3 9" xfId="900"/>
    <cellStyle name="Note 2 2 2 3 9" xfId="901"/>
    <cellStyle name="Output 2 2 2 3 9" xfId="902"/>
    <cellStyle name="Total 2 2 2 3 9" xfId="903"/>
    <cellStyle name="Note 2 2 4 3 9" xfId="904"/>
    <cellStyle name="Calculation 2 2 3 3 9" xfId="905"/>
    <cellStyle name="Input 2 2 3 3 9" xfId="906"/>
    <cellStyle name="Note 2 2 3 3 9" xfId="907"/>
    <cellStyle name="Output 2 2 3 3 9" xfId="908"/>
    <cellStyle name="Total 2 2 3 3 9" xfId="909"/>
    <cellStyle name="Calculation 2 2 5 2 9" xfId="910"/>
    <cellStyle name="Input 2 2 5 2 9" xfId="911"/>
    <cellStyle name="Note 2 2 5 2 9" xfId="912"/>
    <cellStyle name="Total 2 2 4 4 9" xfId="913"/>
    <cellStyle name="Output 2 2 5 3 9" xfId="914"/>
    <cellStyle name="Output 2 2 4 4 9" xfId="915"/>
    <cellStyle name="Total 2 2 5 3 9" xfId="916"/>
    <cellStyle name="Input 2 2 4 4 9" xfId="917"/>
    <cellStyle name="Calculation 2 2 4 4 9" xfId="918"/>
    <cellStyle name="Calculation 2 2 2 4 9" xfId="919"/>
    <cellStyle name="Input 2 2 2 4 9" xfId="920"/>
    <cellStyle name="Note 2 2 2 4 9" xfId="921"/>
    <cellStyle name="Output 2 2 2 4 9" xfId="922"/>
    <cellStyle name="Total 2 2 2 4 9" xfId="923"/>
    <cellStyle name="Note 2 2 4 4 9" xfId="924"/>
    <cellStyle name="Calculation 2 2 3 4 9" xfId="925"/>
    <cellStyle name="Input 2 2 3 4 9" xfId="926"/>
    <cellStyle name="Note 2 2 3 4 9" xfId="927"/>
    <cellStyle name="Output 2 2 3 4 9" xfId="928"/>
    <cellStyle name="Total 2 2 3 4 9" xfId="929"/>
    <cellStyle name="Calculation 2 2 5 3 9" xfId="930"/>
    <cellStyle name="Input 2 2 5 3 9" xfId="931"/>
    <cellStyle name="Note 2 2 5 3 9" xfId="932"/>
    <cellStyle name="Calculation 2 2 6 10" xfId="933"/>
    <cellStyle name="Note 2 2 4 4 12" xfId="934"/>
    <cellStyle name="Output 2 2 3 4 12" xfId="935"/>
    <cellStyle name="Output 2 2 6 10" xfId="936"/>
    <cellStyle name="Input 2 2 6 10" xfId="937"/>
    <cellStyle name="Output 2 2 3 4 10" xfId="938"/>
    <cellStyle name="Note 2 2 3 4 10" xfId="939"/>
    <cellStyle name="Input 2 2 3 4 10" xfId="940"/>
    <cellStyle name="Calculation 2 2 3 4 10" xfId="941"/>
    <cellStyle name="Note 2 2 4 4 10" xfId="942"/>
    <cellStyle name="Total 2 2 2 4 10" xfId="943"/>
    <cellStyle name="Output 2 2 2 4 10" xfId="944"/>
    <cellStyle name="Note 2 2 2 4 10" xfId="945"/>
    <cellStyle name="Input 2 2 2 4 10" xfId="946"/>
    <cellStyle name="Calculation 2 2 2 4 10" xfId="947"/>
    <cellStyle name="Calculation 2 2 4 4 10" xfId="948"/>
    <cellStyle name="Input 2 2 4 4 10" xfId="949"/>
    <cellStyle name="Total 2 2 5 3 10" xfId="950"/>
    <cellStyle name="Output 2 2 4 4 10" xfId="951"/>
    <cellStyle name="Output 2 2 5 3 10" xfId="952"/>
    <cellStyle name="Total 2 2 4 4 10" xfId="953"/>
    <cellStyle name="Note 2 2 5 2 10" xfId="954"/>
    <cellStyle name="Input 2 2 5 2 10" xfId="955"/>
    <cellStyle name="Calculation 2 2 5 2 10" xfId="956"/>
    <cellStyle name="Total 2 2 3 3 10" xfId="957"/>
    <cellStyle name="Output 2 2 3 3 10" xfId="958"/>
    <cellStyle name="Note 2 2 3 3 10" xfId="959"/>
    <cellStyle name="Input 2 2 3 3 10" xfId="960"/>
    <cellStyle name="Calculation 2 2 3 3 10" xfId="961"/>
    <cellStyle name="Note 2 2 4 3 10" xfId="962"/>
    <cellStyle name="Total 2 2 2 3 10" xfId="963"/>
    <cellStyle name="Note 2 2 4 2 10" xfId="964"/>
    <cellStyle name="Total 2 2 2 2 10" xfId="965"/>
    <cellStyle name="Output 2 2 2 2 10" xfId="966"/>
    <cellStyle name="Note 2 2 2 2 10" xfId="967"/>
    <cellStyle name="Input 2 2 2 2 10" xfId="968"/>
    <cellStyle name="Calculation 2 2 2 2 10" xfId="969"/>
    <cellStyle name="Calculation 2 2 4 2 10" xfId="970"/>
    <cellStyle name="Output 2 3 10" xfId="971"/>
    <cellStyle name="Total 2 3 10" xfId="972"/>
    <cellStyle name="Calculation 2 2 4 4 12" xfId="973"/>
    <cellStyle name="Input 2 2 3 14" xfId="974"/>
    <cellStyle name="Note 2 2 3 14" xfId="975"/>
    <cellStyle name="Calculation 2 2 4 13" xfId="976"/>
    <cellStyle name="Calculation 2 2 2 2 12" xfId="977"/>
    <cellStyle name="Note 2 2 6 10" xfId="978"/>
    <cellStyle name="Total 2 2 2 16" xfId="979"/>
    <cellStyle name="Input 2 2 3 3 12" xfId="980"/>
    <cellStyle name="Calculation 2 2 3 14" xfId="981"/>
    <cellStyle name="Total 2 3 12" xfId="982"/>
    <cellStyle name="Total 2 2 6 10" xfId="983"/>
    <cellStyle name="Output 2 2 2 3 10" xfId="984"/>
    <cellStyle name="Output 2 2 5 14" xfId="985"/>
    <cellStyle name="Input 2 2 4 14" xfId="986"/>
    <cellStyle name="Calculation 2 2 5 2 12" xfId="987"/>
    <cellStyle name="Output 2 2 3 14" xfId="988"/>
    <cellStyle name="Total 2 2 4 2 12" xfId="989"/>
    <cellStyle name="Output 2 2 5 12" xfId="990"/>
    <cellStyle name="Input 2 2 5 12" xfId="991"/>
    <cellStyle name="Output 2 2 3 15" xfId="992"/>
    <cellStyle name="Note 2 2 2 15" xfId="993"/>
    <cellStyle name="Note 2 2 3 13" xfId="994"/>
    <cellStyle name="Note 2 2 2 14" xfId="995"/>
    <cellStyle name="Calculation 2 2 4 14" xfId="996"/>
    <cellStyle name="Note 2 2 2 13" xfId="997"/>
    <cellStyle name="Input 2 2 4 13" xfId="998"/>
    <cellStyle name="Total 2 2 4 3 10" xfId="999"/>
    <cellStyle name="Note 2 2 2 3 10" xfId="1000"/>
    <cellStyle name="Input 2 2 2 2 12" xfId="1001"/>
    <cellStyle name="Total 2 2 3 3 12" xfId="1002"/>
    <cellStyle name="Total 2 2 3 14" xfId="1003"/>
    <cellStyle name="Input 2 2 2 15" xfId="1004"/>
    <cellStyle name="Output 2 2 2 15" xfId="1005"/>
    <cellStyle name="Input 2 2 4 4 12" xfId="1006"/>
    <cellStyle name="Calculation 2 2 5 12" xfId="1007"/>
    <cellStyle name="Note 2 2 4 13" xfId="1008"/>
    <cellStyle name="Total 2 8" xfId="1009"/>
    <cellStyle name="Input 2 2 4 3 10" xfId="1010"/>
    <cellStyle name="Total 2 2 4 2 10" xfId="1011"/>
    <cellStyle name="Total 2 2 6 12" xfId="1012"/>
    <cellStyle name="Note 2 2 4 2 12" xfId="1013"/>
    <cellStyle name="Input 2 2 3 2 10" xfId="1014"/>
    <cellStyle name="Total 2 2 5 3 12" xfId="1015"/>
    <cellStyle name="Calculation 2 2 3 13" xfId="1016"/>
    <cellStyle name="Note 2 2 4 14" xfId="1017"/>
    <cellStyle name="Calculation 2 3 10" xfId="1018"/>
    <cellStyle name="Calculation 2 2 3 2 12" xfId="1019"/>
    <cellStyle name="Calculation 2 2 2 13" xfId="1020"/>
    <cellStyle name="Output 2 2 4 13" xfId="1021"/>
    <cellStyle name="Note 2 2 5 12" xfId="1022"/>
    <cellStyle name="Note 2 3 10" xfId="1023"/>
    <cellStyle name="Input 2 2 5 14" xfId="1024"/>
    <cellStyle name="Calculation 2 2 3 3 12" xfId="1025"/>
    <cellStyle name="Output 2 2 3 13" xfId="1026"/>
    <cellStyle name="Output 2 2 2 13" xfId="1027"/>
    <cellStyle name="Output 2 2 4 14" xfId="1028"/>
    <cellStyle name="Input 2 2 3 13" xfId="1029"/>
    <cellStyle name="Note 2 2 4 16" xfId="1030"/>
    <cellStyle name="Output 2 2 5 15" xfId="1031"/>
    <cellStyle name="Input 2 2 2 13" xfId="1032"/>
    <cellStyle name="Total 2 2 5 12" xfId="1033"/>
    <cellStyle name="Total 2 2 3 2 10" xfId="1034"/>
    <cellStyle name="Total 2 2 2 4 12" xfId="1035"/>
    <cellStyle name="Input 2 2 2 3 10" xfId="1036"/>
    <cellStyle name="Input 2 2 4 2 10" xfId="1037"/>
    <cellStyle name="Note 2 2 3 4 12" xfId="1038"/>
    <cellStyle name="Calculation 2 2 5 13" xfId="1039"/>
    <cellStyle name="Total 2 2 4 13" xfId="1040"/>
    <cellStyle name="Total 2 2 3 13" xfId="1041"/>
    <cellStyle name="Total 2 2 2 13" xfId="1042"/>
    <cellStyle name="Calculation 2 2 2 4 12" xfId="1043"/>
    <cellStyle name="Input 2 2 4 15" xfId="1044"/>
    <cellStyle name="Total 2 2 5 2 10" xfId="1045"/>
    <cellStyle name="Output 2 2 5 13" xfId="1046"/>
    <cellStyle name="Total 2 2 5 13" xfId="1047"/>
    <cellStyle name="Output 2 2 2 14" xfId="1048"/>
    <cellStyle name="Calculation 2 2 2 14" xfId="1049"/>
    <cellStyle name="Output 2 3 12" xfId="1050"/>
    <cellStyle name="Output 2 2 3 2 10" xfId="1051"/>
    <cellStyle name="Calculation 2 2 2 3 10" xfId="1052"/>
    <cellStyle name="Output 2 2 4 2 10" xfId="1053"/>
    <cellStyle name="Note 2 3 12" xfId="1054"/>
    <cellStyle name="Input 2 2 5 13" xfId="1055"/>
    <cellStyle name="Output 2 2 4 3 10" xfId="1056"/>
    <cellStyle name="Input 2 2 4 3 12" xfId="1057"/>
    <cellStyle name="Calculation 2 2 2 15" xfId="1058"/>
    <cellStyle name="Total 2 2 4 4 12" xfId="1059"/>
    <cellStyle name="Calculation 2 3 12" xfId="1060"/>
    <cellStyle name="Calculation 2 2 3 2 10" xfId="1061"/>
    <cellStyle name="Input 2 2 3 15" xfId="1062"/>
    <cellStyle name="Total 2 2 2 14" xfId="1063"/>
    <cellStyle name="Input 2 2 2 14" xfId="1064"/>
    <cellStyle name="Input 2 3 10" xfId="1065"/>
    <cellStyle name="Note 2 2 3 2 10" xfId="1066"/>
    <cellStyle name="Calculation 2 2 4 3 10" xfId="1067"/>
    <cellStyle name="Total 2 2 4 14" xfId="1068"/>
    <cellStyle name="Note 2 2 5 13" xfId="1069"/>
    <cellStyle name="Calculation 2 2 3 16" xfId="1070"/>
    <cellStyle name="Output 2 2 5 2 10" xfId="1071"/>
    <cellStyle name="Calculation 2 2 6 12" xfId="1072"/>
    <cellStyle name="Input 2 2 2 4 12" xfId="1073"/>
    <cellStyle name="Note 2 2 3 15" xfId="1074"/>
    <cellStyle name="Input 2 2 3 16" xfId="1075"/>
    <cellStyle name="Total 2 2 3 4 10" xfId="1076"/>
    <cellStyle name="Calculation 2 2 5 3 10" xfId="1077"/>
    <cellStyle name="Input 2 2 5 3 10" xfId="1078"/>
    <cellStyle name="Note 2 2 5 3 10" xfId="1079"/>
    <cellStyle name="Calculation 2 2 12" xfId="1080"/>
    <cellStyle name="Input 2 2 6 12" xfId="1081"/>
    <cellStyle name="Total 2 2 6 11" xfId="1082"/>
    <cellStyle name="Output 2 2 6 11" xfId="1083"/>
    <cellStyle name="Note 2 2 6 11" xfId="1084"/>
    <cellStyle name="Input 2 2 6 11" xfId="1085"/>
    <cellStyle name="Calculation 2 2 6 11" xfId="1086"/>
    <cellStyle name="Total 2 3 11" xfId="1087"/>
    <cellStyle name="Output 2 3 11" xfId="1088"/>
    <cellStyle name="Note 2 3 11" xfId="1089"/>
    <cellStyle name="Calculation 2 3 11" xfId="1090"/>
    <cellStyle name="Output 2 2 4 4 12" xfId="1091"/>
    <cellStyle name="Output 2 2 2 4 12" xfId="1092"/>
    <cellStyle name="Input 2 3 11" xfId="1093"/>
    <cellStyle name="Output 2 2 3 3 12" xfId="1094"/>
    <cellStyle name="Input 2 2 3 4 12" xfId="1095"/>
    <cellStyle name="Total 2 2 2 2 12" xfId="1096"/>
    <cellStyle name="Note 2 2 5 2 12" xfId="1097"/>
    <cellStyle name="Input 2 2 5 3 12" xfId="1098"/>
    <cellStyle name="Total 2 2 4 2 11" xfId="1099"/>
    <cellStyle name="Output 2 2 4 2 11" xfId="1100"/>
    <cellStyle name="Input 2 2 4 2 11" xfId="1101"/>
    <cellStyle name="Output 2 2 5 3 12" xfId="1102"/>
    <cellStyle name="Note 2 2 2 4 12" xfId="1103"/>
    <cellStyle name="Calculation 2 2 4 2 11" xfId="1104"/>
    <cellStyle name="Calculation 2 2 2 2 11" xfId="1105"/>
    <cellStyle name="Input 2 2 2 2 11" xfId="1106"/>
    <cellStyle name="Note 2 2 2 2 11" xfId="1107"/>
    <cellStyle name="Output 2 2 2 2 11" xfId="1108"/>
    <cellStyle name="Total 2 2 2 2 11" xfId="1109"/>
    <cellStyle name="Note 2 2 4 2 11" xfId="1110"/>
    <cellStyle name="Note 2 2 3 3 12" xfId="1111"/>
    <cellStyle name="Calculation 2 2 3 4 12" xfId="1112"/>
    <cellStyle name="Note 2 2 2 2 12" xfId="1113"/>
    <cellStyle name="Input 2 2 5 2 12" xfId="1114"/>
    <cellStyle name="Total 2 2 3 4 12" xfId="1115"/>
    <cellStyle name="Calculation 2 2 3 2 11" xfId="1116"/>
    <cellStyle name="Input 2 2 3 2 11" xfId="1117"/>
    <cellStyle name="Note 2 2 3 2 11" xfId="1118"/>
    <cellStyle name="Output 2 2 3 2 11" xfId="1119"/>
    <cellStyle name="Total 2 2 3 2 11" xfId="1120"/>
    <cellStyle name="Total 2 2 4 3 11" xfId="1121"/>
    <cellStyle name="Output 2 2 5 2 11" xfId="1122"/>
    <cellStyle name="Output 2 2 4 3 11" xfId="1123"/>
    <cellStyle name="Total 2 2 5 2 11" xfId="1124"/>
    <cellStyle name="Input 2 2 4 3 11" xfId="1125"/>
    <cellStyle name="Calculation 2 2 4 3 11" xfId="1126"/>
    <cellStyle name="Calculation 2 2 2 3 11" xfId="1127"/>
    <cellStyle name="Input 2 2 2 3 11" xfId="1128"/>
    <cellStyle name="Note 2 2 2 3 11" xfId="1129"/>
    <cellStyle name="Output 2 2 2 3 11" xfId="1130"/>
    <cellStyle name="Total 2 2 2 3 11" xfId="1131"/>
    <cellStyle name="Note 2 2 4 3 11" xfId="1132"/>
    <cellStyle name="Calculation 2 2 3 3 11" xfId="1133"/>
    <cellStyle name="Input 2 2 3 3 11" xfId="1134"/>
    <cellStyle name="Note 2 2 3 3 11" xfId="1135"/>
    <cellStyle name="Output 2 2 3 3 11" xfId="1136"/>
    <cellStyle name="Total 2 2 3 3 11" xfId="1137"/>
    <cellStyle name="Calculation 2 2 5 2 11" xfId="1138"/>
    <cellStyle name="Input 2 2 5 2 11" xfId="1139"/>
    <cellStyle name="Note 2 2 5 2 11" xfId="1140"/>
    <cellStyle name="Total 2 2 4 4 11" xfId="1141"/>
    <cellStyle name="Output 2 2 5 3 11" xfId="1142"/>
    <cellStyle name="Output 2 2 4 4 11" xfId="1143"/>
    <cellStyle name="Total 2 2 5 3 11" xfId="1144"/>
    <cellStyle name="Input 2 2 4 4 11" xfId="1145"/>
    <cellStyle name="Calculation 2 2 4 4 11" xfId="1146"/>
    <cellStyle name="Calculation 2 2 2 4 11" xfId="1147"/>
    <cellStyle name="Input 2 2 2 4 11" xfId="1148"/>
    <cellStyle name="Note 2 2 2 4 11" xfId="1149"/>
    <cellStyle name="Output 2 2 2 4 11" xfId="1150"/>
    <cellStyle name="Total 2 2 2 4 11" xfId="1151"/>
    <cellStyle name="Note 2 2 4 4 11" xfId="1152"/>
    <cellStyle name="Calculation 2 2 3 4 11" xfId="1153"/>
    <cellStyle name="Input 2 2 3 4 11" xfId="1154"/>
    <cellStyle name="Note 2 2 3 4 11" xfId="1155"/>
    <cellStyle name="Output 2 2 3 4 11" xfId="1156"/>
    <cellStyle name="Total 2 2 3 4 11" xfId="1157"/>
    <cellStyle name="Calculation 2 2 5 3 11" xfId="1158"/>
    <cellStyle name="Input 2 2 5 3 11" xfId="1159"/>
    <cellStyle name="Note 2 2 5 3 11" xfId="1160"/>
    <cellStyle name="Calculation 2 2 5 3 12" xfId="1161"/>
    <cellStyle name="Note 2 2 5 3 12" xfId="1162"/>
    <cellStyle name="Note 2 2 2 3 12" xfId="1163"/>
    <cellStyle name="Calculation 2 2 5 15" xfId="1164"/>
    <cellStyle name="Total 2 2 4 3 12" xfId="1165"/>
    <cellStyle name="Note 2 2 12" xfId="1166"/>
    <cellStyle name="Output 2 2 2 2 12" xfId="1167"/>
    <cellStyle name="Total 2 2 3 15" xfId="1168"/>
    <cellStyle name="Note 2 2 2 16" xfId="1169"/>
    <cellStyle name="Input 2 3 12" xfId="1170"/>
    <cellStyle name="Note 2 2 3 2 12" xfId="1171"/>
    <cellStyle name="Output 2 2 2 16" xfId="1172"/>
    <cellStyle name="Input 2 2 3 2 12" xfId="1173"/>
    <cellStyle name="Total 2 2 2 15" xfId="1174"/>
    <cellStyle name="Output 2 2 6 12" xfId="1175"/>
    <cellStyle name="Output 2 2 4 15" xfId="1176"/>
    <cellStyle name="Note 2 2 5 14" xfId="1177"/>
    <cellStyle name="Total 2 2 6 13" xfId="1178"/>
    <cellStyle name="Calculation 2 2 5 14" xfId="1179"/>
    <cellStyle name="Input 2 2 4 16" xfId="1180"/>
    <cellStyle name="Note 2 2 4 15" xfId="1181"/>
    <cellStyle name="Calculation 2 2 4 15" xfId="1182"/>
    <cellStyle name="Total 2 2 5 2 12" xfId="1183"/>
    <cellStyle name="Note 2 2 6 12" xfId="1184"/>
    <cellStyle name="Note 2 2 4 3 12" xfId="1185"/>
    <cellStyle name="Note 2 2 3 16" xfId="1186"/>
    <cellStyle name="Output 2 2 4 16" xfId="1187"/>
    <cellStyle name="Calculation 2 2 3 15" xfId="1188"/>
    <cellStyle name="Total 2 2 5 14" xfId="1189"/>
    <cellStyle name="Calculation 2 8" xfId="1190"/>
    <cellStyle name="Total 2 2 4 15" xfId="1191"/>
    <cellStyle name="Input 2 2 2 3 12" xfId="1192"/>
    <cellStyle name="Input 2 2 4 2 12" xfId="1193"/>
    <cellStyle name="Output 2 2 12" xfId="1194"/>
    <cellStyle name="Input 2 2 5 15" xfId="1195"/>
    <cellStyle name="Calculation 2 2 2 16" xfId="1196"/>
    <cellStyle name="Total 2 2 5 15" xfId="1197"/>
    <cellStyle name="Output 2 2 4 3 12" xfId="1198"/>
    <cellStyle name="Total 2 2 2 3 12" xfId="1199"/>
    <cellStyle name="Calculation 2 2 4 2 12" xfId="1200"/>
    <cellStyle name="Output 2 2 3 16" xfId="1201"/>
    <cellStyle name="Calculation 2 2 2 3 12" xfId="1202"/>
    <cellStyle name="Output 2 2 4 2 12" xfId="1203"/>
    <cellStyle name="Input 2 2 12" xfId="1204"/>
    <cellStyle name="Total 2 2 4 16" xfId="1205"/>
    <cellStyle name="Note 2 2 5 15" xfId="1206"/>
    <cellStyle name="Total 2 2 3 2 12" xfId="1207"/>
    <cellStyle name="Input 2 2 2 16" xfId="1208"/>
    <cellStyle name="Calculation 2 2 4 16" xfId="1209"/>
    <cellStyle name="Output 2 2 5 2 12" xfId="1210"/>
    <cellStyle name="Output 2 2 2 3 12" xfId="1211"/>
    <cellStyle name="Total 2 2 3 16" xfId="1212"/>
    <cellStyle name="Calculation 2 2 4 3 12" xfId="1213"/>
    <cellStyle name="Output 2 2 3 2 12" xfId="1214"/>
    <cellStyle name="Total 2 2 12" xfId="1215"/>
    <cellStyle name="Output 2 2 6 13" xfId="1216"/>
    <cellStyle name="Note 2 2 6 13" xfId="1217"/>
    <cellStyle name="Input 2 2 6 13" xfId="1218"/>
    <cellStyle name="Calculation 2 2 6 13" xfId="1219"/>
    <cellStyle name="Total 2 3 13" xfId="1220"/>
    <cellStyle name="Output 2 3 13" xfId="1221"/>
    <cellStyle name="Note 2 3 13" xfId="1222"/>
    <cellStyle name="Calculation 2 3 13" xfId="1223"/>
    <cellStyle name="Input 2 3 13" xfId="1224"/>
    <cellStyle name="Note 2 8" xfId="1225"/>
    <cellStyle name="Total 2 2 4 2 13" xfId="1226"/>
    <cellStyle name="Output 2 2 4 2 13" xfId="1227"/>
    <cellStyle name="Input 2 2 4 2 13" xfId="1228"/>
    <cellStyle name="Calculation 2 2 4 2 13" xfId="1229"/>
    <cellStyle name="Calculation 2 2 2 2 13" xfId="1230"/>
    <cellStyle name="Input 2 2 2 2 13" xfId="1231"/>
    <cellStyle name="Note 2 2 2 2 13" xfId="1232"/>
    <cellStyle name="Output 2 2 2 2 13" xfId="1233"/>
    <cellStyle name="Total 2 2 2 2 13" xfId="1234"/>
    <cellStyle name="Note 2 2 4 2 13" xfId="1235"/>
    <cellStyle name="Output 2 8" xfId="1236"/>
    <cellStyle name="Input 2 8" xfId="1237"/>
    <cellStyle name="Calculation 2 2 3 2 13" xfId="1238"/>
    <cellStyle name="Input 2 2 3 2 13" xfId="1239"/>
    <cellStyle name="Note 2 2 3 2 13" xfId="1240"/>
    <cellStyle name="Output 2 2 3 2 13" xfId="1241"/>
    <cellStyle name="Total 2 2 3 2 13" xfId="1242"/>
    <cellStyle name="Total 2 2 4 3 13" xfId="1243"/>
    <cellStyle name="Output 2 2 5 2 13" xfId="1244"/>
    <cellStyle name="Output 2 2 4 3 13" xfId="1245"/>
    <cellStyle name="Total 2 2 5 2 13" xfId="1246"/>
    <cellStyle name="Input 2 2 4 3 13" xfId="1247"/>
    <cellStyle name="Calculation 2 2 4 3 13" xfId="1248"/>
    <cellStyle name="Calculation 2 2 2 3 13" xfId="1249"/>
    <cellStyle name="Input 2 2 2 3 13" xfId="1250"/>
    <cellStyle name="Note 2 2 2 3 13" xfId="1251"/>
    <cellStyle name="Output 2 2 2 3 13" xfId="1252"/>
    <cellStyle name="Total 2 2 2 3 13" xfId="1253"/>
    <cellStyle name="Note 2 2 4 3 13" xfId="1254"/>
    <cellStyle name="Calculation 2 2 3 3 13" xfId="1255"/>
    <cellStyle name="Input 2 2 3 3 13" xfId="1256"/>
    <cellStyle name="Note 2 2 3 3 13" xfId="1257"/>
    <cellStyle name="Output 2 2 3 3 13" xfId="1258"/>
    <cellStyle name="Total 2 2 3 3 13" xfId="1259"/>
    <cellStyle name="Calculation 2 2 5 2 13" xfId="1260"/>
    <cellStyle name="Input 2 2 5 2 13" xfId="1261"/>
    <cellStyle name="Note 2 2 5 2 13" xfId="1262"/>
    <cellStyle name="Total 2 2 4 4 13" xfId="1263"/>
    <cellStyle name="Output 2 2 5 3 13" xfId="1264"/>
    <cellStyle name="Output 2 2 4 4 13" xfId="1265"/>
    <cellStyle name="Total 2 2 5 3 13" xfId="1266"/>
    <cellStyle name="Input 2 2 4 4 13" xfId="1267"/>
    <cellStyle name="Calculation 2 2 4 4 13" xfId="1268"/>
    <cellStyle name="Calculation 2 2 2 4 13" xfId="1269"/>
    <cellStyle name="Input 2 2 2 4 13" xfId="1270"/>
    <cellStyle name="Note 2 2 2 4 13" xfId="1271"/>
    <cellStyle name="Output 2 2 2 4 13" xfId="1272"/>
    <cellStyle name="Total 2 2 2 4 13" xfId="1273"/>
    <cellStyle name="Note 2 2 4 4 13" xfId="1274"/>
    <cellStyle name="Calculation 2 2 3 4 13" xfId="1275"/>
    <cellStyle name="Input 2 2 3 4 13" xfId="1276"/>
    <cellStyle name="Note 2 2 3 4 13" xfId="1277"/>
    <cellStyle name="Output 2 2 3 4 13" xfId="1278"/>
    <cellStyle name="Total 2 2 3 4 13" xfId="1279"/>
    <cellStyle name="Calculation 2 2 5 3 13" xfId="1280"/>
    <cellStyle name="Input 2 2 5 3 13" xfId="1281"/>
    <cellStyle name="Note 2 2 5 3 13" xfId="1282"/>
    <cellStyle name="Good 3" xfId="1283"/>
    <cellStyle name="Normal 3 9" xfId="1284"/>
    <cellStyle name="Normal 4 9" xfId="1285"/>
    <cellStyle name="Normal 3 2 7" xfId="1286"/>
    <cellStyle name="Normal 4 2 7" xfId="1287"/>
    <cellStyle name="Normal 3 3 7" xfId="1288"/>
    <cellStyle name="Calculation 2 3 14" xfId="1289"/>
    <cellStyle name="Note 2 3 14" xfId="1290"/>
    <cellStyle name="Output 2 3 14" xfId="1291"/>
    <cellStyle name="Total 2 3 14" xfId="1292"/>
    <cellStyle name="Normal 4 3 7" xfId="1293"/>
    <cellStyle name="Input 2 3 14" xfId="1294"/>
    <cellStyle name="Note 2 4 3" xfId="1295"/>
    <cellStyle name="Output 2 4 3" xfId="1296"/>
    <cellStyle name="Total 2 4 3" xfId="1297"/>
    <cellStyle name="Output 2 2 5 4 2" xfId="1298"/>
    <cellStyle name="Normal 3 5 4" xfId="1299"/>
    <cellStyle name="Output 2 2 2 3 14" xfId="1300"/>
    <cellStyle name="Input 2 2 5 3 14" xfId="1301"/>
    <cellStyle name="Output 2 2 3 3 14" xfId="1302"/>
    <cellStyle name="Input 2 2 3 3 14" xfId="1303"/>
    <cellStyle name="Calculation 2 2 2 4 14" xfId="1304"/>
    <cellStyle name="Output 2 2 4 5 2" xfId="1305"/>
    <cellStyle name="Total 2 2 5 3 14" xfId="1306"/>
    <cellStyle name="Output 2 2 4 6 2" xfId="1307"/>
    <cellStyle name="Input 2 2 4 4 14" xfId="1308"/>
    <cellStyle name="Calculation 2 2 2 6 2" xfId="1309"/>
    <cellStyle name="Input 2 2 4 6 2" xfId="1310"/>
    <cellStyle name="Heading 3 2 2" xfId="1311"/>
    <cellStyle name="Total 2 2 5 6 2" xfId="1312"/>
    <cellStyle name="Input 2 2 4 5 2" xfId="1313"/>
    <cellStyle name="Output 2 2 4 3 14" xfId="1314"/>
    <cellStyle name="Calculation 2 2 5 3 14" xfId="1315"/>
    <cellStyle name="Total 2 2 5 5 2" xfId="1316"/>
    <cellStyle name="Normal 4 5 4" xfId="1317"/>
    <cellStyle name="Normal 6 6" xfId="1318"/>
    <cellStyle name="Calculation 2 2 4 6 2" xfId="1319"/>
    <cellStyle name="Normal 3 2 3 4" xfId="1320"/>
    <cellStyle name="Calculation 2 2 6 14" xfId="1321"/>
    <cellStyle name="Input 2 2 6 14" xfId="1322"/>
    <cellStyle name="Note 2 2 6 14" xfId="1323"/>
    <cellStyle name="Output 2 2 6 14" xfId="1324"/>
    <cellStyle name="Total 2 2 6 14" xfId="1325"/>
    <cellStyle name="Normal 4 2 3 4" xfId="1326"/>
    <cellStyle name="Normal 7 6" xfId="1327"/>
    <cellStyle name="Normal 3 3 3 4" xfId="1328"/>
    <cellStyle name="Normal 4 3 3 4" xfId="1329"/>
    <cellStyle name="Normal 8 6" xfId="1330"/>
    <cellStyle name="Normal 9 6" xfId="1331"/>
    <cellStyle name="Total 2 2 4 17" xfId="1332"/>
    <cellStyle name="Normal 3 4 5" xfId="1333"/>
    <cellStyle name="Output 2 2 5 16" xfId="1334"/>
    <cellStyle name="Output 2 2 4 17" xfId="1335"/>
    <cellStyle name="Total 2 2 5 16" xfId="1336"/>
    <cellStyle name="Input 2 2 4 17" xfId="1337"/>
    <cellStyle name="Normal 4 4 5" xfId="1338"/>
    <cellStyle name="Normal 6 2 5" xfId="1339"/>
    <cellStyle name="Calculation 2 2 4 17" xfId="1340"/>
    <cellStyle name="Normal 3 2 2 5" xfId="1341"/>
    <cellStyle name="Calculation 2 2 2 17" xfId="1342"/>
    <cellStyle name="Input 2 2 2 17" xfId="1343"/>
    <cellStyle name="Note 2 2 2 17" xfId="1344"/>
    <cellStyle name="Output 2 2 2 17" xfId="1345"/>
    <cellStyle name="Total 2 2 2 17" xfId="1346"/>
    <cellStyle name="Note 2 2 4 17" xfId="1347"/>
    <cellStyle name="Normal 4 2 2 5" xfId="1348"/>
    <cellStyle name="Normal 7 2 5" xfId="1349"/>
    <cellStyle name="Normal 3 3 2 5" xfId="1350"/>
    <cellStyle name="Normal 4 3 2 5" xfId="1351"/>
    <cellStyle name="Normal 8 2 5" xfId="1352"/>
    <cellStyle name="Normal 9 2 5" xfId="1353"/>
    <cellStyle name="Calculation 2 2 3 17" xfId="1354"/>
    <cellStyle name="Input 2 2 3 17" xfId="1355"/>
    <cellStyle name="Note 2 2 3 17" xfId="1356"/>
    <cellStyle name="Output 2 2 3 17" xfId="1357"/>
    <cellStyle name="Total 2 2 3 17" xfId="1358"/>
    <cellStyle name="Calculation 2 2 5 16" xfId="1359"/>
    <cellStyle name="Input 2 2 5 16" xfId="1360"/>
    <cellStyle name="Note 2 2 5 16" xfId="1361"/>
    <cellStyle name="Note 2 2 4 3 14" xfId="1362"/>
    <cellStyle name="Note 2 2 2 3 14" xfId="1363"/>
    <cellStyle name="Calculation 2 2 4 4 14" xfId="1364"/>
    <cellStyle name="Note 2 2 3 3 14" xfId="1365"/>
    <cellStyle name="Total 2 2 3 3 14" xfId="1366"/>
    <cellStyle name="Note 2 2 5 3 14" xfId="1367"/>
    <cellStyle name="Output 2 2 4 4 14" xfId="1368"/>
    <cellStyle name="Total 2 2 2 3 14" xfId="1369"/>
    <cellStyle name="Output 2 2 5 5 2" xfId="1370"/>
    <cellStyle name="Total 2 2 4 2 14" xfId="1371"/>
    <cellStyle name="Input 2 2 4 3 14" xfId="1372"/>
    <cellStyle name="Output 2 2 5 2 14" xfId="1373"/>
    <cellStyle name="Output 2 2 4 2 14" xfId="1374"/>
    <cellStyle name="Total 2 2 5 2 14" xfId="1375"/>
    <cellStyle name="Input 2 2 4 2 14" xfId="1376"/>
    <cellStyle name="Input 2 2 2 3 14" xfId="1377"/>
    <cellStyle name="Calculation 2 2 4 2 14" xfId="1378"/>
    <cellStyle name="Calculation 2 2 2 2 14" xfId="1379"/>
    <cellStyle name="Input 2 2 2 2 14" xfId="1380"/>
    <cellStyle name="Note 2 2 2 2 14" xfId="1381"/>
    <cellStyle name="Output 2 2 2 2 14" xfId="1382"/>
    <cellStyle name="Total 2 2 2 2 14" xfId="1383"/>
    <cellStyle name="Note 2 2 4 2 14" xfId="1384"/>
    <cellStyle name="Calculation 2 2 4 3 14" xfId="1385"/>
    <cellStyle name="Calculation 2 2 2 3 14" xfId="1386"/>
    <cellStyle name="Total 2 2 4 5 2" xfId="1387"/>
    <cellStyle name="Calculation 2 2 3 3 14" xfId="1388"/>
    <cellStyle name="Calculation 2 2 3 2 14" xfId="1389"/>
    <cellStyle name="Input 2 2 3 2 14" xfId="1390"/>
    <cellStyle name="Note 2 2 3 2 14" xfId="1391"/>
    <cellStyle name="Output 2 2 3 2 14" xfId="1392"/>
    <cellStyle name="Total 2 2 3 2 14" xfId="1393"/>
    <cellStyle name="Calculation 2 2 5 2 14" xfId="1394"/>
    <cellStyle name="Input 2 2 5 2 14" xfId="1395"/>
    <cellStyle name="Note 2 2 5 2 14" xfId="1396"/>
    <cellStyle name="Total 2 2 5 4 2" xfId="1397"/>
    <cellStyle name="Calculation 2 2 4 5 2" xfId="1398"/>
    <cellStyle name="Output 2 2 5 3 14" xfId="1399"/>
    <cellStyle name="Total 2 2 4 4 14" xfId="1400"/>
    <cellStyle name="Calculation 2 2 2 5 2" xfId="1401"/>
    <cellStyle name="Total 2 2 4 3 14" xfId="1402"/>
    <cellStyle name="Input 2 2 2 4 14" xfId="1403"/>
    <cellStyle name="Note 2 2 2 4 14" xfId="1404"/>
    <cellStyle name="Output 2 2 2 4 14" xfId="1405"/>
    <cellStyle name="Total 2 2 2 4 14" xfId="1406"/>
    <cellStyle name="Note 2 2 4 4 14" xfId="1407"/>
    <cellStyle name="Total 2 2 4 6 2" xfId="1408"/>
    <cellStyle name="Output 2 2 5 6 2" xfId="1409"/>
    <cellStyle name="Calculation 2 2 3 4 14" xfId="1410"/>
    <cellStyle name="Input 2 2 3 4 14" xfId="1411"/>
    <cellStyle name="Note 2 2 3 4 14" xfId="1412"/>
    <cellStyle name="Output 2 2 3 4 14" xfId="1413"/>
    <cellStyle name="Total 2 2 3 4 14" xfId="1414"/>
    <cellStyle name="Calculation 2 2 5 4 2" xfId="1415"/>
    <cellStyle name="Input 2 2 5 4 2" xfId="1416"/>
    <cellStyle name="Note 2 2 5 4 2" xfId="1417"/>
    <cellStyle name="Input 2 2 2 5 2" xfId="1418"/>
    <cellStyle name="Note 2 2 2 5 2" xfId="1419"/>
    <cellStyle name="Output 2 2 2 5 2" xfId="1420"/>
    <cellStyle name="Total 2 2 2 5 2" xfId="1421"/>
    <cellStyle name="Note 2 2 4 5 2" xfId="1422"/>
    <cellStyle name="Calculation 2 2 3 5 2" xfId="1423"/>
    <cellStyle name="Input 2 2 3 5 2" xfId="1424"/>
    <cellStyle name="Note 2 2 3 5 2" xfId="1425"/>
    <cellStyle name="Output 2 2 3 5 2" xfId="1426"/>
    <cellStyle name="Total 2 2 3 5 2" xfId="1427"/>
    <cellStyle name="Calculation 2 2 5 5 2" xfId="1428"/>
    <cellStyle name="Input 2 2 5 5 2" xfId="1429"/>
    <cellStyle name="Note 2 2 5 5 2" xfId="1430"/>
    <cellStyle name="Input 2 2 2 6 2" xfId="1431"/>
    <cellStyle name="Note 2 2 2 6 2" xfId="1432"/>
    <cellStyle name="Output 2 2 2 6 2" xfId="1433"/>
    <cellStyle name="Total 2 2 2 6 2" xfId="1434"/>
    <cellStyle name="Note 2 2 4 6 2" xfId="1435"/>
    <cellStyle name="Calculation 2 2 3 6 2" xfId="1436"/>
    <cellStyle name="Input 2 2 3 6 2" xfId="1437"/>
    <cellStyle name="Note 2 2 3 6 2" xfId="1438"/>
    <cellStyle name="Output 2 2 3 6 2" xfId="1439"/>
    <cellStyle name="Total 2 2 3 6 2" xfId="1440"/>
    <cellStyle name="Calculation 2 2 5 6 2" xfId="1441"/>
    <cellStyle name="Input 2 2 5 6 2" xfId="1442"/>
    <cellStyle name="Note 2 2 5 6 2" xfId="1443"/>
    <cellStyle name="Normal 3 6" xfId="1444"/>
    <cellStyle name="Normal 4 6" xfId="1445"/>
    <cellStyle name="Normal 3 2 4" xfId="1446"/>
    <cellStyle name="Normal 4 2 4" xfId="1447"/>
    <cellStyle name="Normal 3 3 4" xfId="1448"/>
    <cellStyle name="Calculation 2 3 2 2" xfId="1449"/>
    <cellStyle name="Note 2 3 2 2" xfId="1450"/>
    <cellStyle name="Output 2 3 2 2" xfId="1451"/>
    <cellStyle name="Total 2 3 2 2" xfId="1452"/>
    <cellStyle name="Normal 4 3 4" xfId="1453"/>
    <cellStyle name="Input 2 3 2 2" xfId="1454"/>
    <cellStyle name="Note 2 4 2" xfId="1455"/>
    <cellStyle name="Output 2 4 2" xfId="1456"/>
    <cellStyle name="Total 2 4 2" xfId="1457"/>
    <cellStyle name="Normal 8 3 4" xfId="1458"/>
    <cellStyle name="Normal 8 2 2 4" xfId="1459"/>
    <cellStyle name="Normal 3 7" xfId="1460"/>
    <cellStyle name="Output 2 2 4 9 2" xfId="1461"/>
    <cellStyle name="Total 2 2 5 9 2" xfId="1462"/>
    <cellStyle name="Input 2 2 4 9 2" xfId="1463"/>
    <cellStyle name="Output 2 2 4 11 2" xfId="1464"/>
    <cellStyle name="Input 2 2 2 11 2" xfId="1465"/>
    <cellStyle name="Calculation 2 2 4 9 2" xfId="1466"/>
    <cellStyle name="Calculation 2 2 2 9 2" xfId="1467"/>
    <cellStyle name="Input 2 2 2 9 2" xfId="1468"/>
    <cellStyle name="Note 2 2 2 9 2" xfId="1469"/>
    <cellStyle name="Output 2 2 2 9 2" xfId="1470"/>
    <cellStyle name="Total 2 2 2 9 2" xfId="1471"/>
    <cellStyle name="Note 2 2 4 9 2" xfId="1472"/>
    <cellStyle name="Note 2 2 4 11 2" xfId="1473"/>
    <cellStyle name="Note 2 2 4 13 2" xfId="1474"/>
    <cellStyle name="Input 2 2 3 11 2" xfId="1475"/>
    <cellStyle name="Calculation 2 2 3 9 2" xfId="1476"/>
    <cellStyle name="Calculation 2 2 4 11 2" xfId="1477"/>
    <cellStyle name="Note 2 2 5 13 2" xfId="1478"/>
    <cellStyle name="Note 2 2 4 12 2" xfId="1479"/>
    <cellStyle name="Normal 4 7" xfId="1480"/>
    <cellStyle name="Normal 6 4" xfId="1481"/>
    <cellStyle name="Normal 3 2 5" xfId="1482"/>
    <cellStyle name="Calculation 2 2 7 2" xfId="1483"/>
    <cellStyle name="Input 2 2 7 2" xfId="1484"/>
    <cellStyle name="Note 2 2 7 2" xfId="1485"/>
    <cellStyle name="Output 2 2 7 2" xfId="1486"/>
    <cellStyle name="Total 2 2 7 2" xfId="1487"/>
    <cellStyle name="Normal 4 2 5" xfId="1488"/>
    <cellStyle name="Normal 7 4" xfId="1489"/>
    <cellStyle name="Normal 3 3 5" xfId="1490"/>
    <cellStyle name="Normal 4 3 5" xfId="1491"/>
    <cellStyle name="Normal 8 4" xfId="1492"/>
    <cellStyle name="Normal 9 4" xfId="1493"/>
    <cellStyle name="Total 2 2 4 7 2" xfId="1494"/>
    <cellStyle name="Normal 3 4 3" xfId="1495"/>
    <cellStyle name="Output 2 2 5 7 2" xfId="1496"/>
    <cellStyle name="Output 2 2 4 7 2" xfId="1497"/>
    <cellStyle name="Total 2 2 5 7 2" xfId="1498"/>
    <cellStyle name="Input 2 2 4 7 2" xfId="1499"/>
    <cellStyle name="Normal 4 4 3" xfId="1500"/>
    <cellStyle name="Normal 6 2 3" xfId="1501"/>
    <cellStyle name="Calculation 2 2 4 7 2" xfId="1502"/>
    <cellStyle name="Normal 3 2 2 3" xfId="1503"/>
    <cellStyle name="Calculation 2 2 2 7 2" xfId="1504"/>
    <cellStyle name="Input 2 2 2 7 2" xfId="1505"/>
    <cellStyle name="Note 2 2 2 7 2" xfId="1506"/>
    <cellStyle name="Output 2 2 2 7 2" xfId="1507"/>
    <cellStyle name="Total 2 2 2 7 2" xfId="1508"/>
    <cellStyle name="Note 2 2 4 7 2" xfId="1509"/>
    <cellStyle name="Normal 4 2 2 3" xfId="1510"/>
    <cellStyle name="Normal 7 2 3" xfId="1511"/>
    <cellStyle name="Normal 3 3 2 3" xfId="1512"/>
    <cellStyle name="Normal 4 3 2 3" xfId="1513"/>
    <cellStyle name="Normal 8 2 3" xfId="1514"/>
    <cellStyle name="Normal 9 2 3" xfId="1515"/>
    <cellStyle name="Calculation 2 2 3 7 2" xfId="1516"/>
    <cellStyle name="Input 2 2 3 7 2" xfId="1517"/>
    <cellStyle name="Note 2 2 3 7 2" xfId="1518"/>
    <cellStyle name="Output 2 2 3 7 2" xfId="1519"/>
    <cellStyle name="Total 2 2 3 7 2" xfId="1520"/>
    <cellStyle name="Calculation 2 2 5 7 2" xfId="1521"/>
    <cellStyle name="Input 2 2 5 7 2" xfId="1522"/>
    <cellStyle name="Note 2 2 5 7 2" xfId="1523"/>
    <cellStyle name="Normal 3 5 2" xfId="1524"/>
    <cellStyle name="Total 2 2 6 2 2" xfId="1525"/>
    <cellStyle name="Output 2 2 6 2 2" xfId="1526"/>
    <cellStyle name="Note 2 2 6 2 2" xfId="1527"/>
    <cellStyle name="Input 2 2 6 2 2" xfId="1528"/>
    <cellStyle name="Calculation 2 2 6 2 2" xfId="1529"/>
    <cellStyle name="Total 2 3 3 2" xfId="1530"/>
    <cellStyle name="Output 2 3 3 2" xfId="1531"/>
    <cellStyle name="Note 2 3 3 2" xfId="1532"/>
    <cellStyle name="Calculation 2 3 3 2" xfId="1533"/>
    <cellStyle name="Normal 4 5 2" xfId="1534"/>
    <cellStyle name="Normal 6 3 3" xfId="1535"/>
    <cellStyle name="Normal 3 2 3 2" xfId="1536"/>
    <cellStyle name="Input 2 3 3 2" xfId="1537"/>
    <cellStyle name="Normal 4 2 3 2" xfId="1538"/>
    <cellStyle name="Normal 7 3 3" xfId="1539"/>
    <cellStyle name="Normal 3 3 3 2" xfId="1540"/>
    <cellStyle name="Normal 4 3 3 2" xfId="1541"/>
    <cellStyle name="Normal 8 3 2 3" xfId="1542"/>
    <cellStyle name="Normal 9 3 3" xfId="1543"/>
    <cellStyle name="Total 2 2 4 2 2 2" xfId="1544"/>
    <cellStyle name="Normal 3 4 2 3" xfId="1545"/>
    <cellStyle name="Output 2 2 4 2 2 2" xfId="1546"/>
    <cellStyle name="Input 2 2 4 2 2 2" xfId="1547"/>
    <cellStyle name="Normal 4 4 2 3" xfId="1548"/>
    <cellStyle name="Normal 6 2 2 3" xfId="1549"/>
    <cellStyle name="Calculation 2 2 4 2 2 2" xfId="1550"/>
    <cellStyle name="Normal 3 2 2 2 3" xfId="1551"/>
    <cellStyle name="Calculation 2 2 2 2 2 2" xfId="1552"/>
    <cellStyle name="Input 2 2 2 2 2 2" xfId="1553"/>
    <cellStyle name="Note 2 2 2 2 2 2" xfId="1554"/>
    <cellStyle name="Output 2 2 2 2 2 2" xfId="1555"/>
    <cellStyle name="Total 2 2 2 2 2 2" xfId="1556"/>
    <cellStyle name="Note 2 2 4 2 2 2" xfId="1557"/>
    <cellStyle name="Normal 4 2 2 2 3" xfId="1558"/>
    <cellStyle name="Normal 7 2 2 3" xfId="1559"/>
    <cellStyle name="Normal 3 3 2 2 3" xfId="1560"/>
    <cellStyle name="Normal 4 3 2 2 3" xfId="1561"/>
    <cellStyle name="Normal 8 2 2 2 3" xfId="1562"/>
    <cellStyle name="Normal 9 2 2 3" xfId="1563"/>
    <cellStyle name="Calculation 2 2 3 2 2 2" xfId="1564"/>
    <cellStyle name="Input 2 2 3 2 2 2" xfId="1565"/>
    <cellStyle name="Note 2 2 3 2 2 2" xfId="1566"/>
    <cellStyle name="Output 2 2 3 2 2 2" xfId="1567"/>
    <cellStyle name="Total 2 2 3 2 2 2" xfId="1568"/>
    <cellStyle name="Total 2 2 4 3 2 2" xfId="1569"/>
    <cellStyle name="Output 2 2 5 2 2 2" xfId="1570"/>
    <cellStyle name="Output 2 2 4 3 2 2" xfId="1571"/>
    <cellStyle name="Total 2 2 5 2 2 2" xfId="1572"/>
    <cellStyle name="Input 2 2 4 3 2 2" xfId="1573"/>
    <cellStyle name="Calculation 2 2 4 3 2 2" xfId="1574"/>
    <cellStyle name="Calculation 2 2 2 3 2 2" xfId="1575"/>
    <cellStyle name="Input 2 2 2 3 2 2" xfId="1576"/>
    <cellStyle name="Note 2 2 2 3 2 2" xfId="1577"/>
    <cellStyle name="Output 2 2 2 3 2 2" xfId="1578"/>
    <cellStyle name="Total 2 2 2 3 2 2" xfId="1579"/>
    <cellStyle name="Note 2 2 4 3 2 2" xfId="1580"/>
    <cellStyle name="Calculation 2 2 3 3 2 2" xfId="1581"/>
    <cellStyle name="Input 2 2 3 3 2 2" xfId="1582"/>
    <cellStyle name="Note 2 2 3 3 2 2" xfId="1583"/>
    <cellStyle name="Output 2 2 3 3 2 2" xfId="1584"/>
    <cellStyle name="Total 2 2 3 3 2 2" xfId="1585"/>
    <cellStyle name="Calculation 2 2 5 2 2 2" xfId="1586"/>
    <cellStyle name="Input 2 2 5 2 2 2" xfId="1587"/>
    <cellStyle name="Note 2 2 5 2 2 2" xfId="1588"/>
    <cellStyle name="Total 2 2 4 4 2 2" xfId="1589"/>
    <cellStyle name="Output 2 2 5 3 2 2" xfId="1590"/>
    <cellStyle name="Output 2 2 4 4 2 2" xfId="1591"/>
    <cellStyle name="Total 2 2 5 3 2 2" xfId="1592"/>
    <cellStyle name="Input 2 2 4 4 2 2" xfId="1593"/>
    <cellStyle name="Calculation 2 2 4 4 2 2" xfId="1594"/>
    <cellStyle name="Calculation 2 2 2 4 2 2" xfId="1595"/>
    <cellStyle name="Input 2 2 2 4 2 2" xfId="1596"/>
    <cellStyle name="Note 2 2 2 4 2 2" xfId="1597"/>
    <cellStyle name="Output 2 2 2 4 2 2" xfId="1598"/>
    <cellStyle name="Total 2 2 2 4 2 2" xfId="1599"/>
    <cellStyle name="Note 2 2 4 4 2 2" xfId="1600"/>
    <cellStyle name="Calculation 2 2 3 4 2 2" xfId="1601"/>
    <cellStyle name="Input 2 2 3 4 2 2" xfId="1602"/>
    <cellStyle name="Note 2 2 3 4 2 2" xfId="1603"/>
    <cellStyle name="Output 2 2 3 4 2 2" xfId="1604"/>
    <cellStyle name="Total 2 2 3 4 2 2" xfId="1605"/>
    <cellStyle name="Calculation 2 2 5 3 2 2" xfId="1606"/>
    <cellStyle name="Input 2 2 5 3 2 2" xfId="1607"/>
    <cellStyle name="Note 2 2 5 3 2 2" xfId="1608"/>
    <cellStyle name="Output 2 2 5 9 2" xfId="1609"/>
    <cellStyle name="Input 2 2 5 12 2" xfId="1610"/>
    <cellStyle name="Total 2 2 4 9 2" xfId="1611"/>
    <cellStyle name="Calculation 2 2 3 11 2" xfId="1612"/>
    <cellStyle name="Total 2 2 2 11 2" xfId="1613"/>
    <cellStyle name="Note 2 2 5 11 2" xfId="1614"/>
    <cellStyle name="Calculation 2 2 5 11 2" xfId="1615"/>
    <cellStyle name="Note 2 2 3 12 2" xfId="1616"/>
    <cellStyle name="Output 2 2 5 11 2" xfId="1617"/>
    <cellStyle name="Calculation 2 2 4 13 2" xfId="1618"/>
    <cellStyle name="Calculation 2 2 2 11 2" xfId="1619"/>
    <cellStyle name="Calculation 2 2 2 10 2" xfId="1620"/>
    <cellStyle name="Output 2 2 3 13 2" xfId="1621"/>
    <cellStyle name="Total 2 2 3 13 2" xfId="1622"/>
    <cellStyle name="Note 2 2 2 10 2" xfId="1623"/>
    <cellStyle name="Input 2 2 4 12 2" xfId="1624"/>
    <cellStyle name="Calculation 2 2 5 12 2" xfId="1625"/>
    <cellStyle name="Output 2 2 4 12 2" xfId="1626"/>
    <cellStyle name="Input 2 2 2 10 2" xfId="1627"/>
    <cellStyle name="Input 2 2 2 12 2" xfId="1628"/>
    <cellStyle name="Input 2 2 3 13 2" xfId="1629"/>
    <cellStyle name="Input 2 2 5 11 2" xfId="1630"/>
    <cellStyle name="Output 2 2 5 10 2" xfId="1631"/>
    <cellStyle name="Note 2 2 3 10 2" xfId="1632"/>
    <cellStyle name="Total 2 2 4 8 2" xfId="1633"/>
    <cellStyle name="Total 2 2 3 12 2" xfId="1634"/>
    <cellStyle name="Output 2 2 5 8 2" xfId="1635"/>
    <cellStyle name="Output 2 2 4 8 2" xfId="1636"/>
    <cellStyle name="Total 2 2 5 8 2" xfId="1637"/>
    <cellStyle name="Input 2 2 4 8 2" xfId="1638"/>
    <cellStyle name="Output 2 2 2 10 2" xfId="1639"/>
    <cellStyle name="Calculation 2 2 4 8 2" xfId="1640"/>
    <cellStyle name="Calculation 2 2 2 8 2" xfId="1641"/>
    <cellStyle name="Input 2 2 2 8 2" xfId="1642"/>
    <cellStyle name="Note 2 2 2 8 2" xfId="1643"/>
    <cellStyle name="Output 2 2 2 8 2" xfId="1644"/>
    <cellStyle name="Total 2 2 2 8 2" xfId="1645"/>
    <cellStyle name="Note 2 2 4 8 2" xfId="1646"/>
    <cellStyle name="Note 2 2 2 12 2" xfId="1647"/>
    <cellStyle name="Total 2 2 3 11 2" xfId="1648"/>
    <cellStyle name="Output 2 2 4 10 2" xfId="1649"/>
    <cellStyle name="Output 2 2 3 10 2" xfId="1650"/>
    <cellStyle name="Calculation 2 2 3 8 2" xfId="1651"/>
    <cellStyle name="Input 2 2 3 8 2" xfId="1652"/>
    <cellStyle name="Note 2 2 3 8 2" xfId="1653"/>
    <cellStyle name="Output 2 2 3 8 2" xfId="1654"/>
    <cellStyle name="Total 2 2 3 8 2" xfId="1655"/>
    <cellStyle name="Calculation 2 2 5 8 2" xfId="1656"/>
    <cellStyle name="Input 2 2 5 8 2" xfId="1657"/>
    <cellStyle name="Note 2 2 5 8 2" xfId="1658"/>
    <cellStyle name="Total 2 2 6 3 2" xfId="1659"/>
    <cellStyle name="Output 2 2 6 3 2" xfId="1660"/>
    <cellStyle name="Note 2 2 6 3 2" xfId="1661"/>
    <cellStyle name="Input 2 2 6 3 2" xfId="1662"/>
    <cellStyle name="Calculation 2 2 6 3 2" xfId="1663"/>
    <cellStyle name="Total 2 3 4 2" xfId="1664"/>
    <cellStyle name="Output 2 3 4 2" xfId="1665"/>
    <cellStyle name="Note 2 3 4 2" xfId="1666"/>
    <cellStyle name="Calculation 2 3 4 2" xfId="1667"/>
    <cellStyle name="Calculation 2 2 4 10 2" xfId="1668"/>
    <cellStyle name="Note 2 2 4 10 2" xfId="1669"/>
    <cellStyle name="Input 2 3 4 2" xfId="1670"/>
    <cellStyle name="Total 2 2 4 10 2" xfId="1671"/>
    <cellStyle name="Input 2 2 4 10 2" xfId="1672"/>
    <cellStyle name="Input 2 2 3 10 2" xfId="1673"/>
    <cellStyle name="Calculation 2 2 5 10 2" xfId="1674"/>
    <cellStyle name="Total 2 2 4 2 3 2" xfId="1675"/>
    <cellStyle name="Calculation 2 2 5 13 2" xfId="1676"/>
    <cellStyle name="Output 2 2 4 2 3 2" xfId="1677"/>
    <cellStyle name="Input 2 2 4 2 3 2" xfId="1678"/>
    <cellStyle name="Calculation 2 2 4 12 2" xfId="1679"/>
    <cellStyle name="Total 2 2 2 10 2" xfId="1680"/>
    <cellStyle name="Calculation 2 2 4 2 3 2" xfId="1681"/>
    <cellStyle name="Note 2 2 3 13 2" xfId="1682"/>
    <cellStyle name="Calculation 2 2 2 2 3 2" xfId="1683"/>
    <cellStyle name="Input 2 2 2 2 3 2" xfId="1684"/>
    <cellStyle name="Note 2 2 2 2 3 2" xfId="1685"/>
    <cellStyle name="Output 2 2 2 2 3 2" xfId="1686"/>
    <cellStyle name="Total 2 2 2 2 3 2" xfId="1687"/>
    <cellStyle name="Note 2 2 4 2 3 2" xfId="1688"/>
    <cellStyle name="Total 2 2 5 13 2" xfId="1689"/>
    <cellStyle name="Total 2 2 5 11 2" xfId="1690"/>
    <cellStyle name="Total 2 2 5 10 2" xfId="1691"/>
    <cellStyle name="Calculation 2 2 3 10 2" xfId="1692"/>
    <cellStyle name="Total 2 2 3 10 2" xfId="1693"/>
    <cellStyle name="Calculation 2 2 3 2 3 2" xfId="1694"/>
    <cellStyle name="Input 2 2 3 2 3 2" xfId="1695"/>
    <cellStyle name="Note 2 2 3 2 3 2" xfId="1696"/>
    <cellStyle name="Output 2 2 3 2 3 2" xfId="1697"/>
    <cellStyle name="Total 2 2 3 2 3 2" xfId="1698"/>
    <cellStyle name="Total 2 2 4 3 3 2" xfId="1699"/>
    <cellStyle name="Output 2 2 5 2 3 2" xfId="1700"/>
    <cellStyle name="Output 2 2 4 3 3 2" xfId="1701"/>
    <cellStyle name="Total 2 2 5 2 3 2" xfId="1702"/>
    <cellStyle name="Input 2 2 4 3 3 2" xfId="1703"/>
    <cellStyle name="Calculation 2 2 4 3 3 2" xfId="1704"/>
    <cellStyle name="Calculation 2 2 2 3 3 2" xfId="1705"/>
    <cellStyle name="Input 2 2 2 3 3 2" xfId="1706"/>
    <cellStyle name="Note 2 2 2 3 3 2" xfId="1707"/>
    <cellStyle name="Output 2 2 2 3 3 2" xfId="1708"/>
    <cellStyle name="Total 2 2 2 3 3 2" xfId="1709"/>
    <cellStyle name="Note 2 2 4 3 3 2" xfId="1710"/>
    <cellStyle name="Calculation 2 2 3 3 3 2" xfId="1711"/>
    <cellStyle name="Input 2 2 3 3 3 2" xfId="1712"/>
    <cellStyle name="Note 2 2 3 3 3 2" xfId="1713"/>
    <cellStyle name="Output 2 2 3 3 3 2" xfId="1714"/>
    <cellStyle name="Total 2 2 3 3 3 2" xfId="1715"/>
    <cellStyle name="Calculation 2 2 5 2 3 2" xfId="1716"/>
    <cellStyle name="Input 2 2 5 2 3 2" xfId="1717"/>
    <cellStyle name="Note 2 2 5 2 3 2" xfId="1718"/>
    <cellStyle name="Total 2 2 4 4 3 2" xfId="1719"/>
    <cellStyle name="Output 2 2 5 3 3 2" xfId="1720"/>
    <cellStyle name="Output 2 2 4 4 3 2" xfId="1721"/>
    <cellStyle name="Total 2 2 5 3 3 2" xfId="1722"/>
    <cellStyle name="Input 2 2 4 4 3 2" xfId="1723"/>
    <cellStyle name="Calculation 2 2 4 4 3 2" xfId="1724"/>
    <cellStyle name="Calculation 2 2 2 4 3 2" xfId="1725"/>
    <cellStyle name="Input 2 2 2 4 3 2" xfId="1726"/>
    <cellStyle name="Note 2 2 2 4 3 2" xfId="1727"/>
    <cellStyle name="Output 2 2 2 4 3 2" xfId="1728"/>
    <cellStyle name="Total 2 2 2 4 3 2" xfId="1729"/>
    <cellStyle name="Note 2 2 4 4 3 2" xfId="1730"/>
    <cellStyle name="Calculation 2 2 3 4 3 2" xfId="1731"/>
    <cellStyle name="Input 2 2 3 4 3 2" xfId="1732"/>
    <cellStyle name="Note 2 2 3 4 3 2" xfId="1733"/>
    <cellStyle name="Output 2 2 3 4 3 2" xfId="1734"/>
    <cellStyle name="Total 2 2 3 4 3 2" xfId="1735"/>
    <cellStyle name="Calculation 2 2 5 3 3 2" xfId="1736"/>
    <cellStyle name="Input 2 2 5 3 3 2" xfId="1737"/>
    <cellStyle name="Note 2 2 5 3 3 2" xfId="1738"/>
    <cellStyle name="Input 2 2 3 9 2" xfId="1739"/>
    <cellStyle name="Note 2 2 3 9 2" xfId="1740"/>
    <cellStyle name="Output 2 2 3 9 2" xfId="1741"/>
    <cellStyle name="Total 2 2 3 9 2" xfId="1742"/>
    <cellStyle name="Calculation 2 2 5 9 2" xfId="1743"/>
    <cellStyle name="Input 2 2 5 9 2" xfId="1744"/>
    <cellStyle name="Note 2 2 5 9 2" xfId="1745"/>
    <cellStyle name="Note 2 2 5 12 2" xfId="1746"/>
    <cellStyle name="Input 2 2 3 12 2" xfId="1747"/>
    <cellStyle name="Total 2 2 6 4 2" xfId="1748"/>
    <cellStyle name="Output 2 2 6 4 2" xfId="1749"/>
    <cellStyle name="Note 2 2 6 4 2" xfId="1750"/>
    <cellStyle name="Input 2 2 6 4 2" xfId="1751"/>
    <cellStyle name="Calculation 2 2 6 4 2" xfId="1752"/>
    <cellStyle name="Total 2 3 5 2" xfId="1753"/>
    <cellStyle name="Output 2 3 5 2" xfId="1754"/>
    <cellStyle name="Note 2 3 5 2" xfId="1755"/>
    <cellStyle name="Calculation 2 3 5 2" xfId="1756"/>
    <cellStyle name="Output 2 2 2 11 2" xfId="1757"/>
    <cellStyle name="Input 2 2 5 13 2" xfId="1758"/>
    <cellStyle name="Input 2 3 5 2" xfId="1759"/>
    <cellStyle name="Note 2 2 2 13 2" xfId="1760"/>
    <cellStyle name="Total 2 2 4 11 2" xfId="1761"/>
    <cellStyle name="Output 2 2 3 11 2" xfId="1762"/>
    <cellStyle name="Total 2 2 4 2 4 2" xfId="1763"/>
    <cellStyle name="Output 2 2 3 12 2" xfId="1764"/>
    <cellStyle name="Output 2 2 4 2 4 2" xfId="1765"/>
    <cellStyle name="Input 2 2 4 2 4 2" xfId="1766"/>
    <cellStyle name="Input 2 2 4 11 2" xfId="1767"/>
    <cellStyle name="Note 2 2 2 11 2" xfId="1768"/>
    <cellStyle name="Calculation 2 2 4 2 4 2" xfId="1769"/>
    <cellStyle name="Total 2 2 5 12 2" xfId="1770"/>
    <cellStyle name="Calculation 2 2 2 2 4 2" xfId="1771"/>
    <cellStyle name="Input 2 2 2 2 4 2" xfId="1772"/>
    <cellStyle name="Note 2 2 2 2 4 2" xfId="1773"/>
    <cellStyle name="Output 2 2 2 2 4 2" xfId="1774"/>
    <cellStyle name="Total 2 2 2 2 4 2" xfId="1775"/>
    <cellStyle name="Note 2 2 4 2 4 2" xfId="1776"/>
    <cellStyle name="Input 2 2 2 13 2" xfId="1777"/>
    <cellStyle name="Output 2 2 5 12 2" xfId="1778"/>
    <cellStyle name="Note 2 2 3 11 2" xfId="1779"/>
    <cellStyle name="Calculation 2 2 3 2 4 2" xfId="1780"/>
    <cellStyle name="Input 2 2 3 2 4 2" xfId="1781"/>
    <cellStyle name="Note 2 2 3 2 4 2" xfId="1782"/>
    <cellStyle name="Output 2 2 3 2 4 2" xfId="1783"/>
    <cellStyle name="Total 2 2 3 2 4 2" xfId="1784"/>
    <cellStyle name="Total 2 2 4 3 4 2" xfId="1785"/>
    <cellStyle name="Output 2 2 5 2 4 2" xfId="1786"/>
    <cellStyle name="Output 2 2 4 3 4 2" xfId="1787"/>
    <cellStyle name="Total 2 2 5 2 4 2" xfId="1788"/>
    <cellStyle name="Input 2 2 4 3 4 2" xfId="1789"/>
    <cellStyle name="Calculation 2 2 4 3 4 2" xfId="1790"/>
    <cellStyle name="Calculation 2 2 2 3 4 2" xfId="1791"/>
    <cellStyle name="Input 2 2 2 3 4 2" xfId="1792"/>
    <cellStyle name="Note 2 2 2 3 4 2" xfId="1793"/>
    <cellStyle name="Output 2 2 2 3 4 2" xfId="1794"/>
    <cellStyle name="Total 2 2 2 3 4 2" xfId="1795"/>
    <cellStyle name="Note 2 2 4 3 4 2" xfId="1796"/>
    <cellStyle name="Calculation 2 2 3 3 4 2" xfId="1797"/>
    <cellStyle name="Input 2 2 3 3 4 2" xfId="1798"/>
    <cellStyle name="Note 2 2 3 3 4 2" xfId="1799"/>
    <cellStyle name="Output 2 2 3 3 4 2" xfId="1800"/>
    <cellStyle name="Total 2 2 3 3 4 2" xfId="1801"/>
    <cellStyle name="Calculation 2 2 5 2 4 2" xfId="1802"/>
    <cellStyle name="Input 2 2 5 2 4 2" xfId="1803"/>
    <cellStyle name="Note 2 2 5 2 4 2" xfId="1804"/>
    <cellStyle name="Total 2 2 4 4 4 2" xfId="1805"/>
    <cellStyle name="Output 2 2 5 3 4 2" xfId="1806"/>
    <cellStyle name="Output 2 2 4 4 4 2" xfId="1807"/>
    <cellStyle name="Total 2 2 5 3 4 2" xfId="1808"/>
    <cellStyle name="Input 2 2 4 4 4 2" xfId="1809"/>
    <cellStyle name="Calculation 2 2 4 4 4 2" xfId="1810"/>
    <cellStyle name="Calculation 2 2 2 4 4 2" xfId="1811"/>
    <cellStyle name="Input 2 2 2 4 4 2" xfId="1812"/>
    <cellStyle name="Note 2 2 2 4 4 2" xfId="1813"/>
    <cellStyle name="Output 2 2 2 4 4 2" xfId="1814"/>
    <cellStyle name="Total 2 2 2 4 4 2" xfId="1815"/>
    <cellStyle name="Note 2 2 4 4 4 2" xfId="1816"/>
    <cellStyle name="Calculation 2 2 3 4 4 2" xfId="1817"/>
    <cellStyle name="Input 2 2 3 4 4 2" xfId="1818"/>
    <cellStyle name="Note 2 2 3 4 4 2" xfId="1819"/>
    <cellStyle name="Output 2 2 3 4 4 2" xfId="1820"/>
    <cellStyle name="Total 2 2 3 4 4 2" xfId="1821"/>
    <cellStyle name="Calculation 2 2 5 3 4 2" xfId="1822"/>
    <cellStyle name="Input 2 2 5 3 4 2" xfId="1823"/>
    <cellStyle name="Note 2 2 5 3 4 2" xfId="1824"/>
    <cellStyle name="Input 2 2 5 10 2" xfId="1825"/>
    <cellStyle name="Note 2 2 5 10 2" xfId="1826"/>
    <cellStyle name="Total 2 2 6 5 2" xfId="1827"/>
    <cellStyle name="Output 2 2 6 5 2" xfId="1828"/>
    <cellStyle name="Note 2 2 6 5 2" xfId="1829"/>
    <cellStyle name="Input 2 2 6 5 2" xfId="1830"/>
    <cellStyle name="Calculation 2 2 6 5 2" xfId="1831"/>
    <cellStyle name="Total 2 3 6 2" xfId="1832"/>
    <cellStyle name="Output 2 3 6 2" xfId="1833"/>
    <cellStyle name="Note 2 3 6 2" xfId="1834"/>
    <cellStyle name="Calculation 2 3 6 2" xfId="1835"/>
    <cellStyle name="Total 2 2 4 12 2" xfId="1836"/>
    <cellStyle name="Calculation 2 2 2 12 2" xfId="1837"/>
    <cellStyle name="Input 2 3 6 2" xfId="1838"/>
    <cellStyle name="Total 2 2 2 12 2" xfId="1839"/>
    <cellStyle name="Input 2 2 4 13 2" xfId="1840"/>
    <cellStyle name="Calculation 2 2 3 12 2" xfId="1841"/>
    <cellStyle name="Total 2 2 4 2 5 2" xfId="1842"/>
    <cellStyle name="Output 2 2 5 13 2" xfId="1843"/>
    <cellStyle name="Output 2 2 4 2 5 2" xfId="1844"/>
    <cellStyle name="Input 2 2 4 2 5 2" xfId="1845"/>
    <cellStyle name="Calculation 2 2 4 2 5 2" xfId="1846"/>
    <cellStyle name="Output 2 2 4 13 2" xfId="1847"/>
    <cellStyle name="Calculation 2 2 2 2 5 2" xfId="1848"/>
    <cellStyle name="Input 2 2 2 2 5 2" xfId="1849"/>
    <cellStyle name="Note 2 2 2 2 5 2" xfId="1850"/>
    <cellStyle name="Output 2 2 2 2 5 2" xfId="1851"/>
    <cellStyle name="Total 2 2 2 2 5 2" xfId="1852"/>
    <cellStyle name="Note 2 2 4 2 5 2" xfId="1853"/>
    <cellStyle name="Output 2 2 2 12 2" xfId="1854"/>
    <cellStyle name="Calculation 2 2 3 2 5 2" xfId="1855"/>
    <cellStyle name="Input 2 2 3 2 5 2" xfId="1856"/>
    <cellStyle name="Note 2 2 3 2 5 2" xfId="1857"/>
    <cellStyle name="Output 2 2 3 2 5 2" xfId="1858"/>
    <cellStyle name="Total 2 2 3 2 5 2" xfId="1859"/>
    <cellStyle name="Total 2 2 4 3 5 2" xfId="1860"/>
    <cellStyle name="Output 2 2 5 2 5 2" xfId="1861"/>
    <cellStyle name="Output 2 2 4 3 5 2" xfId="1862"/>
    <cellStyle name="Total 2 2 5 2 5 2" xfId="1863"/>
    <cellStyle name="Input 2 2 4 3 5 2" xfId="1864"/>
    <cellStyle name="Calculation 2 2 4 3 5 2" xfId="1865"/>
    <cellStyle name="Calculation 2 2 2 3 5 2" xfId="1866"/>
    <cellStyle name="Input 2 2 2 3 5 2" xfId="1867"/>
    <cellStyle name="Note 2 2 2 3 5 2" xfId="1868"/>
    <cellStyle name="Output 2 2 2 3 5 2" xfId="1869"/>
    <cellStyle name="Total 2 2 2 3 5 2" xfId="1870"/>
    <cellStyle name="Note 2 2 4 3 5 2" xfId="1871"/>
    <cellStyle name="Calculation 2 2 3 3 5 2" xfId="1872"/>
    <cellStyle name="Input 2 2 3 3 5 2" xfId="1873"/>
    <cellStyle name="Note 2 2 3 3 5 2" xfId="1874"/>
    <cellStyle name="Output 2 2 3 3 5 2" xfId="1875"/>
    <cellStyle name="Total 2 2 3 3 5 2" xfId="1876"/>
    <cellStyle name="Calculation 2 2 5 2 5 2" xfId="1877"/>
    <cellStyle name="Input 2 2 5 2 5 2" xfId="1878"/>
    <cellStyle name="Note 2 2 5 2 5 2" xfId="1879"/>
    <cellStyle name="Total 2 2 4 4 5 2" xfId="1880"/>
    <cellStyle name="Output 2 2 5 3 5 2" xfId="1881"/>
    <cellStyle name="Output 2 2 4 4 5 2" xfId="1882"/>
    <cellStyle name="Total 2 2 5 3 5 2" xfId="1883"/>
    <cellStyle name="Input 2 2 4 4 5 2" xfId="1884"/>
    <cellStyle name="Calculation 2 2 4 4 5 2" xfId="1885"/>
    <cellStyle name="Calculation 2 2 2 4 5 2" xfId="1886"/>
    <cellStyle name="Input 2 2 2 4 5 2" xfId="1887"/>
    <cellStyle name="Note 2 2 2 4 5 2" xfId="1888"/>
    <cellStyle name="Output 2 2 2 4 5 2" xfId="1889"/>
    <cellStyle name="Total 2 2 2 4 5 2" xfId="1890"/>
    <cellStyle name="Note 2 2 4 4 5 2" xfId="1891"/>
    <cellStyle name="Calculation 2 2 3 4 5 2" xfId="1892"/>
    <cellStyle name="Input 2 2 3 4 5 2" xfId="1893"/>
    <cellStyle name="Note 2 2 3 4 5 2" xfId="1894"/>
    <cellStyle name="Output 2 2 3 4 5 2" xfId="1895"/>
    <cellStyle name="Total 2 2 3 4 5 2" xfId="1896"/>
    <cellStyle name="Calculation 2 2 5 3 5 2" xfId="1897"/>
    <cellStyle name="Input 2 2 5 3 5 2" xfId="1898"/>
    <cellStyle name="Note 2 2 5 3 5 2" xfId="1899"/>
    <cellStyle name="Total 2 2 6 6 2" xfId="1900"/>
    <cellStyle name="Output 2 2 6 6 2" xfId="1901"/>
    <cellStyle name="Note 2 2 6 6 2" xfId="1902"/>
    <cellStyle name="Input 2 2 6 6 2" xfId="1903"/>
    <cellStyle name="Calculation 2 2 6 6 2" xfId="1904"/>
    <cellStyle name="Total 2 3 7 2" xfId="1905"/>
    <cellStyle name="Output 2 3 7 2" xfId="1906"/>
    <cellStyle name="Note 2 3 7 2" xfId="1907"/>
    <cellStyle name="Calculation 2 3 7 2" xfId="1908"/>
    <cellStyle name="Total 2 2 4 13 2" xfId="1909"/>
    <cellStyle name="Calculation 2 2 2 13 2" xfId="1910"/>
    <cellStyle name="Input 2 3 7 2" xfId="1911"/>
    <cellStyle name="Total 2 2 2 13 2" xfId="1912"/>
    <cellStyle name="Calculation 2 2 3 13 2" xfId="1913"/>
    <cellStyle name="Total 2 2 4 2 6 2" xfId="1914"/>
    <cellStyle name="Output 2 2 4 2 6 2" xfId="1915"/>
    <cellStyle name="Input 2 2 4 2 6 2" xfId="1916"/>
    <cellStyle name="Calculation 2 2 4 2 6 2" xfId="1917"/>
    <cellStyle name="Calculation 2 2 2 2 6 2" xfId="1918"/>
    <cellStyle name="Input 2 2 2 2 6 2" xfId="1919"/>
    <cellStyle name="Note 2 2 2 2 6 2" xfId="1920"/>
    <cellStyle name="Output 2 2 2 2 6 2" xfId="1921"/>
    <cellStyle name="Total 2 2 2 2 6 2" xfId="1922"/>
    <cellStyle name="Note 2 2 4 2 6 2" xfId="1923"/>
    <cellStyle name="Output 2 2 2 13 2" xfId="1924"/>
    <cellStyle name="Calculation 2 2 3 2 6 2" xfId="1925"/>
    <cellStyle name="Input 2 2 3 2 6 2" xfId="1926"/>
    <cellStyle name="Note 2 2 3 2 6 2" xfId="1927"/>
    <cellStyle name="Output 2 2 3 2 6 2" xfId="1928"/>
    <cellStyle name="Total 2 2 3 2 6 2" xfId="1929"/>
    <cellStyle name="Total 2 2 4 3 6 2" xfId="1930"/>
    <cellStyle name="Output 2 2 5 2 6 2" xfId="1931"/>
    <cellStyle name="Output 2 2 4 3 6 2" xfId="1932"/>
    <cellStyle name="Total 2 2 5 2 6 2" xfId="1933"/>
    <cellStyle name="Input 2 2 4 3 6 2" xfId="1934"/>
    <cellStyle name="Calculation 2 2 4 3 6 2" xfId="1935"/>
    <cellStyle name="Calculation 2 2 2 3 6 2" xfId="1936"/>
    <cellStyle name="Input 2 2 2 3 6 2" xfId="1937"/>
    <cellStyle name="Note 2 2 2 3 6 2" xfId="1938"/>
    <cellStyle name="Output 2 2 2 3 6 2" xfId="1939"/>
    <cellStyle name="Total 2 2 2 3 6 2" xfId="1940"/>
    <cellStyle name="Note 2 2 4 3 6 2" xfId="1941"/>
    <cellStyle name="Calculation 2 2 3 3 6 2" xfId="1942"/>
    <cellStyle name="Input 2 2 3 3 6 2" xfId="1943"/>
    <cellStyle name="Note 2 2 3 3 6 2" xfId="1944"/>
    <cellStyle name="Output 2 2 3 3 6 2" xfId="1945"/>
    <cellStyle name="Total 2 2 3 3 6 2" xfId="1946"/>
    <cellStyle name="Calculation 2 2 5 2 6 2" xfId="1947"/>
    <cellStyle name="Input 2 2 5 2 6 2" xfId="1948"/>
    <cellStyle name="Note 2 2 5 2 6 2" xfId="1949"/>
    <cellStyle name="Total 2 2 4 4 6 2" xfId="1950"/>
    <cellStyle name="Output 2 2 5 3 6 2" xfId="1951"/>
    <cellStyle name="Output 2 2 4 4 6 2" xfId="1952"/>
    <cellStyle name="Total 2 2 5 3 6 2" xfId="1953"/>
    <cellStyle name="Input 2 2 4 4 6 2" xfId="1954"/>
    <cellStyle name="Calculation 2 2 4 4 6 2" xfId="1955"/>
    <cellStyle name="Calculation 2 2 2 4 6 2" xfId="1956"/>
    <cellStyle name="Input 2 2 2 4 6 2" xfId="1957"/>
    <cellStyle name="Note 2 2 2 4 6 2" xfId="1958"/>
    <cellStyle name="Output 2 2 2 4 6 2" xfId="1959"/>
    <cellStyle name="Total 2 2 2 4 6 2" xfId="1960"/>
    <cellStyle name="Note 2 2 4 4 6 2" xfId="1961"/>
    <cellStyle name="Calculation 2 2 3 4 6 2" xfId="1962"/>
    <cellStyle name="Input 2 2 3 4 6 2" xfId="1963"/>
    <cellStyle name="Note 2 2 3 4 6 2" xfId="1964"/>
    <cellStyle name="Output 2 2 3 4 6 2" xfId="1965"/>
    <cellStyle name="Total 2 2 3 4 6 2" xfId="1966"/>
    <cellStyle name="Calculation 2 2 5 3 6 2" xfId="1967"/>
    <cellStyle name="Input 2 2 5 3 6 2" xfId="1968"/>
    <cellStyle name="Note 2 2 5 3 6 2" xfId="1969"/>
    <cellStyle name="Total 2 2 6 7 2" xfId="1970"/>
    <cellStyle name="Output 2 2 6 7 2" xfId="1971"/>
    <cellStyle name="Note 2 2 6 7 2" xfId="1972"/>
    <cellStyle name="Input 2 2 6 7 2" xfId="1973"/>
    <cellStyle name="Calculation 2 2 6 7 2" xfId="1974"/>
    <cellStyle name="Total 2 3 8 2" xfId="1975"/>
    <cellStyle name="Output 2 3 8 2" xfId="1976"/>
    <cellStyle name="Note 2 3 8 2" xfId="1977"/>
    <cellStyle name="Calculation 2 3 8 2" xfId="1978"/>
    <cellStyle name="Input 2 3 8 2" xfId="1979"/>
    <cellStyle name="Total 2 2 4 2 7 2" xfId="1980"/>
    <cellStyle name="Output 2 2 4 2 7 2" xfId="1981"/>
    <cellStyle name="Input 2 2 4 2 7 2" xfId="1982"/>
    <cellStyle name="Calculation 2 2 4 2 7 2" xfId="1983"/>
    <cellStyle name="Calculation 2 2 2 2 7 2" xfId="1984"/>
    <cellStyle name="Input 2 2 2 2 7 2" xfId="1985"/>
    <cellStyle name="Note 2 2 2 2 7 2" xfId="1986"/>
    <cellStyle name="Output 2 2 2 2 7 2" xfId="1987"/>
    <cellStyle name="Total 2 2 2 2 7 2" xfId="1988"/>
    <cellStyle name="Note 2 2 4 2 7 2" xfId="1989"/>
    <cellStyle name="Calculation 2 2 3 2 7 2" xfId="1990"/>
    <cellStyle name="Input 2 2 3 2 7 2" xfId="1991"/>
    <cellStyle name="Note 2 2 3 2 7 2" xfId="1992"/>
    <cellStyle name="Output 2 2 3 2 7 2" xfId="1993"/>
    <cellStyle name="Total 2 2 3 2 7 2" xfId="1994"/>
    <cellStyle name="Total 2 2 4 3 7 2" xfId="1995"/>
    <cellStyle name="Output 2 2 5 2 7 2" xfId="1996"/>
    <cellStyle name="Output 2 2 4 3 7 2" xfId="1997"/>
    <cellStyle name="Total 2 2 5 2 7 2" xfId="1998"/>
    <cellStyle name="Input 2 2 4 3 7 2" xfId="1999"/>
    <cellStyle name="Calculation 2 2 4 3 7 2" xfId="2000"/>
    <cellStyle name="Calculation 2 2 2 3 7 2" xfId="2001"/>
    <cellStyle name="Input 2 2 2 3 7 2" xfId="2002"/>
    <cellStyle name="Note 2 2 2 3 7 2" xfId="2003"/>
    <cellStyle name="Output 2 2 2 3 7 2" xfId="2004"/>
    <cellStyle name="Total 2 2 2 3 7 2" xfId="2005"/>
    <cellStyle name="Note 2 2 4 3 7 2" xfId="2006"/>
    <cellStyle name="Calculation 2 2 3 3 7 2" xfId="2007"/>
    <cellStyle name="Input 2 2 3 3 7 2" xfId="2008"/>
    <cellStyle name="Note 2 2 3 3 7 2" xfId="2009"/>
    <cellStyle name="Output 2 2 3 3 7 2" xfId="2010"/>
    <cellStyle name="Total 2 2 3 3 7 2" xfId="2011"/>
    <cellStyle name="Calculation 2 2 5 2 7 2" xfId="2012"/>
    <cellStyle name="Input 2 2 5 2 7 2" xfId="2013"/>
    <cellStyle name="Note 2 2 5 2 7 2" xfId="2014"/>
    <cellStyle name="Total 2 2 4 4 7 2" xfId="2015"/>
    <cellStyle name="Output 2 2 5 3 7 2" xfId="2016"/>
    <cellStyle name="Output 2 2 4 4 7 2" xfId="2017"/>
    <cellStyle name="Total 2 2 5 3 7 2" xfId="2018"/>
    <cellStyle name="Input 2 2 4 4 7 2" xfId="2019"/>
    <cellStyle name="Calculation 2 2 4 4 7 2" xfId="2020"/>
    <cellStyle name="Calculation 2 2 2 4 7 2" xfId="2021"/>
    <cellStyle name="Input 2 2 2 4 7 2" xfId="2022"/>
    <cellStyle name="Note 2 2 2 4 7 2" xfId="2023"/>
    <cellStyle name="Output 2 2 2 4 7 2" xfId="2024"/>
    <cellStyle name="Total 2 2 2 4 7 2" xfId="2025"/>
    <cellStyle name="Note 2 2 4 4 7 2" xfId="2026"/>
    <cellStyle name="Calculation 2 2 3 4 7 2" xfId="2027"/>
    <cellStyle name="Input 2 2 3 4 7 2" xfId="2028"/>
    <cellStyle name="Note 2 2 3 4 7 2" xfId="2029"/>
    <cellStyle name="Output 2 2 3 4 7 2" xfId="2030"/>
    <cellStyle name="Total 2 2 3 4 7 2" xfId="2031"/>
    <cellStyle name="Calculation 2 2 5 3 7 2" xfId="2032"/>
    <cellStyle name="Input 2 2 5 3 7 2" xfId="2033"/>
    <cellStyle name="Note 2 2 5 3 7 2" xfId="2034"/>
    <cellStyle name="Total 2 2 6 8 2" xfId="2035"/>
    <cellStyle name="Output 2 2 6 8 2" xfId="2036"/>
    <cellStyle name="Note 2 2 6 8 2" xfId="2037"/>
    <cellStyle name="Input 2 2 6 8 2" xfId="2038"/>
    <cellStyle name="Calculation 2 2 6 8 2" xfId="2039"/>
    <cellStyle name="Total 2 3 9 2" xfId="2040"/>
    <cellStyle name="Output 2 3 9 2" xfId="2041"/>
    <cellStyle name="Note 2 3 9 2" xfId="2042"/>
    <cellStyle name="Calculation 2 3 9 2" xfId="2043"/>
    <cellStyle name="Input 2 3 9 2" xfId="2044"/>
    <cellStyle name="Total 2 2 4 2 8 2" xfId="2045"/>
    <cellStyle name="Output 2 2 4 2 8 2" xfId="2046"/>
    <cellStyle name="Input 2 2 4 2 8 2" xfId="2047"/>
    <cellStyle name="Calculation 2 2 4 2 8 2" xfId="2048"/>
    <cellStyle name="Calculation 2 2 2 2 8 2" xfId="2049"/>
    <cellStyle name="Input 2 2 2 2 8 2" xfId="2050"/>
    <cellStyle name="Note 2 2 2 2 8 2" xfId="2051"/>
    <cellStyle name="Output 2 2 2 2 8 2" xfId="2052"/>
    <cellStyle name="Total 2 2 2 2 8 2" xfId="2053"/>
    <cellStyle name="Note 2 2 4 2 8 2" xfId="2054"/>
    <cellStyle name="Calculation 2 2 3 2 8 2" xfId="2055"/>
    <cellStyle name="Input 2 2 3 2 8 2" xfId="2056"/>
    <cellStyle name="Note 2 2 3 2 8 2" xfId="2057"/>
    <cellStyle name="Output 2 2 3 2 8 2" xfId="2058"/>
    <cellStyle name="Total 2 2 3 2 8 2" xfId="2059"/>
    <cellStyle name="Total 2 2 4 3 8 2" xfId="2060"/>
    <cellStyle name="Output 2 2 5 2 8 2" xfId="2061"/>
    <cellStyle name="Output 2 2 4 3 8 2" xfId="2062"/>
    <cellStyle name="Total 2 2 5 2 8 2" xfId="2063"/>
    <cellStyle name="Input 2 2 4 3 8 2" xfId="2064"/>
    <cellStyle name="Calculation 2 2 4 3 8 2" xfId="2065"/>
    <cellStyle name="Calculation 2 2 2 3 8 2" xfId="2066"/>
    <cellStyle name="Input 2 2 2 3 8 2" xfId="2067"/>
    <cellStyle name="Note 2 2 2 3 8 2" xfId="2068"/>
    <cellStyle name="Output 2 2 2 3 8 2" xfId="2069"/>
    <cellStyle name="Total 2 2 2 3 8 2" xfId="2070"/>
    <cellStyle name="Note 2 2 4 3 8 2" xfId="2071"/>
    <cellStyle name="Calculation 2 2 3 3 8 2" xfId="2072"/>
    <cellStyle name="Input 2 2 3 3 8 2" xfId="2073"/>
    <cellStyle name="Note 2 2 3 3 8 2" xfId="2074"/>
    <cellStyle name="Output 2 2 3 3 8 2" xfId="2075"/>
    <cellStyle name="Total 2 2 3 3 8 2" xfId="2076"/>
    <cellStyle name="Calculation 2 2 5 2 8 2" xfId="2077"/>
    <cellStyle name="Input 2 2 5 2 8 2" xfId="2078"/>
    <cellStyle name="Note 2 2 5 2 8 2" xfId="2079"/>
    <cellStyle name="Total 2 2 4 4 8 2" xfId="2080"/>
    <cellStyle name="Output 2 2 5 3 8 2" xfId="2081"/>
    <cellStyle name="Output 2 2 4 4 8 2" xfId="2082"/>
    <cellStyle name="Total 2 2 5 3 8 2" xfId="2083"/>
    <cellStyle name="Input 2 2 4 4 8 2" xfId="2084"/>
    <cellStyle name="Calculation 2 2 4 4 8 2" xfId="2085"/>
    <cellStyle name="Calculation 2 2 2 4 8 2" xfId="2086"/>
    <cellStyle name="Input 2 2 2 4 8 2" xfId="2087"/>
    <cellStyle name="Note 2 2 2 4 8 2" xfId="2088"/>
    <cellStyle name="Output 2 2 2 4 8 2" xfId="2089"/>
    <cellStyle name="Total 2 2 2 4 8 2" xfId="2090"/>
    <cellStyle name="Note 2 2 4 4 8 2" xfId="2091"/>
    <cellStyle name="Calculation 2 2 3 4 8 2" xfId="2092"/>
    <cellStyle name="Input 2 2 3 4 8 2" xfId="2093"/>
    <cellStyle name="Note 2 2 3 4 8 2" xfId="2094"/>
    <cellStyle name="Output 2 2 3 4 8 2" xfId="2095"/>
    <cellStyle name="Total 2 2 3 4 8 2" xfId="2096"/>
    <cellStyle name="Calculation 2 2 5 3 8 2" xfId="2097"/>
    <cellStyle name="Input 2 2 5 3 8 2" xfId="2098"/>
    <cellStyle name="Note 2 2 5 3 8 2" xfId="2099"/>
    <cellStyle name="Calculation 2 2 3 2 10 2" xfId="2100"/>
    <cellStyle name="Input 2 2 4 4 10 2" xfId="2101"/>
    <cellStyle name="Note 2 2 6 10 2" xfId="2102"/>
    <cellStyle name="Input 2 2 2 4 10 2" xfId="2103"/>
    <cellStyle name="Normal 3 8" xfId="2104"/>
    <cellStyle name="Calculation 2 3 10 2" xfId="2105"/>
    <cellStyle name="Output 2 2 4 3 9 2" xfId="2106"/>
    <cellStyle name="Calculation 2 2 4 2 10 2" xfId="2107"/>
    <cellStyle name="Total 2 2 2 3 9 2" xfId="2108"/>
    <cellStyle name="Output 2 2 4 14 2" xfId="2109"/>
    <cellStyle name="Output 2 2 6 9 2" xfId="2110"/>
    <cellStyle name="Output 2 2 3 14 2" xfId="2111"/>
    <cellStyle name="Note 2 2 4 15 2" xfId="2112"/>
    <cellStyle name="Note 2 2 2 2 10 2" xfId="2113"/>
    <cellStyle name="Note 2 2 3 3 10 2" xfId="2114"/>
    <cellStyle name="Total 2 3 10 2" xfId="2115"/>
    <cellStyle name="Calculation 2 2 2 3 10 2" xfId="2116"/>
    <cellStyle name="Input 2 2 2 14 2" xfId="2117"/>
    <cellStyle name="Output 2 2 4 2 9 2" xfId="2118"/>
    <cellStyle name="Calculation 2 4 2" xfId="2119"/>
    <cellStyle name="Calculation 2 2 3 14 2" xfId="2120"/>
    <cellStyle name="Total 2 2 3 14 2" xfId="2121"/>
    <cellStyle name="Output 2 2 2 14 2" xfId="2122"/>
    <cellStyle name="Total 2 2 2 15 2" xfId="2123"/>
    <cellStyle name="Calculation 2 2 4 15 2" xfId="2124"/>
    <cellStyle name="Input 2 4 2" xfId="2125"/>
    <cellStyle name="Note 2 2 4 14 2" xfId="2126"/>
    <cellStyle name="Note 2 2 2 14 2" xfId="2127"/>
    <cellStyle name="Note 2 5 2" xfId="2128"/>
    <cellStyle name="Output 2 5 2" xfId="2129"/>
    <cellStyle name="Calculation 2 2 4 4 10 2" xfId="2130"/>
    <cellStyle name="Total 2 2 2 4 9 2" xfId="2131"/>
    <cellStyle name="Total 2 5 2" xfId="2132"/>
    <cellStyle name="Normal 4 8" xfId="2133"/>
    <cellStyle name="Calculation 2 2 5 14 2" xfId="2134"/>
    <cellStyle name="Calculation 2 2 4 14 2" xfId="2135"/>
    <cellStyle name="Normal 6 5" xfId="2136"/>
    <cellStyle name="Total 2 2 2 14 2" xfId="2137"/>
    <cellStyle name="Output 2 2 2 4 9 2" xfId="2138"/>
    <cellStyle name="Note 2 2 2 4 10 2" xfId="2139"/>
    <cellStyle name="Normal 3 2 6" xfId="2140"/>
    <cellStyle name="Calculation 2 2 8 2" xfId="2141"/>
    <cellStyle name="Input 2 2 8 2" xfId="2142"/>
    <cellStyle name="Note 2 2 8 2" xfId="2143"/>
    <cellStyle name="Output 2 2 8 2" xfId="2144"/>
    <cellStyle name="Calculation 2 2 2 4 10 2" xfId="2145"/>
    <cellStyle name="Total 2 2 8 2" xfId="2146"/>
    <cellStyle name="Output 2 2 2 15 2" xfId="2147"/>
    <cellStyle name="Normal 4 2 6" xfId="2148"/>
    <cellStyle name="Normal 7 5" xfId="2149"/>
    <cellStyle name="Normal 3 3 6" xfId="2150"/>
    <cellStyle name="Normal 4 3 6" xfId="2151"/>
    <cellStyle name="Normal 8 5" xfId="2152"/>
    <cellStyle name="Normal 9 5" xfId="2153"/>
    <cellStyle name="Note 2 2 5 3 10 2" xfId="2154"/>
    <cellStyle name="Normal 3 4 4" xfId="2155"/>
    <cellStyle name="Note 2 2 5 2 10 2" xfId="2156"/>
    <cellStyle name="Note 2 2 3 2 10 2" xfId="2157"/>
    <cellStyle name="Note 2 3 10 2" xfId="2158"/>
    <cellStyle name="Output 2 3 10 2" xfId="2159"/>
    <cellStyle name="Normal 4 4 4" xfId="2160"/>
    <cellStyle name="Normal 6 2 4" xfId="2161"/>
    <cellStyle name="Input 2 2 3 15 2" xfId="2162"/>
    <cellStyle name="Normal 3 2 2 4" xfId="2163"/>
    <cellStyle name="Output 2 2 2 2 9 2" xfId="2164"/>
    <cellStyle name="Note 2 2 2 15 2" xfId="2165"/>
    <cellStyle name="Input 2 3 10 2" xfId="2166"/>
    <cellStyle name="Note 2 2 4 4 10 2" xfId="2167"/>
    <cellStyle name="Normal 4 2 2 4" xfId="2168"/>
    <cellStyle name="Normal 7 2 4" xfId="2169"/>
    <cellStyle name="Normal 3 3 2 4" xfId="2170"/>
    <cellStyle name="Normal 4 3 2 4" xfId="2171"/>
    <cellStyle name="Normal 8 2 4" xfId="2172"/>
    <cellStyle name="Normal 9 2 4" xfId="2173"/>
    <cellStyle name="Output 2 2 3 3 9 2" xfId="2174"/>
    <cellStyle name="Output 2 2 3 4 9 2" xfId="2175"/>
    <cellStyle name="Calculation 2 2 2 15 2" xfId="2176"/>
    <cellStyle name="Normal 3 5 3" xfId="2177"/>
    <cellStyle name="Output 2 2 4 4 9 2" xfId="2178"/>
    <cellStyle name="Note 2 2 6 9 2" xfId="2179"/>
    <cellStyle name="Input 2 2 6 9 2" xfId="2180"/>
    <cellStyle name="Calculation 2 2 6 9 2" xfId="2181"/>
    <cellStyle name="Total 2 2 5 3 9 2" xfId="2182"/>
    <cellStyle name="Total 2 2 5 14 2" xfId="2183"/>
    <cellStyle name="Normal 4 5 3" xfId="2184"/>
    <cellStyle name="Normal 6 3 2" xfId="2185"/>
    <cellStyle name="Normal 3 2 3 3" xfId="2186"/>
    <cellStyle name="Input 2 2 2 15 2" xfId="2187"/>
    <cellStyle name="Normal 4 2 3 3" xfId="2188"/>
    <cellStyle name="Normal 7 3 2" xfId="2189"/>
    <cellStyle name="Normal 3 3 3 3" xfId="2190"/>
    <cellStyle name="Normal 4 3 3 3" xfId="2191"/>
    <cellStyle name="Normal 8 3 3" xfId="2192"/>
    <cellStyle name="Normal 9 3 2" xfId="2193"/>
    <cellStyle name="Normal 3 4 2 2" xfId="2194"/>
    <cellStyle name="Total 2 2 3 3 9 2" xfId="2195"/>
    <cellStyle name="Input 2 2 4 2 9 2" xfId="2196"/>
    <cellStyle name="Normal 4 4 2 2" xfId="2197"/>
    <cellStyle name="Normal 6 2 2 2" xfId="2198"/>
    <cellStyle name="Calculation 2 2 4 2 9 2" xfId="2199"/>
    <cellStyle name="Normal 3 2 2 2 2" xfId="2200"/>
    <cellStyle name="Calculation 2 2 2 2 9 2" xfId="2201"/>
    <cellStyle name="Input 2 2 2 2 9 2" xfId="2202"/>
    <cellStyle name="Note 2 2 2 2 9 2" xfId="2203"/>
    <cellStyle name="Total 2 2 2 2 9 2" xfId="2204"/>
    <cellStyle name="Calculation 2 2 3 4 10 2" xfId="2205"/>
    <cellStyle name="Note 2 2 4 2 9 2" xfId="2206"/>
    <cellStyle name="Normal 4 2 2 2 2" xfId="2207"/>
    <cellStyle name="Normal 7 2 2 2" xfId="2208"/>
    <cellStyle name="Normal 3 3 2 2 2" xfId="2209"/>
    <cellStyle name="Normal 4 3 2 2 2" xfId="2210"/>
    <cellStyle name="Normal 8 2 2 3" xfId="2211"/>
    <cellStyle name="Normal 9 2 2 2" xfId="2212"/>
    <cellStyle name="Calculation 2 2 3 2 9 2" xfId="2213"/>
    <cellStyle name="Input 2 2 3 2 9 2" xfId="2214"/>
    <cellStyle name="Note 2 2 3 2 9 2" xfId="2215"/>
    <cellStyle name="Total 2 2 3 4 9 2" xfId="2216"/>
    <cellStyle name="Total 2 2 4 4 9 2" xfId="2217"/>
    <cellStyle name="Calculation 2 2 5 2 10 2" xfId="2218"/>
    <cellStyle name="Input 2 2 4 3 9 2" xfId="2219"/>
    <cellStyle name="Calculation 2 2 4 3 9 2" xfId="2220"/>
    <cellStyle name="Calculation 2 2 2 3 9 2" xfId="2221"/>
    <cellStyle name="Input 2 2 2 3 9 2" xfId="2222"/>
    <cellStyle name="Note 2 2 2 3 9 2" xfId="2223"/>
    <cellStyle name="Input 2 2 3 4 10 2" xfId="2224"/>
    <cellStyle name="Note 2 2 4 3 9 2" xfId="2225"/>
    <cellStyle name="Calculation 2 2 3 3 9 2" xfId="2226"/>
    <cellStyle name="Input 2 2 3 3 9 2" xfId="2227"/>
    <cellStyle name="Note 2 2 3 3 9 2" xfId="2228"/>
    <cellStyle name="Calculation 2 2 5 3 10 2" xfId="2229"/>
    <cellStyle name="Calculation 2 2 5 2 9 2" xfId="2230"/>
    <cellStyle name="Input 2 2 5 2 9 2" xfId="2231"/>
    <cellStyle name="Note 2 2 5 2 9 2" xfId="2232"/>
    <cellStyle name="Output 2 2 5 3 9 2" xfId="2233"/>
    <cellStyle name="Input 2 2 5 2 10 2" xfId="2234"/>
    <cellStyle name="Input 2 2 3 2 10 2" xfId="2235"/>
    <cellStyle name="Input 2 2 4 4 9 2" xfId="2236"/>
    <cellStyle name="Calculation 2 2 4 4 9 2" xfId="2237"/>
    <cellStyle name="Calculation 2 2 2 4 9 2" xfId="2238"/>
    <cellStyle name="Input 2 2 2 4 9 2" xfId="2239"/>
    <cellStyle name="Note 2 2 2 4 9 2" xfId="2240"/>
    <cellStyle name="Note 2 2 3 4 10 2" xfId="2241"/>
    <cellStyle name="Note 2 2 4 4 9 2" xfId="2242"/>
    <cellStyle name="Calculation 2 2 3 4 9 2" xfId="2243"/>
    <cellStyle name="Input 2 2 3 4 9 2" xfId="2244"/>
    <cellStyle name="Note 2 2 3 4 9 2" xfId="2245"/>
    <cellStyle name="Input 2 2 5 3 10 2" xfId="2246"/>
    <cellStyle name="Calculation 2 2 5 3 9 2" xfId="2247"/>
    <cellStyle name="Input 2 2 5 3 9 2" xfId="2248"/>
    <cellStyle name="Note 2 2 5 3 9 2" xfId="2249"/>
    <cellStyle name="Normal 8 2 2 2 2" xfId="2250"/>
    <cellStyle name="Normal 8 3 2 2" xfId="2251"/>
    <cellStyle name="Note 2 2 4 2 10 2" xfId="2252"/>
    <cellStyle name="Input 2 2 5 14 2" xfId="2253"/>
    <cellStyle name="Total 2 2 5 15 2" xfId="2254"/>
    <cellStyle name="Total 2 2 3 2 9 2" xfId="2255"/>
    <cellStyle name="Input 2 2 4 15 2" xfId="2256"/>
    <cellStyle name="Output 2 2 3 2 9 2" xfId="2257"/>
    <cellStyle name="Input 2 2 6 10 2" xfId="2258"/>
    <cellStyle name="Input 2 2 3 14 2" xfId="2259"/>
    <cellStyle name="Input 2 2 4 14 2" xfId="2260"/>
    <cellStyle name="Total 2 2 4 14 2" xfId="2261"/>
    <cellStyle name="Note 2 2 3 15 2" xfId="2262"/>
    <cellStyle name="Note 2 2 5 14 2" xfId="2263"/>
    <cellStyle name="Calculation 2 2 2 14 2" xfId="2264"/>
    <cellStyle name="Calculation 2 2 4 3 10 2" xfId="2265"/>
    <cellStyle name="Calculation 2 2 6 10 2" xfId="2266"/>
    <cellStyle name="Input 2 2 3 3 10 2" xfId="2267"/>
    <cellStyle name="Input 2 2 2 2 10 2" xfId="2268"/>
    <cellStyle name="Note 2 2 3 14 2" xfId="2269"/>
    <cellStyle name="Total 2 2 6 9 2" xfId="2270"/>
    <cellStyle name="Output 2 2 5 14 2" xfId="2271"/>
    <cellStyle name="Output 2 2 2 3 9 2" xfId="2272"/>
    <cellStyle name="Total 2 2 4 15 2" xfId="2273"/>
    <cellStyle name="Output 2 2 3 15 2" xfId="2274"/>
    <cellStyle name="Output 2 2 5 15 2" xfId="2275"/>
    <cellStyle name="Total 2 2 4 2 9 2" xfId="2276"/>
    <cellStyle name="Input 2 2 4 3 10 2" xfId="2277"/>
    <cellStyle name="Calculation 2 2 3 3 10 2" xfId="2278"/>
    <cellStyle name="Calculation 2 2 2 2 10 2" xfId="2279"/>
    <cellStyle name="Note 2 2 2 3 10 2" xfId="2280"/>
    <cellStyle name="Output 2 2 5 2 9 2" xfId="2281"/>
    <cellStyle name="Total 2 2 3 15 2" xfId="2282"/>
    <cellStyle name="Output 2 2 4 15 2" xfId="2283"/>
    <cellStyle name="Total 2 2 5 2 9 2" xfId="2284"/>
    <cellStyle name="Note 2 2 4 3 10 2" xfId="2285"/>
    <cellStyle name="Input 2 2 2 3 10 2" xfId="2286"/>
    <cellStyle name="Input 2 2 4 2 10 2" xfId="2287"/>
    <cellStyle name="Calculation 2 2 3 15 2" xfId="2288"/>
    <cellStyle name="Total 2 2 4 3 9 2" xfId="2289"/>
    <cellStyle name="Calculation 2 2 5 15 2" xfId="2290"/>
    <cellStyle name="Input 2 2 5 15 2" xfId="2291"/>
    <cellStyle name="Note 2 2 5 15 2" xfId="2292"/>
    <cellStyle name="Total 2 2 6 10 2" xfId="2293"/>
    <cellStyle name="Output 2 2 6 10 2" xfId="2294"/>
    <cellStyle name="Note 2 2 6 11 2" xfId="2295"/>
    <cellStyle name="Input 2 2 6 11 2" xfId="2296"/>
    <cellStyle name="Calculation 2 2 6 11 2" xfId="2297"/>
    <cellStyle name="Total 2 3 11 2" xfId="2298"/>
    <cellStyle name="Output 2 3 11 2" xfId="2299"/>
    <cellStyle name="Note 2 3 11 2" xfId="2300"/>
    <cellStyle name="Calculation 2 3 11 2" xfId="2301"/>
    <cellStyle name="Input 2 3 11 2" xfId="2302"/>
    <cellStyle name="Total 2 2 4 2 10 2" xfId="2303"/>
    <cellStyle name="Output 2 2 4 2 10 2" xfId="2304"/>
    <cellStyle name="Input 2 2 4 2 11 2" xfId="2305"/>
    <cellStyle name="Calculation 2 2 4 2 11 2" xfId="2306"/>
    <cellStyle name="Calculation 2 2 2 2 11 2" xfId="2307"/>
    <cellStyle name="Input 2 2 2 2 11 2" xfId="2308"/>
    <cellStyle name="Note 2 2 2 2 11 2" xfId="2309"/>
    <cellStyle name="Output 2 2 2 2 10 2" xfId="2310"/>
    <cellStyle name="Total 2 2 2 2 10 2" xfId="2311"/>
    <cellStyle name="Note 2 2 4 2 11 2" xfId="2312"/>
    <cellStyle name="Calculation 2 2 3 2 11 2" xfId="2313"/>
    <cellStyle name="Input 2 2 3 2 11 2" xfId="2314"/>
    <cellStyle name="Note 2 2 3 2 11 2" xfId="2315"/>
    <cellStyle name="Output 2 2 3 2 10 2" xfId="2316"/>
    <cellStyle name="Total 2 2 3 2 10 2" xfId="2317"/>
    <cellStyle name="Total 2 2 4 3 10 2" xfId="2318"/>
    <cellStyle name="Output 2 2 5 2 10 2" xfId="2319"/>
    <cellStyle name="Output 2 2 4 3 10 2" xfId="2320"/>
    <cellStyle name="Total 2 2 5 2 10 2" xfId="2321"/>
    <cellStyle name="Input 2 2 4 3 11 2" xfId="2322"/>
    <cellStyle name="Calculation 2 2 4 3 11 2" xfId="2323"/>
    <cellStyle name="Calculation 2 2 2 3 11 2" xfId="2324"/>
    <cellStyle name="Input 2 2 2 3 11 2" xfId="2325"/>
    <cellStyle name="Note 2 2 2 3 11 2" xfId="2326"/>
    <cellStyle name="Output 2 2 2 3 10 2" xfId="2327"/>
    <cellStyle name="Total 2 2 2 3 10 2" xfId="2328"/>
    <cellStyle name="Note 2 2 4 3 11 2" xfId="2329"/>
    <cellStyle name="Calculation 2 2 3 3 11 2" xfId="2330"/>
    <cellStyle name="Input 2 2 3 3 11 2" xfId="2331"/>
    <cellStyle name="Note 2 2 3 3 11 2" xfId="2332"/>
    <cellStyle name="Output 2 2 3 3 10 2" xfId="2333"/>
    <cellStyle name="Total 2 2 3 3 10 2" xfId="2334"/>
    <cellStyle name="Calculation 2 2 5 2 11 2" xfId="2335"/>
    <cellStyle name="Input 2 2 5 2 11 2" xfId="2336"/>
    <cellStyle name="Note 2 2 5 2 11 2" xfId="2337"/>
    <cellStyle name="Total 2 2 4 4 10 2" xfId="2338"/>
    <cellStyle name="Output 2 2 5 3 10 2" xfId="2339"/>
    <cellStyle name="Output 2 2 4 4 10 2" xfId="2340"/>
    <cellStyle name="Total 2 2 5 3 10 2" xfId="2341"/>
    <cellStyle name="Input 2 2 4 4 11 2" xfId="2342"/>
    <cellStyle name="Calculation 2 2 4 4 11 2" xfId="2343"/>
    <cellStyle name="Calculation 2 2 2 4 11 2" xfId="2344"/>
    <cellStyle name="Input 2 2 2 4 11 2" xfId="2345"/>
    <cellStyle name="Note 2 2 2 4 11 2" xfId="2346"/>
    <cellStyle name="Output 2 2 2 4 10 2" xfId="2347"/>
    <cellStyle name="Total 2 2 2 4 10 2" xfId="2348"/>
    <cellStyle name="Note 2 2 4 4 11 2" xfId="2349"/>
    <cellStyle name="Calculation 2 2 3 4 11 2" xfId="2350"/>
    <cellStyle name="Input 2 2 3 4 11 2" xfId="2351"/>
    <cellStyle name="Note 2 2 3 4 11 2" xfId="2352"/>
    <cellStyle name="Output 2 2 3 4 10 2" xfId="2353"/>
    <cellStyle name="Total 2 2 3 4 10 2" xfId="2354"/>
    <cellStyle name="Calculation 2 2 5 3 11 2" xfId="2355"/>
    <cellStyle name="Input 2 2 5 3 11 2" xfId="2356"/>
    <cellStyle name="Note 2 2 5 3 11 2" xfId="2357"/>
    <cellStyle name="Output 2 2 5 4 3" xfId="2358"/>
    <cellStyle name="Output 2 2 4 5 3" xfId="2359"/>
    <cellStyle name="Output 2 2 4 6 3" xfId="2360"/>
    <cellStyle name="Total 2 2 5 6 3" xfId="2361"/>
    <cellStyle name="Total 2 2 5 5 3" xfId="2362"/>
    <cellStyle name="Output 2 2 5 5 3" xfId="2363"/>
    <cellStyle name="Total 2 2 4 5 3" xfId="2364"/>
    <cellStyle name="Total 2 2 5 4 3" xfId="2365"/>
    <cellStyle name="Total 2 2 4 6 3" xfId="2366"/>
    <cellStyle name="Output 2 2 5 6 3" xfId="2367"/>
    <cellStyle name="Output 2 2 2 5 3" xfId="2368"/>
    <cellStyle name="Total 2 2 2 5 3" xfId="2369"/>
    <cellStyle name="Output 2 2 3 5 3" xfId="2370"/>
    <cellStyle name="Total 2 2 3 5 3" xfId="2371"/>
    <cellStyle name="Output 2 2 2 6 3" xfId="2372"/>
    <cellStyle name="Total 2 2 2 6 3" xfId="2373"/>
    <cellStyle name="Output 2 2 3 6 3" xfId="2374"/>
    <cellStyle name="Total 2 2 3 6 3" xfId="2375"/>
    <cellStyle name="Output 2 3 2 3" xfId="2376"/>
    <cellStyle name="Total 2 3 2 3" xfId="2377"/>
    <cellStyle name="Output 2 4 2 2" xfId="2378"/>
    <cellStyle name="Total 2 4 2 2" xfId="2379"/>
    <cellStyle name="Normal 105" xfId="238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Relationship Type="http://schemas.openxmlformats.org/officeDocument/2006/relationships/image" Target="/xl/media/image4.png" Id="rId3" /><Relationship Type="http://schemas.openxmlformats.org/officeDocument/2006/relationships/image" Target="/xl/media/image5.png" Id="rId4" /><Relationship Type="http://schemas.openxmlformats.org/officeDocument/2006/relationships/image" Target="/xl/media/image6.png" Id="rId5" /><Relationship Type="http://schemas.openxmlformats.org/officeDocument/2006/relationships/image" Target="/xl/media/image7.png" Id="rId6" /><Relationship Type="http://schemas.openxmlformats.org/officeDocument/2006/relationships/image" Target="/xl/media/image8.png" Id="rId7" /><Relationship Type="http://schemas.openxmlformats.org/officeDocument/2006/relationships/image" Target="/xl/media/image9.png" Id="rId8" /><Relationship Type="http://schemas.openxmlformats.org/officeDocument/2006/relationships/image" Target="/xl/media/image10.png" Id="rId9" /><Relationship Type="http://schemas.openxmlformats.org/officeDocument/2006/relationships/image" Target="/xl/media/image11.png" Id="rId10" /><Relationship Type="http://schemas.openxmlformats.org/officeDocument/2006/relationships/image" Target="/xl/media/image12.png" Id="rId11" /><Relationship Type="http://schemas.openxmlformats.org/officeDocument/2006/relationships/image" Target="/xl/media/image13.png" Id="rId1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469870</colOff>
      <row>0</row>
      <rowOff>0</rowOff>
    </from>
    <to>
      <col>10</col>
      <colOff>146782</colOff>
      <row>16</row>
      <rowOff>104394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69870" y="0"/>
          <a:ext cx="5772912" cy="3438144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52</col>
      <colOff>1146810</colOff>
      <row>0</row>
      <rowOff>0</rowOff>
    </from>
    <to>
      <col>56</col>
      <colOff>676275</colOff>
      <row>21</row>
      <rowOff>14177</rowOff>
    </to>
    <pic>
      <nvPicPr>
        <cNvPr id="9" name="Picture 8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3048535" y="0"/>
          <a:ext cx="5873115" cy="341460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59</col>
      <colOff>867537</colOff>
      <row>0</row>
      <rowOff>0</rowOff>
    </from>
    <to>
      <col>64</col>
      <colOff>9526</colOff>
      <row>20</row>
      <rowOff>22816</rowOff>
    </to>
    <pic>
      <nvPicPr>
        <cNvPr id="12" name="Picture 11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2341887" y="0"/>
          <a:ext cx="5609464" cy="326131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67</col>
      <colOff>411305</colOff>
      <row>0</row>
      <rowOff>0</rowOff>
    </from>
    <to>
      <col>71</col>
      <colOff>1343024</colOff>
      <row>22</row>
      <rowOff>152400</rowOff>
    </to>
    <pic>
      <nvPicPr>
        <cNvPr id="17" name="Picture 16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70943930" y="0"/>
          <a:ext cx="5808519" cy="37147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123825</colOff>
      <row>0</row>
      <rowOff>0</rowOff>
    </from>
    <to>
      <col>7</col>
      <colOff>738759</colOff>
      <row>20</row>
      <rowOff>76200</rowOff>
    </to>
    <pic>
      <nvPicPr>
        <cNvPr id="3" name="Picture 2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781050" y="0"/>
          <a:ext cx="5701284" cy="33147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9</col>
      <colOff>70866</colOff>
      <row>0</row>
      <rowOff>0</rowOff>
    </from>
    <to>
      <col>13</col>
      <colOff>1181100</colOff>
      <row>20</row>
      <rowOff>76200</rowOff>
    </to>
    <pic>
      <nvPicPr>
        <cNvPr id="6" name="Picture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7319391" y="0"/>
          <a:ext cx="5701284" cy="33147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15</col>
      <colOff>5334</colOff>
      <row>0</row>
      <rowOff>0</rowOff>
    </from>
    <to>
      <col>19</col>
      <colOff>1140714</colOff>
      <row>19</row>
      <rowOff>114300</rowOff>
    </to>
    <pic>
      <nvPicPr>
        <cNvPr id="8" name="Picture 7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13749909" y="0"/>
          <a:ext cx="5488305" cy="31908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21</col>
      <colOff>98298</colOff>
      <row>0</row>
      <rowOff>0</rowOff>
    </from>
    <to>
      <col>25</col>
      <colOff>1143001</colOff>
      <row>19</row>
      <rowOff>83732</rowOff>
    </to>
    <pic>
      <nvPicPr>
        <cNvPr id="11" name="Picture 10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20100798" y="0"/>
          <a:ext cx="5435728" cy="316030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27</col>
      <colOff>30099</colOff>
      <row>0</row>
      <rowOff>0</rowOff>
    </from>
    <to>
      <col>31</col>
      <colOff>1143762</colOff>
      <row>19</row>
      <rowOff>123825</rowOff>
    </to>
    <pic>
      <nvPicPr>
        <cNvPr id="15" name="Picture 14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26261949" y="0"/>
          <a:ext cx="5504688" cy="32004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33</col>
      <colOff>60197</colOff>
      <row>0</row>
      <rowOff>0</rowOff>
    </from>
    <to>
      <col>37</col>
      <colOff>971168</colOff>
      <row>18</row>
      <rowOff>57150</rowOff>
    </to>
    <pic>
      <nvPicPr>
        <cNvPr id="18" name="Picture 17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32521397" y="0"/>
          <a:ext cx="5111496" cy="29718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39</col>
      <colOff>87249</colOff>
      <row>0</row>
      <rowOff>1</rowOff>
    </from>
    <to>
      <col>43</col>
      <colOff>1135380</colOff>
      <row>19</row>
      <rowOff>85726</rowOff>
    </to>
    <pic>
      <nvPicPr>
        <cNvPr id="20" name="Picture 19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38453949" y="1"/>
          <a:ext cx="5439156" cy="31623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75</col>
      <colOff>497897</colOff>
      <row>0</row>
      <rowOff>0</rowOff>
    </from>
    <to>
      <col>81</col>
      <colOff>466725</colOff>
      <row>24</row>
      <rowOff>114300</rowOff>
    </to>
    <pic>
      <nvPicPr>
        <cNvPr id="22" name="Picture 21"/>
        <cNvPicPr>
          <a:picLocks noChangeAspect="1"/>
        </cNvPicPr>
      </nvPicPr>
      <blipFill>
        <a:blip r:embed="rId11"/>
        <a:stretch>
          <a:fillRect/>
        </a:stretch>
      </blipFill>
      <spPr>
        <a:xfrm>
          <a:off x="79355372" y="0"/>
          <a:ext cx="6255328" cy="40005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45</col>
      <colOff>28575</colOff>
      <row>0</row>
      <rowOff>0</rowOff>
    </from>
    <to>
      <col>49</col>
      <colOff>1038225</colOff>
      <row>18</row>
      <rowOff>142210</rowOff>
    </to>
    <pic>
      <nvPicPr>
        <cNvPr id="4" name="Picture 3"/>
        <cNvPicPr>
          <a:picLocks noChangeAspect="1"/>
        </cNvPicPr>
      </nvPicPr>
      <blipFill>
        <a:blip r:embed="rId12"/>
        <a:stretch>
          <a:fillRect/>
        </a:stretch>
      </blipFill>
      <spPr>
        <a:xfrm>
          <a:off x="44624625" y="0"/>
          <a:ext cx="5257800" cy="305686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M9:M14"/>
  <sheetViews>
    <sheetView showGridLines="0" zoomScaleNormal="100" zoomScaleSheetLayoutView="100" zoomScalePageLayoutView="68" workbookViewId="0">
      <selection activeCell="A1" sqref="A1"/>
    </sheetView>
  </sheetViews>
  <sheetFormatPr baseColWidth="8" defaultRowHeight="15"/>
  <cols>
    <col width="9.140625" customWidth="1" style="2" min="1" max="8"/>
    <col width="9.140625" customWidth="1" style="2" min="9" max="9"/>
    <col width="9.140625" customWidth="1" style="2" min="10" max="16384"/>
  </cols>
  <sheetData>
    <row r="9" ht="18.75" customHeight="1">
      <c r="M9" s="1" t="n"/>
    </row>
    <row r="10" ht="18.75" customHeight="1">
      <c r="M10" s="1" t="n"/>
    </row>
    <row r="11" ht="18.75" customHeight="1">
      <c r="M11" s="3" t="n"/>
    </row>
    <row r="12" ht="18.75" customHeight="1">
      <c r="M12" s="1" t="n"/>
    </row>
    <row r="13" ht="18.75" customHeight="1">
      <c r="M13" s="1" t="n"/>
    </row>
    <row r="14" ht="18.75" customHeight="1">
      <c r="M14" s="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fSOMImSbFBzqxeSp327AzQ==" formatRows="1" sort="1" spinCount="100000" hashValue="KZYCMMku+YdnwXIH5KSj6dygNaVAFwWN9XzKmnUcvsjX1ZwUXwoswZGhpkB3BRsO9BElLRuTwcn5AlIFDJHa8w=="/>
  <pageMargins left="0.25" right="0.25" top="0.75" bottom="0.75" header="0.3" footer="0.3"/>
  <pageSetup orientation="portrait" horizontalDpi="4294967293"/>
  <headerFooter>
    <oddHeader/>
    <oddFooter>&amp;L&amp;"Calibri"&amp;10 &amp;K000000_x000d_# Security Classification: Protected A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E118"/>
  <sheetViews>
    <sheetView tabSelected="1" topLeftCell="AT1" zoomScale="70" zoomScaleNormal="70" workbookViewId="0">
      <selection activeCell="BL60" sqref="BL60"/>
    </sheetView>
  </sheetViews>
  <sheetFormatPr baseColWidth="8" defaultRowHeight="12.75"/>
  <cols>
    <col width="9.85546875" customWidth="1" style="10" min="1" max="1"/>
    <col width="12.7109375" customWidth="1" style="10" min="2" max="8"/>
    <col width="9.85546875" customWidth="1" style="10" min="9" max="9"/>
    <col width="12.7109375" customWidth="1" style="10" min="10" max="10"/>
    <col width="18.7109375" customWidth="1" style="10" min="11" max="14"/>
    <col width="9.85546875" customWidth="1" style="10" min="15" max="15"/>
    <col width="9.140625" customWidth="1" style="10" min="16" max="16"/>
    <col width="18.7109375" customWidth="1" style="10" min="17" max="20"/>
    <col width="9.85546875" customWidth="1" style="10" min="21" max="21"/>
    <col width="12.7109375" customWidth="1" style="10" min="22" max="22"/>
    <col width="17.7109375" customWidth="1" style="10" min="23" max="26"/>
    <col width="9.85546875" customWidth="1" style="10" min="27" max="27"/>
    <col width="12.7109375" customWidth="1" style="10" min="28" max="28"/>
    <col width="17.7109375" customWidth="1" style="10" min="29" max="32"/>
    <col width="9.85546875" customWidth="1" style="10" min="33" max="33"/>
    <col width="15.7109375" customWidth="1" style="10" min="34" max="34"/>
    <col width="9.85546875" customWidth="1" style="10" min="35" max="35"/>
    <col width="18.7109375" customWidth="1" style="10" min="36" max="37"/>
    <col width="15.7109375" customWidth="1" style="10" min="38" max="38"/>
    <col width="9.85546875" customWidth="1" style="10" min="39" max="39"/>
    <col width="12.7109375" customWidth="1" style="10" min="40" max="40"/>
    <col width="17.7109375" customWidth="1" style="10" min="41" max="44"/>
    <col width="9.85546875" customWidth="1" style="10" min="45" max="45"/>
    <col width="15.7109375" customWidth="1" style="10" min="46" max="46"/>
    <col width="9.85546875" customWidth="1" style="10" min="47" max="47"/>
    <col width="17.7109375" customWidth="1" style="10" min="48" max="48"/>
    <col width="20.42578125" customWidth="1" style="10" min="49" max="49"/>
    <col width="15.7109375" customWidth="1" style="10" min="50" max="50"/>
    <col width="9.85546875" customWidth="1" style="10" min="51" max="52"/>
    <col width="28.28515625" bestFit="1" customWidth="1" style="10" min="53" max="53"/>
    <col width="15.7109375" customWidth="1" style="10" min="54" max="54"/>
    <col width="22.85546875" customWidth="1" style="10" min="55" max="55"/>
    <col width="28.28515625" customWidth="1" style="10" min="56" max="56"/>
    <col width="15.7109375" customWidth="1" style="10" min="57" max="57"/>
    <col width="22.85546875" customWidth="1" style="10" min="58" max="58"/>
    <col width="9.85546875" customWidth="1" style="10" min="59" max="59"/>
    <col width="15.7109375" customWidth="1" style="10" min="60" max="60"/>
    <col width="20.5703125" customWidth="1" style="10" min="61" max="61"/>
    <col width="15.7109375" customWidth="1" style="10" min="62" max="63"/>
    <col width="29.28515625" customWidth="1" style="10" min="64" max="64"/>
    <col width="15.7109375" customWidth="1" style="10" min="65" max="65"/>
    <col width="9.85546875" customWidth="1" style="10" min="66" max="66"/>
    <col width="13.28515625" customWidth="1" style="10" min="67" max="67"/>
    <col width="17" customWidth="1" style="10" min="68" max="68"/>
    <col width="21.5703125" customWidth="1" style="10" min="69" max="69"/>
    <col width="18.140625" customWidth="1" style="10" min="70" max="70"/>
    <col width="16.42578125" customWidth="1" style="10" min="71" max="71"/>
    <col width="21.140625" customWidth="1" style="10" min="72" max="72"/>
    <col width="18.42578125" customWidth="1" style="10" min="73" max="73"/>
    <col width="9.85546875" customWidth="1" style="10" min="74" max="74"/>
    <col width="12.7109375" customWidth="1" style="10" min="75" max="75"/>
    <col width="15.7109375" customWidth="1" style="10" min="76" max="83"/>
    <col width="9.140625" customWidth="1" style="10" min="84" max="16384"/>
  </cols>
  <sheetData>
    <row r="1">
      <c r="B1" s="19" t="n"/>
      <c r="C1" s="21" t="n"/>
      <c r="D1" s="21" t="n"/>
      <c r="E1" s="21" t="n"/>
      <c r="F1" s="21" t="n"/>
      <c r="G1" s="21" t="n"/>
      <c r="H1" s="20" t="n"/>
      <c r="I1" s="21" t="n"/>
      <c r="J1" s="19" t="n"/>
      <c r="K1" s="21" t="n"/>
      <c r="L1" s="21" t="n"/>
      <c r="M1" s="21" t="n"/>
      <c r="N1" s="20" t="n"/>
      <c r="O1" s="19" t="n"/>
      <c r="P1" s="19" t="n"/>
      <c r="Q1" s="21" t="n"/>
      <c r="R1" s="21" t="n"/>
      <c r="S1" s="21" t="n"/>
      <c r="T1" s="20" t="n"/>
      <c r="U1" s="21" t="n"/>
      <c r="V1" s="19" t="n"/>
      <c r="W1" s="21" t="n"/>
      <c r="X1" s="21" t="n"/>
      <c r="Y1" s="21" t="n"/>
      <c r="Z1" s="20" t="n"/>
      <c r="AA1" s="21" t="n"/>
      <c r="AB1" s="19" t="n"/>
      <c r="AC1" s="21" t="n"/>
      <c r="AD1" s="21" t="n"/>
      <c r="AE1" s="21" t="n"/>
      <c r="AF1" s="20" t="n"/>
      <c r="AG1" s="21" t="n"/>
      <c r="AH1" s="19" t="n"/>
      <c r="AI1" s="21" t="n"/>
      <c r="AJ1" s="21" t="n"/>
      <c r="AK1" s="21" t="n"/>
      <c r="AL1" s="20" t="n"/>
      <c r="AM1" s="20" t="n"/>
      <c r="AN1" s="8" t="n"/>
      <c r="AR1" s="9" t="n"/>
      <c r="AT1" s="8" t="n"/>
      <c r="AX1" s="9" t="n"/>
      <c r="AZ1" s="8" t="n"/>
      <c r="BF1" s="9" t="n"/>
      <c r="BH1" s="8" t="n"/>
      <c r="BM1" s="9" t="n"/>
      <c r="BO1" s="8" t="n"/>
      <c r="BU1" s="9" t="n"/>
      <c r="BW1" s="19" t="n"/>
      <c r="BX1" s="21" t="n"/>
      <c r="BY1" s="21" t="n"/>
      <c r="BZ1" s="21" t="n"/>
      <c r="CA1" s="21" t="n"/>
      <c r="CB1" s="21" t="n"/>
      <c r="CC1" s="21" t="n"/>
      <c r="CD1" s="21" t="n"/>
      <c r="CE1" s="20" t="n"/>
    </row>
    <row r="2">
      <c r="B2" s="8" t="n"/>
      <c r="H2" s="9" t="n"/>
      <c r="J2" s="8" t="n"/>
      <c r="N2" s="9" t="n"/>
      <c r="O2" s="8" t="n"/>
      <c r="P2" s="8" t="n"/>
      <c r="T2" s="9" t="n"/>
      <c r="V2" s="8" t="n"/>
      <c r="Z2" s="9" t="n"/>
      <c r="AB2" s="8" t="n"/>
      <c r="AF2" s="9" t="n"/>
      <c r="AH2" s="8" t="n"/>
      <c r="AL2" s="9" t="n"/>
      <c r="AM2" s="9" t="n"/>
      <c r="AN2" s="8" t="n"/>
      <c r="AR2" s="9" t="n"/>
      <c r="AT2" s="8" t="n"/>
      <c r="AX2" s="9" t="n"/>
      <c r="AZ2" s="8" t="n"/>
      <c r="BF2" s="9" t="n"/>
      <c r="BH2" s="8" t="n"/>
      <c r="BM2" s="9" t="n"/>
      <c r="BO2" s="8" t="n"/>
      <c r="BU2" s="9" t="n"/>
      <c r="BW2" s="8" t="n"/>
      <c r="CE2" s="9" t="n"/>
    </row>
    <row r="3">
      <c r="B3" s="8" t="n"/>
      <c r="H3" s="9" t="n"/>
      <c r="J3" s="8" t="n"/>
      <c r="N3" s="9" t="n"/>
      <c r="O3" s="8" t="n"/>
      <c r="P3" s="8" t="n"/>
      <c r="T3" s="9" t="n"/>
      <c r="V3" s="8" t="n"/>
      <c r="Z3" s="9" t="n"/>
      <c r="AB3" s="8" t="n"/>
      <c r="AF3" s="9" t="n"/>
      <c r="AH3" s="8" t="n"/>
      <c r="AL3" s="9" t="n"/>
      <c r="AM3" s="9" t="n"/>
      <c r="AN3" s="8" t="n"/>
      <c r="AR3" s="9" t="n"/>
      <c r="AT3" s="8" t="n"/>
      <c r="AX3" s="9" t="n"/>
      <c r="AZ3" s="8" t="n"/>
      <c r="BF3" s="9" t="n"/>
      <c r="BH3" s="8" t="n"/>
      <c r="BM3" s="9" t="n"/>
      <c r="BO3" s="8" t="n"/>
      <c r="BU3" s="9" t="n"/>
      <c r="BW3" s="8" t="n"/>
      <c r="CE3" s="9" t="n"/>
    </row>
    <row r="4">
      <c r="B4" s="8" t="n"/>
      <c r="H4" s="9" t="n"/>
      <c r="J4" s="8" t="n"/>
      <c r="N4" s="9" t="n"/>
      <c r="O4" s="8" t="n"/>
      <c r="P4" s="8" t="n"/>
      <c r="T4" s="9" t="n"/>
      <c r="V4" s="8" t="n"/>
      <c r="Z4" s="9" t="n"/>
      <c r="AB4" s="8" t="n"/>
      <c r="AF4" s="9" t="n"/>
      <c r="AH4" s="8" t="n"/>
      <c r="AL4" s="9" t="n"/>
      <c r="AM4" s="9" t="n"/>
      <c r="AN4" s="8" t="n"/>
      <c r="AR4" s="9" t="n"/>
      <c r="AT4" s="8" t="n"/>
      <c r="AX4" s="9" t="n"/>
      <c r="AZ4" s="8" t="n"/>
      <c r="BF4" s="9" t="n"/>
      <c r="BH4" s="8" t="n"/>
      <c r="BM4" s="9" t="n"/>
      <c r="BO4" s="8" t="n"/>
      <c r="BU4" s="9" t="n"/>
      <c r="BW4" s="8" t="n"/>
      <c r="CE4" s="9" t="n"/>
    </row>
    <row r="5" ht="12.75" customHeight="1">
      <c r="B5" s="8" t="n"/>
      <c r="H5" s="9" t="n"/>
      <c r="J5" s="8" t="n"/>
      <c r="N5" s="9" t="n"/>
      <c r="O5" s="8" t="n"/>
      <c r="P5" s="8" t="n"/>
      <c r="T5" s="9" t="n"/>
      <c r="V5" s="8" t="n"/>
      <c r="Z5" s="9" t="n"/>
      <c r="AB5" s="8" t="n"/>
      <c r="AF5" s="9" t="n"/>
      <c r="AH5" s="8" t="n"/>
      <c r="AL5" s="9" t="n"/>
      <c r="AM5" s="9" t="n"/>
      <c r="AN5" s="8" t="n"/>
      <c r="AR5" s="9" t="n"/>
      <c r="AT5" s="8" t="n"/>
      <c r="AX5" s="9" t="n"/>
      <c r="AZ5" s="8" t="n"/>
      <c r="BF5" s="9" t="n"/>
      <c r="BH5" s="8" t="n"/>
      <c r="BM5" s="9" t="n"/>
      <c r="BO5" s="8" t="n"/>
      <c r="BU5" s="9" t="n"/>
      <c r="BW5" s="8" t="n"/>
      <c r="CE5" s="9" t="n"/>
    </row>
    <row r="6">
      <c r="B6" s="8" t="n"/>
      <c r="H6" s="9" t="n"/>
      <c r="J6" s="8" t="n"/>
      <c r="N6" s="9" t="n"/>
      <c r="O6" s="8" t="n"/>
      <c r="P6" s="8" t="n"/>
      <c r="T6" s="9" t="n"/>
      <c r="V6" s="8" t="n"/>
      <c r="Z6" s="9" t="n"/>
      <c r="AB6" s="8" t="n"/>
      <c r="AF6" s="9" t="n"/>
      <c r="AH6" s="8" t="n"/>
      <c r="AL6" s="9" t="n"/>
      <c r="AM6" s="9" t="n"/>
      <c r="AN6" s="8" t="n"/>
      <c r="AR6" s="9" t="n"/>
      <c r="AT6" s="8" t="n"/>
      <c r="AX6" s="9" t="n"/>
      <c r="AZ6" s="8" t="n"/>
      <c r="BF6" s="9" t="n"/>
      <c r="BH6" s="8" t="n"/>
      <c r="BM6" s="9" t="n"/>
      <c r="BO6" s="8" t="n"/>
      <c r="BU6" s="9" t="n"/>
      <c r="BW6" s="8" t="n"/>
      <c r="CE6" s="9" t="n"/>
    </row>
    <row r="7">
      <c r="B7" s="8" t="n"/>
      <c r="H7" s="9" t="n"/>
      <c r="J7" s="8" t="n"/>
      <c r="N7" s="9" t="n"/>
      <c r="O7" s="8" t="n"/>
      <c r="P7" s="8" t="n"/>
      <c r="T7" s="9" t="n"/>
      <c r="V7" s="8" t="n"/>
      <c r="Z7" s="9" t="n"/>
      <c r="AB7" s="8" t="n"/>
      <c r="AF7" s="9" t="n"/>
      <c r="AH7" s="8" t="n"/>
      <c r="AL7" s="9" t="n"/>
      <c r="AM7" s="9" t="n"/>
      <c r="AN7" s="8" t="n"/>
      <c r="AR7" s="9" t="n"/>
      <c r="AT7" s="8" t="n"/>
      <c r="AX7" s="9" t="n"/>
      <c r="AZ7" s="8" t="n"/>
      <c r="BF7" s="9" t="n"/>
      <c r="BH7" s="8" t="n"/>
      <c r="BM7" s="9" t="n"/>
      <c r="BO7" s="8" t="n"/>
      <c r="BU7" s="9" t="n"/>
      <c r="BW7" s="8" t="n"/>
      <c r="CE7" s="9" t="n"/>
    </row>
    <row r="8">
      <c r="B8" s="8" t="n"/>
      <c r="H8" s="9" t="n"/>
      <c r="J8" s="8" t="n"/>
      <c r="N8" s="9" t="n"/>
      <c r="O8" s="8" t="n"/>
      <c r="P8" s="8" t="n"/>
      <c r="T8" s="9" t="n"/>
      <c r="V8" s="8" t="n"/>
      <c r="Z8" s="9" t="n"/>
      <c r="AB8" s="8" t="n"/>
      <c r="AF8" s="9" t="n"/>
      <c r="AH8" s="8" t="n"/>
      <c r="AL8" s="9" t="n"/>
      <c r="AM8" s="9" t="n"/>
      <c r="AN8" s="8" t="n"/>
      <c r="AR8" s="9" t="n"/>
      <c r="AT8" s="8" t="n"/>
      <c r="AX8" s="9" t="n"/>
      <c r="AZ8" s="8" t="n"/>
      <c r="BF8" s="9" t="n"/>
      <c r="BH8" s="8" t="n"/>
      <c r="BM8" s="9" t="n"/>
      <c r="BO8" s="8" t="n"/>
      <c r="BU8" s="9" t="n"/>
      <c r="BW8" s="8" t="n"/>
      <c r="CE8" s="9" t="n"/>
    </row>
    <row r="9">
      <c r="B9" s="8" t="n"/>
      <c r="H9" s="9" t="n"/>
      <c r="J9" s="8" t="n"/>
      <c r="N9" s="9" t="n"/>
      <c r="O9" s="8" t="n"/>
      <c r="P9" s="8" t="n"/>
      <c r="T9" s="9" t="n"/>
      <c r="V9" s="8" t="n"/>
      <c r="Z9" s="9" t="n"/>
      <c r="AB9" s="8" t="n"/>
      <c r="AF9" s="9" t="n"/>
      <c r="AH9" s="8" t="n"/>
      <c r="AL9" s="9" t="n"/>
      <c r="AM9" s="9" t="n"/>
      <c r="AN9" s="8" t="n"/>
      <c r="AR9" s="9" t="n"/>
      <c r="AT9" s="8" t="n"/>
      <c r="AX9" s="9" t="n"/>
      <c r="AZ9" s="8" t="n"/>
      <c r="BF9" s="9" t="n"/>
      <c r="BH9" s="8" t="n"/>
      <c r="BM9" s="9" t="n"/>
      <c r="BO9" s="8" t="n"/>
      <c r="BU9" s="9" t="n"/>
      <c r="BW9" s="8" t="n"/>
      <c r="CE9" s="9" t="n"/>
    </row>
    <row r="10" ht="12.75" customHeight="1">
      <c r="B10" s="8" t="n"/>
      <c r="H10" s="9" t="n"/>
      <c r="J10" s="8" t="n"/>
      <c r="N10" s="9" t="n"/>
      <c r="O10" s="8" t="n"/>
      <c r="P10" s="8" t="n"/>
      <c r="T10" s="9" t="n"/>
      <c r="V10" s="8" t="n"/>
      <c r="Z10" s="9" t="n"/>
      <c r="AB10" s="8" t="n"/>
      <c r="AF10" s="9" t="n"/>
      <c r="AH10" s="8" t="n"/>
      <c r="AL10" s="9" t="n"/>
      <c r="AM10" s="9" t="n"/>
      <c r="AN10" s="8" t="n"/>
      <c r="AR10" s="9" t="n"/>
      <c r="AT10" s="8" t="n"/>
      <c r="AX10" s="9" t="n"/>
      <c r="AZ10" s="8" t="n"/>
      <c r="BF10" s="9" t="n"/>
      <c r="BH10" s="8" t="n"/>
      <c r="BM10" s="9" t="n"/>
      <c r="BO10" s="8" t="n"/>
      <c r="BU10" s="9" t="n"/>
      <c r="BW10" s="8" t="n"/>
      <c r="CE10" s="9" t="n"/>
    </row>
    <row r="11" ht="12.75" customHeight="1">
      <c r="B11" s="8" t="n"/>
      <c r="H11" s="9" t="n"/>
      <c r="J11" s="8" t="n"/>
      <c r="N11" s="9" t="n"/>
      <c r="O11" s="8" t="n"/>
      <c r="P11" s="8" t="n"/>
      <c r="T11" s="9" t="n"/>
      <c r="V11" s="8" t="n"/>
      <c r="Z11" s="9" t="n"/>
      <c r="AB11" s="8" t="n"/>
      <c r="AF11" s="9" t="n"/>
      <c r="AH11" s="8" t="n"/>
      <c r="AL11" s="9" t="n"/>
      <c r="AM11" s="9" t="n"/>
      <c r="AN11" s="8" t="n"/>
      <c r="AR11" s="9" t="n"/>
      <c r="AT11" s="8" t="n"/>
      <c r="AX11" s="9" t="n"/>
      <c r="AZ11" s="8" t="n"/>
      <c r="BF11" s="9" t="n"/>
      <c r="BH11" s="8" t="n"/>
      <c r="BM11" s="9" t="n"/>
      <c r="BO11" s="8" t="n"/>
      <c r="BU11" s="9" t="n"/>
      <c r="BW11" s="8" t="n"/>
      <c r="CE11" s="9" t="n"/>
    </row>
    <row r="12" ht="12.75" customHeight="1">
      <c r="B12" s="8" t="n"/>
      <c r="H12" s="9" t="n"/>
      <c r="J12" s="8" t="n"/>
      <c r="N12" s="9" t="n"/>
      <c r="O12" s="8" t="n"/>
      <c r="P12" s="8" t="n"/>
      <c r="T12" s="9" t="n"/>
      <c r="V12" s="8" t="n"/>
      <c r="Z12" s="9" t="n"/>
      <c r="AB12" s="8" t="n"/>
      <c r="AF12" s="9" t="n"/>
      <c r="AH12" s="8" t="n"/>
      <c r="AL12" s="9" t="n"/>
      <c r="AM12" s="9" t="n"/>
      <c r="AN12" s="8" t="n"/>
      <c r="AR12" s="9" t="n"/>
      <c r="AT12" s="8" t="n"/>
      <c r="AX12" s="9" t="n"/>
      <c r="AZ12" s="8" t="n"/>
      <c r="BF12" s="9" t="n"/>
      <c r="BH12" s="8" t="n"/>
      <c r="BM12" s="9" t="n"/>
      <c r="BO12" s="8" t="n"/>
      <c r="BU12" s="9" t="n"/>
      <c r="BW12" s="8" t="n"/>
      <c r="CE12" s="9" t="n"/>
    </row>
    <row r="13" ht="12.75" customHeight="1">
      <c r="B13" s="8" t="n"/>
      <c r="H13" s="9" t="n"/>
      <c r="J13" s="8" t="n"/>
      <c r="N13" s="9" t="n"/>
      <c r="O13" s="8" t="n"/>
      <c r="P13" s="8" t="n"/>
      <c r="T13" s="9" t="n"/>
      <c r="V13" s="8" t="n"/>
      <c r="Z13" s="9" t="n"/>
      <c r="AB13" s="8" t="n"/>
      <c r="AF13" s="9" t="n"/>
      <c r="AH13" s="8" t="n"/>
      <c r="AL13" s="9" t="n"/>
      <c r="AM13" s="9" t="n"/>
      <c r="AN13" s="8" t="n"/>
      <c r="AR13" s="9" t="n"/>
      <c r="AT13" s="8" t="n"/>
      <c r="AX13" s="9" t="n"/>
      <c r="AZ13" s="8" t="n"/>
      <c r="BF13" s="9" t="n"/>
      <c r="BH13" s="8" t="n"/>
      <c r="BM13" s="9" t="n"/>
      <c r="BO13" s="8" t="n"/>
      <c r="BU13" s="9" t="n"/>
      <c r="BW13" s="8" t="n"/>
      <c r="CE13" s="9" t="n"/>
    </row>
    <row r="14" ht="12.75" customHeight="1">
      <c r="B14" s="8" t="n"/>
      <c r="H14" s="9" t="n"/>
      <c r="J14" s="8" t="n"/>
      <c r="N14" s="9" t="n"/>
      <c r="O14" s="8" t="n"/>
      <c r="P14" s="8" t="n"/>
      <c r="T14" s="9" t="n"/>
      <c r="V14" s="8" t="n"/>
      <c r="Z14" s="9" t="n"/>
      <c r="AB14" s="8" t="n"/>
      <c r="AF14" s="9" t="n"/>
      <c r="AH14" s="8" t="n"/>
      <c r="AL14" s="9" t="n"/>
      <c r="AM14" s="9" t="n"/>
      <c r="AN14" s="8" t="n"/>
      <c r="AR14" s="9" t="n"/>
      <c r="AT14" s="8" t="n"/>
      <c r="AX14" s="9" t="n"/>
      <c r="AZ14" s="8" t="n"/>
      <c r="BF14" s="9" t="n"/>
      <c r="BH14" s="8" t="n"/>
      <c r="BM14" s="9" t="n"/>
      <c r="BO14" s="8" t="n"/>
      <c r="BU14" s="9" t="n"/>
      <c r="BW14" s="8" t="n"/>
      <c r="CE14" s="9" t="n"/>
    </row>
    <row r="15" ht="12.75" customHeight="1">
      <c r="B15" s="8" t="n"/>
      <c r="H15" s="9" t="n"/>
      <c r="J15" s="8" t="n"/>
      <c r="N15" s="9" t="n"/>
      <c r="O15" s="8" t="n"/>
      <c r="P15" s="8" t="n"/>
      <c r="T15" s="9" t="n"/>
      <c r="V15" s="8" t="n"/>
      <c r="Z15" s="9" t="n"/>
      <c r="AB15" s="8" t="n"/>
      <c r="AF15" s="9" t="n"/>
      <c r="AH15" s="8" t="n"/>
      <c r="AL15" s="9" t="n"/>
      <c r="AM15" s="9" t="n"/>
      <c r="AN15" s="8" t="n"/>
      <c r="AR15" s="9" t="n"/>
      <c r="AT15" s="8" t="n"/>
      <c r="AX15" s="9" t="n"/>
      <c r="AZ15" s="8" t="n"/>
      <c r="BF15" s="9" t="n"/>
      <c r="BH15" s="8" t="n"/>
      <c r="BM15" s="9" t="n"/>
      <c r="BO15" s="8" t="n"/>
      <c r="BU15" s="9" t="n"/>
      <c r="BW15" s="8" t="n"/>
      <c r="CE15" s="9" t="n"/>
    </row>
    <row r="16" ht="12.75" customHeight="1">
      <c r="B16" s="8" t="n"/>
      <c r="H16" s="9" t="n"/>
      <c r="J16" s="8" t="n"/>
      <c r="N16" s="9" t="n"/>
      <c r="O16" s="8" t="n"/>
      <c r="P16" s="8" t="n"/>
      <c r="T16" s="9" t="n"/>
      <c r="V16" s="8" t="n"/>
      <c r="Z16" s="9" t="n"/>
      <c r="AB16" s="8" t="n"/>
      <c r="AF16" s="9" t="n"/>
      <c r="AH16" s="8" t="n"/>
      <c r="AL16" s="9" t="n"/>
      <c r="AM16" s="9" t="n"/>
      <c r="AN16" s="8" t="n"/>
      <c r="AR16" s="9" t="n"/>
      <c r="AT16" s="8" t="n"/>
      <c r="AX16" s="9" t="n"/>
      <c r="AZ16" s="8" t="n"/>
      <c r="BF16" s="9" t="n"/>
      <c r="BH16" s="8" t="n"/>
      <c r="BM16" s="9" t="n"/>
      <c r="BO16" s="8" t="n"/>
      <c r="BU16" s="9" t="n"/>
      <c r="BW16" s="8" t="n"/>
      <c r="CE16" s="9" t="n"/>
    </row>
    <row r="17" ht="12.75" customHeight="1">
      <c r="B17" s="8" t="n"/>
      <c r="H17" s="9" t="n"/>
      <c r="J17" s="8" t="n"/>
      <c r="N17" s="9" t="n"/>
      <c r="O17" s="8" t="n"/>
      <c r="P17" s="8" t="n"/>
      <c r="T17" s="9" t="n"/>
      <c r="V17" s="8" t="n"/>
      <c r="Z17" s="9" t="n"/>
      <c r="AB17" s="8" t="n"/>
      <c r="AF17" s="9" t="n"/>
      <c r="AH17" s="8" t="n"/>
      <c r="AL17" s="9" t="n"/>
      <c r="AM17" s="9" t="n"/>
      <c r="AN17" s="8" t="n"/>
      <c r="AR17" s="9" t="n"/>
      <c r="AT17" s="8" t="n"/>
      <c r="AX17" s="9" t="n"/>
      <c r="AZ17" s="8" t="n"/>
      <c r="BF17" s="9" t="n"/>
      <c r="BH17" s="8" t="n"/>
      <c r="BM17" s="9" t="n"/>
      <c r="BO17" s="8" t="n"/>
      <c r="BU17" s="9" t="n"/>
      <c r="BW17" s="8" t="n"/>
      <c r="CE17" s="9" t="n"/>
    </row>
    <row r="18" ht="12.75" customHeight="1">
      <c r="B18" s="8" t="n"/>
      <c r="H18" s="9" t="n"/>
      <c r="J18" s="8" t="n"/>
      <c r="N18" s="9" t="n"/>
      <c r="O18" s="8" t="n"/>
      <c r="P18" s="8" t="n"/>
      <c r="T18" s="9" t="n"/>
      <c r="V18" s="8" t="n"/>
      <c r="Z18" s="9" t="n"/>
      <c r="AB18" s="8" t="n"/>
      <c r="AF18" s="9" t="n"/>
      <c r="AH18" s="8" t="n"/>
      <c r="AL18" s="9" t="n"/>
      <c r="AM18" s="9" t="n"/>
      <c r="AN18" s="8" t="n"/>
      <c r="AR18" s="9" t="n"/>
      <c r="AT18" s="8" t="n"/>
      <c r="AX18" s="9" t="n"/>
      <c r="AZ18" s="8" t="n"/>
      <c r="BF18" s="9" t="n"/>
      <c r="BH18" s="8" t="n"/>
      <c r="BM18" s="9" t="n"/>
      <c r="BO18" s="8" t="n"/>
      <c r="BU18" s="9" t="n"/>
      <c r="BW18" s="8" t="n"/>
      <c r="CE18" s="9" t="n"/>
    </row>
    <row r="19" ht="12.75" customHeight="1">
      <c r="B19" s="8" t="n"/>
      <c r="H19" s="9" t="n"/>
      <c r="J19" s="8" t="n"/>
      <c r="N19" s="9" t="n"/>
      <c r="O19" s="8" t="n"/>
      <c r="P19" s="8" t="n"/>
      <c r="T19" s="9" t="n"/>
      <c r="V19" s="8" t="n"/>
      <c r="Z19" s="9" t="n"/>
      <c r="AB19" s="8" t="n"/>
      <c r="AF19" s="9" t="n"/>
      <c r="AH19" s="8" t="n"/>
      <c r="AL19" s="9" t="n"/>
      <c r="AM19" s="9" t="n"/>
      <c r="AN19" s="8" t="n"/>
      <c r="AR19" s="9" t="n"/>
      <c r="AT19" s="8" t="n"/>
      <c r="AX19" s="9" t="n"/>
      <c r="AZ19" s="8" t="n"/>
      <c r="BF19" s="9" t="n"/>
      <c r="BH19" s="8" t="n"/>
      <c r="BM19" s="9" t="n"/>
      <c r="BO19" s="8" t="n"/>
      <c r="BU19" s="9" t="n"/>
      <c r="BW19" s="8" t="n"/>
      <c r="CE19" s="9" t="n"/>
    </row>
    <row r="20" ht="12.75" customHeight="1">
      <c r="B20" s="8" t="n"/>
      <c r="H20" s="9" t="n"/>
      <c r="J20" s="8" t="n"/>
      <c r="N20" s="9" t="n"/>
      <c r="O20" s="8" t="n"/>
      <c r="P20" s="8" t="n"/>
      <c r="T20" s="9" t="n"/>
      <c r="V20" s="8" t="n"/>
      <c r="Z20" s="9" t="n"/>
      <c r="AB20" s="8" t="n"/>
      <c r="AF20" s="9" t="n"/>
      <c r="AH20" s="8" t="n"/>
      <c r="AL20" s="9" t="n"/>
      <c r="AM20" s="9" t="n"/>
      <c r="AN20" s="8" t="n"/>
      <c r="AR20" s="9" t="n"/>
      <c r="AT20" s="8" t="n"/>
      <c r="AX20" s="9" t="n"/>
      <c r="AZ20" s="8" t="n"/>
      <c r="BF20" s="9" t="n"/>
      <c r="BH20" s="8" t="n"/>
      <c r="BM20" s="9" t="n"/>
      <c r="BO20" s="8" t="n"/>
      <c r="BU20" s="9" t="n"/>
      <c r="BW20" s="8" t="n"/>
      <c r="CE20" s="9" t="n"/>
    </row>
    <row r="21" ht="12.75" customHeight="1">
      <c r="B21" s="8" t="n"/>
      <c r="H21" s="9" t="n"/>
      <c r="J21" s="8" t="n"/>
      <c r="N21" s="9" t="n"/>
      <c r="O21" s="8" t="n"/>
      <c r="P21" s="8" t="n"/>
      <c r="T21" s="9" t="n"/>
      <c r="V21" s="8" t="n"/>
      <c r="Z21" s="9" t="n"/>
      <c r="AB21" s="8" t="n"/>
      <c r="AF21" s="9" t="n"/>
      <c r="AH21" s="8" t="n"/>
      <c r="AL21" s="9" t="n"/>
      <c r="AM21" s="9" t="n"/>
      <c r="AN21" s="8" t="n"/>
      <c r="AR21" s="9" t="n"/>
      <c r="AT21" s="8" t="n"/>
      <c r="AX21" s="9" t="n"/>
      <c r="AZ21" s="8" t="n"/>
      <c r="BF21" s="9" t="n"/>
      <c r="BH21" s="8" t="n"/>
      <c r="BM21" s="9" t="n"/>
      <c r="BO21" s="8" t="n"/>
      <c r="BU21" s="9" t="n"/>
      <c r="BW21" s="8" t="n"/>
      <c r="CE21" s="9" t="n"/>
    </row>
    <row r="22" ht="12.75" customHeight="1">
      <c r="B22" s="8" t="n"/>
      <c r="H22" s="9" t="n"/>
      <c r="J22" s="8" t="n"/>
      <c r="N22" s="9" t="n"/>
      <c r="O22" s="8" t="n"/>
      <c r="P22" s="8" t="n"/>
      <c r="T22" s="9" t="n"/>
      <c r="V22" s="8" t="n"/>
      <c r="Z22" s="9" t="n"/>
      <c r="AB22" s="8" t="n"/>
      <c r="AF22" s="9" t="n"/>
      <c r="AH22" s="8" t="n"/>
      <c r="AL22" s="9" t="n"/>
      <c r="AM22" s="9" t="n"/>
      <c r="AN22" s="8" t="n"/>
      <c r="AR22" s="9" t="n"/>
      <c r="AT22" s="8" t="n"/>
      <c r="AX22" s="9" t="n"/>
      <c r="AZ22" s="8" t="n"/>
      <c r="BF22" s="9" t="n"/>
      <c r="BH22" s="8" t="n"/>
      <c r="BM22" s="9" t="n"/>
      <c r="BO22" s="8" t="n"/>
      <c r="BU22" s="9" t="n"/>
      <c r="BW22" s="8" t="n"/>
      <c r="CE22" s="9" t="n"/>
    </row>
    <row r="23">
      <c r="B23" s="8" t="n"/>
      <c r="H23" s="9" t="n"/>
      <c r="J23" s="8" t="n"/>
      <c r="N23" s="9" t="n"/>
      <c r="O23" s="8" t="n"/>
      <c r="P23" s="8" t="n"/>
      <c r="T23" s="9" t="n"/>
      <c r="V23" s="8" t="n"/>
      <c r="Z23" s="9" t="n"/>
      <c r="AB23" s="8" t="n"/>
      <c r="AF23" s="9" t="n"/>
      <c r="AH23" s="8" t="n"/>
      <c r="AL23" s="9" t="n"/>
      <c r="AM23" s="9" t="n"/>
      <c r="AN23" s="8" t="n"/>
      <c r="AR23" s="9" t="n"/>
      <c r="AT23" s="8" t="n"/>
      <c r="AX23" s="9" t="n"/>
      <c r="AZ23" s="8" t="n"/>
      <c r="BF23" s="9" t="n"/>
      <c r="BH23" s="8" t="n"/>
      <c r="BM23" s="9" t="n"/>
      <c r="BO23" s="8" t="n"/>
      <c r="BU23" s="9" t="n"/>
      <c r="BW23" s="8" t="n"/>
      <c r="CE23" s="9" t="n"/>
    </row>
    <row r="24">
      <c r="B24" s="8" t="n"/>
      <c r="H24" s="9" t="n"/>
      <c r="J24" s="8" t="n"/>
      <c r="N24" s="9" t="n"/>
      <c r="O24" s="8" t="n"/>
      <c r="P24" s="8" t="n"/>
      <c r="T24" s="9" t="n"/>
      <c r="V24" s="8" t="n"/>
      <c r="Z24" s="9" t="n"/>
      <c r="AB24" s="8" t="n"/>
      <c r="AF24" s="9" t="n"/>
      <c r="AH24" s="8" t="n"/>
      <c r="AL24" s="9" t="n"/>
      <c r="AM24" s="9" t="n"/>
      <c r="AN24" s="8" t="n"/>
      <c r="AR24" s="9" t="n"/>
      <c r="AT24" s="8" t="n"/>
      <c r="AX24" s="9" t="n"/>
      <c r="AZ24" s="8" t="n"/>
      <c r="BF24" s="9" t="n"/>
      <c r="BH24" s="8" t="n"/>
      <c r="BM24" s="9" t="n"/>
      <c r="BO24" s="8" t="n"/>
      <c r="BU24" s="9" t="n"/>
      <c r="BW24" s="8" t="n"/>
      <c r="CE24" s="9" t="n"/>
    </row>
    <row r="25">
      <c r="B25" s="8" t="n"/>
      <c r="H25" s="9" t="n"/>
      <c r="J25" s="8" t="n"/>
      <c r="N25" s="9" t="n"/>
      <c r="O25" s="8" t="n"/>
      <c r="P25" s="8" t="n"/>
      <c r="T25" s="9" t="n"/>
      <c r="V25" s="8" t="n"/>
      <c r="Z25" s="9" t="n"/>
      <c r="AB25" s="8" t="n"/>
      <c r="AF25" s="9" t="n"/>
      <c r="AH25" s="8" t="n"/>
      <c r="AL25" s="9" t="n"/>
      <c r="AM25" s="9" t="n"/>
      <c r="AN25" s="8" t="n"/>
      <c r="AR25" s="9" t="n"/>
      <c r="AT25" s="8" t="n"/>
      <c r="AX25" s="9" t="n"/>
      <c r="AZ25" s="8" t="n"/>
      <c r="BF25" s="9" t="n"/>
      <c r="BH25" s="8" t="n"/>
      <c r="BM25" s="9" t="n"/>
      <c r="BO25" s="8" t="n"/>
      <c r="BU25" s="9" t="n"/>
      <c r="BW25" s="8" t="n"/>
      <c r="CE25" s="9" t="n"/>
    </row>
    <row r="26">
      <c r="B26" s="8" t="n"/>
      <c r="H26" s="9" t="n"/>
      <c r="J26" s="8" t="n"/>
      <c r="N26" s="9" t="n"/>
      <c r="O26" s="8" t="n"/>
      <c r="P26" s="8" t="n"/>
      <c r="T26" s="9" t="n"/>
      <c r="V26" s="8" t="n"/>
      <c r="Z26" s="9" t="n"/>
      <c r="AB26" s="8" t="n"/>
      <c r="AF26" s="9" t="n"/>
      <c r="AH26" s="8" t="n"/>
      <c r="AL26" s="9" t="n"/>
      <c r="AM26" s="9" t="n"/>
      <c r="AN26" s="8" t="n"/>
      <c r="AR26" s="9" t="n"/>
      <c r="AT26" s="8" t="n"/>
      <c r="AX26" s="9" t="n"/>
      <c r="AZ26" s="8" t="n"/>
      <c r="BF26" s="9" t="n"/>
      <c r="BH26" s="8" t="n"/>
      <c r="BM26" s="9" t="n"/>
      <c r="BO26" s="8" t="n"/>
      <c r="BU26" s="9" t="n"/>
      <c r="BW26" s="8" t="n"/>
      <c r="CE26" s="9" t="n"/>
    </row>
    <row r="27" ht="13.5" customHeight="1" thickBot="1">
      <c r="B27" s="8" t="n"/>
      <c r="H27" s="9" t="n"/>
      <c r="J27" s="8" t="n"/>
      <c r="N27" s="9" t="n"/>
      <c r="O27" s="8" t="n"/>
      <c r="P27" s="8" t="n"/>
      <c r="T27" s="9" t="n"/>
      <c r="V27" s="26" t="n"/>
      <c r="W27" s="189" t="n"/>
      <c r="X27" s="189" t="n"/>
      <c r="Y27" s="189" t="n"/>
      <c r="Z27" s="27" t="n"/>
      <c r="AB27" s="8" t="n"/>
      <c r="AF27" s="9" t="n"/>
      <c r="AH27" s="8" t="n"/>
      <c r="AL27" s="9" t="n"/>
      <c r="AM27" s="9" t="n"/>
      <c r="AN27" s="8" t="n"/>
      <c r="AR27" s="9" t="n"/>
      <c r="AT27" s="8" t="n"/>
      <c r="AX27" s="9" t="n"/>
      <c r="AZ27" s="8" t="n"/>
      <c r="BF27" s="9" t="n"/>
      <c r="BH27" s="8" t="n"/>
      <c r="BM27" s="9" t="n"/>
      <c r="BO27" s="8" t="n"/>
      <c r="BU27" s="9" t="n"/>
      <c r="BW27" s="8" t="n"/>
      <c r="CE27" s="9" t="n"/>
    </row>
    <row r="28">
      <c r="B28" s="23" t="n"/>
      <c r="C28" s="25" t="n"/>
      <c r="D28" s="25" t="n"/>
      <c r="E28" s="25" t="n"/>
      <c r="F28" s="25" t="n"/>
      <c r="G28" s="25" t="n"/>
      <c r="H28" s="24" t="n"/>
      <c r="I28" s="25" t="n"/>
      <c r="J28" s="23" t="n"/>
      <c r="K28" s="25" t="n"/>
      <c r="L28" s="25" t="n"/>
      <c r="M28" s="25" t="n"/>
      <c r="N28" s="24" t="n"/>
      <c r="O28" s="23" t="n"/>
      <c r="P28" s="23" t="n"/>
      <c r="Q28" s="25" t="n"/>
      <c r="R28" s="25" t="n"/>
      <c r="S28" s="25" t="n"/>
      <c r="T28" s="24" t="n"/>
      <c r="U28" s="25" t="n"/>
      <c r="V28" s="25" t="n"/>
      <c r="W28" s="25" t="n"/>
      <c r="X28" s="25" t="n"/>
      <c r="Y28" s="25" t="n"/>
      <c r="Z28" s="25" t="n"/>
      <c r="AA28" s="25" t="n"/>
      <c r="AB28" s="23" t="n"/>
      <c r="AC28" s="25" t="n"/>
      <c r="AD28" s="25" t="n"/>
      <c r="AE28" s="25" t="n"/>
      <c r="AF28" s="24" t="n"/>
      <c r="AG28" s="25" t="n"/>
      <c r="AH28" s="23" t="n"/>
      <c r="AI28" s="25" t="n"/>
      <c r="AJ28" s="25" t="n"/>
      <c r="AK28" s="25" t="n"/>
      <c r="AL28" s="25" t="n"/>
      <c r="AM28" s="24" t="n"/>
      <c r="AN28" s="23" t="n"/>
      <c r="AO28" s="25" t="n"/>
      <c r="AP28" s="25" t="n"/>
      <c r="AQ28" s="25" t="n"/>
      <c r="AR28" s="24" t="n"/>
      <c r="AS28" s="25" t="n"/>
      <c r="AT28" s="23" t="n"/>
      <c r="AU28" s="25" t="n"/>
      <c r="AV28" s="25" t="n"/>
      <c r="AW28" s="25" t="n"/>
      <c r="AX28" s="24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25" t="n"/>
      <c r="BM28" s="25" t="n"/>
      <c r="BN28" s="25" t="n"/>
      <c r="BO28" s="25" t="n"/>
      <c r="BP28" s="25" t="n"/>
      <c r="BQ28" s="25" t="n"/>
      <c r="BR28" s="23" t="n"/>
      <c r="BS28" s="25" t="n"/>
      <c r="BT28" s="25" t="n"/>
      <c r="BU28" s="25" t="n"/>
      <c r="BW28" s="23" t="n"/>
      <c r="BX28" s="25" t="n"/>
      <c r="BY28" s="25" t="n"/>
      <c r="BZ28" s="25" t="n"/>
      <c r="CA28" s="25" t="n"/>
      <c r="CB28" s="25" t="n"/>
      <c r="CC28" s="25" t="n"/>
      <c r="CD28" s="25" t="n"/>
      <c r="CE28" s="24" t="n"/>
    </row>
    <row r="29" ht="13.5" customHeight="1" thickBot="1">
      <c r="B29" s="23" t="n"/>
      <c r="C29" s="25" t="n"/>
      <c r="D29" s="25" t="n"/>
      <c r="E29" s="25" t="n"/>
      <c r="F29" s="25" t="n"/>
      <c r="G29" s="25" t="n"/>
      <c r="H29" s="24" t="n"/>
      <c r="I29" s="25" t="n"/>
      <c r="J29" s="23" t="n"/>
      <c r="K29" s="25" t="n"/>
      <c r="L29" s="25" t="n"/>
      <c r="M29" s="25" t="n"/>
      <c r="N29" s="24" t="n"/>
      <c r="O29" s="23" t="n"/>
      <c r="P29" s="23" t="n"/>
      <c r="Q29" s="25" t="n"/>
      <c r="R29" s="25" t="n"/>
      <c r="S29" s="25" t="n"/>
      <c r="T29" s="24" t="n"/>
      <c r="U29" s="25" t="n"/>
      <c r="V29" s="25" t="n"/>
      <c r="W29" s="25" t="n"/>
      <c r="X29" s="25" t="n"/>
      <c r="Y29" s="25" t="n"/>
      <c r="Z29" s="25" t="n"/>
      <c r="AA29" s="25" t="n"/>
      <c r="AB29" s="23" t="n"/>
      <c r="AC29" s="25" t="n"/>
      <c r="AD29" s="25" t="n"/>
      <c r="AE29" s="25" t="n"/>
      <c r="AF29" s="24" t="n"/>
      <c r="AG29" s="25" t="n"/>
      <c r="AH29" s="23" t="n"/>
      <c r="AI29" s="25" t="n"/>
      <c r="AJ29" s="25" t="n"/>
      <c r="AK29" s="25" t="n"/>
      <c r="AL29" s="25" t="n"/>
      <c r="AM29" s="24" t="n"/>
      <c r="AN29" s="23" t="n"/>
      <c r="AO29" s="25" t="n"/>
      <c r="AP29" s="25" t="n"/>
      <c r="AQ29" s="25" t="n"/>
      <c r="AR29" s="24" t="n"/>
      <c r="AS29" s="25" t="n"/>
      <c r="AT29" s="23" t="n"/>
      <c r="AU29" s="25" t="n"/>
      <c r="AV29" s="25" t="n"/>
      <c r="AW29" s="25" t="n"/>
      <c r="AX29" s="24" t="n"/>
      <c r="AY29" s="25" t="n"/>
      <c r="AZ29" s="25" t="n"/>
      <c r="BA29" s="25" t="n"/>
      <c r="BB29" s="25" t="n"/>
      <c r="BC29" s="25" t="n"/>
      <c r="BD29" s="25" t="n"/>
      <c r="BE29" s="25" t="n"/>
      <c r="BF29" s="25" t="n"/>
      <c r="BG29" s="25" t="n"/>
      <c r="BH29" s="25" t="n"/>
      <c r="BI29" s="25" t="n"/>
      <c r="BJ29" s="25" t="n"/>
      <c r="BK29" s="25" t="n"/>
      <c r="BL29" s="25" t="n"/>
      <c r="BM29" s="25" t="n"/>
      <c r="BN29" s="25" t="n"/>
      <c r="BO29" s="25" t="n"/>
      <c r="BP29" s="25" t="n"/>
      <c r="BQ29" s="25" t="n"/>
      <c r="BR29" s="25" t="n"/>
      <c r="BS29" s="25" t="n"/>
      <c r="BT29" s="25" t="n"/>
      <c r="BU29" s="25" t="n"/>
      <c r="BW29" s="23" t="n"/>
      <c r="BX29" s="25" t="n"/>
      <c r="BY29" s="25" t="n"/>
      <c r="BZ29" s="25" t="n"/>
      <c r="CA29" s="25" t="n"/>
      <c r="CB29" s="25" t="n"/>
      <c r="CC29" s="25" t="n"/>
      <c r="CD29" s="25" t="n"/>
      <c r="CE29" s="24" t="n"/>
    </row>
    <row r="30">
      <c r="B30" s="92" t="n"/>
      <c r="C30" s="48" t="n"/>
      <c r="D30" s="48" t="n"/>
      <c r="E30" s="48" t="n"/>
      <c r="F30" s="48" t="n"/>
      <c r="G30" s="48" t="n"/>
      <c r="H30" s="93" t="n"/>
      <c r="J30" s="247" t="n"/>
      <c r="K30" s="242" t="n"/>
      <c r="L30" s="242" t="n"/>
      <c r="M30" s="242" t="n"/>
      <c r="N30" s="248" t="n"/>
      <c r="O30" s="8" t="n"/>
      <c r="P30" s="99" t="n"/>
      <c r="Q30" s="100" t="n"/>
      <c r="R30" s="100" t="n"/>
      <c r="S30" s="100" t="n"/>
      <c r="T30" s="101" t="n"/>
      <c r="V30" s="19" t="n"/>
      <c r="W30" s="21" t="n"/>
      <c r="X30" s="21" t="n"/>
      <c r="Y30" s="21" t="n"/>
      <c r="Z30" s="20" t="n"/>
      <c r="AB30" s="255" t="n"/>
      <c r="AC30" s="256" t="n"/>
      <c r="AD30" s="256" t="n"/>
      <c r="AE30" s="256" t="n"/>
      <c r="AF30" s="257" t="n"/>
      <c r="AH30" s="8" t="n"/>
      <c r="AI30" s="241" t="n"/>
      <c r="AJ30" s="242" t="n"/>
      <c r="AK30" s="243" t="n"/>
      <c r="AL30" s="9" t="n"/>
      <c r="AM30" s="9" t="n"/>
      <c r="AN30" s="247" t="n"/>
      <c r="AO30" s="242" t="n"/>
      <c r="AP30" s="242" t="n"/>
      <c r="AQ30" s="242" t="n"/>
      <c r="AR30" s="248" t="n"/>
      <c r="AT30" s="8" t="n"/>
      <c r="AU30" s="49" t="n"/>
      <c r="AW30" s="50" t="n"/>
      <c r="AX30" s="9" t="n"/>
      <c r="AZ30" s="8" t="n"/>
      <c r="BF30" s="9" t="n"/>
      <c r="BH30" s="8" t="n"/>
      <c r="BI30" s="49" t="n"/>
      <c r="BL30" s="50" t="n"/>
      <c r="BM30" s="9" t="n"/>
      <c r="BO30" s="8" t="n"/>
      <c r="BU30" s="9" t="n"/>
      <c r="BW30" s="247" t="n"/>
      <c r="BX30" s="242" t="n"/>
      <c r="BY30" s="242" t="n"/>
      <c r="BZ30" s="242" t="n"/>
      <c r="CA30" s="242" t="n"/>
      <c r="CB30" s="242" t="n"/>
      <c r="CC30" s="242" t="n"/>
      <c r="CD30" s="242" t="n"/>
      <c r="CE30" s="248" t="n"/>
    </row>
    <row r="31" ht="24" customFormat="1" customHeight="1" s="7">
      <c r="B31" s="285" t="inlineStr">
        <is>
          <t>Figure S3.1</t>
        </is>
      </c>
      <c r="C31" s="350" t="n"/>
      <c r="D31" s="350" t="n"/>
      <c r="E31" s="350" t="n"/>
      <c r="F31" s="350" t="n"/>
      <c r="G31" s="350" t="n"/>
      <c r="H31" s="351" t="n"/>
      <c r="I31" s="230" t="n"/>
      <c r="J31" s="352" t="inlineStr">
        <is>
          <t>Figure S3.2</t>
        </is>
      </c>
      <c r="K31" s="350" t="n"/>
      <c r="L31" s="350" t="n"/>
      <c r="M31" s="350" t="n"/>
      <c r="N31" s="353" t="n"/>
      <c r="O31" s="5" t="n"/>
      <c r="P31" s="352" t="inlineStr">
        <is>
          <t>Figure S3.3</t>
        </is>
      </c>
      <c r="Q31" s="350" t="n"/>
      <c r="R31" s="350" t="n"/>
      <c r="S31" s="350" t="n"/>
      <c r="T31" s="353" t="n"/>
      <c r="V31" s="354" t="inlineStr">
        <is>
          <t>Figure S3.4</t>
        </is>
      </c>
      <c r="W31" s="355" t="n"/>
      <c r="X31" s="355" t="n"/>
      <c r="Y31" s="355" t="n"/>
      <c r="Z31" s="356" t="n"/>
      <c r="AB31" s="354" t="inlineStr">
        <is>
          <t>Figure S3.5</t>
        </is>
      </c>
      <c r="AC31" s="355" t="n"/>
      <c r="AD31" s="355" t="n"/>
      <c r="AE31" s="355" t="n"/>
      <c r="AF31" s="356" t="n"/>
      <c r="AH31" s="5" t="n"/>
      <c r="AI31" s="304" t="inlineStr">
        <is>
          <t>Figure S3.6</t>
        </is>
      </c>
      <c r="AJ31" s="350" t="n"/>
      <c r="AK31" s="351" t="n"/>
      <c r="AL31" s="264" t="n"/>
      <c r="AM31" s="6" t="n"/>
      <c r="AN31" s="285" t="inlineStr">
        <is>
          <t>Figure S3.7</t>
        </is>
      </c>
      <c r="AO31" s="350" t="n"/>
      <c r="AP31" s="350" t="n"/>
      <c r="AQ31" s="350" t="n"/>
      <c r="AR31" s="351" t="n"/>
      <c r="AT31" s="5" t="n"/>
      <c r="AU31" s="303" t="inlineStr">
        <is>
          <t>Figure S3.8</t>
        </is>
      </c>
      <c r="AV31" s="357" t="n"/>
      <c r="AW31" s="358" t="n"/>
      <c r="AX31" s="6" t="n"/>
      <c r="AZ31" s="285" t="inlineStr">
        <is>
          <t>Figure S3.9</t>
        </is>
      </c>
      <c r="BA31" s="350" t="n"/>
      <c r="BB31" s="350" t="n"/>
      <c r="BC31" s="350" t="n"/>
      <c r="BD31" s="350" t="n"/>
      <c r="BE31" s="350" t="n"/>
      <c r="BF31" s="351" t="n"/>
      <c r="BH31" s="5" t="n"/>
      <c r="BI31" s="306" t="inlineStr">
        <is>
          <t>Figure S3.10</t>
        </is>
      </c>
      <c r="BJ31" s="350" t="n"/>
      <c r="BK31" s="350" t="n"/>
      <c r="BL31" s="351" t="n"/>
      <c r="BM31" s="6" t="n"/>
      <c r="BO31" s="285" t="inlineStr">
        <is>
          <t>Figure S3.11</t>
        </is>
      </c>
      <c r="BP31" s="350" t="n"/>
      <c r="BQ31" s="350" t="n"/>
      <c r="BR31" s="350" t="n"/>
      <c r="BS31" s="350" t="n"/>
      <c r="BT31" s="350" t="n"/>
      <c r="BU31" s="351" t="n"/>
      <c r="BW31" s="352" t="inlineStr">
        <is>
          <t>Figure S3.12</t>
        </is>
      </c>
      <c r="BX31" s="350" t="n"/>
      <c r="BY31" s="350" t="n"/>
      <c r="BZ31" s="350" t="n"/>
      <c r="CA31" s="350" t="n"/>
      <c r="CB31" s="350" t="n"/>
      <c r="CC31" s="350" t="n"/>
      <c r="CD31" s="350" t="n"/>
      <c r="CE31" s="353" t="n"/>
    </row>
    <row r="32" ht="18" customFormat="1" customHeight="1" s="7">
      <c r="B32" s="352" t="n"/>
      <c r="C32" s="350" t="n"/>
      <c r="D32" s="350" t="n"/>
      <c r="E32" s="350" t="n"/>
      <c r="F32" s="350" t="n"/>
      <c r="G32" s="350" t="n"/>
      <c r="H32" s="353" t="n"/>
      <c r="I32" s="230" t="n"/>
      <c r="J32" s="352" t="n"/>
      <c r="K32" s="350" t="n"/>
      <c r="L32" s="350" t="n"/>
      <c r="M32" s="350" t="n"/>
      <c r="N32" s="353" t="n"/>
      <c r="O32" s="5" t="n"/>
      <c r="P32" s="352" t="n"/>
      <c r="Q32" s="350" t="n"/>
      <c r="R32" s="350" t="n"/>
      <c r="S32" s="350" t="n"/>
      <c r="T32" s="353" t="n"/>
      <c r="V32" s="352" t="n"/>
      <c r="W32" s="350" t="n"/>
      <c r="X32" s="350" t="n"/>
      <c r="Y32" s="350" t="n"/>
      <c r="Z32" s="353" t="n"/>
      <c r="AB32" s="352" t="n"/>
      <c r="AC32" s="350" t="n"/>
      <c r="AD32" s="350" t="n"/>
      <c r="AE32" s="350" t="n"/>
      <c r="AF32" s="353" t="n"/>
      <c r="AH32" s="5" t="n"/>
      <c r="AI32" s="304" t="n"/>
      <c r="AJ32" s="350" t="n"/>
      <c r="AK32" s="351" t="n"/>
      <c r="AL32" s="264" t="n"/>
      <c r="AM32" s="6" t="n"/>
      <c r="AN32" s="352" t="n"/>
      <c r="AO32" s="350" t="n"/>
      <c r="AP32" s="350" t="n"/>
      <c r="AQ32" s="350" t="n"/>
      <c r="AR32" s="353" t="n"/>
      <c r="AT32" s="5" t="n"/>
      <c r="AU32" s="304" t="inlineStr">
        <is>
          <t>Year</t>
        </is>
      </c>
      <c r="AV32" s="304" t="n"/>
      <c r="AW32" s="351" t="n"/>
      <c r="AX32" s="6" t="n"/>
      <c r="AZ32" s="293" t="inlineStr">
        <is>
          <t>Year</t>
        </is>
      </c>
      <c r="BA32" s="359" t="n"/>
      <c r="BB32" s="360" t="n"/>
      <c r="BC32" s="360" t="n"/>
      <c r="BD32" s="360" t="n"/>
      <c r="BE32" s="360" t="n"/>
      <c r="BF32" s="361" t="n"/>
      <c r="BH32" s="5" t="n"/>
      <c r="BI32" s="306" t="n"/>
      <c r="BJ32" s="350" t="n"/>
      <c r="BK32" s="350" t="n"/>
      <c r="BL32" s="351" t="n"/>
      <c r="BM32" s="6" t="n"/>
      <c r="BO32" s="285" t="inlineStr">
        <is>
          <t>Year</t>
        </is>
      </c>
      <c r="BP32" s="305" t="n"/>
      <c r="BQ32" s="350" t="n"/>
      <c r="BR32" s="350" t="n"/>
      <c r="BS32" s="350" t="n"/>
      <c r="BT32" s="350" t="n"/>
      <c r="BU32" s="353" t="n"/>
      <c r="BW32" s="352" t="n"/>
      <c r="BX32" s="350" t="n"/>
      <c r="BY32" s="350" t="n"/>
      <c r="BZ32" s="350" t="n"/>
      <c r="CA32" s="350" t="n"/>
      <c r="CB32" s="350" t="n"/>
      <c r="CC32" s="350" t="n"/>
      <c r="CD32" s="350" t="n"/>
      <c r="CE32" s="353" t="n"/>
    </row>
    <row r="33" ht="27.75" customFormat="1" customHeight="1" s="89">
      <c r="B33" s="293" t="inlineStr">
        <is>
          <t>Year</t>
        </is>
      </c>
      <c r="C33" s="87" t="inlineStr">
        <is>
          <t xml:space="preserve">Cold Lake </t>
        </is>
      </c>
      <c r="D33" s="87" t="inlineStr">
        <is>
          <t>Athabasca</t>
        </is>
      </c>
      <c r="E33" s="91" t="inlineStr">
        <is>
          <t>Peace River</t>
        </is>
      </c>
      <c r="F33" s="88" t="inlineStr">
        <is>
          <t xml:space="preserve">Cold Lake </t>
        </is>
      </c>
      <c r="G33" s="87" t="inlineStr">
        <is>
          <t>Athabasca</t>
        </is>
      </c>
      <c r="H33" s="91" t="inlineStr">
        <is>
          <t>Peace River</t>
        </is>
      </c>
      <c r="I33" s="231" t="n"/>
      <c r="J33" s="315" t="inlineStr">
        <is>
          <t>Year</t>
        </is>
      </c>
      <c r="K33" s="233" t="inlineStr">
        <is>
          <t>Total production (base case)</t>
        </is>
      </c>
      <c r="L33" s="234" t="inlineStr">
        <is>
          <t>Total production (tariff case)</t>
        </is>
      </c>
      <c r="M33" s="244" t="inlineStr">
        <is>
          <t>Total production (base case)</t>
        </is>
      </c>
      <c r="N33" s="234" t="inlineStr">
        <is>
          <t>Total production (tariff case)</t>
        </is>
      </c>
      <c r="O33" s="86" t="n"/>
      <c r="P33" s="293" t="inlineStr">
        <is>
          <t>Year</t>
        </is>
      </c>
      <c r="Q33" s="87" t="inlineStr">
        <is>
          <t>In situ</t>
        </is>
      </c>
      <c r="R33" s="91" t="inlineStr">
        <is>
          <t>Surface mining</t>
        </is>
      </c>
      <c r="S33" s="88" t="inlineStr">
        <is>
          <t>In situ</t>
        </is>
      </c>
      <c r="T33" s="91" t="inlineStr">
        <is>
          <t>Surface mining</t>
        </is>
      </c>
      <c r="V33" s="293" t="inlineStr">
        <is>
          <t>Year</t>
        </is>
      </c>
      <c r="W33" s="233" t="inlineStr">
        <is>
          <t>Production 
(base case )</t>
        </is>
      </c>
      <c r="X33" s="234" t="inlineStr">
        <is>
          <t>Production 
(tariff case )</t>
        </is>
      </c>
      <c r="Y33" s="244" t="inlineStr">
        <is>
          <t>Production 
(base case )</t>
        </is>
      </c>
      <c r="Z33" s="234" t="inlineStr">
        <is>
          <t>Production 
(tariff case )</t>
        </is>
      </c>
      <c r="AB33" s="293" t="inlineStr">
        <is>
          <t>Year</t>
        </is>
      </c>
      <c r="AC33" s="233" t="inlineStr">
        <is>
          <t>Production 
(base case )</t>
        </is>
      </c>
      <c r="AD33" s="234" t="inlineStr">
        <is>
          <t>Production 
(tariff case )</t>
        </is>
      </c>
      <c r="AE33" s="244" t="inlineStr">
        <is>
          <t>Production 
(base case )</t>
        </is>
      </c>
      <c r="AF33" s="234" t="inlineStr">
        <is>
          <t>Production 
(tariff case )</t>
        </is>
      </c>
      <c r="AH33" s="86" t="n"/>
      <c r="AI33" s="295" t="inlineStr">
        <is>
          <t>Year</t>
        </is>
      </c>
      <c r="AJ33" s="91" t="inlineStr">
        <is>
          <t>Upgraded bitumen</t>
        </is>
      </c>
      <c r="AK33" s="88" t="inlineStr">
        <is>
          <t>Upgraded bitumen</t>
        </is>
      </c>
      <c r="AL33" s="249" t="n"/>
      <c r="AM33" s="90" t="n"/>
      <c r="AN33" s="285" t="inlineStr">
        <is>
          <t>Year</t>
        </is>
      </c>
      <c r="AO33" s="233" t="inlineStr">
        <is>
          <t>Production 
(base case )</t>
        </is>
      </c>
      <c r="AP33" s="234" t="inlineStr">
        <is>
          <t>Production 
(tariff case )</t>
        </is>
      </c>
      <c r="AQ33" s="244" t="inlineStr">
        <is>
          <t>Production 
(base case )</t>
        </is>
      </c>
      <c r="AR33" s="234" t="inlineStr">
        <is>
          <t>Production 
(tariff case )</t>
        </is>
      </c>
      <c r="AT33" s="86" t="n"/>
      <c r="AU33" s="362" t="n"/>
      <c r="AV33" s="88" t="inlineStr">
        <is>
          <t>Production</t>
        </is>
      </c>
      <c r="AW33" s="87" t="inlineStr">
        <is>
          <t>Producing wells</t>
        </is>
      </c>
      <c r="AX33" s="90" t="n"/>
      <c r="AZ33" s="363" t="n"/>
      <c r="BA33" s="87" t="inlineStr">
        <is>
          <t>Primary 
(includes enhanced recovery)</t>
        </is>
      </c>
      <c r="BB33" s="87" t="inlineStr">
        <is>
          <t>CSS</t>
        </is>
      </c>
      <c r="BC33" s="95" t="inlineStr">
        <is>
          <t>SAGD 
(includes experimental)</t>
        </is>
      </c>
      <c r="BD33" s="88" t="inlineStr">
        <is>
          <t>Primary 
(includes enhanced recovery)</t>
        </is>
      </c>
      <c r="BE33" s="87" t="inlineStr">
        <is>
          <t>CSS</t>
        </is>
      </c>
      <c r="BF33" s="95" t="inlineStr">
        <is>
          <t>SAGD 
(includes experimental)</t>
        </is>
      </c>
      <c r="BH33" s="86" t="n"/>
      <c r="BI33" s="51" t="n">
        <v>2024</v>
      </c>
      <c r="BJ33" s="51" t="inlineStr">
        <is>
          <t>SAGD</t>
        </is>
      </c>
      <c r="BK33" s="51" t="inlineStr">
        <is>
          <t>CSS</t>
        </is>
      </c>
      <c r="BL33" s="51" t="inlineStr">
        <is>
          <t>Primary 
(including enhanced recovery)</t>
        </is>
      </c>
      <c r="BM33" s="90" t="n"/>
      <c r="BO33" s="363" t="n"/>
      <c r="BP33" s="87" t="inlineStr">
        <is>
          <t>Alberta demand</t>
        </is>
      </c>
      <c r="BQ33" s="87" t="inlineStr">
        <is>
          <t>Upgraded bitumen removals from Alberta</t>
        </is>
      </c>
      <c r="BR33" s="95" t="inlineStr">
        <is>
          <t xml:space="preserve">Nonupgraded bitumen removals </t>
        </is>
      </c>
      <c r="BS33" s="88" t="inlineStr">
        <is>
          <t>Alberta demand</t>
        </is>
      </c>
      <c r="BT33" s="87" t="inlineStr">
        <is>
          <t>Upgraded bitumen removals from Alberta</t>
        </is>
      </c>
      <c r="BU33" s="95" t="inlineStr">
        <is>
          <t xml:space="preserve">Nonupgraded bitumen removals </t>
        </is>
      </c>
      <c r="BW33" s="285" t="inlineStr">
        <is>
          <t>Year</t>
        </is>
      </c>
      <c r="BX33" s="233" t="inlineStr">
        <is>
          <t>Production 
(base case )</t>
        </is>
      </c>
      <c r="BY33" s="233" t="inlineStr">
        <is>
          <t>Production 
(tariff case )</t>
        </is>
      </c>
      <c r="BZ33" s="233" t="inlineStr">
        <is>
          <t>Alberta demand
(base case )</t>
        </is>
      </c>
      <c r="CA33" s="234" t="inlineStr">
        <is>
          <t>Alberta demand
(tariff case )</t>
        </is>
      </c>
      <c r="CB33" s="244" t="inlineStr">
        <is>
          <t>Production 
(base case )</t>
        </is>
      </c>
      <c r="CC33" s="233" t="inlineStr">
        <is>
          <t>Production 
(tariff case )</t>
        </is>
      </c>
      <c r="CD33" s="233" t="inlineStr">
        <is>
          <t>Alberta demand
(base case )</t>
        </is>
      </c>
      <c r="CE33" s="234" t="inlineStr">
        <is>
          <t>Alberta demand
(tariff case )</t>
        </is>
      </c>
    </row>
    <row r="34" ht="25.5" customFormat="1" customHeight="1" s="89">
      <c r="B34" s="364" t="n"/>
      <c r="C34" s="94" t="inlineStr">
        <is>
          <t>(103 m3/d)</t>
        </is>
      </c>
      <c r="D34" s="94" t="inlineStr">
        <is>
          <t>(103 m3/d)</t>
        </is>
      </c>
      <c r="E34" s="95" t="inlineStr">
        <is>
          <t>(103 m3/d)</t>
        </is>
      </c>
      <c r="F34" s="227" t="inlineStr">
        <is>
          <t>(103 bbl/d)</t>
        </is>
      </c>
      <c r="G34" s="94" t="inlineStr">
        <is>
          <t>(103 bbl/d)</t>
        </is>
      </c>
      <c r="H34" s="95" t="inlineStr">
        <is>
          <t>(103 bbl/d)</t>
        </is>
      </c>
      <c r="I34" s="231" t="n"/>
      <c r="J34" s="365" t="n"/>
      <c r="K34" s="233" t="inlineStr">
        <is>
          <t>(103 m3/d)</t>
        </is>
      </c>
      <c r="L34" s="234" t="inlineStr">
        <is>
          <t>(103 m3/d)</t>
        </is>
      </c>
      <c r="M34" s="244" t="inlineStr">
        <is>
          <t>(103 bbl/d)</t>
        </is>
      </c>
      <c r="N34" s="234" t="inlineStr">
        <is>
          <t>(103 bbl/d)</t>
        </is>
      </c>
      <c r="O34" s="86" t="n"/>
      <c r="P34" s="364" t="n"/>
      <c r="Q34" s="94" t="inlineStr">
        <is>
          <t>(103 m3/d)</t>
        </is>
      </c>
      <c r="R34" s="95" t="inlineStr">
        <is>
          <t>(103 m3/d)</t>
        </is>
      </c>
      <c r="S34" s="227" t="inlineStr">
        <is>
          <t>(103 bbl/d)</t>
        </is>
      </c>
      <c r="T34" s="95" t="inlineStr">
        <is>
          <t>(103 bbl/d)</t>
        </is>
      </c>
      <c r="V34" s="364" t="n"/>
      <c r="W34" s="252" t="inlineStr">
        <is>
          <t xml:space="preserve"> (103 m3/d)</t>
        </is>
      </c>
      <c r="X34" s="253" t="inlineStr">
        <is>
          <t xml:space="preserve"> (103 m3/d)</t>
        </is>
      </c>
      <c r="Y34" s="254" t="inlineStr">
        <is>
          <t>(103 bbl/d)</t>
        </is>
      </c>
      <c r="Z34" s="253" t="inlineStr">
        <is>
          <t>(103 bbl/d)</t>
        </is>
      </c>
      <c r="AB34" s="364" t="n"/>
      <c r="AC34" s="252" t="inlineStr">
        <is>
          <t xml:space="preserve"> (103 m3/d)</t>
        </is>
      </c>
      <c r="AD34" s="253" t="inlineStr">
        <is>
          <t xml:space="preserve"> (103 m3/d)</t>
        </is>
      </c>
      <c r="AE34" s="254" t="inlineStr">
        <is>
          <t>(103 bbl/d)</t>
        </is>
      </c>
      <c r="AF34" s="253" t="inlineStr">
        <is>
          <t>(103 bbl/d)</t>
        </is>
      </c>
      <c r="AH34" s="86" t="n"/>
      <c r="AI34" s="366" t="n"/>
      <c r="AJ34" s="234" t="inlineStr">
        <is>
          <t>(103 m3/d)</t>
        </is>
      </c>
      <c r="AK34" s="244" t="inlineStr">
        <is>
          <t>(103 bbl/d)</t>
        </is>
      </c>
      <c r="AL34" s="249" t="n"/>
      <c r="AM34" s="90" t="n"/>
      <c r="AN34" s="364" t="n"/>
      <c r="AO34" s="252" t="inlineStr">
        <is>
          <t xml:space="preserve"> (103 m3/d)</t>
        </is>
      </c>
      <c r="AP34" s="253" t="inlineStr">
        <is>
          <t xml:space="preserve"> (103 m3/d)</t>
        </is>
      </c>
      <c r="AQ34" s="254" t="inlineStr">
        <is>
          <t>(103 bbl/d)</t>
        </is>
      </c>
      <c r="AR34" s="253" t="inlineStr">
        <is>
          <t>(103 bbl/d)</t>
        </is>
      </c>
      <c r="AT34" s="86" t="n"/>
      <c r="AU34" s="366" t="n"/>
      <c r="AV34" s="260" t="inlineStr">
        <is>
          <t>(103 m3/d)</t>
        </is>
      </c>
      <c r="AW34" s="233" t="inlineStr">
        <is>
          <t>Number of wells</t>
        </is>
      </c>
      <c r="AX34" s="90" t="n"/>
      <c r="AZ34" s="364" t="n"/>
      <c r="BA34" s="94" t="inlineStr">
        <is>
          <t>(103 m3/d)</t>
        </is>
      </c>
      <c r="BB34" s="94" t="inlineStr">
        <is>
          <t>(103 m3/d)</t>
        </is>
      </c>
      <c r="BC34" s="95" t="inlineStr">
        <is>
          <t>(103 m3/d)</t>
        </is>
      </c>
      <c r="BD34" s="226" t="inlineStr">
        <is>
          <t>(103 bbl/d)</t>
        </is>
      </c>
      <c r="BE34" s="47" t="inlineStr">
        <is>
          <t>(103 bbl/d)</t>
        </is>
      </c>
      <c r="BF34" s="95" t="inlineStr">
        <is>
          <t>(103 bbl/d)</t>
        </is>
      </c>
      <c r="BH34" s="86" t="n"/>
      <c r="BI34" s="97" t="inlineStr">
        <is>
          <t>Cubic metres per day</t>
        </is>
      </c>
      <c r="BJ34" s="367" t="n">
        <v>84.22</v>
      </c>
      <c r="BK34" s="367" t="n">
        <v>9.74</v>
      </c>
      <c r="BL34" s="367" t="n">
        <v>8.449999999999999</v>
      </c>
      <c r="BM34" s="90" t="n"/>
      <c r="BO34" s="364" t="n"/>
      <c r="BP34" s="94" t="inlineStr">
        <is>
          <t>(103 m3/d)</t>
        </is>
      </c>
      <c r="BQ34" s="94" t="inlineStr">
        <is>
          <t>(103 m3/d)</t>
        </is>
      </c>
      <c r="BR34" s="95" t="inlineStr">
        <is>
          <t>(103 m3/d)</t>
        </is>
      </c>
      <c r="BS34" s="226" t="inlineStr">
        <is>
          <t>(103 bbl/d)</t>
        </is>
      </c>
      <c r="BT34" s="47" t="inlineStr">
        <is>
          <t>(103 bbl/d)</t>
        </is>
      </c>
      <c r="BU34" s="95" t="inlineStr">
        <is>
          <t>(103 bbl/d)</t>
        </is>
      </c>
      <c r="BW34" s="364" t="n"/>
      <c r="BX34" s="252" t="inlineStr">
        <is>
          <t xml:space="preserve"> (103 m3/d)</t>
        </is>
      </c>
      <c r="BY34" s="252" t="inlineStr">
        <is>
          <t xml:space="preserve"> (103 m3/d)</t>
        </is>
      </c>
      <c r="BZ34" s="252" t="inlineStr">
        <is>
          <t xml:space="preserve"> (103 m3/d)</t>
        </is>
      </c>
      <c r="CA34" s="253" t="inlineStr">
        <is>
          <t xml:space="preserve"> (103 m3/d)</t>
        </is>
      </c>
      <c r="CB34" s="254" t="inlineStr">
        <is>
          <t>(103 bbl/d)</t>
        </is>
      </c>
      <c r="CC34" s="252" t="inlineStr">
        <is>
          <t>(103 bbl/d)</t>
        </is>
      </c>
      <c r="CD34" s="252" t="inlineStr">
        <is>
          <t>(103 bbl/d)</t>
        </is>
      </c>
      <c r="CE34" s="253" t="inlineStr">
        <is>
          <t>(103 bbl/d)</t>
        </is>
      </c>
    </row>
    <row r="35" ht="15" customHeight="1" thickBot="1">
      <c r="B35" s="147" t="n">
        <v>1998</v>
      </c>
      <c r="C35" s="368" t="n">
        <v>39.2</v>
      </c>
      <c r="D35" s="368" t="n">
        <v>63.6</v>
      </c>
      <c r="E35" s="369" t="n">
        <v>1.1</v>
      </c>
      <c r="F35" s="370" t="n">
        <v>246.68</v>
      </c>
      <c r="G35" s="368" t="n">
        <v>400.23</v>
      </c>
      <c r="H35" s="369" t="n">
        <v>6.92</v>
      </c>
      <c r="I35" s="371" t="n"/>
      <c r="J35" s="235" t="n">
        <v>1998</v>
      </c>
      <c r="K35" s="372" t="n">
        <v>103.8</v>
      </c>
      <c r="L35" s="373" t="n">
        <v>103.8</v>
      </c>
      <c r="M35" s="374" t="n">
        <v>653.21</v>
      </c>
      <c r="N35" s="373" t="n">
        <v>653.21</v>
      </c>
      <c r="O35" s="8" t="n"/>
      <c r="P35" s="147" t="n">
        <v>1998</v>
      </c>
      <c r="Q35" s="368" t="n">
        <v>45.7</v>
      </c>
      <c r="R35" s="369" t="n">
        <v>58.1</v>
      </c>
      <c r="S35" s="370" t="n">
        <v>287.59</v>
      </c>
      <c r="T35" s="369" t="n">
        <v>365.62</v>
      </c>
      <c r="V35" s="147" t="n">
        <v>1998</v>
      </c>
      <c r="W35" s="372" t="n">
        <v>58.1</v>
      </c>
      <c r="X35" s="373" t="n">
        <v>58.1</v>
      </c>
      <c r="Y35" s="374" t="n">
        <v>365.62</v>
      </c>
      <c r="Z35" s="373" t="n">
        <v>365.62</v>
      </c>
      <c r="AB35" s="147" t="n">
        <v>1998</v>
      </c>
      <c r="AC35" s="372" t="n">
        <v>45.7</v>
      </c>
      <c r="AD35" s="373" t="n">
        <v>45.7</v>
      </c>
      <c r="AE35" s="374" t="n">
        <v>287.59</v>
      </c>
      <c r="AF35" s="373" t="n">
        <v>287.59</v>
      </c>
      <c r="AH35" s="8" t="n"/>
      <c r="AI35" s="251" t="n">
        <v>1998</v>
      </c>
      <c r="AJ35" s="373" t="n">
        <v>49</v>
      </c>
      <c r="AK35" s="374" t="n">
        <v>308.35</v>
      </c>
      <c r="AL35" s="375" t="n"/>
      <c r="AM35" s="9" t="n"/>
      <c r="AN35" s="147" t="n">
        <v>1998</v>
      </c>
      <c r="AO35" s="372" t="n">
        <v>49</v>
      </c>
      <c r="AP35" s="373" t="n">
        <v>49</v>
      </c>
      <c r="AQ35" s="374" t="n">
        <v>308.35</v>
      </c>
      <c r="AR35" s="373" t="n">
        <v>308.35</v>
      </c>
      <c r="AT35" s="8" t="n"/>
      <c r="AU35" s="251" t="n">
        <v>1990</v>
      </c>
      <c r="AV35" s="372" t="n">
        <v>21.5</v>
      </c>
      <c r="AW35" s="376" t="n">
        <v>2337</v>
      </c>
      <c r="AX35" s="9" t="n"/>
      <c r="AZ35" s="147" t="n">
        <v>1998</v>
      </c>
      <c r="BA35" s="368" t="n">
        <v>16.1</v>
      </c>
      <c r="BB35" s="368" t="n">
        <v>29.4</v>
      </c>
      <c r="BC35" s="369" t="n">
        <v>0</v>
      </c>
      <c r="BD35" s="370" t="n">
        <v>101.32</v>
      </c>
      <c r="BE35" s="368" t="n">
        <v>185.01</v>
      </c>
      <c r="BF35" s="369" t="n">
        <v>0</v>
      </c>
      <c r="BH35" s="26" t="n"/>
      <c r="BI35" s="98" t="inlineStr">
        <is>
          <t>Number of wells</t>
        </is>
      </c>
      <c r="BJ35" s="377" t="n">
        <v>2591</v>
      </c>
      <c r="BK35" s="377" t="n">
        <v>3813</v>
      </c>
      <c r="BL35" s="377" t="n">
        <v>4333</v>
      </c>
      <c r="BM35" s="27" t="n"/>
      <c r="BO35" s="147" t="n">
        <v>1998</v>
      </c>
      <c r="BP35" s="368" t="n">
        <v>31.3</v>
      </c>
      <c r="BQ35" s="368" t="n">
        <v>20.3</v>
      </c>
      <c r="BR35" s="369" t="n">
        <v>43.2</v>
      </c>
      <c r="BS35" s="370" t="n">
        <v>196.97</v>
      </c>
      <c r="BT35" s="368" t="n">
        <v>127.75</v>
      </c>
      <c r="BU35" s="369" t="n">
        <v>271.85</v>
      </c>
      <c r="BW35" s="147" t="n">
        <v>1998</v>
      </c>
      <c r="BX35" s="372" t="n">
        <v>94.8</v>
      </c>
      <c r="BY35" s="372" t="n">
        <v>94.8</v>
      </c>
      <c r="BZ35" s="372" t="n">
        <v>31.3</v>
      </c>
      <c r="CA35" s="373" t="n">
        <v>31.3</v>
      </c>
      <c r="CB35" s="374" t="n">
        <v>596.5700000000001</v>
      </c>
      <c r="CC35" s="372" t="n">
        <v>596.5700000000001</v>
      </c>
      <c r="CD35" s="372" t="n">
        <v>196.97</v>
      </c>
      <c r="CE35" s="373" t="n">
        <v>196.97</v>
      </c>
    </row>
    <row r="36" ht="15" customHeight="1">
      <c r="B36" s="147" t="n">
        <v>1999</v>
      </c>
      <c r="C36" s="368" t="n">
        <v>36</v>
      </c>
      <c r="D36" s="368" t="n">
        <v>69.3</v>
      </c>
      <c r="E36" s="369" t="n">
        <v>1</v>
      </c>
      <c r="F36" s="370" t="n">
        <v>226.54</v>
      </c>
      <c r="G36" s="368" t="n">
        <v>436.1</v>
      </c>
      <c r="H36" s="369" t="n">
        <v>6.29</v>
      </c>
      <c r="I36" s="371" t="n"/>
      <c r="J36" s="235" t="n">
        <v>1999</v>
      </c>
      <c r="K36" s="372" t="n">
        <v>106.2</v>
      </c>
      <c r="L36" s="373" t="n">
        <v>106.2</v>
      </c>
      <c r="M36" s="374" t="n">
        <v>668.3</v>
      </c>
      <c r="N36" s="373" t="n">
        <v>668.3</v>
      </c>
      <c r="O36" s="8" t="n"/>
      <c r="P36" s="147" t="n">
        <v>1999</v>
      </c>
      <c r="Q36" s="368" t="n">
        <v>42.1</v>
      </c>
      <c r="R36" s="369" t="n">
        <v>64.09999999999999</v>
      </c>
      <c r="S36" s="370" t="n">
        <v>264.93</v>
      </c>
      <c r="T36" s="369" t="n">
        <v>403.37</v>
      </c>
      <c r="V36" s="147" t="n">
        <v>1999</v>
      </c>
      <c r="W36" s="372" t="n">
        <v>64.09999999999999</v>
      </c>
      <c r="X36" s="373" t="n">
        <v>64.09999999999999</v>
      </c>
      <c r="Y36" s="374" t="n">
        <v>403.37</v>
      </c>
      <c r="Z36" s="373" t="n">
        <v>403.37</v>
      </c>
      <c r="AB36" s="147" t="n">
        <v>1999</v>
      </c>
      <c r="AC36" s="372" t="n">
        <v>42.1</v>
      </c>
      <c r="AD36" s="373" t="n">
        <v>42.1</v>
      </c>
      <c r="AE36" s="374" t="n">
        <v>264.93</v>
      </c>
      <c r="AF36" s="373" t="n">
        <v>264.93</v>
      </c>
      <c r="AH36" s="8" t="n"/>
      <c r="AI36" s="251" t="n">
        <v>1999</v>
      </c>
      <c r="AJ36" s="373" t="n">
        <v>51.4</v>
      </c>
      <c r="AK36" s="374" t="n">
        <v>323.46</v>
      </c>
      <c r="AL36" s="375" t="n"/>
      <c r="AM36" s="9" t="n"/>
      <c r="AN36" s="147" t="n">
        <v>1999</v>
      </c>
      <c r="AO36" s="372" t="n">
        <v>51.4</v>
      </c>
      <c r="AP36" s="373" t="n">
        <v>51.4</v>
      </c>
      <c r="AQ36" s="374" t="n">
        <v>323.46</v>
      </c>
      <c r="AR36" s="373" t="n">
        <v>323.46</v>
      </c>
      <c r="AT36" s="8" t="n"/>
      <c r="AU36" s="251" t="n">
        <v>1991</v>
      </c>
      <c r="AV36" s="372" t="n">
        <v>19.5</v>
      </c>
      <c r="AW36" s="376" t="n">
        <v>2333</v>
      </c>
      <c r="AX36" s="9" t="n"/>
      <c r="AZ36" s="147" t="n">
        <v>1999</v>
      </c>
      <c r="BA36" s="368" t="n">
        <v>13.6</v>
      </c>
      <c r="BB36" s="368" t="n">
        <v>27.9</v>
      </c>
      <c r="BC36" s="369" t="n">
        <v>0</v>
      </c>
      <c r="BD36" s="370" t="n">
        <v>85.58</v>
      </c>
      <c r="BE36" s="368" t="n">
        <v>175.57</v>
      </c>
      <c r="BF36" s="369" t="n">
        <v>0</v>
      </c>
      <c r="BI36" s="44" t="inlineStr">
        <is>
          <t>Any discrepancies are due to rounding.</t>
        </is>
      </c>
      <c r="BJ36" s="21" t="n"/>
      <c r="BK36" s="21" t="n"/>
      <c r="BL36" s="21" t="n"/>
      <c r="BM36" s="21" t="n"/>
      <c r="BO36" s="147" t="n">
        <v>1999</v>
      </c>
      <c r="BP36" s="368" t="n">
        <v>29.9</v>
      </c>
      <c r="BQ36" s="368" t="n">
        <v>24</v>
      </c>
      <c r="BR36" s="369" t="n">
        <v>39.6</v>
      </c>
      <c r="BS36" s="370" t="n">
        <v>188.16</v>
      </c>
      <c r="BT36" s="368" t="n">
        <v>151.03</v>
      </c>
      <c r="BU36" s="369" t="n">
        <v>249.2</v>
      </c>
      <c r="BW36" s="147" t="n">
        <v>1999</v>
      </c>
      <c r="BX36" s="372" t="n">
        <v>93.5</v>
      </c>
      <c r="BY36" s="372" t="n">
        <v>93.5</v>
      </c>
      <c r="BZ36" s="372" t="n">
        <v>29.9</v>
      </c>
      <c r="CA36" s="373" t="n">
        <v>29.9</v>
      </c>
      <c r="CB36" s="374" t="n">
        <v>588.39</v>
      </c>
      <c r="CC36" s="372" t="n">
        <v>588.39</v>
      </c>
      <c r="CD36" s="372" t="n">
        <v>188.16</v>
      </c>
      <c r="CE36" s="373" t="n">
        <v>188.16</v>
      </c>
    </row>
    <row r="37" ht="15" customHeight="1">
      <c r="B37" s="147" t="n">
        <v>2000</v>
      </c>
      <c r="C37" s="368" t="n">
        <v>37.6</v>
      </c>
      <c r="D37" s="368" t="n">
        <v>67.8</v>
      </c>
      <c r="E37" s="369" t="n">
        <v>0.7</v>
      </c>
      <c r="F37" s="370" t="n">
        <v>236.61</v>
      </c>
      <c r="G37" s="368" t="n">
        <v>426.66</v>
      </c>
      <c r="H37" s="369" t="n">
        <v>4.41</v>
      </c>
      <c r="I37" s="371" t="n"/>
      <c r="J37" s="235" t="n">
        <v>2000</v>
      </c>
      <c r="K37" s="372" t="n">
        <v>106.1</v>
      </c>
      <c r="L37" s="373" t="n">
        <v>106.1</v>
      </c>
      <c r="M37" s="374" t="n">
        <v>667.6799999999999</v>
      </c>
      <c r="N37" s="373" t="n">
        <v>667.6799999999999</v>
      </c>
      <c r="O37" s="8" t="n"/>
      <c r="P37" s="147" t="n">
        <v>2000</v>
      </c>
      <c r="Q37" s="368" t="n">
        <v>45.7</v>
      </c>
      <c r="R37" s="369" t="n">
        <v>60.4</v>
      </c>
      <c r="S37" s="370" t="n">
        <v>287.59</v>
      </c>
      <c r="T37" s="369" t="n">
        <v>380.09</v>
      </c>
      <c r="V37" s="147" t="n">
        <v>2000</v>
      </c>
      <c r="W37" s="372" t="n">
        <v>60.4</v>
      </c>
      <c r="X37" s="373" t="n">
        <v>60.4</v>
      </c>
      <c r="Y37" s="374" t="n">
        <v>380.09</v>
      </c>
      <c r="Z37" s="373" t="n">
        <v>380.09</v>
      </c>
      <c r="AB37" s="147" t="n">
        <v>2000</v>
      </c>
      <c r="AC37" s="372" t="n">
        <v>45.7</v>
      </c>
      <c r="AD37" s="373" t="n">
        <v>45.7</v>
      </c>
      <c r="AE37" s="374" t="n">
        <v>287.59</v>
      </c>
      <c r="AF37" s="373" t="n">
        <v>287.59</v>
      </c>
      <c r="AH37" s="8" t="n"/>
      <c r="AI37" s="251" t="n">
        <v>2000</v>
      </c>
      <c r="AJ37" s="373" t="n">
        <v>50.9</v>
      </c>
      <c r="AK37" s="374" t="n">
        <v>320.31</v>
      </c>
      <c r="AL37" s="375" t="n"/>
      <c r="AM37" s="9" t="n"/>
      <c r="AN37" s="147" t="n">
        <v>2000</v>
      </c>
      <c r="AO37" s="372" t="n">
        <v>50.9</v>
      </c>
      <c r="AP37" s="373" t="n">
        <v>50.9</v>
      </c>
      <c r="AQ37" s="374" t="n">
        <v>320.31</v>
      </c>
      <c r="AR37" s="373" t="n">
        <v>320.31</v>
      </c>
      <c r="AT37" s="8" t="n"/>
      <c r="AU37" s="251" t="n">
        <v>1992</v>
      </c>
      <c r="AV37" s="372" t="n">
        <v>20.1</v>
      </c>
      <c r="AW37" s="376" t="n">
        <v>2344</v>
      </c>
      <c r="AX37" s="9" t="n"/>
      <c r="AZ37" s="147" t="n">
        <v>2000</v>
      </c>
      <c r="BA37" s="368" t="n">
        <v>19.1</v>
      </c>
      <c r="BB37" s="368" t="n">
        <v>25.8</v>
      </c>
      <c r="BC37" s="369" t="n">
        <v>0</v>
      </c>
      <c r="BD37" s="370" t="n">
        <v>120.19</v>
      </c>
      <c r="BE37" s="368" t="n">
        <v>162.36</v>
      </c>
      <c r="BF37" s="369" t="n">
        <v>0</v>
      </c>
      <c r="BJ37" s="378" t="n"/>
      <c r="BK37" s="378" t="n"/>
      <c r="BL37" s="378" t="n"/>
      <c r="BO37" s="147" t="n">
        <v>2000</v>
      </c>
      <c r="BP37" s="368" t="n">
        <v>32.8</v>
      </c>
      <c r="BQ37" s="368" t="n">
        <v>20.4</v>
      </c>
      <c r="BR37" s="369" t="n">
        <v>43.5</v>
      </c>
      <c r="BS37" s="370" t="n">
        <v>206.41</v>
      </c>
      <c r="BT37" s="368" t="n">
        <v>128.38</v>
      </c>
      <c r="BU37" s="369" t="n">
        <v>273.74</v>
      </c>
      <c r="BW37" s="147" t="n">
        <v>2000</v>
      </c>
      <c r="BX37" s="372" t="n">
        <v>96.7</v>
      </c>
      <c r="BY37" s="372" t="n">
        <v>96.7</v>
      </c>
      <c r="BZ37" s="372" t="n">
        <v>32.8</v>
      </c>
      <c r="CA37" s="373" t="n">
        <v>32.8</v>
      </c>
      <c r="CB37" s="374" t="n">
        <v>608.53</v>
      </c>
      <c r="CC37" s="372" t="n">
        <v>608.53</v>
      </c>
      <c r="CD37" s="372" t="n">
        <v>206.41</v>
      </c>
      <c r="CE37" s="373" t="n">
        <v>206.41</v>
      </c>
    </row>
    <row r="38" ht="15" customHeight="1">
      <c r="B38" s="147" t="n">
        <v>2001</v>
      </c>
      <c r="C38" s="368" t="n">
        <v>39.3</v>
      </c>
      <c r="D38" s="368" t="n">
        <v>75.2</v>
      </c>
      <c r="E38" s="369" t="n">
        <v>0.7</v>
      </c>
      <c r="F38" s="370" t="n">
        <v>247.31</v>
      </c>
      <c r="G38" s="368" t="n">
        <v>473.23</v>
      </c>
      <c r="H38" s="369" t="n">
        <v>4.41</v>
      </c>
      <c r="I38" s="371" t="n"/>
      <c r="J38" s="235" t="n">
        <v>2001</v>
      </c>
      <c r="K38" s="372" t="n">
        <v>115.2</v>
      </c>
      <c r="L38" s="373" t="n">
        <v>115.2</v>
      </c>
      <c r="M38" s="374" t="n">
        <v>724.9400000000001</v>
      </c>
      <c r="N38" s="373" t="n">
        <v>724.9400000000001</v>
      </c>
      <c r="O38" s="8" t="n"/>
      <c r="P38" s="147" t="n">
        <v>2001</v>
      </c>
      <c r="Q38" s="368" t="n">
        <v>47.8</v>
      </c>
      <c r="R38" s="369" t="n">
        <v>67.40000000000001</v>
      </c>
      <c r="S38" s="370" t="n">
        <v>300.8</v>
      </c>
      <c r="T38" s="369" t="n">
        <v>424.14</v>
      </c>
      <c r="V38" s="147" t="n">
        <v>2001</v>
      </c>
      <c r="W38" s="372" t="n">
        <v>67.40000000000001</v>
      </c>
      <c r="X38" s="373" t="n">
        <v>67.40000000000001</v>
      </c>
      <c r="Y38" s="374" t="n">
        <v>424.14</v>
      </c>
      <c r="Z38" s="373" t="n">
        <v>424.14</v>
      </c>
      <c r="AB38" s="147" t="n">
        <v>2001</v>
      </c>
      <c r="AC38" s="372" t="n">
        <v>47.8</v>
      </c>
      <c r="AD38" s="373" t="n">
        <v>47.8</v>
      </c>
      <c r="AE38" s="374" t="n">
        <v>300.8</v>
      </c>
      <c r="AF38" s="373" t="n">
        <v>300.8</v>
      </c>
      <c r="AH38" s="8" t="n"/>
      <c r="AI38" s="251" t="n">
        <v>2001</v>
      </c>
      <c r="AJ38" s="373" t="n">
        <v>55.5</v>
      </c>
      <c r="AK38" s="374" t="n">
        <v>349.26</v>
      </c>
      <c r="AL38" s="375" t="n"/>
      <c r="AM38" s="9" t="n"/>
      <c r="AN38" s="147" t="n">
        <v>2001</v>
      </c>
      <c r="AO38" s="372" t="n">
        <v>55.5</v>
      </c>
      <c r="AP38" s="373" t="n">
        <v>55.5</v>
      </c>
      <c r="AQ38" s="374" t="n">
        <v>349.26</v>
      </c>
      <c r="AR38" s="373" t="n">
        <v>349.26</v>
      </c>
      <c r="AT38" s="8" t="n"/>
      <c r="AU38" s="251" t="n">
        <v>1993</v>
      </c>
      <c r="AV38" s="372" t="n">
        <v>21.1</v>
      </c>
      <c r="AW38" s="376" t="n">
        <v>2594</v>
      </c>
      <c r="AX38" s="9" t="n"/>
      <c r="AZ38" s="147" t="n">
        <v>2001</v>
      </c>
      <c r="BA38" s="368" t="n">
        <v>18.7</v>
      </c>
      <c r="BB38" s="368" t="n">
        <v>28</v>
      </c>
      <c r="BC38" s="369" t="n">
        <v>0.1</v>
      </c>
      <c r="BD38" s="370" t="n">
        <v>117.68</v>
      </c>
      <c r="BE38" s="368" t="n">
        <v>176.2</v>
      </c>
      <c r="BF38" s="369" t="n">
        <v>0.63</v>
      </c>
      <c r="BJ38" s="378" t="n"/>
      <c r="BK38" s="378" t="n"/>
      <c r="BL38" s="378" t="n"/>
      <c r="BO38" s="147" t="n">
        <v>2001</v>
      </c>
      <c r="BP38" s="368" t="n">
        <v>33.5</v>
      </c>
      <c r="BQ38" s="368" t="n">
        <v>24.4</v>
      </c>
      <c r="BR38" s="369" t="n">
        <v>45.3</v>
      </c>
      <c r="BS38" s="370" t="n">
        <v>210.81</v>
      </c>
      <c r="BT38" s="368" t="n">
        <v>153.55</v>
      </c>
      <c r="BU38" s="369" t="n">
        <v>285.07</v>
      </c>
      <c r="BW38" s="147" t="n">
        <v>2001</v>
      </c>
      <c r="BX38" s="372" t="n">
        <v>103.2</v>
      </c>
      <c r="BY38" s="372" t="n">
        <v>103.2</v>
      </c>
      <c r="BZ38" s="372" t="n">
        <v>33.5</v>
      </c>
      <c r="CA38" s="373" t="n">
        <v>33.5</v>
      </c>
      <c r="CB38" s="374" t="n">
        <v>649.4299999999999</v>
      </c>
      <c r="CC38" s="372" t="n">
        <v>649.4299999999999</v>
      </c>
      <c r="CD38" s="372" t="n">
        <v>210.81</v>
      </c>
      <c r="CE38" s="373" t="n">
        <v>210.81</v>
      </c>
    </row>
    <row r="39" ht="15" customHeight="1">
      <c r="B39" s="147" t="n">
        <v>2002</v>
      </c>
      <c r="C39" s="368" t="n">
        <v>36.1</v>
      </c>
      <c r="D39" s="368" t="n">
        <v>96.3</v>
      </c>
      <c r="E39" s="369" t="n">
        <v>1.6</v>
      </c>
      <c r="F39" s="370" t="n">
        <v>227.17</v>
      </c>
      <c r="G39" s="368" t="n">
        <v>606.01</v>
      </c>
      <c r="H39" s="369" t="n">
        <v>10.07</v>
      </c>
      <c r="I39" s="371" t="n"/>
      <c r="J39" s="235" t="n">
        <v>2002</v>
      </c>
      <c r="K39" s="372" t="n">
        <v>133.9</v>
      </c>
      <c r="L39" s="373" t="n">
        <v>133.9</v>
      </c>
      <c r="M39" s="374" t="n">
        <v>842.62</v>
      </c>
      <c r="N39" s="373" t="n">
        <v>842.62</v>
      </c>
      <c r="O39" s="8" t="n"/>
      <c r="P39" s="147" t="n">
        <v>2002</v>
      </c>
      <c r="Q39" s="368" t="n">
        <v>48.1</v>
      </c>
      <c r="R39" s="369" t="n">
        <v>85.8</v>
      </c>
      <c r="S39" s="370" t="n">
        <v>302.69</v>
      </c>
      <c r="T39" s="369" t="n">
        <v>539.9299999999999</v>
      </c>
      <c r="V39" s="147" t="n">
        <v>2002</v>
      </c>
      <c r="W39" s="372" t="n">
        <v>85.8</v>
      </c>
      <c r="X39" s="373" t="n">
        <v>85.8</v>
      </c>
      <c r="Y39" s="374" t="n">
        <v>539.9299999999999</v>
      </c>
      <c r="Z39" s="373" t="n">
        <v>539.9299999999999</v>
      </c>
      <c r="AB39" s="147" t="n">
        <v>2002</v>
      </c>
      <c r="AC39" s="372" t="n">
        <v>48.1</v>
      </c>
      <c r="AD39" s="373" t="n">
        <v>48.1</v>
      </c>
      <c r="AE39" s="374" t="n">
        <v>302.69</v>
      </c>
      <c r="AF39" s="373" t="n">
        <v>302.69</v>
      </c>
      <c r="AH39" s="8" t="n"/>
      <c r="AI39" s="251" t="n">
        <v>2002</v>
      </c>
      <c r="AJ39" s="373" t="n">
        <v>70.09999999999999</v>
      </c>
      <c r="AK39" s="374" t="n">
        <v>441.13</v>
      </c>
      <c r="AL39" s="375" t="n"/>
      <c r="AM39" s="9" t="n"/>
      <c r="AN39" s="147" t="n">
        <v>2002</v>
      </c>
      <c r="AO39" s="372" t="n">
        <v>70.09999999999999</v>
      </c>
      <c r="AP39" s="373" t="n">
        <v>70.09999999999999</v>
      </c>
      <c r="AQ39" s="374" t="n">
        <v>441.13</v>
      </c>
      <c r="AR39" s="373" t="n">
        <v>441.13</v>
      </c>
      <c r="AT39" s="8" t="n"/>
      <c r="AU39" s="251" t="n">
        <v>1994</v>
      </c>
      <c r="AV39" s="372" t="n">
        <v>21.4</v>
      </c>
      <c r="AW39" s="376" t="n">
        <v>2662</v>
      </c>
      <c r="AX39" s="9" t="n"/>
      <c r="AZ39" s="147" t="n">
        <v>2002</v>
      </c>
      <c r="BA39" s="368" t="n">
        <v>18.6</v>
      </c>
      <c r="BB39" s="368" t="n">
        <v>25.9</v>
      </c>
      <c r="BC39" s="369" t="n">
        <v>3.3</v>
      </c>
      <c r="BD39" s="370" t="n">
        <v>117.05</v>
      </c>
      <c r="BE39" s="368" t="n">
        <v>162.99</v>
      </c>
      <c r="BF39" s="369" t="n">
        <v>20.77</v>
      </c>
      <c r="BO39" s="147" t="n">
        <v>2002</v>
      </c>
      <c r="BP39" s="368" t="n">
        <v>33.6</v>
      </c>
      <c r="BQ39" s="368" t="n">
        <v>38.9</v>
      </c>
      <c r="BR39" s="369" t="n">
        <v>45.7</v>
      </c>
      <c r="BS39" s="370" t="n">
        <v>211.44</v>
      </c>
      <c r="BT39" s="368" t="n">
        <v>244.79</v>
      </c>
      <c r="BU39" s="369" t="n">
        <v>287.59</v>
      </c>
      <c r="BW39" s="147" t="n">
        <v>2002</v>
      </c>
      <c r="BX39" s="372" t="n">
        <v>118.2</v>
      </c>
      <c r="BY39" s="372" t="n">
        <v>118.2</v>
      </c>
      <c r="BZ39" s="372" t="n">
        <v>33.6</v>
      </c>
      <c r="CA39" s="373" t="n">
        <v>33.6</v>
      </c>
      <c r="CB39" s="374" t="n">
        <v>743.8200000000001</v>
      </c>
      <c r="CC39" s="372" t="n">
        <v>743.8200000000001</v>
      </c>
      <c r="CD39" s="372" t="n">
        <v>211.44</v>
      </c>
      <c r="CE39" s="373" t="n">
        <v>211.44</v>
      </c>
    </row>
    <row r="40" ht="15" customHeight="1">
      <c r="B40" s="147" t="n">
        <v>2003</v>
      </c>
      <c r="C40" s="368" t="n">
        <v>40.4</v>
      </c>
      <c r="D40" s="368" t="n">
        <v>110.1</v>
      </c>
      <c r="E40" s="369" t="n">
        <v>2</v>
      </c>
      <c r="F40" s="370" t="n">
        <v>254.23</v>
      </c>
      <c r="G40" s="368" t="n">
        <v>692.85</v>
      </c>
      <c r="H40" s="369" t="n">
        <v>12.59</v>
      </c>
      <c r="I40" s="371" t="n"/>
      <c r="J40" s="235" t="n">
        <v>2003</v>
      </c>
      <c r="K40" s="372" t="n">
        <v>152.4</v>
      </c>
      <c r="L40" s="373" t="n">
        <v>152.4</v>
      </c>
      <c r="M40" s="374" t="n">
        <v>959.04</v>
      </c>
      <c r="N40" s="373" t="n">
        <v>959.04</v>
      </c>
      <c r="O40" s="8" t="n"/>
      <c r="P40" s="147" t="n">
        <v>2003</v>
      </c>
      <c r="Q40" s="368" t="n">
        <v>55.5</v>
      </c>
      <c r="R40" s="369" t="n">
        <v>96.90000000000001</v>
      </c>
      <c r="S40" s="370" t="n">
        <v>349.26</v>
      </c>
      <c r="T40" s="369" t="n">
        <v>609.78</v>
      </c>
      <c r="V40" s="147" t="n">
        <v>2003</v>
      </c>
      <c r="W40" s="372" t="n">
        <v>96.90000000000001</v>
      </c>
      <c r="X40" s="373" t="n">
        <v>96.90000000000001</v>
      </c>
      <c r="Y40" s="374" t="n">
        <v>609.78</v>
      </c>
      <c r="Z40" s="373" t="n">
        <v>609.78</v>
      </c>
      <c r="AB40" s="147" t="n">
        <v>2003</v>
      </c>
      <c r="AC40" s="372" t="n">
        <v>55.5</v>
      </c>
      <c r="AD40" s="373" t="n">
        <v>55.5</v>
      </c>
      <c r="AE40" s="374" t="n">
        <v>349.26</v>
      </c>
      <c r="AF40" s="373" t="n">
        <v>349.26</v>
      </c>
      <c r="AH40" s="8" t="n"/>
      <c r="AI40" s="251" t="n">
        <v>2003</v>
      </c>
      <c r="AJ40" s="373" t="n">
        <v>80.90000000000001</v>
      </c>
      <c r="AK40" s="374" t="n">
        <v>509.1</v>
      </c>
      <c r="AL40" s="375" t="n"/>
      <c r="AM40" s="9" t="n"/>
      <c r="AN40" s="147" t="n">
        <v>2003</v>
      </c>
      <c r="AO40" s="372" t="n">
        <v>80.90000000000001</v>
      </c>
      <c r="AP40" s="373" t="n">
        <v>80.90000000000001</v>
      </c>
      <c r="AQ40" s="374" t="n">
        <v>509.1</v>
      </c>
      <c r="AR40" s="373" t="n">
        <v>509.1</v>
      </c>
      <c r="AT40" s="8" t="n"/>
      <c r="AU40" s="251" t="n">
        <v>1995</v>
      </c>
      <c r="AV40" s="372" t="n">
        <v>23.8</v>
      </c>
      <c r="AW40" s="376" t="n">
        <v>3088</v>
      </c>
      <c r="AX40" s="9" t="n"/>
      <c r="AZ40" s="147" t="n">
        <v>2003</v>
      </c>
      <c r="BA40" s="368" t="n">
        <v>19.8</v>
      </c>
      <c r="BB40" s="368" t="n">
        <v>28.7</v>
      </c>
      <c r="BC40" s="369" t="n">
        <v>6.7</v>
      </c>
      <c r="BD40" s="370" t="n">
        <v>124.6</v>
      </c>
      <c r="BE40" s="368" t="n">
        <v>180.61</v>
      </c>
      <c r="BF40" s="369" t="n">
        <v>42.16</v>
      </c>
      <c r="BH40" s="379" t="n"/>
      <c r="BI40" s="379" t="n"/>
      <c r="BO40" s="147" t="n">
        <v>2003</v>
      </c>
      <c r="BP40" s="368" t="n">
        <v>36.7</v>
      </c>
      <c r="BQ40" s="368" t="n">
        <v>47.8</v>
      </c>
      <c r="BR40" s="369" t="n">
        <v>51.8</v>
      </c>
      <c r="BS40" s="370" t="n">
        <v>230.95</v>
      </c>
      <c r="BT40" s="368" t="n">
        <v>300.8</v>
      </c>
      <c r="BU40" s="369" t="n">
        <v>325.97</v>
      </c>
      <c r="BW40" s="147" t="n">
        <v>2003</v>
      </c>
      <c r="BX40" s="372" t="n">
        <v>136.3</v>
      </c>
      <c r="BY40" s="372" t="n">
        <v>136.3</v>
      </c>
      <c r="BZ40" s="372" t="n">
        <v>36.7</v>
      </c>
      <c r="CA40" s="373" t="n">
        <v>36.7</v>
      </c>
      <c r="CB40" s="374" t="n">
        <v>857.72</v>
      </c>
      <c r="CC40" s="372" t="n">
        <v>857.72</v>
      </c>
      <c r="CD40" s="372" t="n">
        <v>230.95</v>
      </c>
      <c r="CE40" s="373" t="n">
        <v>230.95</v>
      </c>
    </row>
    <row r="41" ht="15" customHeight="1">
      <c r="B41" s="147" t="n">
        <v>2004</v>
      </c>
      <c r="C41" s="368" t="n">
        <v>40.9</v>
      </c>
      <c r="D41" s="368" t="n">
        <v>129.3</v>
      </c>
      <c r="E41" s="369" t="n">
        <v>2.5</v>
      </c>
      <c r="F41" s="370" t="n">
        <v>257.38</v>
      </c>
      <c r="G41" s="368" t="n">
        <v>813.67</v>
      </c>
      <c r="H41" s="369" t="n">
        <v>15.73</v>
      </c>
      <c r="I41" s="371" t="n"/>
      <c r="J41" s="235" t="n">
        <v>2004</v>
      </c>
      <c r="K41" s="372" t="n">
        <v>172.7</v>
      </c>
      <c r="L41" s="373" t="n">
        <v>172.7</v>
      </c>
      <c r="M41" s="374" t="n">
        <v>1086.79</v>
      </c>
      <c r="N41" s="373" t="n">
        <v>1086.79</v>
      </c>
      <c r="O41" s="8" t="n"/>
      <c r="P41" s="147" t="n">
        <v>2004</v>
      </c>
      <c r="Q41" s="368" t="n">
        <v>61</v>
      </c>
      <c r="R41" s="369" t="n">
        <v>111.7</v>
      </c>
      <c r="S41" s="370" t="n">
        <v>383.87</v>
      </c>
      <c r="T41" s="369" t="n">
        <v>702.92</v>
      </c>
      <c r="V41" s="147" t="n">
        <v>2004</v>
      </c>
      <c r="W41" s="372" t="n">
        <v>111.7</v>
      </c>
      <c r="X41" s="373" t="n">
        <v>111.7</v>
      </c>
      <c r="Y41" s="374" t="n">
        <v>702.92</v>
      </c>
      <c r="Z41" s="373" t="n">
        <v>702.92</v>
      </c>
      <c r="AB41" s="147" t="n">
        <v>2004</v>
      </c>
      <c r="AC41" s="372" t="n">
        <v>61</v>
      </c>
      <c r="AD41" s="373" t="n">
        <v>61</v>
      </c>
      <c r="AE41" s="374" t="n">
        <v>383.87</v>
      </c>
      <c r="AF41" s="373" t="n">
        <v>383.87</v>
      </c>
      <c r="AH41" s="8" t="n"/>
      <c r="AI41" s="251" t="n">
        <v>2004</v>
      </c>
      <c r="AJ41" s="373" t="n">
        <v>95.2</v>
      </c>
      <c r="AK41" s="374" t="n">
        <v>599.08</v>
      </c>
      <c r="AL41" s="375" t="n"/>
      <c r="AM41" s="9" t="n"/>
      <c r="AN41" s="147" t="n">
        <v>2004</v>
      </c>
      <c r="AO41" s="372" t="n">
        <v>95.2</v>
      </c>
      <c r="AP41" s="373" t="n">
        <v>95.2</v>
      </c>
      <c r="AQ41" s="374" t="n">
        <v>599.08</v>
      </c>
      <c r="AR41" s="373" t="n">
        <v>599.08</v>
      </c>
      <c r="AT41" s="8" t="n"/>
      <c r="AU41" s="251" t="n">
        <v>1996</v>
      </c>
      <c r="AV41" s="372" t="n">
        <v>26.3</v>
      </c>
      <c r="AW41" s="376" t="n">
        <v>3879</v>
      </c>
      <c r="AX41" s="9" t="n"/>
      <c r="AZ41" s="147" t="n">
        <v>2004</v>
      </c>
      <c r="BA41" s="368" t="n">
        <v>20.7</v>
      </c>
      <c r="BB41" s="368" t="n">
        <v>28.9</v>
      </c>
      <c r="BC41" s="369" t="n">
        <v>11.1</v>
      </c>
      <c r="BD41" s="370" t="n">
        <v>130.26</v>
      </c>
      <c r="BE41" s="368" t="n">
        <v>181.86</v>
      </c>
      <c r="BF41" s="369" t="n">
        <v>69.84999999999999</v>
      </c>
      <c r="BH41" s="379" t="n"/>
      <c r="BI41" s="379" t="n"/>
      <c r="BO41" s="147" t="n">
        <v>2004</v>
      </c>
      <c r="BP41" s="368" t="n">
        <v>40.7</v>
      </c>
      <c r="BQ41" s="368" t="n">
        <v>57.7</v>
      </c>
      <c r="BR41" s="369" t="n">
        <v>57.2</v>
      </c>
      <c r="BS41" s="370" t="n">
        <v>256.12</v>
      </c>
      <c r="BT41" s="368" t="n">
        <v>363.1</v>
      </c>
      <c r="BU41" s="369" t="n">
        <v>359.95</v>
      </c>
      <c r="BW41" s="147" t="n">
        <v>2004</v>
      </c>
      <c r="BX41" s="372" t="n">
        <v>155.6</v>
      </c>
      <c r="BY41" s="372" t="n">
        <v>155.6</v>
      </c>
      <c r="BZ41" s="372" t="n">
        <v>40.7</v>
      </c>
      <c r="CA41" s="373" t="n">
        <v>40.7</v>
      </c>
      <c r="CB41" s="374" t="n">
        <v>979.17</v>
      </c>
      <c r="CC41" s="372" t="n">
        <v>979.17</v>
      </c>
      <c r="CD41" s="372" t="n">
        <v>256.12</v>
      </c>
      <c r="CE41" s="373" t="n">
        <v>256.12</v>
      </c>
    </row>
    <row r="42" ht="15" customHeight="1">
      <c r="B42" s="147" t="n">
        <v>2005</v>
      </c>
      <c r="C42" s="368" t="n">
        <v>44.5</v>
      </c>
      <c r="D42" s="368" t="n">
        <v>120.9</v>
      </c>
      <c r="E42" s="369" t="n">
        <v>3.9</v>
      </c>
      <c r="F42" s="370" t="n">
        <v>280.03</v>
      </c>
      <c r="G42" s="368" t="n">
        <v>760.8099999999999</v>
      </c>
      <c r="H42" s="369" t="n">
        <v>24.54</v>
      </c>
      <c r="I42" s="371" t="n"/>
      <c r="J42" s="235" t="n">
        <v>2005</v>
      </c>
      <c r="K42" s="372" t="n">
        <v>169.3</v>
      </c>
      <c r="L42" s="373" t="n">
        <v>169.3</v>
      </c>
      <c r="M42" s="374" t="n">
        <v>1065.39</v>
      </c>
      <c r="N42" s="373" t="n">
        <v>1065.39</v>
      </c>
      <c r="O42" s="8" t="n"/>
      <c r="P42" s="147" t="n">
        <v>2005</v>
      </c>
      <c r="Q42" s="368" t="n">
        <v>69.7</v>
      </c>
      <c r="R42" s="369" t="n">
        <v>99.59999999999999</v>
      </c>
      <c r="S42" s="370" t="n">
        <v>438.62</v>
      </c>
      <c r="T42" s="369" t="n">
        <v>626.77</v>
      </c>
      <c r="V42" s="147" t="n">
        <v>2005</v>
      </c>
      <c r="W42" s="372" t="n">
        <v>99.59999999999999</v>
      </c>
      <c r="X42" s="373" t="n">
        <v>99.59999999999999</v>
      </c>
      <c r="Y42" s="374" t="n">
        <v>626.77</v>
      </c>
      <c r="Z42" s="373" t="n">
        <v>626.77</v>
      </c>
      <c r="AB42" s="147" t="n">
        <v>2005</v>
      </c>
      <c r="AC42" s="372" t="n">
        <v>69.7</v>
      </c>
      <c r="AD42" s="373" t="n">
        <v>69.7</v>
      </c>
      <c r="AE42" s="374" t="n">
        <v>438.62</v>
      </c>
      <c r="AF42" s="373" t="n">
        <v>438.62</v>
      </c>
      <c r="AH42" s="8" t="n"/>
      <c r="AI42" s="251" t="n">
        <v>2005</v>
      </c>
      <c r="AJ42" s="373" t="n">
        <v>86.90000000000001</v>
      </c>
      <c r="AK42" s="374" t="n">
        <v>546.85</v>
      </c>
      <c r="AL42" s="375" t="n"/>
      <c r="AM42" s="9" t="n"/>
      <c r="AN42" s="147" t="n">
        <v>2005</v>
      </c>
      <c r="AO42" s="372" t="n">
        <v>86.90000000000001</v>
      </c>
      <c r="AP42" s="373" t="n">
        <v>86.90000000000001</v>
      </c>
      <c r="AQ42" s="374" t="n">
        <v>546.85</v>
      </c>
      <c r="AR42" s="373" t="n">
        <v>546.85</v>
      </c>
      <c r="AT42" s="8" t="n"/>
      <c r="AU42" s="251" t="n">
        <v>1997</v>
      </c>
      <c r="AV42" s="372" t="n">
        <v>38.4</v>
      </c>
      <c r="AW42" s="376" t="n">
        <v>5053</v>
      </c>
      <c r="AX42" s="9" t="n"/>
      <c r="AZ42" s="147" t="n">
        <v>2005</v>
      </c>
      <c r="BA42" s="368" t="n">
        <v>23.8</v>
      </c>
      <c r="BB42" s="368" t="n">
        <v>32.4</v>
      </c>
      <c r="BC42" s="369" t="n">
        <v>13.2</v>
      </c>
      <c r="BD42" s="370" t="n">
        <v>149.77</v>
      </c>
      <c r="BE42" s="368" t="n">
        <v>203.89</v>
      </c>
      <c r="BF42" s="369" t="n">
        <v>83.06999999999999</v>
      </c>
      <c r="BH42" s="379" t="n"/>
      <c r="BI42" s="379" t="n"/>
      <c r="BO42" s="147" t="n">
        <v>2005</v>
      </c>
      <c r="BP42" s="368" t="n">
        <v>38.8</v>
      </c>
      <c r="BQ42" s="368" t="n">
        <v>51.7</v>
      </c>
      <c r="BR42" s="369" t="n">
        <v>65.2</v>
      </c>
      <c r="BS42" s="370" t="n">
        <v>244.16</v>
      </c>
      <c r="BT42" s="368" t="n">
        <v>325.34</v>
      </c>
      <c r="BU42" s="369" t="n">
        <v>410.3</v>
      </c>
      <c r="BW42" s="147" t="n">
        <v>2005</v>
      </c>
      <c r="BX42" s="372" t="n">
        <v>155.7</v>
      </c>
      <c r="BY42" s="372" t="n">
        <v>155.7</v>
      </c>
      <c r="BZ42" s="372" t="n">
        <v>38.8</v>
      </c>
      <c r="CA42" s="373" t="n">
        <v>38.8</v>
      </c>
      <c r="CB42" s="374" t="n">
        <v>979.8</v>
      </c>
      <c r="CC42" s="372" t="n">
        <v>979.8</v>
      </c>
      <c r="CD42" s="372" t="n">
        <v>244.16</v>
      </c>
      <c r="CE42" s="373" t="n">
        <v>244.16</v>
      </c>
    </row>
    <row r="43" ht="15" customHeight="1">
      <c r="B43" s="147" t="n">
        <v>2006</v>
      </c>
      <c r="C43" s="368" t="n">
        <v>47.6</v>
      </c>
      <c r="D43" s="368" t="n">
        <v>147.4</v>
      </c>
      <c r="E43" s="369" t="n">
        <v>4.3</v>
      </c>
      <c r="F43" s="370" t="n">
        <v>299.54</v>
      </c>
      <c r="G43" s="368" t="n">
        <v>927.5700000000001</v>
      </c>
      <c r="H43" s="369" t="n">
        <v>27.06</v>
      </c>
      <c r="I43" s="371" t="n"/>
      <c r="J43" s="235" t="n">
        <v>2006</v>
      </c>
      <c r="K43" s="372" t="n">
        <v>199.4</v>
      </c>
      <c r="L43" s="373" t="n">
        <v>199.4</v>
      </c>
      <c r="M43" s="374" t="n">
        <v>1254.8</v>
      </c>
      <c r="N43" s="373" t="n">
        <v>1254.8</v>
      </c>
      <c r="O43" s="8" t="n"/>
      <c r="P43" s="147" t="n">
        <v>2006</v>
      </c>
      <c r="Q43" s="368" t="n">
        <v>78.5</v>
      </c>
      <c r="R43" s="369" t="n">
        <v>120.9</v>
      </c>
      <c r="S43" s="370" t="n">
        <v>493.99</v>
      </c>
      <c r="T43" s="369" t="n">
        <v>760.8099999999999</v>
      </c>
      <c r="V43" s="147" t="n">
        <v>2006</v>
      </c>
      <c r="W43" s="372" t="n">
        <v>120.9</v>
      </c>
      <c r="X43" s="373" t="n">
        <v>120.9</v>
      </c>
      <c r="Y43" s="374" t="n">
        <v>760.8099999999999</v>
      </c>
      <c r="Z43" s="373" t="n">
        <v>760.8099999999999</v>
      </c>
      <c r="AB43" s="147" t="n">
        <v>2006</v>
      </c>
      <c r="AC43" s="372" t="n">
        <v>78.5</v>
      </c>
      <c r="AD43" s="373" t="n">
        <v>78.5</v>
      </c>
      <c r="AE43" s="374" t="n">
        <v>493.99</v>
      </c>
      <c r="AF43" s="373" t="n">
        <v>493.99</v>
      </c>
      <c r="AH43" s="8" t="n"/>
      <c r="AI43" s="251" t="n">
        <v>2006</v>
      </c>
      <c r="AJ43" s="373" t="n">
        <v>104.6</v>
      </c>
      <c r="AK43" s="374" t="n">
        <v>658.24</v>
      </c>
      <c r="AL43" s="375" t="n"/>
      <c r="AM43" s="9" t="n"/>
      <c r="AN43" s="147" t="n">
        <v>2006</v>
      </c>
      <c r="AO43" s="372" t="n">
        <v>104.6</v>
      </c>
      <c r="AP43" s="373" t="n">
        <v>104.6</v>
      </c>
      <c r="AQ43" s="374" t="n">
        <v>658.24</v>
      </c>
      <c r="AR43" s="373" t="n">
        <v>658.24</v>
      </c>
      <c r="AT43" s="8" t="n"/>
      <c r="AU43" s="251" t="n">
        <v>1998</v>
      </c>
      <c r="AV43" s="372" t="n">
        <v>45.7</v>
      </c>
      <c r="AW43" s="376" t="n">
        <v>4722</v>
      </c>
      <c r="AX43" s="9" t="n"/>
      <c r="AZ43" s="147" t="n">
        <v>2006</v>
      </c>
      <c r="BA43" s="368" t="n">
        <v>25.2</v>
      </c>
      <c r="BB43" s="368" t="n">
        <v>35.8</v>
      </c>
      <c r="BC43" s="369" t="n">
        <v>17</v>
      </c>
      <c r="BD43" s="370" t="n">
        <v>158.58</v>
      </c>
      <c r="BE43" s="368" t="n">
        <v>225.29</v>
      </c>
      <c r="BF43" s="369" t="n">
        <v>106.98</v>
      </c>
      <c r="BH43" s="379" t="n"/>
      <c r="BI43" s="379" t="n"/>
      <c r="BO43" s="147" t="n">
        <v>2006</v>
      </c>
      <c r="BP43" s="368" t="n">
        <v>41.7</v>
      </c>
      <c r="BQ43" s="368" t="n">
        <v>66.09999999999999</v>
      </c>
      <c r="BR43" s="369" t="n">
        <v>71.2</v>
      </c>
      <c r="BS43" s="370" t="n">
        <v>262.41</v>
      </c>
      <c r="BT43" s="368" t="n">
        <v>415.96</v>
      </c>
      <c r="BU43" s="369" t="n">
        <v>448.05</v>
      </c>
      <c r="BW43" s="147" t="n">
        <v>2006</v>
      </c>
      <c r="BX43" s="372" t="n">
        <v>179</v>
      </c>
      <c r="BY43" s="372" t="n">
        <v>179</v>
      </c>
      <c r="BZ43" s="372" t="n">
        <v>41.7</v>
      </c>
      <c r="CA43" s="373" t="n">
        <v>41.7</v>
      </c>
      <c r="CB43" s="374" t="n">
        <v>1126.43</v>
      </c>
      <c r="CC43" s="372" t="n">
        <v>1126.43</v>
      </c>
      <c r="CD43" s="372" t="n">
        <v>262.41</v>
      </c>
      <c r="CE43" s="373" t="n">
        <v>262.41</v>
      </c>
    </row>
    <row r="44" ht="15" customHeight="1">
      <c r="B44" s="147" t="n">
        <v>2007</v>
      </c>
      <c r="C44" s="368" t="n">
        <v>50</v>
      </c>
      <c r="D44" s="368" t="n">
        <v>154.1</v>
      </c>
      <c r="E44" s="369" t="n">
        <v>5.8</v>
      </c>
      <c r="F44" s="370" t="n">
        <v>314.65</v>
      </c>
      <c r="G44" s="368" t="n">
        <v>969.74</v>
      </c>
      <c r="H44" s="369" t="n">
        <v>36.5</v>
      </c>
      <c r="I44" s="371" t="n"/>
      <c r="J44" s="235" t="n">
        <v>2007</v>
      </c>
      <c r="K44" s="372" t="n">
        <v>209.9</v>
      </c>
      <c r="L44" s="373" t="n">
        <v>209.9</v>
      </c>
      <c r="M44" s="374" t="n">
        <v>1320.88</v>
      </c>
      <c r="N44" s="373" t="n">
        <v>1320.88</v>
      </c>
      <c r="O44" s="8" t="n"/>
      <c r="P44" s="147" t="n">
        <v>2007</v>
      </c>
      <c r="Q44" s="368" t="n">
        <v>85.2</v>
      </c>
      <c r="R44" s="369" t="n">
        <v>124.7</v>
      </c>
      <c r="S44" s="370" t="n">
        <v>536.16</v>
      </c>
      <c r="T44" s="369" t="n">
        <v>784.72</v>
      </c>
      <c r="V44" s="147" t="n">
        <v>2007</v>
      </c>
      <c r="W44" s="372" t="n">
        <v>124.7</v>
      </c>
      <c r="X44" s="373" t="n">
        <v>124.7</v>
      </c>
      <c r="Y44" s="374" t="n">
        <v>784.72</v>
      </c>
      <c r="Z44" s="373" t="n">
        <v>784.72</v>
      </c>
      <c r="AB44" s="147" t="n">
        <v>2007</v>
      </c>
      <c r="AC44" s="372" t="n">
        <v>85.2</v>
      </c>
      <c r="AD44" s="373" t="n">
        <v>85.2</v>
      </c>
      <c r="AE44" s="374" t="n">
        <v>536.16</v>
      </c>
      <c r="AF44" s="373" t="n">
        <v>536.16</v>
      </c>
      <c r="AH44" s="8" t="n"/>
      <c r="AI44" s="251" t="n">
        <v>2007</v>
      </c>
      <c r="AJ44" s="373" t="n">
        <v>109.3</v>
      </c>
      <c r="AK44" s="374" t="n">
        <v>687.8099999999999</v>
      </c>
      <c r="AL44" s="375" t="n"/>
      <c r="AM44" s="9" t="n"/>
      <c r="AN44" s="147" t="n">
        <v>2007</v>
      </c>
      <c r="AO44" s="372" t="n">
        <v>109.3</v>
      </c>
      <c r="AP44" s="373" t="n">
        <v>109.3</v>
      </c>
      <c r="AQ44" s="374" t="n">
        <v>687.8099999999999</v>
      </c>
      <c r="AR44" s="373" t="n">
        <v>687.8099999999999</v>
      </c>
      <c r="AT44" s="8" t="n"/>
      <c r="AU44" s="251" t="n">
        <v>1999</v>
      </c>
      <c r="AV44" s="372" t="n">
        <v>42.1</v>
      </c>
      <c r="AW44" s="376" t="n">
        <v>5051</v>
      </c>
      <c r="AX44" s="9" t="n"/>
      <c r="AZ44" s="147" t="n">
        <v>2007</v>
      </c>
      <c r="BA44" s="368" t="n">
        <v>29</v>
      </c>
      <c r="BB44" s="368" t="n">
        <v>36.6</v>
      </c>
      <c r="BC44" s="369" t="n">
        <v>19.5</v>
      </c>
      <c r="BD44" s="370" t="n">
        <v>182.49</v>
      </c>
      <c r="BE44" s="368" t="n">
        <v>230.32</v>
      </c>
      <c r="BF44" s="369" t="n">
        <v>122.71</v>
      </c>
      <c r="BH44" s="379" t="n"/>
      <c r="BI44" s="379" t="n"/>
      <c r="BO44" s="147" t="n">
        <v>2007</v>
      </c>
      <c r="BP44" s="368" t="n">
        <v>44.1</v>
      </c>
      <c r="BQ44" s="368" t="n">
        <v>68.5</v>
      </c>
      <c r="BR44" s="369" t="n">
        <v>76.90000000000001</v>
      </c>
      <c r="BS44" s="370" t="n">
        <v>277.52</v>
      </c>
      <c r="BT44" s="368" t="n">
        <v>431.06</v>
      </c>
      <c r="BU44" s="369" t="n">
        <v>483.92</v>
      </c>
      <c r="BW44" s="147" t="n">
        <v>2007</v>
      </c>
      <c r="BX44" s="372" t="n">
        <v>189.5</v>
      </c>
      <c r="BY44" s="372" t="n">
        <v>189.5</v>
      </c>
      <c r="BZ44" s="372" t="n">
        <v>44.1</v>
      </c>
      <c r="CA44" s="373" t="n">
        <v>44.1</v>
      </c>
      <c r="CB44" s="374" t="n">
        <v>1192.51</v>
      </c>
      <c r="CC44" s="372" t="n">
        <v>1192.51</v>
      </c>
      <c r="CD44" s="372" t="n">
        <v>277.52</v>
      </c>
      <c r="CE44" s="373" t="n">
        <v>277.52</v>
      </c>
    </row>
    <row r="45" ht="15" customHeight="1">
      <c r="B45" s="147" t="n">
        <v>2008</v>
      </c>
      <c r="C45" s="368" t="n">
        <v>49.4</v>
      </c>
      <c r="D45" s="368" t="n">
        <v>151.6</v>
      </c>
      <c r="E45" s="369" t="n">
        <v>6.4</v>
      </c>
      <c r="F45" s="370" t="n">
        <v>310.87</v>
      </c>
      <c r="G45" s="368" t="n">
        <v>954</v>
      </c>
      <c r="H45" s="369" t="n">
        <v>40.27</v>
      </c>
      <c r="I45" s="371" t="n"/>
      <c r="J45" s="235" t="n">
        <v>2008</v>
      </c>
      <c r="K45" s="372" t="n">
        <v>207.4</v>
      </c>
      <c r="L45" s="373" t="n">
        <v>207.4</v>
      </c>
      <c r="M45" s="374" t="n">
        <v>1305.15</v>
      </c>
      <c r="N45" s="373" t="n">
        <v>1305.15</v>
      </c>
      <c r="O45" s="8" t="n"/>
      <c r="P45" s="147" t="n">
        <v>2008</v>
      </c>
      <c r="Q45" s="368" t="n">
        <v>92.7</v>
      </c>
      <c r="R45" s="369" t="n">
        <v>114.7</v>
      </c>
      <c r="S45" s="370" t="n">
        <v>583.35</v>
      </c>
      <c r="T45" s="369" t="n">
        <v>721.8</v>
      </c>
      <c r="V45" s="147" t="n">
        <v>2008</v>
      </c>
      <c r="W45" s="372" t="n">
        <v>114.7</v>
      </c>
      <c r="X45" s="373" t="n">
        <v>114.7</v>
      </c>
      <c r="Y45" s="374" t="n">
        <v>721.8</v>
      </c>
      <c r="Z45" s="373" t="n">
        <v>721.8</v>
      </c>
      <c r="AB45" s="147" t="n">
        <v>2008</v>
      </c>
      <c r="AC45" s="372" t="n">
        <v>92.7</v>
      </c>
      <c r="AD45" s="373" t="n">
        <v>92.7</v>
      </c>
      <c r="AE45" s="374" t="n">
        <v>583.35</v>
      </c>
      <c r="AF45" s="373" t="n">
        <v>583.35</v>
      </c>
      <c r="AH45" s="8" t="n"/>
      <c r="AI45" s="251" t="n">
        <v>2008</v>
      </c>
      <c r="AJ45" s="373" t="n">
        <v>103.9</v>
      </c>
      <c r="AK45" s="374" t="n">
        <v>653.83</v>
      </c>
      <c r="AL45" s="375" t="n"/>
      <c r="AM45" s="9" t="n"/>
      <c r="AN45" s="147" t="n">
        <v>2008</v>
      </c>
      <c r="AO45" s="372" t="n">
        <v>103.9</v>
      </c>
      <c r="AP45" s="373" t="n">
        <v>103.9</v>
      </c>
      <c r="AQ45" s="374" t="n">
        <v>653.83</v>
      </c>
      <c r="AR45" s="373" t="n">
        <v>653.83</v>
      </c>
      <c r="AT45" s="8" t="n"/>
      <c r="AU45" s="251" t="n">
        <v>2000</v>
      </c>
      <c r="AV45" s="372" t="n">
        <v>45.7</v>
      </c>
      <c r="AW45" s="376" t="n">
        <v>5792</v>
      </c>
      <c r="AX45" s="9" t="n"/>
      <c r="AZ45" s="147" t="n">
        <v>2008</v>
      </c>
      <c r="BA45" s="368" t="n">
        <v>29.6</v>
      </c>
      <c r="BB45" s="368" t="n">
        <v>35.4</v>
      </c>
      <c r="BC45" s="369" t="n">
        <v>27.6</v>
      </c>
      <c r="BD45" s="370" t="n">
        <v>186.27</v>
      </c>
      <c r="BE45" s="368" t="n">
        <v>222.77</v>
      </c>
      <c r="BF45" s="369" t="n">
        <v>173.68</v>
      </c>
      <c r="BH45" s="379" t="n"/>
      <c r="BI45" s="379" t="n"/>
      <c r="BO45" s="147" t="n">
        <v>2008</v>
      </c>
      <c r="BP45" s="368" t="n">
        <v>39.1</v>
      </c>
      <c r="BQ45" s="368" t="n">
        <v>68</v>
      </c>
      <c r="BR45" s="369" t="n">
        <v>84.3</v>
      </c>
      <c r="BS45" s="370" t="n">
        <v>246.05</v>
      </c>
      <c r="BT45" s="368" t="n">
        <v>427.92</v>
      </c>
      <c r="BU45" s="369" t="n">
        <v>530.49</v>
      </c>
      <c r="BW45" s="147" t="n">
        <v>2008</v>
      </c>
      <c r="BX45" s="372" t="n">
        <v>191.4</v>
      </c>
      <c r="BY45" s="372" t="n">
        <v>191.4</v>
      </c>
      <c r="BZ45" s="372" t="n">
        <v>39.1</v>
      </c>
      <c r="CA45" s="373" t="n">
        <v>39.1</v>
      </c>
      <c r="CB45" s="374" t="n">
        <v>1204.46</v>
      </c>
      <c r="CC45" s="372" t="n">
        <v>1204.46</v>
      </c>
      <c r="CD45" s="372" t="n">
        <v>246.05</v>
      </c>
      <c r="CE45" s="373" t="n">
        <v>246.05</v>
      </c>
    </row>
    <row r="46" ht="15" customHeight="1">
      <c r="B46" s="147" t="n">
        <v>2009</v>
      </c>
      <c r="C46" s="368" t="n">
        <v>50.4</v>
      </c>
      <c r="D46" s="368" t="n">
        <v>179.1</v>
      </c>
      <c r="E46" s="369" t="n">
        <v>7.2</v>
      </c>
      <c r="F46" s="370" t="n">
        <v>317.16</v>
      </c>
      <c r="G46" s="368" t="n">
        <v>1127.06</v>
      </c>
      <c r="H46" s="369" t="n">
        <v>45.31</v>
      </c>
      <c r="I46" s="371" t="n"/>
      <c r="J46" s="235" t="n">
        <v>2009</v>
      </c>
      <c r="K46" s="372" t="n">
        <v>236.7</v>
      </c>
      <c r="L46" s="373" t="n">
        <v>236.7</v>
      </c>
      <c r="M46" s="374" t="n">
        <v>1489.53</v>
      </c>
      <c r="N46" s="373" t="n">
        <v>1489.53</v>
      </c>
      <c r="O46" s="8" t="n"/>
      <c r="P46" s="147" t="n">
        <v>2009</v>
      </c>
      <c r="Q46" s="368" t="n">
        <v>105.5</v>
      </c>
      <c r="R46" s="369" t="n">
        <v>131.2</v>
      </c>
      <c r="S46" s="370" t="n">
        <v>663.9</v>
      </c>
      <c r="T46" s="369" t="n">
        <v>825.63</v>
      </c>
      <c r="V46" s="147" t="n">
        <v>2009</v>
      </c>
      <c r="W46" s="372" t="n">
        <v>131.2</v>
      </c>
      <c r="X46" s="373" t="n">
        <v>131.2</v>
      </c>
      <c r="Y46" s="374" t="n">
        <v>825.63</v>
      </c>
      <c r="Z46" s="373" t="n">
        <v>825.63</v>
      </c>
      <c r="AB46" s="147" t="n">
        <v>2009</v>
      </c>
      <c r="AC46" s="372" t="n">
        <v>105.5</v>
      </c>
      <c r="AD46" s="373" t="n">
        <v>105.5</v>
      </c>
      <c r="AE46" s="374" t="n">
        <v>663.9</v>
      </c>
      <c r="AF46" s="373" t="n">
        <v>663.9</v>
      </c>
      <c r="AH46" s="8" t="n"/>
      <c r="AI46" s="251" t="n">
        <v>2009</v>
      </c>
      <c r="AJ46" s="373" t="n">
        <v>121.7</v>
      </c>
      <c r="AK46" s="374" t="n">
        <v>765.85</v>
      </c>
      <c r="AL46" s="375" t="n"/>
      <c r="AM46" s="9" t="n"/>
      <c r="AN46" s="147" t="n">
        <v>2009</v>
      </c>
      <c r="AO46" s="372" t="n">
        <v>121.7</v>
      </c>
      <c r="AP46" s="373" t="n">
        <v>121.7</v>
      </c>
      <c r="AQ46" s="374" t="n">
        <v>765.85</v>
      </c>
      <c r="AR46" s="373" t="n">
        <v>765.85</v>
      </c>
      <c r="AT46" s="8" t="n"/>
      <c r="AU46" s="251" t="n">
        <v>2001</v>
      </c>
      <c r="AV46" s="372" t="n">
        <v>47.8</v>
      </c>
      <c r="AW46" s="376" t="n">
        <v>6000</v>
      </c>
      <c r="AX46" s="9" t="n"/>
      <c r="AZ46" s="147" t="n">
        <v>2009</v>
      </c>
      <c r="BA46" s="368" t="n">
        <v>32.3</v>
      </c>
      <c r="BB46" s="368" t="n">
        <v>34</v>
      </c>
      <c r="BC46" s="369" t="n">
        <v>38.4</v>
      </c>
      <c r="BD46" s="370" t="n">
        <v>203.26</v>
      </c>
      <c r="BE46" s="368" t="n">
        <v>213.96</v>
      </c>
      <c r="BF46" s="369" t="n">
        <v>241.65</v>
      </c>
      <c r="BH46" s="379" t="n"/>
      <c r="BI46" s="379" t="n"/>
      <c r="BO46" s="147" t="n">
        <v>2009</v>
      </c>
      <c r="BP46" s="368" t="n">
        <v>44.4</v>
      </c>
      <c r="BQ46" s="368" t="n">
        <v>79.59999999999999</v>
      </c>
      <c r="BR46" s="369" t="n">
        <v>88.2</v>
      </c>
      <c r="BS46" s="370" t="n">
        <v>279.4</v>
      </c>
      <c r="BT46" s="368" t="n">
        <v>500.91</v>
      </c>
      <c r="BU46" s="369" t="n">
        <v>555.03</v>
      </c>
      <c r="BW46" s="147" t="n">
        <v>2009</v>
      </c>
      <c r="BX46" s="372" t="n">
        <v>212.2</v>
      </c>
      <c r="BY46" s="372" t="n">
        <v>212.2</v>
      </c>
      <c r="BZ46" s="372" t="n">
        <v>44.4</v>
      </c>
      <c r="CA46" s="373" t="n">
        <v>44.4</v>
      </c>
      <c r="CB46" s="374" t="n">
        <v>1335.35</v>
      </c>
      <c r="CC46" s="372" t="n">
        <v>1335.35</v>
      </c>
      <c r="CD46" s="372" t="n">
        <v>279.4</v>
      </c>
      <c r="CE46" s="373" t="n">
        <v>279.4</v>
      </c>
    </row>
    <row r="47" ht="15" customHeight="1">
      <c r="B47" s="147" t="n">
        <v>2010</v>
      </c>
      <c r="C47" s="368" t="n">
        <v>54.6</v>
      </c>
      <c r="D47" s="368" t="n">
        <v>195.3</v>
      </c>
      <c r="E47" s="369" t="n">
        <v>6.4</v>
      </c>
      <c r="F47" s="370" t="n">
        <v>343.59</v>
      </c>
      <c r="G47" s="368" t="n">
        <v>1229</v>
      </c>
      <c r="H47" s="369" t="n">
        <v>40.27</v>
      </c>
      <c r="I47" s="371" t="n"/>
      <c r="J47" s="235" t="n">
        <v>2010</v>
      </c>
      <c r="K47" s="372" t="n">
        <v>256.3</v>
      </c>
      <c r="L47" s="373" t="n">
        <v>256.3</v>
      </c>
      <c r="M47" s="374" t="n">
        <v>1612.87</v>
      </c>
      <c r="N47" s="373" t="n">
        <v>1612.87</v>
      </c>
      <c r="O47" s="8" t="n"/>
      <c r="P47" s="147" t="n">
        <v>2010</v>
      </c>
      <c r="Q47" s="368" t="n">
        <v>120.1</v>
      </c>
      <c r="R47" s="369" t="n">
        <v>136.2</v>
      </c>
      <c r="S47" s="370" t="n">
        <v>755.78</v>
      </c>
      <c r="T47" s="369" t="n">
        <v>857.09</v>
      </c>
      <c r="V47" s="147" t="n">
        <v>2010</v>
      </c>
      <c r="W47" s="372" t="n">
        <v>136.2</v>
      </c>
      <c r="X47" s="373" t="n">
        <v>136.2</v>
      </c>
      <c r="Y47" s="374" t="n">
        <v>857.09</v>
      </c>
      <c r="Z47" s="373" t="n">
        <v>857.09</v>
      </c>
      <c r="AB47" s="147" t="n">
        <v>2010</v>
      </c>
      <c r="AC47" s="372" t="n">
        <v>120.1</v>
      </c>
      <c r="AD47" s="373" t="n">
        <v>120.1</v>
      </c>
      <c r="AE47" s="374" t="n">
        <v>755.78</v>
      </c>
      <c r="AF47" s="373" t="n">
        <v>755.78</v>
      </c>
      <c r="AH47" s="8" t="n"/>
      <c r="AI47" s="251" t="n">
        <v>2010</v>
      </c>
      <c r="AJ47" s="373" t="n">
        <v>126.3</v>
      </c>
      <c r="AK47" s="374" t="n">
        <v>794.79</v>
      </c>
      <c r="AL47" s="375" t="n"/>
      <c r="AM47" s="9" t="n"/>
      <c r="AN47" s="147" t="n">
        <v>2010</v>
      </c>
      <c r="AO47" s="372" t="n">
        <v>126.3</v>
      </c>
      <c r="AP47" s="373" t="n">
        <v>126.3</v>
      </c>
      <c r="AQ47" s="374" t="n">
        <v>794.79</v>
      </c>
      <c r="AR47" s="373" t="n">
        <v>794.79</v>
      </c>
      <c r="AT47" s="8" t="n"/>
      <c r="AU47" s="251" t="n">
        <v>2002</v>
      </c>
      <c r="AV47" s="372" t="n">
        <v>48.1</v>
      </c>
      <c r="AW47" s="376" t="n">
        <v>6570</v>
      </c>
      <c r="AX47" s="9" t="n"/>
      <c r="AZ47" s="147" t="n">
        <v>2010</v>
      </c>
      <c r="BA47" s="368" t="n">
        <v>30.9</v>
      </c>
      <c r="BB47" s="368" t="n">
        <v>38.8</v>
      </c>
      <c r="BC47" s="369" t="n">
        <v>50.5</v>
      </c>
      <c r="BD47" s="370" t="n">
        <v>194.45</v>
      </c>
      <c r="BE47" s="368" t="n">
        <v>244.16</v>
      </c>
      <c r="BF47" s="369" t="n">
        <v>317.79</v>
      </c>
      <c r="BH47" s="379" t="n"/>
      <c r="BI47" s="379" t="n"/>
      <c r="BO47" s="147" t="n">
        <v>2010</v>
      </c>
      <c r="BP47" s="368" t="n">
        <v>50.8</v>
      </c>
      <c r="BQ47" s="368" t="n">
        <v>77.90000000000001</v>
      </c>
      <c r="BR47" s="369" t="n">
        <v>105.6</v>
      </c>
      <c r="BS47" s="370" t="n">
        <v>319.68</v>
      </c>
      <c r="BT47" s="368" t="n">
        <v>490.22</v>
      </c>
      <c r="BU47" s="369" t="n">
        <v>664.53</v>
      </c>
      <c r="BW47" s="147" t="n">
        <v>2010</v>
      </c>
      <c r="BX47" s="372" t="n">
        <v>234.3</v>
      </c>
      <c r="BY47" s="372" t="n">
        <v>234.3</v>
      </c>
      <c r="BZ47" s="372" t="n">
        <v>50.8</v>
      </c>
      <c r="CA47" s="373" t="n">
        <v>50.8</v>
      </c>
      <c r="CB47" s="374" t="n">
        <v>1474.43</v>
      </c>
      <c r="CC47" s="372" t="n">
        <v>1474.43</v>
      </c>
      <c r="CD47" s="372" t="n">
        <v>319.68</v>
      </c>
      <c r="CE47" s="373" t="n">
        <v>319.68</v>
      </c>
    </row>
    <row r="48" ht="15" customHeight="1">
      <c r="B48" s="147" t="n">
        <v>2011</v>
      </c>
      <c r="C48" s="368" t="n">
        <v>61.2</v>
      </c>
      <c r="D48" s="368" t="n">
        <v>209.5</v>
      </c>
      <c r="E48" s="369" t="n">
        <v>6.5</v>
      </c>
      <c r="F48" s="370" t="n">
        <v>385.13</v>
      </c>
      <c r="G48" s="368" t="n">
        <v>1318.36</v>
      </c>
      <c r="H48" s="369" t="n">
        <v>40.9</v>
      </c>
      <c r="I48" s="371" t="n"/>
      <c r="J48" s="235" t="n">
        <v>2011</v>
      </c>
      <c r="K48" s="372" t="n">
        <v>277.2</v>
      </c>
      <c r="L48" s="373" t="n">
        <v>277.2</v>
      </c>
      <c r="M48" s="374" t="n">
        <v>1744.39</v>
      </c>
      <c r="N48" s="373" t="n">
        <v>1744.39</v>
      </c>
      <c r="O48" s="8" t="n"/>
      <c r="P48" s="147" t="n">
        <v>2011</v>
      </c>
      <c r="Q48" s="368" t="n">
        <v>135.4</v>
      </c>
      <c r="R48" s="369" t="n">
        <v>141.8</v>
      </c>
      <c r="S48" s="370" t="n">
        <v>852.0599999999999</v>
      </c>
      <c r="T48" s="369" t="n">
        <v>892.33</v>
      </c>
      <c r="V48" s="147" t="n">
        <v>2011</v>
      </c>
      <c r="W48" s="372" t="n">
        <v>141.8</v>
      </c>
      <c r="X48" s="373" t="n">
        <v>141.8</v>
      </c>
      <c r="Y48" s="374" t="n">
        <v>892.33</v>
      </c>
      <c r="Z48" s="373" t="n">
        <v>892.33</v>
      </c>
      <c r="AB48" s="147" t="n">
        <v>2011</v>
      </c>
      <c r="AC48" s="372" t="n">
        <v>135.4</v>
      </c>
      <c r="AD48" s="373" t="n">
        <v>135.4</v>
      </c>
      <c r="AE48" s="374" t="n">
        <v>852.0599999999999</v>
      </c>
      <c r="AF48" s="373" t="n">
        <v>852.0599999999999</v>
      </c>
      <c r="AH48" s="8" t="n"/>
      <c r="AI48" s="251" t="n">
        <v>2011</v>
      </c>
      <c r="AJ48" s="373" t="n">
        <v>137.1</v>
      </c>
      <c r="AK48" s="374" t="n">
        <v>862.76</v>
      </c>
      <c r="AL48" s="375" t="n"/>
      <c r="AM48" s="9" t="n"/>
      <c r="AN48" s="147" t="n">
        <v>2011</v>
      </c>
      <c r="AO48" s="372" t="n">
        <v>137.1</v>
      </c>
      <c r="AP48" s="373" t="n">
        <v>137.1</v>
      </c>
      <c r="AQ48" s="374" t="n">
        <v>862.76</v>
      </c>
      <c r="AR48" s="373" t="n">
        <v>862.76</v>
      </c>
      <c r="AT48" s="8" t="n"/>
      <c r="AU48" s="251" t="n">
        <v>2003</v>
      </c>
      <c r="AV48" s="372" t="n">
        <v>55.5</v>
      </c>
      <c r="AW48" s="376" t="n">
        <v>7378</v>
      </c>
      <c r="AX48" s="9" t="n"/>
      <c r="AZ48" s="147" t="n">
        <v>2011</v>
      </c>
      <c r="BA48" s="368" t="n">
        <v>33.6</v>
      </c>
      <c r="BB48" s="368" t="n">
        <v>42.2</v>
      </c>
      <c r="BC48" s="369" t="n">
        <v>59.5</v>
      </c>
      <c r="BD48" s="370" t="n">
        <v>211.44</v>
      </c>
      <c r="BE48" s="368" t="n">
        <v>265.56</v>
      </c>
      <c r="BF48" s="369" t="n">
        <v>374.43</v>
      </c>
      <c r="BH48" s="379" t="n"/>
      <c r="BI48" s="379" t="n"/>
      <c r="BO48" s="147" t="n">
        <v>2011</v>
      </c>
      <c r="BP48" s="368" t="n">
        <v>54.2</v>
      </c>
      <c r="BQ48" s="368" t="n">
        <v>85.2</v>
      </c>
      <c r="BR48" s="369" t="n">
        <v>118.8</v>
      </c>
      <c r="BS48" s="370" t="n">
        <v>341.08</v>
      </c>
      <c r="BT48" s="368" t="n">
        <v>536.16</v>
      </c>
      <c r="BU48" s="369" t="n">
        <v>747.6</v>
      </c>
      <c r="BW48" s="147" t="n">
        <v>2011</v>
      </c>
      <c r="BX48" s="372" t="n">
        <v>258.2</v>
      </c>
      <c r="BY48" s="372" t="n">
        <v>258.2</v>
      </c>
      <c r="BZ48" s="372" t="n">
        <v>54.2</v>
      </c>
      <c r="CA48" s="373" t="n">
        <v>54.2</v>
      </c>
      <c r="CB48" s="374" t="n">
        <v>1624.83</v>
      </c>
      <c r="CC48" s="372" t="n">
        <v>1624.83</v>
      </c>
      <c r="CD48" s="372" t="n">
        <v>341.08</v>
      </c>
      <c r="CE48" s="373" t="n">
        <v>341.08</v>
      </c>
    </row>
    <row r="49" ht="15" customHeight="1">
      <c r="B49" s="147" t="n">
        <v>2012</v>
      </c>
      <c r="C49" s="368" t="n">
        <v>62.7</v>
      </c>
      <c r="D49" s="368" t="n">
        <v>234.8</v>
      </c>
      <c r="E49" s="369" t="n">
        <v>8</v>
      </c>
      <c r="F49" s="370" t="n">
        <v>394.56</v>
      </c>
      <c r="G49" s="368" t="n">
        <v>1477.57</v>
      </c>
      <c r="H49" s="369" t="n">
        <v>50.34</v>
      </c>
      <c r="I49" s="371" t="n"/>
      <c r="J49" s="235" t="n">
        <v>2012</v>
      </c>
      <c r="K49" s="372" t="n">
        <v>305.5</v>
      </c>
      <c r="L49" s="373" t="n">
        <v>305.5</v>
      </c>
      <c r="M49" s="374" t="n">
        <v>1922.48</v>
      </c>
      <c r="N49" s="373" t="n">
        <v>1922.48</v>
      </c>
      <c r="O49" s="8" t="n"/>
      <c r="P49" s="147" t="n">
        <v>2012</v>
      </c>
      <c r="Q49" s="368" t="n">
        <v>157.7</v>
      </c>
      <c r="R49" s="369" t="n">
        <v>147.8</v>
      </c>
      <c r="S49" s="370" t="n">
        <v>992.39</v>
      </c>
      <c r="T49" s="369" t="n">
        <v>930.09</v>
      </c>
      <c r="V49" s="147" t="n">
        <v>2012</v>
      </c>
      <c r="W49" s="372" t="n">
        <v>147.8</v>
      </c>
      <c r="X49" s="373" t="n">
        <v>147.8</v>
      </c>
      <c r="Y49" s="374" t="n">
        <v>930.09</v>
      </c>
      <c r="Z49" s="373" t="n">
        <v>930.09</v>
      </c>
      <c r="AB49" s="147" t="n">
        <v>2012</v>
      </c>
      <c r="AC49" s="372" t="n">
        <v>157.7</v>
      </c>
      <c r="AD49" s="373" t="n">
        <v>157.7</v>
      </c>
      <c r="AE49" s="374" t="n">
        <v>992.39</v>
      </c>
      <c r="AF49" s="373" t="n">
        <v>992.39</v>
      </c>
      <c r="AH49" s="8" t="n"/>
      <c r="AI49" s="251" t="n">
        <v>2012</v>
      </c>
      <c r="AJ49" s="373" t="n">
        <v>145.2</v>
      </c>
      <c r="AK49" s="374" t="n">
        <v>913.73</v>
      </c>
      <c r="AL49" s="375" t="n"/>
      <c r="AM49" s="9" t="n"/>
      <c r="AN49" s="147" t="n">
        <v>2012</v>
      </c>
      <c r="AO49" s="372" t="n">
        <v>145.2</v>
      </c>
      <c r="AP49" s="373" t="n">
        <v>145.2</v>
      </c>
      <c r="AQ49" s="374" t="n">
        <v>913.73</v>
      </c>
      <c r="AR49" s="373" t="n">
        <v>913.73</v>
      </c>
      <c r="AT49" s="8" t="n"/>
      <c r="AU49" s="251" t="n">
        <v>2004</v>
      </c>
      <c r="AV49" s="372" t="n">
        <v>61</v>
      </c>
      <c r="AW49" s="376" t="n">
        <v>7721</v>
      </c>
      <c r="AX49" s="9" t="n"/>
      <c r="AZ49" s="147" t="n">
        <v>2012</v>
      </c>
      <c r="BA49" s="368" t="n">
        <v>39</v>
      </c>
      <c r="BB49" s="368" t="n">
        <v>41.2</v>
      </c>
      <c r="BC49" s="369" t="n">
        <v>77.40000000000001</v>
      </c>
      <c r="BD49" s="370" t="n">
        <v>245.42</v>
      </c>
      <c r="BE49" s="368" t="n">
        <v>259.27</v>
      </c>
      <c r="BF49" s="369" t="n">
        <v>487.07</v>
      </c>
      <c r="BH49" s="379" t="n"/>
      <c r="BI49" s="379" t="n"/>
      <c r="BO49" s="147" t="n">
        <v>2012</v>
      </c>
      <c r="BP49" s="368" t="n">
        <v>55.2</v>
      </c>
      <c r="BQ49" s="368" t="n">
        <v>92.8</v>
      </c>
      <c r="BR49" s="369" t="n">
        <v>139.4</v>
      </c>
      <c r="BS49" s="370" t="n">
        <v>347.37</v>
      </c>
      <c r="BT49" s="368" t="n">
        <v>583.98</v>
      </c>
      <c r="BU49" s="369" t="n">
        <v>877.23</v>
      </c>
      <c r="BW49" s="147" t="n">
        <v>2012</v>
      </c>
      <c r="BX49" s="372" t="n">
        <v>287.4</v>
      </c>
      <c r="BY49" s="372" t="n">
        <v>287.4</v>
      </c>
      <c r="BZ49" s="372" t="n">
        <v>55.2</v>
      </c>
      <c r="CA49" s="373" t="n">
        <v>55.2</v>
      </c>
      <c r="CB49" s="374" t="n">
        <v>1808.58</v>
      </c>
      <c r="CC49" s="372" t="n">
        <v>1808.58</v>
      </c>
      <c r="CD49" s="372" t="n">
        <v>347.37</v>
      </c>
      <c r="CE49" s="373" t="n">
        <v>347.37</v>
      </c>
    </row>
    <row r="50" ht="15" customHeight="1">
      <c r="B50" s="147" t="n">
        <v>2013</v>
      </c>
      <c r="C50" s="368" t="n">
        <v>64.2</v>
      </c>
      <c r="D50" s="368" t="n">
        <v>258.7</v>
      </c>
      <c r="E50" s="369" t="n">
        <v>8.5</v>
      </c>
      <c r="F50" s="370" t="n">
        <v>404</v>
      </c>
      <c r="G50" s="368" t="n">
        <v>1627.97</v>
      </c>
      <c r="H50" s="369" t="n">
        <v>53.49</v>
      </c>
      <c r="I50" s="371" t="n"/>
      <c r="J50" s="235" t="n">
        <v>2013</v>
      </c>
      <c r="K50" s="372" t="n">
        <v>331.4</v>
      </c>
      <c r="L50" s="373" t="n">
        <v>331.4</v>
      </c>
      <c r="M50" s="374" t="n">
        <v>2085.47</v>
      </c>
      <c r="N50" s="373" t="n">
        <v>2085.47</v>
      </c>
      <c r="O50" s="8" t="n"/>
      <c r="P50" s="147" t="n">
        <v>2013</v>
      </c>
      <c r="Q50" s="368" t="n">
        <v>176.2</v>
      </c>
      <c r="R50" s="369" t="n">
        <v>155.2</v>
      </c>
      <c r="S50" s="370" t="n">
        <v>1108.81</v>
      </c>
      <c r="T50" s="369" t="n">
        <v>976.66</v>
      </c>
      <c r="V50" s="147" t="n">
        <v>2013</v>
      </c>
      <c r="W50" s="372" t="n">
        <v>155.2</v>
      </c>
      <c r="X50" s="373" t="n">
        <v>155.2</v>
      </c>
      <c r="Y50" s="374" t="n">
        <v>976.66</v>
      </c>
      <c r="Z50" s="373" t="n">
        <v>976.66</v>
      </c>
      <c r="AB50" s="147" t="n">
        <v>2013</v>
      </c>
      <c r="AC50" s="372" t="n">
        <v>176.2</v>
      </c>
      <c r="AD50" s="373" t="n">
        <v>176.2</v>
      </c>
      <c r="AE50" s="374" t="n">
        <v>1108.81</v>
      </c>
      <c r="AF50" s="373" t="n">
        <v>1108.81</v>
      </c>
      <c r="AH50" s="8" t="n"/>
      <c r="AI50" s="251" t="n">
        <v>2013</v>
      </c>
      <c r="AJ50" s="373" t="n">
        <v>148.8</v>
      </c>
      <c r="AK50" s="374" t="n">
        <v>936.38</v>
      </c>
      <c r="AL50" s="375" t="n"/>
      <c r="AM50" s="9" t="n"/>
      <c r="AN50" s="147" t="n">
        <v>2013</v>
      </c>
      <c r="AO50" s="372" t="n">
        <v>148.8</v>
      </c>
      <c r="AP50" s="373" t="n">
        <v>148.8</v>
      </c>
      <c r="AQ50" s="374" t="n">
        <v>936.38</v>
      </c>
      <c r="AR50" s="373" t="n">
        <v>936.38</v>
      </c>
      <c r="AT50" s="8" t="n"/>
      <c r="AU50" s="251" t="n">
        <v>2005</v>
      </c>
      <c r="AV50" s="372" t="n">
        <v>69.7</v>
      </c>
      <c r="AW50" s="376" t="n">
        <v>8019</v>
      </c>
      <c r="AX50" s="9" t="n"/>
      <c r="AZ50" s="147" t="n">
        <v>2013</v>
      </c>
      <c r="BA50" s="368" t="n">
        <v>43.7</v>
      </c>
      <c r="BB50" s="368" t="n">
        <v>40.1</v>
      </c>
      <c r="BC50" s="369" t="n">
        <v>92.40000000000001</v>
      </c>
      <c r="BD50" s="370" t="n">
        <v>275</v>
      </c>
      <c r="BE50" s="368" t="n">
        <v>252.35</v>
      </c>
      <c r="BF50" s="369" t="n">
        <v>581.46</v>
      </c>
      <c r="BH50" s="379" t="n"/>
      <c r="BI50" s="379" t="n"/>
      <c r="BO50" s="147" t="n">
        <v>2013</v>
      </c>
      <c r="BP50" s="368" t="n">
        <v>55.5</v>
      </c>
      <c r="BQ50" s="368" t="n">
        <v>96.40000000000001</v>
      </c>
      <c r="BR50" s="369" t="n">
        <v>157.8</v>
      </c>
      <c r="BS50" s="370" t="n">
        <v>349.26</v>
      </c>
      <c r="BT50" s="368" t="n">
        <v>606.64</v>
      </c>
      <c r="BU50" s="369" t="n">
        <v>993.02</v>
      </c>
      <c r="BW50" s="147" t="n">
        <v>2013</v>
      </c>
      <c r="BX50" s="372" t="n">
        <v>309.7</v>
      </c>
      <c r="BY50" s="372" t="n">
        <v>309.7</v>
      </c>
      <c r="BZ50" s="372" t="n">
        <v>55.5</v>
      </c>
      <c r="CA50" s="373" t="n">
        <v>55.5</v>
      </c>
      <c r="CB50" s="374" t="n">
        <v>1948.92</v>
      </c>
      <c r="CC50" s="372" t="n">
        <v>1948.92</v>
      </c>
      <c r="CD50" s="372" t="n">
        <v>349.26</v>
      </c>
      <c r="CE50" s="373" t="n">
        <v>349.26</v>
      </c>
    </row>
    <row r="51" ht="15" customHeight="1">
      <c r="B51" s="147" t="n">
        <v>2014</v>
      </c>
      <c r="C51" s="368" t="n">
        <v>63.3</v>
      </c>
      <c r="D51" s="368" t="n">
        <v>294.22</v>
      </c>
      <c r="E51" s="369" t="n">
        <v>8.6</v>
      </c>
      <c r="F51" s="370" t="n">
        <v>398.34</v>
      </c>
      <c r="G51" s="368" t="n">
        <v>1851.5</v>
      </c>
      <c r="H51" s="369" t="n">
        <v>54.12</v>
      </c>
      <c r="I51" s="371" t="n"/>
      <c r="J51" s="235" t="n">
        <v>2014</v>
      </c>
      <c r="K51" s="372" t="n">
        <v>366.3</v>
      </c>
      <c r="L51" s="373" t="n">
        <v>366.3</v>
      </c>
      <c r="M51" s="374" t="n">
        <v>2305.09</v>
      </c>
      <c r="N51" s="373" t="n">
        <v>2305.09</v>
      </c>
      <c r="O51" s="8" t="n"/>
      <c r="P51" s="147" t="n">
        <v>2014</v>
      </c>
      <c r="Q51" s="368" t="n">
        <v>201.2</v>
      </c>
      <c r="R51" s="369" t="n">
        <v>165.1</v>
      </c>
      <c r="S51" s="370" t="n">
        <v>1266.13</v>
      </c>
      <c r="T51" s="369" t="n">
        <v>1038.96</v>
      </c>
      <c r="V51" s="147" t="n">
        <v>2014</v>
      </c>
      <c r="W51" s="372" t="n">
        <v>165.1</v>
      </c>
      <c r="X51" s="373" t="n">
        <v>165.1</v>
      </c>
      <c r="Y51" s="374" t="n">
        <v>1038.96</v>
      </c>
      <c r="Z51" s="373" t="n">
        <v>1038.96</v>
      </c>
      <c r="AB51" s="147" t="n">
        <v>2014</v>
      </c>
      <c r="AC51" s="372" t="n">
        <v>201.2</v>
      </c>
      <c r="AD51" s="373" t="n">
        <v>201.2</v>
      </c>
      <c r="AE51" s="374" t="n">
        <v>1266.13</v>
      </c>
      <c r="AF51" s="373" t="n">
        <v>1266.13</v>
      </c>
      <c r="AH51" s="8" t="n"/>
      <c r="AI51" s="251" t="n">
        <v>2014</v>
      </c>
      <c r="AJ51" s="373" t="n">
        <v>151.6</v>
      </c>
      <c r="AK51" s="374" t="n">
        <v>954</v>
      </c>
      <c r="AL51" s="375" t="n"/>
      <c r="AM51" s="9" t="n"/>
      <c r="AN51" s="147" t="n">
        <v>2014</v>
      </c>
      <c r="AO51" s="372" t="n">
        <v>151.6</v>
      </c>
      <c r="AP51" s="373" t="n">
        <v>151.6</v>
      </c>
      <c r="AQ51" s="374" t="n">
        <v>954</v>
      </c>
      <c r="AR51" s="373" t="n">
        <v>954</v>
      </c>
      <c r="AT51" s="8" t="n"/>
      <c r="AU51" s="251" t="n">
        <v>2006</v>
      </c>
      <c r="AV51" s="372" t="n">
        <v>78.5</v>
      </c>
      <c r="AW51" s="376" t="n">
        <v>8469</v>
      </c>
      <c r="AX51" s="9" t="n"/>
      <c r="AZ51" s="147" t="n">
        <v>2014</v>
      </c>
      <c r="BA51" s="368" t="n">
        <v>46</v>
      </c>
      <c r="BB51" s="368" t="n">
        <v>38.6</v>
      </c>
      <c r="BC51" s="369" t="n">
        <v>116.6</v>
      </c>
      <c r="BD51" s="370" t="n">
        <v>289.47</v>
      </c>
      <c r="BE51" s="368" t="n">
        <v>242.91</v>
      </c>
      <c r="BF51" s="369" t="n">
        <v>733.75</v>
      </c>
      <c r="BH51" s="379" t="n"/>
      <c r="BI51" s="379" t="n"/>
      <c r="BO51" s="147" t="n">
        <v>2014</v>
      </c>
      <c r="BP51" s="368" t="n">
        <v>59.9</v>
      </c>
      <c r="BQ51" s="368" t="n">
        <v>95.40000000000001</v>
      </c>
      <c r="BR51" s="369" t="n">
        <v>188.9</v>
      </c>
      <c r="BS51" s="370" t="n">
        <v>376.94</v>
      </c>
      <c r="BT51" s="368" t="n">
        <v>600.34</v>
      </c>
      <c r="BU51" s="369" t="n">
        <v>1188.73</v>
      </c>
      <c r="BW51" s="147" t="n">
        <v>2014</v>
      </c>
      <c r="BX51" s="372" t="n">
        <v>344.2</v>
      </c>
      <c r="BY51" s="372" t="n">
        <v>344.2</v>
      </c>
      <c r="BZ51" s="372" t="n">
        <v>59.9</v>
      </c>
      <c r="CA51" s="373" t="n">
        <v>59.9</v>
      </c>
      <c r="CB51" s="374" t="n">
        <v>2166.01</v>
      </c>
      <c r="CC51" s="372" t="n">
        <v>2166.01</v>
      </c>
      <c r="CD51" s="372" t="n">
        <v>376.94</v>
      </c>
      <c r="CE51" s="373" t="n">
        <v>376.94</v>
      </c>
    </row>
    <row r="52" ht="15" customHeight="1">
      <c r="B52" s="147" t="n">
        <v>2015</v>
      </c>
      <c r="C52" s="368" t="n">
        <v>65.8</v>
      </c>
      <c r="D52" s="368" t="n">
        <v>328.3</v>
      </c>
      <c r="E52" s="369" t="n">
        <v>7.4</v>
      </c>
      <c r="F52" s="370" t="n">
        <v>414.07</v>
      </c>
      <c r="G52" s="368" t="n">
        <v>2065.96</v>
      </c>
      <c r="H52" s="369" t="n">
        <v>46.57</v>
      </c>
      <c r="I52" s="371" t="n"/>
      <c r="J52" s="235" t="n">
        <v>2015</v>
      </c>
      <c r="K52" s="372" t="n">
        <v>401.6</v>
      </c>
      <c r="L52" s="373" t="n">
        <v>401.6</v>
      </c>
      <c r="M52" s="374" t="n">
        <v>2527.23</v>
      </c>
      <c r="N52" s="373" t="n">
        <v>2527.23</v>
      </c>
      <c r="O52" s="380" t="n"/>
      <c r="P52" s="147" t="n">
        <v>2015</v>
      </c>
      <c r="Q52" s="368" t="n">
        <v>216.9</v>
      </c>
      <c r="R52" s="369" t="n">
        <v>184.7</v>
      </c>
      <c r="S52" s="370" t="n">
        <v>1364.93</v>
      </c>
      <c r="T52" s="369" t="n">
        <v>1162.3</v>
      </c>
      <c r="U52" s="7" t="n"/>
      <c r="V52" s="147" t="n">
        <v>2015</v>
      </c>
      <c r="W52" s="372" t="n">
        <v>184.7</v>
      </c>
      <c r="X52" s="373" t="n">
        <v>184.7</v>
      </c>
      <c r="Y52" s="374" t="n">
        <v>1162.3</v>
      </c>
      <c r="Z52" s="373" t="n">
        <v>1162.3</v>
      </c>
      <c r="AA52" s="7" t="n"/>
      <c r="AB52" s="147" t="n">
        <v>2015</v>
      </c>
      <c r="AC52" s="372" t="n">
        <v>216.9</v>
      </c>
      <c r="AD52" s="373" t="n">
        <v>216.9</v>
      </c>
      <c r="AE52" s="374" t="n">
        <v>1364.93</v>
      </c>
      <c r="AF52" s="373" t="n">
        <v>1364.93</v>
      </c>
      <c r="AG52" s="7" t="n"/>
      <c r="AH52" s="8" t="n"/>
      <c r="AI52" s="251" t="n">
        <v>2015</v>
      </c>
      <c r="AJ52" s="373" t="n">
        <v>155.2</v>
      </c>
      <c r="AK52" s="374" t="n">
        <v>976.66</v>
      </c>
      <c r="AL52" s="375" t="n"/>
      <c r="AM52" s="9" t="n"/>
      <c r="AN52" s="147" t="n">
        <v>2015</v>
      </c>
      <c r="AO52" s="372" t="n">
        <v>155.2</v>
      </c>
      <c r="AP52" s="373" t="n">
        <v>155.2</v>
      </c>
      <c r="AQ52" s="374" t="n">
        <v>976.66</v>
      </c>
      <c r="AR52" s="373" t="n">
        <v>976.66</v>
      </c>
      <c r="AT52" s="8" t="n"/>
      <c r="AU52" s="251" t="n">
        <v>2007</v>
      </c>
      <c r="AV52" s="372" t="n">
        <v>85.2</v>
      </c>
      <c r="AW52" s="376" t="n">
        <v>8908</v>
      </c>
      <c r="AX52" s="9" t="n"/>
      <c r="AZ52" s="147" t="n">
        <v>2015</v>
      </c>
      <c r="BA52" s="368" t="n">
        <v>41.6</v>
      </c>
      <c r="BB52" s="368" t="n">
        <v>41.9</v>
      </c>
      <c r="BC52" s="369" t="n">
        <v>133.4</v>
      </c>
      <c r="BD52" s="370" t="n">
        <v>261.78</v>
      </c>
      <c r="BE52" s="368" t="n">
        <v>263.67</v>
      </c>
      <c r="BF52" s="369" t="n">
        <v>839.47</v>
      </c>
      <c r="BH52" s="379" t="n"/>
      <c r="BI52" s="379" t="n"/>
      <c r="BO52" s="147" t="n">
        <v>2015</v>
      </c>
      <c r="BP52" s="368" t="n">
        <v>58.6</v>
      </c>
      <c r="BQ52" s="368" t="n">
        <v>100.5</v>
      </c>
      <c r="BR52" s="369" t="n">
        <v>218.4</v>
      </c>
      <c r="BS52" s="370" t="n">
        <v>368.76</v>
      </c>
      <c r="BT52" s="368" t="n">
        <v>632.4400000000001</v>
      </c>
      <c r="BU52" s="369" t="n">
        <v>1374.37</v>
      </c>
      <c r="BW52" s="147" t="n">
        <v>2015</v>
      </c>
      <c r="BX52" s="372" t="n">
        <v>377.5</v>
      </c>
      <c r="BY52" s="372" t="n">
        <v>377.5</v>
      </c>
      <c r="BZ52" s="372" t="n">
        <v>58.6</v>
      </c>
      <c r="CA52" s="373" t="n">
        <v>58.6</v>
      </c>
      <c r="CB52" s="374" t="n">
        <v>2375.57</v>
      </c>
      <c r="CC52" s="372" t="n">
        <v>2375.57</v>
      </c>
      <c r="CD52" s="372" t="n">
        <v>368.76</v>
      </c>
      <c r="CE52" s="373" t="n">
        <v>368.76</v>
      </c>
    </row>
    <row r="53" ht="15" customHeight="1">
      <c r="B53" s="147" t="n">
        <v>2016</v>
      </c>
      <c r="C53" s="368" t="n">
        <v>59.2</v>
      </c>
      <c r="D53" s="368" t="n">
        <v>338.07</v>
      </c>
      <c r="E53" s="369" t="n">
        <v>6.5</v>
      </c>
      <c r="F53" s="370" t="n">
        <v>372.54</v>
      </c>
      <c r="G53" s="368" t="n">
        <v>2127.44</v>
      </c>
      <c r="H53" s="369" t="n">
        <v>40.9</v>
      </c>
      <c r="I53" s="371" t="n"/>
      <c r="J53" s="235" t="n">
        <v>2016</v>
      </c>
      <c r="K53" s="372" t="n">
        <v>403.3</v>
      </c>
      <c r="L53" s="373" t="n">
        <v>403.3</v>
      </c>
      <c r="M53" s="374" t="n">
        <v>2537.93</v>
      </c>
      <c r="N53" s="373" t="n">
        <v>2537.93</v>
      </c>
      <c r="O53" s="380" t="n"/>
      <c r="P53" s="147" t="n">
        <v>2016</v>
      </c>
      <c r="Q53" s="368" t="n">
        <v>221</v>
      </c>
      <c r="R53" s="369" t="n">
        <v>182.3</v>
      </c>
      <c r="S53" s="370" t="n">
        <v>1390.73</v>
      </c>
      <c r="T53" s="369" t="n">
        <v>1147.2</v>
      </c>
      <c r="V53" s="147" t="n">
        <v>2016</v>
      </c>
      <c r="W53" s="372" t="n">
        <v>182.3</v>
      </c>
      <c r="X53" s="373" t="n">
        <v>182.3</v>
      </c>
      <c r="Y53" s="374" t="n">
        <v>1147.2</v>
      </c>
      <c r="Z53" s="373" t="n">
        <v>1147.2</v>
      </c>
      <c r="AB53" s="147" t="n">
        <v>2016</v>
      </c>
      <c r="AC53" s="372" t="n">
        <v>221</v>
      </c>
      <c r="AD53" s="373" t="n">
        <v>221</v>
      </c>
      <c r="AE53" s="374" t="n">
        <v>1390.73</v>
      </c>
      <c r="AF53" s="373" t="n">
        <v>1390.73</v>
      </c>
      <c r="AH53" s="8" t="n"/>
      <c r="AI53" s="251" t="n">
        <v>2016</v>
      </c>
      <c r="AJ53" s="373" t="n">
        <v>147.7</v>
      </c>
      <c r="AK53" s="374" t="n">
        <v>929.46</v>
      </c>
      <c r="AL53" s="375" t="n"/>
      <c r="AM53" s="9" t="n"/>
      <c r="AN53" s="147" t="n">
        <v>2016</v>
      </c>
      <c r="AO53" s="372" t="n">
        <v>147.7</v>
      </c>
      <c r="AP53" s="373" t="n">
        <v>147.7</v>
      </c>
      <c r="AQ53" s="374" t="n">
        <v>929.46</v>
      </c>
      <c r="AR53" s="373" t="n">
        <v>929.46</v>
      </c>
      <c r="AT53" s="8" t="n"/>
      <c r="AU53" s="251" t="n">
        <v>2008</v>
      </c>
      <c r="AV53" s="372" t="n">
        <v>92.7</v>
      </c>
      <c r="AW53" s="376" t="n">
        <v>9689</v>
      </c>
      <c r="AX53" s="9" t="n"/>
      <c r="AZ53" s="147" t="n">
        <v>2016</v>
      </c>
      <c r="BA53" s="368" t="n">
        <v>35.1</v>
      </c>
      <c r="BB53" s="368" t="n">
        <v>37.6</v>
      </c>
      <c r="BC53" s="369" t="n">
        <v>148.3</v>
      </c>
      <c r="BD53" s="370" t="n">
        <v>220.88</v>
      </c>
      <c r="BE53" s="368" t="n">
        <v>236.61</v>
      </c>
      <c r="BF53" s="369" t="n">
        <v>933.24</v>
      </c>
      <c r="BH53" s="379" t="n"/>
      <c r="BI53" s="379" t="n"/>
      <c r="BO53" s="147" t="n">
        <v>2016</v>
      </c>
      <c r="BP53" s="368" t="n">
        <v>55.3</v>
      </c>
      <c r="BQ53" s="368" t="n">
        <v>96</v>
      </c>
      <c r="BR53" s="369" t="n">
        <v>229.5</v>
      </c>
      <c r="BS53" s="370" t="n">
        <v>348</v>
      </c>
      <c r="BT53" s="368" t="n">
        <v>604.12</v>
      </c>
      <c r="BU53" s="369" t="n">
        <v>1444.22</v>
      </c>
      <c r="BW53" s="147" t="n">
        <v>2016</v>
      </c>
      <c r="BX53" s="372" t="n">
        <v>380.8</v>
      </c>
      <c r="BY53" s="372" t="n">
        <v>380.8</v>
      </c>
      <c r="BZ53" s="372" t="n">
        <v>55.3</v>
      </c>
      <c r="CA53" s="373" t="n">
        <v>55.3</v>
      </c>
      <c r="CB53" s="374" t="n">
        <v>2396.34</v>
      </c>
      <c r="CC53" s="372" t="n">
        <v>2396.34</v>
      </c>
      <c r="CD53" s="372" t="n">
        <v>348</v>
      </c>
      <c r="CE53" s="373" t="n">
        <v>348</v>
      </c>
    </row>
    <row r="54" ht="15" customHeight="1">
      <c r="B54" s="147" t="n">
        <v>2017</v>
      </c>
      <c r="C54" s="368" t="n">
        <v>59.3</v>
      </c>
      <c r="D54" s="368" t="n">
        <v>383.93</v>
      </c>
      <c r="E54" s="369" t="n">
        <v>7.8</v>
      </c>
      <c r="F54" s="370" t="n">
        <v>373.17</v>
      </c>
      <c r="G54" s="368" t="n">
        <v>2416.03</v>
      </c>
      <c r="H54" s="369" t="n">
        <v>49.08</v>
      </c>
      <c r="I54" s="371" t="n"/>
      <c r="J54" s="235" t="n">
        <v>2017</v>
      </c>
      <c r="K54" s="372" t="n">
        <v>451.1</v>
      </c>
      <c r="L54" s="373" t="n">
        <v>451.1</v>
      </c>
      <c r="M54" s="374" t="n">
        <v>2838.73</v>
      </c>
      <c r="N54" s="373" t="n">
        <v>2838.73</v>
      </c>
      <c r="O54" s="380" t="n"/>
      <c r="P54" s="147" t="n">
        <v>2017</v>
      </c>
      <c r="Q54" s="368" t="n">
        <v>248.3</v>
      </c>
      <c r="R54" s="369" t="n">
        <v>202.8</v>
      </c>
      <c r="S54" s="370" t="n">
        <v>1562.53</v>
      </c>
      <c r="T54" s="369" t="n">
        <v>1276.2</v>
      </c>
      <c r="U54" s="378" t="n"/>
      <c r="V54" s="147" t="n">
        <v>2017</v>
      </c>
      <c r="W54" s="372" t="n">
        <v>202.8</v>
      </c>
      <c r="X54" s="373" t="n">
        <v>202.8</v>
      </c>
      <c r="Y54" s="374" t="n">
        <v>1276.2</v>
      </c>
      <c r="Z54" s="373" t="n">
        <v>1276.2</v>
      </c>
      <c r="AA54" s="378" t="n"/>
      <c r="AB54" s="147" t="n">
        <v>2017</v>
      </c>
      <c r="AC54" s="372" t="n">
        <v>248.3</v>
      </c>
      <c r="AD54" s="373" t="n">
        <v>248.3</v>
      </c>
      <c r="AE54" s="374" t="n">
        <v>1562.53</v>
      </c>
      <c r="AF54" s="373" t="n">
        <v>1562.53</v>
      </c>
      <c r="AG54" s="378" t="n"/>
      <c r="AH54" s="8" t="n"/>
      <c r="AI54" s="251" t="n">
        <v>2017</v>
      </c>
      <c r="AJ54" s="373" t="n">
        <v>163.4</v>
      </c>
      <c r="AK54" s="374" t="n">
        <v>1028.26</v>
      </c>
      <c r="AL54" s="375" t="n"/>
      <c r="AM54" s="9" t="n"/>
      <c r="AN54" s="147" t="n">
        <v>2017</v>
      </c>
      <c r="AO54" s="372" t="n">
        <v>163.4</v>
      </c>
      <c r="AP54" s="373" t="n">
        <v>163.4</v>
      </c>
      <c r="AQ54" s="374" t="n">
        <v>1028.26</v>
      </c>
      <c r="AR54" s="373" t="n">
        <v>1028.26</v>
      </c>
      <c r="AT54" s="8" t="n"/>
      <c r="AU54" s="251" t="n">
        <v>2009</v>
      </c>
      <c r="AV54" s="372" t="n">
        <v>105.5</v>
      </c>
      <c r="AW54" s="376" t="n">
        <v>9709</v>
      </c>
      <c r="AX54" s="9" t="n"/>
      <c r="AZ54" s="147" t="n">
        <v>2017</v>
      </c>
      <c r="BA54" s="368" t="n">
        <v>33.9</v>
      </c>
      <c r="BB54" s="368" t="n">
        <v>39.1</v>
      </c>
      <c r="BC54" s="369" t="n">
        <v>175.3</v>
      </c>
      <c r="BD54" s="370" t="n">
        <v>213.33</v>
      </c>
      <c r="BE54" s="368" t="n">
        <v>246.05</v>
      </c>
      <c r="BF54" s="369" t="n">
        <v>1103.15</v>
      </c>
      <c r="BH54" s="379" t="n"/>
      <c r="BI54" s="379" t="n"/>
      <c r="BO54" s="147" t="n">
        <v>2017</v>
      </c>
      <c r="BP54" s="381" t="n">
        <v>50.6</v>
      </c>
      <c r="BQ54" s="368" t="n">
        <v>115.5</v>
      </c>
      <c r="BR54" s="369" t="n">
        <v>254.9</v>
      </c>
      <c r="BS54" s="381" t="n">
        <v>318.42</v>
      </c>
      <c r="BT54" s="368" t="n">
        <v>726.83</v>
      </c>
      <c r="BU54" s="382" t="n">
        <v>1604.06</v>
      </c>
      <c r="BW54" s="147" t="n">
        <v>2017</v>
      </c>
      <c r="BX54" s="372" t="n">
        <v>421</v>
      </c>
      <c r="BY54" s="372" t="n">
        <v>421</v>
      </c>
      <c r="BZ54" s="372" t="n">
        <v>50.6</v>
      </c>
      <c r="CA54" s="373" t="n">
        <v>50.6</v>
      </c>
      <c r="CB54" s="374" t="n">
        <v>2649.31</v>
      </c>
      <c r="CC54" s="372" t="n">
        <v>2649.31</v>
      </c>
      <c r="CD54" s="372" t="n">
        <v>318.42</v>
      </c>
      <c r="CE54" s="373" t="n">
        <v>318.42</v>
      </c>
    </row>
    <row r="55" ht="15" customHeight="1">
      <c r="B55" s="147" t="n">
        <v>2018</v>
      </c>
      <c r="C55" s="368" t="n">
        <v>54.7</v>
      </c>
      <c r="D55" s="368" t="n">
        <v>424.38</v>
      </c>
      <c r="E55" s="369" t="n">
        <v>5.3</v>
      </c>
      <c r="F55" s="370" t="n">
        <v>344.22</v>
      </c>
      <c r="G55" s="368" t="n">
        <v>2670.58</v>
      </c>
      <c r="H55" s="369" t="n">
        <v>33.35</v>
      </c>
      <c r="I55" s="371" t="n"/>
      <c r="J55" s="235" t="n">
        <v>2018</v>
      </c>
      <c r="K55" s="372" t="n">
        <v>484.5</v>
      </c>
      <c r="L55" s="373" t="n">
        <v>484.5</v>
      </c>
      <c r="M55" s="374" t="n">
        <v>3048.91</v>
      </c>
      <c r="N55" s="373" t="n">
        <v>3048.91</v>
      </c>
      <c r="O55" s="380" t="n"/>
      <c r="P55" s="147" t="n">
        <v>2018</v>
      </c>
      <c r="Q55" s="368" t="n">
        <v>250.4</v>
      </c>
      <c r="R55" s="369" t="n">
        <v>234.1</v>
      </c>
      <c r="S55" s="370" t="n">
        <v>1575.74</v>
      </c>
      <c r="T55" s="369" t="n">
        <v>1473.17</v>
      </c>
      <c r="V55" s="147" t="n">
        <v>2018</v>
      </c>
      <c r="W55" s="372" t="n">
        <v>234.1</v>
      </c>
      <c r="X55" s="373" t="n">
        <v>234.1</v>
      </c>
      <c r="Y55" s="374" t="n">
        <v>1473.17</v>
      </c>
      <c r="Z55" s="373" t="n">
        <v>1473.17</v>
      </c>
      <c r="AB55" s="147" t="n">
        <v>2018</v>
      </c>
      <c r="AC55" s="372" t="n">
        <v>250.4</v>
      </c>
      <c r="AD55" s="373" t="n">
        <v>250.4</v>
      </c>
      <c r="AE55" s="374" t="n">
        <v>1575.74</v>
      </c>
      <c r="AF55" s="373" t="n">
        <v>1575.74</v>
      </c>
      <c r="AH55" s="8" t="n"/>
      <c r="AI55" s="251" t="n">
        <v>2018</v>
      </c>
      <c r="AJ55" s="373" t="n">
        <v>168.3</v>
      </c>
      <c r="AK55" s="374" t="n">
        <v>1059.1</v>
      </c>
      <c r="AL55" s="375" t="n"/>
      <c r="AM55" s="9" t="n"/>
      <c r="AN55" s="147" t="n">
        <v>2018</v>
      </c>
      <c r="AO55" s="372" t="n">
        <v>168.3</v>
      </c>
      <c r="AP55" s="373" t="n">
        <v>168.3</v>
      </c>
      <c r="AQ55" s="374" t="n">
        <v>1059.1</v>
      </c>
      <c r="AR55" s="373" t="n">
        <v>1059.1</v>
      </c>
      <c r="AT55" s="8" t="n"/>
      <c r="AU55" s="251" t="n">
        <v>2010</v>
      </c>
      <c r="AV55" s="372" t="n">
        <v>120.1</v>
      </c>
      <c r="AW55" s="376" t="n">
        <v>10060</v>
      </c>
      <c r="AX55" s="9" t="n"/>
      <c r="AZ55" s="147" t="n">
        <v>2018</v>
      </c>
      <c r="BA55" s="368" t="n">
        <v>30.2</v>
      </c>
      <c r="BB55" s="368" t="n">
        <v>34.6</v>
      </c>
      <c r="BC55" s="369" t="n">
        <v>185.6</v>
      </c>
      <c r="BD55" s="370" t="n">
        <v>190.05</v>
      </c>
      <c r="BE55" s="368" t="n">
        <v>217.73</v>
      </c>
      <c r="BF55" s="369" t="n">
        <v>1167.96</v>
      </c>
      <c r="BH55" s="379" t="n"/>
      <c r="BI55" s="379" t="n"/>
      <c r="BO55" s="147" t="n">
        <v>2018</v>
      </c>
      <c r="BP55" s="368" t="n">
        <v>66.06999999999999</v>
      </c>
      <c r="BQ55" s="368" t="n">
        <v>105.81</v>
      </c>
      <c r="BR55" s="369" t="n">
        <v>264.22</v>
      </c>
      <c r="BS55" s="370" t="n">
        <v>415.77</v>
      </c>
      <c r="BT55" s="368" t="n">
        <v>665.85</v>
      </c>
      <c r="BU55" s="369" t="n">
        <v>1662.71</v>
      </c>
      <c r="BW55" s="147" t="n">
        <v>2018</v>
      </c>
      <c r="BX55" s="372" t="n">
        <v>436.1</v>
      </c>
      <c r="BY55" s="372" t="n">
        <v>436.1</v>
      </c>
      <c r="BZ55" s="372" t="n">
        <v>66.06999999999999</v>
      </c>
      <c r="CA55" s="373" t="n">
        <v>66.06999999999999</v>
      </c>
      <c r="CB55" s="374" t="n">
        <v>2744.33</v>
      </c>
      <c r="CC55" s="372" t="n">
        <v>2744.33</v>
      </c>
      <c r="CD55" s="372" t="n">
        <v>415.77</v>
      </c>
      <c r="CE55" s="373" t="n">
        <v>415.77</v>
      </c>
    </row>
    <row r="56" ht="15" customHeight="1">
      <c r="B56" s="186" t="n">
        <v>2019</v>
      </c>
      <c r="C56" s="383" t="n">
        <v>55.25</v>
      </c>
      <c r="D56" s="383" t="n">
        <v>431.91</v>
      </c>
      <c r="E56" s="384" t="n">
        <v>4.8</v>
      </c>
      <c r="F56" s="385" t="n">
        <v>347.68</v>
      </c>
      <c r="G56" s="383" t="n">
        <v>2717.97</v>
      </c>
      <c r="H56" s="384" t="n">
        <v>30.21</v>
      </c>
      <c r="I56" s="371" t="n"/>
      <c r="J56" s="235" t="n">
        <v>2019</v>
      </c>
      <c r="K56" s="372" t="n">
        <v>492.77</v>
      </c>
      <c r="L56" s="373" t="n">
        <v>492.77</v>
      </c>
      <c r="M56" s="374" t="n">
        <v>3100.95</v>
      </c>
      <c r="N56" s="373" t="n">
        <v>3100.95</v>
      </c>
      <c r="O56" s="380" t="n"/>
      <c r="P56" s="147" t="n">
        <v>2019</v>
      </c>
      <c r="Q56" s="368" t="n">
        <v>246.22</v>
      </c>
      <c r="R56" s="369" t="n">
        <v>246.55</v>
      </c>
      <c r="S56" s="370" t="n">
        <v>1549.44</v>
      </c>
      <c r="T56" s="369" t="n">
        <v>1551.51</v>
      </c>
      <c r="V56" s="147" t="n">
        <v>2019</v>
      </c>
      <c r="W56" s="372" t="n">
        <v>246.55</v>
      </c>
      <c r="X56" s="373" t="n">
        <v>246.55</v>
      </c>
      <c r="Y56" s="374" t="n">
        <v>1551.51</v>
      </c>
      <c r="Z56" s="373" t="n">
        <v>1551.51</v>
      </c>
      <c r="AB56" s="147" t="n">
        <v>2019</v>
      </c>
      <c r="AC56" s="372" t="n">
        <v>246.22</v>
      </c>
      <c r="AD56" s="373" t="n">
        <v>246.22</v>
      </c>
      <c r="AE56" s="374" t="n">
        <v>1549.44</v>
      </c>
      <c r="AF56" s="373" t="n">
        <v>1549.44</v>
      </c>
      <c r="AH56" s="8" t="n"/>
      <c r="AI56" s="251" t="n">
        <v>2019</v>
      </c>
      <c r="AJ56" s="373" t="n">
        <v>177.15</v>
      </c>
      <c r="AK56" s="374" t="n">
        <v>1114.79</v>
      </c>
      <c r="AL56" s="375" t="n"/>
      <c r="AM56" s="9" t="n"/>
      <c r="AN56" s="147" t="n">
        <v>2019</v>
      </c>
      <c r="AO56" s="372" t="n">
        <v>177.15</v>
      </c>
      <c r="AP56" s="373" t="n">
        <v>177.15</v>
      </c>
      <c r="AQ56" s="374" t="n">
        <v>1114.79</v>
      </c>
      <c r="AR56" s="373" t="n">
        <v>1114.79</v>
      </c>
      <c r="AT56" s="8" t="n"/>
      <c r="AU56" s="251" t="n">
        <v>2011</v>
      </c>
      <c r="AV56" s="372" t="n">
        <v>135.4</v>
      </c>
      <c r="AW56" s="376" t="n">
        <v>10964</v>
      </c>
      <c r="AX56" s="9" t="n"/>
      <c r="AZ56" s="186" t="n">
        <v>2019</v>
      </c>
      <c r="BA56" s="383" t="n">
        <v>27.49</v>
      </c>
      <c r="BB56" s="383" t="n">
        <v>35.18</v>
      </c>
      <c r="BC56" s="384" t="n">
        <v>183.56</v>
      </c>
      <c r="BD56" s="385" t="n">
        <v>172.99</v>
      </c>
      <c r="BE56" s="383" t="n">
        <v>221.38</v>
      </c>
      <c r="BF56" s="384" t="n">
        <v>1155.12</v>
      </c>
      <c r="BH56" s="379" t="n"/>
      <c r="BI56" s="379" t="n"/>
      <c r="BO56" s="147" t="n">
        <v>2019</v>
      </c>
      <c r="BP56" s="368" t="n">
        <v>69.64</v>
      </c>
      <c r="BQ56" s="368" t="n">
        <v>110.68</v>
      </c>
      <c r="BR56" s="369" t="n">
        <v>261.37</v>
      </c>
      <c r="BS56" s="370" t="n">
        <v>438.24</v>
      </c>
      <c r="BT56" s="368" t="n">
        <v>696.5</v>
      </c>
      <c r="BU56" s="369" t="n">
        <v>1644.78</v>
      </c>
      <c r="BW56" s="147" t="n">
        <v>2019</v>
      </c>
      <c r="BX56" s="372" t="n">
        <v>441.69</v>
      </c>
      <c r="BY56" s="372" t="n">
        <v>441.69</v>
      </c>
      <c r="BZ56" s="372" t="n">
        <v>69.64</v>
      </c>
      <c r="CA56" s="373" t="n">
        <v>69.64</v>
      </c>
      <c r="CB56" s="374" t="n">
        <v>2779.51</v>
      </c>
      <c r="CC56" s="372" t="n">
        <v>2779.51</v>
      </c>
      <c r="CD56" s="372" t="n">
        <v>438.24</v>
      </c>
      <c r="CE56" s="373" t="n">
        <v>438.24</v>
      </c>
    </row>
    <row r="57" ht="15" customHeight="1">
      <c r="B57" s="186" t="n">
        <v>2020</v>
      </c>
      <c r="C57" s="383" t="n">
        <v>50.3</v>
      </c>
      <c r="D57" s="383" t="n">
        <v>419.8</v>
      </c>
      <c r="E57" s="384" t="n">
        <v>3.45</v>
      </c>
      <c r="F57" s="385" t="n">
        <v>316.53</v>
      </c>
      <c r="G57" s="383" t="n">
        <v>2641.76</v>
      </c>
      <c r="H57" s="384" t="n">
        <v>21.71</v>
      </c>
      <c r="I57" s="371" t="n"/>
      <c r="J57" s="235" t="n">
        <v>2020</v>
      </c>
      <c r="K57" s="372" t="n">
        <v>473.65</v>
      </c>
      <c r="L57" s="373" t="n">
        <v>473.65</v>
      </c>
      <c r="M57" s="374" t="n">
        <v>2980.63</v>
      </c>
      <c r="N57" s="373" t="n">
        <v>2980.63</v>
      </c>
      <c r="O57" s="380" t="n"/>
      <c r="P57" s="147" t="n">
        <v>2020</v>
      </c>
      <c r="Q57" s="368" t="n">
        <v>237.17</v>
      </c>
      <c r="R57" s="369" t="n">
        <v>236.48</v>
      </c>
      <c r="S57" s="370" t="n">
        <v>1492.49</v>
      </c>
      <c r="T57" s="369" t="n">
        <v>1488.14</v>
      </c>
      <c r="V57" s="147" t="n">
        <v>2020</v>
      </c>
      <c r="W57" s="372" t="n">
        <v>236.48</v>
      </c>
      <c r="X57" s="373" t="n">
        <v>236.48</v>
      </c>
      <c r="Y57" s="374" t="n">
        <v>1488.14</v>
      </c>
      <c r="Z57" s="373" t="n">
        <v>1488.14</v>
      </c>
      <c r="AB57" s="147" t="n">
        <v>2020</v>
      </c>
      <c r="AC57" s="372" t="n">
        <v>237.17</v>
      </c>
      <c r="AD57" s="373" t="n">
        <v>237.17</v>
      </c>
      <c r="AE57" s="374" t="n">
        <v>1492.49</v>
      </c>
      <c r="AF57" s="373" t="n">
        <v>1492.49</v>
      </c>
      <c r="AH57" s="8" t="n"/>
      <c r="AI57" s="251" t="n">
        <v>2020</v>
      </c>
      <c r="AJ57" s="373" t="n">
        <v>174.81</v>
      </c>
      <c r="AK57" s="374" t="n">
        <v>1100.06</v>
      </c>
      <c r="AL57" s="375" t="n"/>
      <c r="AM57" s="9" t="n"/>
      <c r="AN57" s="147" t="n">
        <v>2020</v>
      </c>
      <c r="AO57" s="372" t="n">
        <v>174.81</v>
      </c>
      <c r="AP57" s="373" t="n">
        <v>174.81</v>
      </c>
      <c r="AQ57" s="374" t="n">
        <v>1100.06</v>
      </c>
      <c r="AR57" s="373" t="n">
        <v>1100.06</v>
      </c>
      <c r="AT57" s="8" t="n"/>
      <c r="AU57" s="251" t="n">
        <v>2012</v>
      </c>
      <c r="AV57" s="372" t="n">
        <v>157.7</v>
      </c>
      <c r="AW57" s="376" t="n">
        <v>11518</v>
      </c>
      <c r="AX57" s="9" t="n"/>
      <c r="AZ57" s="186" t="n">
        <v>2020</v>
      </c>
      <c r="BA57" s="383" t="n">
        <v>23.47</v>
      </c>
      <c r="BB57" s="383" t="n">
        <v>33.99</v>
      </c>
      <c r="BC57" s="384" t="n">
        <v>179.72</v>
      </c>
      <c r="BD57" s="385" t="n">
        <v>147.69</v>
      </c>
      <c r="BE57" s="383" t="n">
        <v>213.9</v>
      </c>
      <c r="BF57" s="384" t="n">
        <v>1130.96</v>
      </c>
      <c r="BH57" s="379" t="n"/>
      <c r="BI57" s="379" t="n"/>
      <c r="BO57" s="147" t="n">
        <v>2020</v>
      </c>
      <c r="BP57" s="368" t="n">
        <v>63.96</v>
      </c>
      <c r="BQ57" s="368" t="n">
        <v>119.08</v>
      </c>
      <c r="BR57" s="369" t="n">
        <v>243.87</v>
      </c>
      <c r="BS57" s="370" t="n">
        <v>402.49</v>
      </c>
      <c r="BT57" s="368" t="n">
        <v>749.36</v>
      </c>
      <c r="BU57" s="369" t="n">
        <v>1534.65</v>
      </c>
      <c r="BW57" s="147" t="n">
        <v>2020</v>
      </c>
      <c r="BX57" s="372" t="n">
        <v>426.91</v>
      </c>
      <c r="BY57" s="372" t="n">
        <v>426.91</v>
      </c>
      <c r="BZ57" s="372" t="n">
        <v>63.96</v>
      </c>
      <c r="CA57" s="373" t="n">
        <v>63.96</v>
      </c>
      <c r="CB57" s="374" t="n">
        <v>2686.5</v>
      </c>
      <c r="CC57" s="372" t="n">
        <v>2686.5</v>
      </c>
      <c r="CD57" s="372" t="n">
        <v>402.49</v>
      </c>
      <c r="CE57" s="373" t="n">
        <v>402.49</v>
      </c>
    </row>
    <row r="58" ht="15" customHeight="1">
      <c r="B58" s="186" t="n">
        <v>2021</v>
      </c>
      <c r="C58" s="383" t="n">
        <v>49.47</v>
      </c>
      <c r="D58" s="383" t="n">
        <v>464.17</v>
      </c>
      <c r="E58" s="384" t="n">
        <v>3.64</v>
      </c>
      <c r="F58" s="385" t="n">
        <v>311.31</v>
      </c>
      <c r="G58" s="383" t="n">
        <v>2920.98</v>
      </c>
      <c r="H58" s="384" t="n">
        <v>22.91</v>
      </c>
      <c r="I58" s="371" t="n"/>
      <c r="J58" s="235" t="n">
        <v>2021</v>
      </c>
      <c r="K58" s="372" t="n">
        <v>517.64</v>
      </c>
      <c r="L58" s="373" t="n">
        <v>517.64</v>
      </c>
      <c r="M58" s="374" t="n">
        <v>3257.4</v>
      </c>
      <c r="N58" s="373" t="n">
        <v>3257.4</v>
      </c>
      <c r="O58" s="380" t="n"/>
      <c r="P58" s="147" t="n">
        <v>2021</v>
      </c>
      <c r="Q58" s="368" t="n">
        <v>264.59</v>
      </c>
      <c r="R58" s="369" t="n">
        <v>253.04</v>
      </c>
      <c r="S58" s="370" t="n">
        <v>1665.04</v>
      </c>
      <c r="T58" s="369" t="n">
        <v>1592.36</v>
      </c>
      <c r="V58" s="147" t="n">
        <v>2021</v>
      </c>
      <c r="W58" s="372" t="n">
        <v>253.04</v>
      </c>
      <c r="X58" s="373" t="n">
        <v>253.04</v>
      </c>
      <c r="Y58" s="374" t="n">
        <v>1592.36</v>
      </c>
      <c r="Z58" s="373" t="n">
        <v>1592.36</v>
      </c>
      <c r="AB58" s="147" t="n">
        <v>2021</v>
      </c>
      <c r="AC58" s="372" t="n">
        <v>264.59</v>
      </c>
      <c r="AD58" s="373" t="n">
        <v>264.59</v>
      </c>
      <c r="AE58" s="374" t="n">
        <v>1665.04</v>
      </c>
      <c r="AF58" s="373" t="n">
        <v>1665.04</v>
      </c>
      <c r="AH58" s="8" t="n"/>
      <c r="AI58" s="251" t="n">
        <v>2021</v>
      </c>
      <c r="AJ58" s="373" t="n">
        <v>182.05</v>
      </c>
      <c r="AK58" s="374" t="n">
        <v>1145.62</v>
      </c>
      <c r="AL58" s="375" t="n"/>
      <c r="AM58" s="9" t="n"/>
      <c r="AN58" s="147" t="n">
        <v>2021</v>
      </c>
      <c r="AO58" s="372" t="n">
        <v>182.05</v>
      </c>
      <c r="AP58" s="373" t="n">
        <v>182.05</v>
      </c>
      <c r="AQ58" s="374" t="n">
        <v>1145.62</v>
      </c>
      <c r="AR58" s="373" t="n">
        <v>1145.62</v>
      </c>
      <c r="AT58" s="8" t="n"/>
      <c r="AU58" s="251" t="n">
        <v>2013</v>
      </c>
      <c r="AV58" s="372" t="n">
        <v>176.2</v>
      </c>
      <c r="AW58" s="376" t="n">
        <v>12401</v>
      </c>
      <c r="AX58" s="9" t="n"/>
      <c r="AZ58" s="250" t="n">
        <v>2021</v>
      </c>
      <c r="BA58" s="386" t="n">
        <v>24.79</v>
      </c>
      <c r="BB58" s="386" t="n">
        <v>34.12</v>
      </c>
      <c r="BC58" s="387" t="n">
        <v>205.83</v>
      </c>
      <c r="BD58" s="388" t="n">
        <v>156</v>
      </c>
      <c r="BE58" s="386" t="n">
        <v>214.71</v>
      </c>
      <c r="BF58" s="387" t="n">
        <v>1295.27</v>
      </c>
      <c r="BH58" s="379" t="n"/>
      <c r="BI58" s="379" t="n"/>
      <c r="BO58" s="147" t="n">
        <v>2021</v>
      </c>
      <c r="BP58" s="368" t="n">
        <v>65.52</v>
      </c>
      <c r="BQ58" s="368" t="n">
        <v>127.29</v>
      </c>
      <c r="BR58" s="369" t="n">
        <v>274.71</v>
      </c>
      <c r="BS58" s="370" t="n">
        <v>412.31</v>
      </c>
      <c r="BT58" s="368" t="n">
        <v>801.02</v>
      </c>
      <c r="BU58" s="369" t="n">
        <v>1728.72</v>
      </c>
      <c r="BW58" s="147" t="n">
        <v>2021</v>
      </c>
      <c r="BX58" s="372" t="n">
        <v>467.52</v>
      </c>
      <c r="BY58" s="372" t="n">
        <v>467.52</v>
      </c>
      <c r="BZ58" s="372" t="n">
        <v>65.52</v>
      </c>
      <c r="CA58" s="373" t="n">
        <v>65.52</v>
      </c>
      <c r="CB58" s="374" t="n">
        <v>2942.06</v>
      </c>
      <c r="CC58" s="372" t="n">
        <v>2942.06</v>
      </c>
      <c r="CD58" s="372" t="n">
        <v>412.31</v>
      </c>
      <c r="CE58" s="373" t="n">
        <v>412.31</v>
      </c>
    </row>
    <row r="59" ht="15" customHeight="1">
      <c r="B59" s="186" t="n">
        <v>2022</v>
      </c>
      <c r="C59" s="383" t="n">
        <v>49.68</v>
      </c>
      <c r="D59" s="383" t="n">
        <v>471.51</v>
      </c>
      <c r="E59" s="384" t="n">
        <v>4.77</v>
      </c>
      <c r="F59" s="385" t="n">
        <v>312.63</v>
      </c>
      <c r="G59" s="383" t="n">
        <v>2967.17</v>
      </c>
      <c r="H59" s="384" t="n">
        <v>30.02</v>
      </c>
      <c r="I59" s="371" t="n"/>
      <c r="J59" s="235" t="n">
        <v>2022</v>
      </c>
      <c r="K59" s="372" t="n">
        <v>527.11</v>
      </c>
      <c r="L59" s="373" t="n">
        <v>527.11</v>
      </c>
      <c r="M59" s="374" t="n">
        <v>3317.05</v>
      </c>
      <c r="N59" s="373" t="n">
        <v>3317.05</v>
      </c>
      <c r="O59" s="380" t="n"/>
      <c r="P59" s="147" t="n">
        <v>2022</v>
      </c>
      <c r="Q59" s="368" t="n">
        <v>270.04</v>
      </c>
      <c r="R59" s="369" t="n">
        <v>257.07</v>
      </c>
      <c r="S59" s="370" t="n">
        <v>1699.33</v>
      </c>
      <c r="T59" s="369" t="n">
        <v>1617.72</v>
      </c>
      <c r="V59" s="147" t="n">
        <v>2022</v>
      </c>
      <c r="W59" s="372" t="n">
        <v>257.07</v>
      </c>
      <c r="X59" s="373" t="n">
        <v>257.07</v>
      </c>
      <c r="Y59" s="374" t="n">
        <v>1617.72</v>
      </c>
      <c r="Z59" s="373" t="n">
        <v>1617.72</v>
      </c>
      <c r="AB59" s="147" t="n">
        <v>2022</v>
      </c>
      <c r="AC59" s="372" t="n">
        <v>270.04</v>
      </c>
      <c r="AD59" s="373" t="n">
        <v>270.04</v>
      </c>
      <c r="AE59" s="374" t="n">
        <v>1699.33</v>
      </c>
      <c r="AF59" s="373" t="n">
        <v>1699.33</v>
      </c>
      <c r="AH59" s="8" t="n"/>
      <c r="AI59" s="251" t="n">
        <v>2022</v>
      </c>
      <c r="AJ59" s="373" t="n">
        <v>181.01</v>
      </c>
      <c r="AK59" s="374" t="n">
        <v>1139.08</v>
      </c>
      <c r="AL59" s="375" t="n"/>
      <c r="AM59" s="9" t="n"/>
      <c r="AN59" s="147" t="n">
        <v>2022</v>
      </c>
      <c r="AO59" s="372" t="n">
        <v>181.01</v>
      </c>
      <c r="AP59" s="373" t="n">
        <v>181.01</v>
      </c>
      <c r="AQ59" s="374" t="n">
        <v>1139.08</v>
      </c>
      <c r="AR59" s="373" t="n">
        <v>1139.08</v>
      </c>
      <c r="AT59" s="8" t="n"/>
      <c r="AU59" s="251" t="n">
        <v>2014</v>
      </c>
      <c r="AV59" s="372" t="n">
        <v>201.2</v>
      </c>
      <c r="AW59" s="376" t="n">
        <v>13359</v>
      </c>
      <c r="AX59" s="9" t="n"/>
      <c r="AZ59" s="250" t="n">
        <v>2022</v>
      </c>
      <c r="BA59" s="386" t="n">
        <v>27.72</v>
      </c>
      <c r="BB59" s="386" t="n">
        <v>34.98</v>
      </c>
      <c r="BC59" s="387" t="n">
        <v>207.32</v>
      </c>
      <c r="BD59" s="388" t="n">
        <v>174.44</v>
      </c>
      <c r="BE59" s="386" t="n">
        <v>220.13</v>
      </c>
      <c r="BF59" s="387" t="n">
        <v>1305.08</v>
      </c>
      <c r="BH59" s="379" t="n"/>
      <c r="BI59" s="379" t="n"/>
      <c r="BO59" s="147" t="n">
        <v>2022</v>
      </c>
      <c r="BP59" s="368" t="n">
        <v>70.37</v>
      </c>
      <c r="BQ59" s="368" t="n">
        <v>120.33</v>
      </c>
      <c r="BR59" s="369" t="n">
        <v>300.31</v>
      </c>
      <c r="BS59" s="370" t="n">
        <v>442.83</v>
      </c>
      <c r="BT59" s="368" t="n">
        <v>757.22</v>
      </c>
      <c r="BU59" s="369" t="n">
        <v>1889.82</v>
      </c>
      <c r="BW59" s="147" t="n">
        <v>2022</v>
      </c>
      <c r="BX59" s="372" t="n">
        <v>491.01</v>
      </c>
      <c r="BY59" s="372" t="n">
        <v>491.01</v>
      </c>
      <c r="BZ59" s="372" t="n">
        <v>70.37</v>
      </c>
      <c r="CA59" s="373" t="n">
        <v>70.37</v>
      </c>
      <c r="CB59" s="374" t="n">
        <v>3089.88</v>
      </c>
      <c r="CC59" s="372" t="n">
        <v>3089.88</v>
      </c>
      <c r="CD59" s="372" t="n">
        <v>442.83</v>
      </c>
      <c r="CE59" s="373" t="n">
        <v>442.83</v>
      </c>
    </row>
    <row r="60" ht="15" customHeight="1">
      <c r="B60" s="186" t="n">
        <v>2023</v>
      </c>
      <c r="C60" s="383" t="n">
        <v>52.64</v>
      </c>
      <c r="D60" s="383" t="n">
        <v>482.1</v>
      </c>
      <c r="E60" s="384" t="n">
        <v>7.13</v>
      </c>
      <c r="F60" s="385" t="n">
        <v>331.26</v>
      </c>
      <c r="G60" s="383" t="n">
        <v>3033.81</v>
      </c>
      <c r="H60" s="384" t="n">
        <v>44.87</v>
      </c>
      <c r="I60" s="371" t="n"/>
      <c r="J60" s="235" t="n">
        <v>2023</v>
      </c>
      <c r="K60" s="372" t="n">
        <v>542.0599999999999</v>
      </c>
      <c r="L60" s="373" t="n">
        <v>542.0599999999999</v>
      </c>
      <c r="M60" s="374" t="n">
        <v>3411.13</v>
      </c>
      <c r="N60" s="373" t="n">
        <v>3411.13</v>
      </c>
      <c r="O60" s="380" t="n"/>
      <c r="P60" s="147" t="n">
        <v>2023</v>
      </c>
      <c r="Q60" s="368" t="n">
        <v>280.16</v>
      </c>
      <c r="R60" s="369" t="n">
        <v>261.9</v>
      </c>
      <c r="S60" s="370" t="n">
        <v>1763.02</v>
      </c>
      <c r="T60" s="369" t="n">
        <v>1648.11</v>
      </c>
      <c r="V60" s="147" t="n">
        <v>2023</v>
      </c>
      <c r="W60" s="372" t="n">
        <v>261.9</v>
      </c>
      <c r="X60" s="373" t="n">
        <v>261.9</v>
      </c>
      <c r="Y60" s="374" t="n">
        <v>1648.11</v>
      </c>
      <c r="Z60" s="373" t="n">
        <v>1648.11</v>
      </c>
      <c r="AB60" s="147" t="n">
        <v>2023</v>
      </c>
      <c r="AC60" s="372" t="n">
        <v>280.16</v>
      </c>
      <c r="AD60" s="373" t="n">
        <v>280.16</v>
      </c>
      <c r="AE60" s="374" t="n">
        <v>1763.02</v>
      </c>
      <c r="AF60" s="373" t="n">
        <v>1763.02</v>
      </c>
      <c r="AH60" s="8" t="n"/>
      <c r="AI60" s="251" t="n">
        <v>2023</v>
      </c>
      <c r="AJ60" s="373" t="n">
        <v>188.2</v>
      </c>
      <c r="AK60" s="374" t="n">
        <v>1184.32</v>
      </c>
      <c r="AL60" s="375" t="n"/>
      <c r="AM60" s="9" t="n"/>
      <c r="AN60" s="147" t="n">
        <v>2023</v>
      </c>
      <c r="AO60" s="372" t="n">
        <v>188.2</v>
      </c>
      <c r="AP60" s="373" t="n">
        <v>188.2</v>
      </c>
      <c r="AQ60" s="374" t="n">
        <v>1184.32</v>
      </c>
      <c r="AR60" s="373" t="n">
        <v>1184.32</v>
      </c>
      <c r="AT60" s="8" t="n"/>
      <c r="AU60" s="251" t="n">
        <v>2015</v>
      </c>
      <c r="AV60" s="372" t="n">
        <v>216.9</v>
      </c>
      <c r="AW60" s="376" t="n">
        <v>13300</v>
      </c>
      <c r="AX60" s="9" t="n"/>
      <c r="AZ60" s="250" t="n">
        <v>2023</v>
      </c>
      <c r="BA60" s="386" t="n">
        <v>33.17</v>
      </c>
      <c r="BB60" s="386" t="n">
        <v>35.47</v>
      </c>
      <c r="BC60" s="387" t="n">
        <v>211.36</v>
      </c>
      <c r="BD60" s="388" t="n">
        <v>208.76</v>
      </c>
      <c r="BE60" s="386" t="n">
        <v>223.22</v>
      </c>
      <c r="BF60" s="387" t="n">
        <v>1330.09</v>
      </c>
      <c r="BH60" s="379" t="n"/>
      <c r="BI60" s="379" t="n"/>
      <c r="BO60" s="147" t="n">
        <v>2023</v>
      </c>
      <c r="BP60" s="368" t="n">
        <v>70.95</v>
      </c>
      <c r="BQ60" s="368" t="n">
        <v>128.92</v>
      </c>
      <c r="BR60" s="369" t="n">
        <v>308.8</v>
      </c>
      <c r="BS60" s="370" t="n">
        <v>446.48</v>
      </c>
      <c r="BT60" s="368" t="n">
        <v>811.28</v>
      </c>
      <c r="BU60" s="369" t="n">
        <v>1943.25</v>
      </c>
      <c r="BW60" s="147" t="n">
        <v>2023</v>
      </c>
      <c r="BX60" s="372" t="n">
        <v>508.67</v>
      </c>
      <c r="BY60" s="372" t="n">
        <v>508.67</v>
      </c>
      <c r="BZ60" s="372" t="n">
        <v>70.95</v>
      </c>
      <c r="CA60" s="373" t="n">
        <v>70.95</v>
      </c>
      <c r="CB60" s="374" t="n">
        <v>3201.01</v>
      </c>
      <c r="CC60" s="372" t="n">
        <v>3201.01</v>
      </c>
      <c r="CD60" s="372" t="n">
        <v>446.48</v>
      </c>
      <c r="CE60" s="373" t="n">
        <v>446.48</v>
      </c>
    </row>
    <row r="61" ht="15" customHeight="1" thickBot="1">
      <c r="B61" s="186" t="n">
        <v>2024</v>
      </c>
      <c r="C61" s="383" t="n">
        <v>57.18</v>
      </c>
      <c r="D61" s="383" t="n">
        <v>499.54</v>
      </c>
      <c r="E61" s="384" t="n">
        <v>8.67</v>
      </c>
      <c r="F61" s="385" t="n">
        <v>359.83</v>
      </c>
      <c r="G61" s="383" t="n">
        <v>3143.56</v>
      </c>
      <c r="H61" s="384" t="n">
        <v>54.56</v>
      </c>
      <c r="I61" s="371" t="n"/>
      <c r="J61" s="235" t="n">
        <v>2024</v>
      </c>
      <c r="K61" s="372" t="n">
        <v>565.37</v>
      </c>
      <c r="L61" s="373" t="n">
        <v>565.37</v>
      </c>
      <c r="M61" s="374" t="n">
        <v>3557.82</v>
      </c>
      <c r="N61" s="373" t="n">
        <v>3557.82</v>
      </c>
      <c r="O61" s="380" t="n"/>
      <c r="P61" s="147" t="n">
        <v>2024</v>
      </c>
      <c r="Q61" s="368" t="n">
        <v>291.97</v>
      </c>
      <c r="R61" s="369" t="n">
        <v>273.4</v>
      </c>
      <c r="S61" s="370" t="n">
        <v>1837.34</v>
      </c>
      <c r="T61" s="369" t="n">
        <v>1720.48</v>
      </c>
      <c r="V61" s="147" t="n">
        <v>2024</v>
      </c>
      <c r="W61" s="372" t="n">
        <v>273.4</v>
      </c>
      <c r="X61" s="373" t="n">
        <v>273.4</v>
      </c>
      <c r="Y61" s="374" t="n">
        <v>1720.48</v>
      </c>
      <c r="Z61" s="373" t="n">
        <v>1720.48</v>
      </c>
      <c r="AB61" s="147" t="n">
        <v>2024</v>
      </c>
      <c r="AC61" s="372" t="n">
        <v>291.97</v>
      </c>
      <c r="AD61" s="373" t="n">
        <v>291.97</v>
      </c>
      <c r="AE61" s="374" t="n">
        <v>1837.34</v>
      </c>
      <c r="AF61" s="373" t="n">
        <v>1837.34</v>
      </c>
      <c r="AH61" s="8" t="n"/>
      <c r="AI61" s="251" t="n">
        <v>2024</v>
      </c>
      <c r="AJ61" s="373" t="n">
        <v>196.6</v>
      </c>
      <c r="AK61" s="374" t="n">
        <v>1237.18</v>
      </c>
      <c r="AL61" s="375" t="n"/>
      <c r="AM61" s="9" t="n"/>
      <c r="AN61" s="147" t="n">
        <v>2024</v>
      </c>
      <c r="AO61" s="372" t="n">
        <v>196.6</v>
      </c>
      <c r="AP61" s="373" t="n">
        <v>196.6</v>
      </c>
      <c r="AQ61" s="374" t="n">
        <v>1237.18</v>
      </c>
      <c r="AR61" s="373" t="n">
        <v>1237.18</v>
      </c>
      <c r="AT61" s="8" t="n"/>
      <c r="AU61" s="251" t="n">
        <v>2016</v>
      </c>
      <c r="AV61" s="372" t="n">
        <v>221</v>
      </c>
      <c r="AW61" s="376" t="n">
        <v>12443</v>
      </c>
      <c r="AX61" s="9" t="n"/>
      <c r="AZ61" s="151" t="n">
        <v>2024</v>
      </c>
      <c r="BA61" s="389" t="n">
        <v>36.6</v>
      </c>
      <c r="BB61" s="389" t="n">
        <v>37.15</v>
      </c>
      <c r="BC61" s="390" t="n">
        <v>218.22</v>
      </c>
      <c r="BD61" s="391" t="n">
        <v>230.32</v>
      </c>
      <c r="BE61" s="389" t="n">
        <v>233.78</v>
      </c>
      <c r="BF61" s="390" t="n">
        <v>1373.24</v>
      </c>
      <c r="BH61" s="379" t="n"/>
      <c r="BI61" s="379" t="n"/>
      <c r="BO61" s="147" t="n">
        <v>2024</v>
      </c>
      <c r="BP61" s="368" t="n">
        <v>76.28</v>
      </c>
      <c r="BQ61" s="368" t="n">
        <v>131.67</v>
      </c>
      <c r="BR61" s="369" t="n">
        <v>323.12</v>
      </c>
      <c r="BS61" s="370" t="n">
        <v>480.02</v>
      </c>
      <c r="BT61" s="368" t="n">
        <v>828.59</v>
      </c>
      <c r="BU61" s="369" t="n">
        <v>2033.36</v>
      </c>
      <c r="BW61" s="147" t="n">
        <v>2024</v>
      </c>
      <c r="BX61" s="372" t="n">
        <v>531.0700000000001</v>
      </c>
      <c r="BY61" s="372" t="n">
        <v>531.0700000000001</v>
      </c>
      <c r="BZ61" s="372" t="n">
        <v>76.28</v>
      </c>
      <c r="CA61" s="373" t="n">
        <v>76.28</v>
      </c>
      <c r="CB61" s="374" t="n">
        <v>3341.97</v>
      </c>
      <c r="CC61" s="372" t="n">
        <v>3341.97</v>
      </c>
      <c r="CD61" s="372" t="n">
        <v>480.02</v>
      </c>
      <c r="CE61" s="373" t="n">
        <v>480.02</v>
      </c>
    </row>
    <row r="62" ht="15" customHeight="1">
      <c r="B62" s="186" t="n">
        <v>2025</v>
      </c>
      <c r="C62" s="383" t="n">
        <v>60.84</v>
      </c>
      <c r="D62" s="383" t="n">
        <v>520.04</v>
      </c>
      <c r="E62" s="384" t="n">
        <v>8.93</v>
      </c>
      <c r="F62" s="385" t="n">
        <v>382.86</v>
      </c>
      <c r="G62" s="383" t="n">
        <v>3272.56</v>
      </c>
      <c r="H62" s="384" t="n">
        <v>56.2</v>
      </c>
      <c r="I62" s="371" t="n"/>
      <c r="J62" s="235" t="n">
        <v>2025</v>
      </c>
      <c r="K62" s="372" t="n">
        <v>589.9</v>
      </c>
      <c r="L62" s="373" t="n">
        <v>578.5599999999999</v>
      </c>
      <c r="M62" s="374" t="n">
        <v>3712.18</v>
      </c>
      <c r="N62" s="373" t="n">
        <v>3640.82</v>
      </c>
      <c r="O62" s="380" t="n"/>
      <c r="P62" s="147" t="n">
        <v>2025</v>
      </c>
      <c r="Q62" s="368" t="n">
        <v>309.43</v>
      </c>
      <c r="R62" s="369" t="n">
        <v>280.47</v>
      </c>
      <c r="S62" s="370" t="n">
        <v>1947.21</v>
      </c>
      <c r="T62" s="369" t="n">
        <v>1764.97</v>
      </c>
      <c r="V62" s="147" t="n">
        <v>2025</v>
      </c>
      <c r="W62" s="372" t="n">
        <v>280.47</v>
      </c>
      <c r="X62" s="373" t="n">
        <v>276.53</v>
      </c>
      <c r="Y62" s="374" t="n">
        <v>1764.97</v>
      </c>
      <c r="Z62" s="373" t="n">
        <v>1740.18</v>
      </c>
      <c r="AB62" s="147" t="n">
        <v>2025</v>
      </c>
      <c r="AC62" s="372" t="n">
        <v>309.43</v>
      </c>
      <c r="AD62" s="373" t="n">
        <v>302.04</v>
      </c>
      <c r="AE62" s="374" t="n">
        <v>1947.21</v>
      </c>
      <c r="AF62" s="373" t="n">
        <v>1900.71</v>
      </c>
      <c r="AH62" s="8" t="n"/>
      <c r="AI62" s="251" t="n">
        <v>2025</v>
      </c>
      <c r="AJ62" s="373" t="n">
        <v>198.52</v>
      </c>
      <c r="AK62" s="374" t="n">
        <v>1249.27</v>
      </c>
      <c r="AL62" s="375" t="n"/>
      <c r="AM62" s="9" t="n"/>
      <c r="AN62" s="147" t="n">
        <v>2025</v>
      </c>
      <c r="AO62" s="372" t="n">
        <v>198.52</v>
      </c>
      <c r="AP62" s="373" t="n">
        <v>197.4</v>
      </c>
      <c r="AQ62" s="374" t="n">
        <v>1249.27</v>
      </c>
      <c r="AR62" s="373" t="n">
        <v>1242.22</v>
      </c>
      <c r="AT62" s="8" t="n"/>
      <c r="AU62" s="251" t="n">
        <v>2017</v>
      </c>
      <c r="AV62" s="372" t="n">
        <v>248.3</v>
      </c>
      <c r="AW62" s="376" t="n">
        <v>12859</v>
      </c>
      <c r="AX62" s="9" t="n"/>
      <c r="AZ62" s="44" t="inlineStr">
        <is>
          <t>Any discrepancies are due to rounding.</t>
        </is>
      </c>
      <c r="BO62" s="147" t="n">
        <v>2025</v>
      </c>
      <c r="BP62" s="368" t="n">
        <v>76.33</v>
      </c>
      <c r="BQ62" s="368" t="n">
        <v>133.53</v>
      </c>
      <c r="BR62" s="369" t="n">
        <v>335.68</v>
      </c>
      <c r="BS62" s="370" t="n">
        <v>480.34</v>
      </c>
      <c r="BT62" s="368" t="n">
        <v>840.29</v>
      </c>
      <c r="BU62" s="369" t="n">
        <v>2112.4</v>
      </c>
      <c r="BW62" s="147" t="n">
        <v>2025</v>
      </c>
      <c r="BX62" s="372" t="n">
        <v>545.54</v>
      </c>
      <c r="BY62" s="372" t="n">
        <v>534.9</v>
      </c>
      <c r="BZ62" s="372" t="n">
        <v>76.33</v>
      </c>
      <c r="CA62" s="373" t="n">
        <v>75.23999999999999</v>
      </c>
      <c r="CB62" s="374" t="n">
        <v>3433.03</v>
      </c>
      <c r="CC62" s="372" t="n">
        <v>3366.07</v>
      </c>
      <c r="CD62" s="372" t="n">
        <v>480.34</v>
      </c>
      <c r="CE62" s="373" t="n">
        <v>473.48</v>
      </c>
    </row>
    <row r="63" ht="15" customHeight="1">
      <c r="B63" s="186" t="n">
        <v>2026</v>
      </c>
      <c r="C63" s="383" t="n">
        <v>59.12</v>
      </c>
      <c r="D63" s="383" t="n">
        <v>535.33</v>
      </c>
      <c r="E63" s="384" t="n">
        <v>9.130000000000001</v>
      </c>
      <c r="F63" s="385" t="n">
        <v>372.04</v>
      </c>
      <c r="G63" s="383" t="n">
        <v>3368.78</v>
      </c>
      <c r="H63" s="384" t="n">
        <v>57.45</v>
      </c>
      <c r="I63" s="371" t="n"/>
      <c r="J63" s="235" t="n">
        <v>2026</v>
      </c>
      <c r="K63" s="372" t="n">
        <v>604.03</v>
      </c>
      <c r="L63" s="373" t="n">
        <v>583.78</v>
      </c>
      <c r="M63" s="374" t="n">
        <v>3801.1</v>
      </c>
      <c r="N63" s="373" t="n">
        <v>3673.67</v>
      </c>
      <c r="O63" s="380" t="n"/>
      <c r="P63" s="147" t="n">
        <v>2026</v>
      </c>
      <c r="Q63" s="368" t="n">
        <v>323.42</v>
      </c>
      <c r="R63" s="369" t="n">
        <v>280.61</v>
      </c>
      <c r="S63" s="370" t="n">
        <v>2035.25</v>
      </c>
      <c r="T63" s="369" t="n">
        <v>1765.85</v>
      </c>
      <c r="V63" s="147" t="n">
        <v>2026</v>
      </c>
      <c r="W63" s="372" t="n">
        <v>280.61</v>
      </c>
      <c r="X63" s="373" t="n">
        <v>276.67</v>
      </c>
      <c r="Y63" s="374" t="n">
        <v>1765.85</v>
      </c>
      <c r="Z63" s="373" t="n">
        <v>1741.06</v>
      </c>
      <c r="AB63" s="147" t="n">
        <v>2026</v>
      </c>
      <c r="AC63" s="372" t="n">
        <v>323.42</v>
      </c>
      <c r="AD63" s="373" t="n">
        <v>307.11</v>
      </c>
      <c r="AE63" s="374" t="n">
        <v>2035.25</v>
      </c>
      <c r="AF63" s="373" t="n">
        <v>1932.61</v>
      </c>
      <c r="AH63" s="8" t="n"/>
      <c r="AI63" s="251" t="n">
        <v>2026</v>
      </c>
      <c r="AJ63" s="373" t="n">
        <v>199.64</v>
      </c>
      <c r="AK63" s="374" t="n">
        <v>1256.31</v>
      </c>
      <c r="AL63" s="375" t="n"/>
      <c r="AM63" s="9" t="n"/>
      <c r="AN63" s="147" t="n">
        <v>2026</v>
      </c>
      <c r="AO63" s="372" t="n">
        <v>199.64</v>
      </c>
      <c r="AP63" s="373" t="n">
        <v>198.52</v>
      </c>
      <c r="AQ63" s="374" t="n">
        <v>1256.31</v>
      </c>
      <c r="AR63" s="373" t="n">
        <v>1249.27</v>
      </c>
      <c r="AT63" s="8" t="n"/>
      <c r="AU63" s="251" t="n">
        <v>2018</v>
      </c>
      <c r="AV63" s="372" t="n">
        <v>250.4</v>
      </c>
      <c r="AW63" s="376" t="n">
        <v>12646</v>
      </c>
      <c r="AX63" s="9" t="n"/>
      <c r="AZ63" s="44" t="inlineStr">
        <is>
          <t>(103 m3/d) = thousand cubic metres per day.</t>
        </is>
      </c>
      <c r="BO63" s="147" t="n">
        <v>2026</v>
      </c>
      <c r="BP63" s="368" t="n">
        <v>76.37</v>
      </c>
      <c r="BQ63" s="368" t="n">
        <v>134.62</v>
      </c>
      <c r="BR63" s="369" t="n">
        <v>348.71</v>
      </c>
      <c r="BS63" s="370" t="n">
        <v>480.59</v>
      </c>
      <c r="BT63" s="368" t="n">
        <v>847.15</v>
      </c>
      <c r="BU63" s="369" t="n">
        <v>2194.4</v>
      </c>
      <c r="BW63" s="147" t="n">
        <v>2026</v>
      </c>
      <c r="BX63" s="372" t="n">
        <v>559.7</v>
      </c>
      <c r="BY63" s="372" t="n">
        <v>539.72</v>
      </c>
      <c r="BZ63" s="372" t="n">
        <v>76.37</v>
      </c>
      <c r="CA63" s="373" t="n">
        <v>76.34</v>
      </c>
      <c r="CB63" s="374" t="n">
        <v>3522.14</v>
      </c>
      <c r="CC63" s="372" t="n">
        <v>3396.4</v>
      </c>
      <c r="CD63" s="372" t="n">
        <v>480.59</v>
      </c>
      <c r="CE63" s="373" t="n">
        <v>480.4</v>
      </c>
    </row>
    <row r="64" ht="15" customHeight="1">
      <c r="B64" s="186" t="n">
        <v>2027</v>
      </c>
      <c r="C64" s="383" t="n">
        <v>59.93</v>
      </c>
      <c r="D64" s="383" t="n">
        <v>549.41</v>
      </c>
      <c r="E64" s="384" t="n">
        <v>9.140000000000001</v>
      </c>
      <c r="F64" s="385" t="n">
        <v>377.13</v>
      </c>
      <c r="G64" s="383" t="n">
        <v>3457.38</v>
      </c>
      <c r="H64" s="384" t="n">
        <v>57.52</v>
      </c>
      <c r="I64" s="371" t="n"/>
      <c r="J64" s="235" t="n">
        <v>2027</v>
      </c>
      <c r="K64" s="372" t="n">
        <v>618.61</v>
      </c>
      <c r="L64" s="373" t="n">
        <v>597.4400000000001</v>
      </c>
      <c r="M64" s="374" t="n">
        <v>3892.85</v>
      </c>
      <c r="N64" s="373" t="n">
        <v>3759.63</v>
      </c>
      <c r="O64" s="8" t="n"/>
      <c r="P64" s="147" t="n">
        <v>2027</v>
      </c>
      <c r="Q64" s="368" t="n">
        <v>338</v>
      </c>
      <c r="R64" s="369" t="n">
        <v>280.61</v>
      </c>
      <c r="S64" s="370" t="n">
        <v>2127</v>
      </c>
      <c r="T64" s="369" t="n">
        <v>1765.85</v>
      </c>
      <c r="V64" s="147" t="n">
        <v>2027</v>
      </c>
      <c r="W64" s="372" t="n">
        <v>280.61</v>
      </c>
      <c r="X64" s="373" t="n">
        <v>278.08</v>
      </c>
      <c r="Y64" s="374" t="n">
        <v>1765.85</v>
      </c>
      <c r="Z64" s="373" t="n">
        <v>1749.93</v>
      </c>
      <c r="AB64" s="147" t="n">
        <v>2027</v>
      </c>
      <c r="AC64" s="372" t="n">
        <v>338</v>
      </c>
      <c r="AD64" s="373" t="n">
        <v>319.36</v>
      </c>
      <c r="AE64" s="374" t="n">
        <v>2127</v>
      </c>
      <c r="AF64" s="373" t="n">
        <v>2009.7</v>
      </c>
      <c r="AH64" s="8" t="n"/>
      <c r="AI64" s="251" t="n">
        <v>2027</v>
      </c>
      <c r="AJ64" s="373" t="n">
        <v>200.24</v>
      </c>
      <c r="AK64" s="374" t="n">
        <v>1260.09</v>
      </c>
      <c r="AL64" s="375" t="n"/>
      <c r="AM64" s="9" t="n"/>
      <c r="AN64" s="147" t="n">
        <v>2027</v>
      </c>
      <c r="AO64" s="372" t="n">
        <v>200.24</v>
      </c>
      <c r="AP64" s="373" t="n">
        <v>199.12</v>
      </c>
      <c r="AQ64" s="374" t="n">
        <v>1260.09</v>
      </c>
      <c r="AR64" s="373" t="n">
        <v>1253.04</v>
      </c>
      <c r="AT64" s="8" t="n"/>
      <c r="AU64" s="251" t="n">
        <v>2019</v>
      </c>
      <c r="AV64" s="372" t="n">
        <v>246.22</v>
      </c>
      <c r="AW64" s="376" t="n">
        <v>11847</v>
      </c>
      <c r="AX64" s="9" t="n"/>
      <c r="AZ64" s="44" t="inlineStr">
        <is>
          <t>(103 bbl/d) = thousand barrels per day.</t>
        </is>
      </c>
      <c r="BA64" s="22" t="n"/>
      <c r="BO64" s="147" t="n">
        <v>2027</v>
      </c>
      <c r="BP64" s="368" t="n">
        <v>76.38</v>
      </c>
      <c r="BQ64" s="368" t="n">
        <v>135.2</v>
      </c>
      <c r="BR64" s="369" t="n">
        <v>364.08</v>
      </c>
      <c r="BS64" s="370" t="n">
        <v>480.65</v>
      </c>
      <c r="BT64" s="368" t="n">
        <v>850.8</v>
      </c>
      <c r="BU64" s="369" t="n">
        <v>2291.12</v>
      </c>
      <c r="BW64" s="147" t="n">
        <v>2027</v>
      </c>
      <c r="BX64" s="372" t="n">
        <v>575.66</v>
      </c>
      <c r="BY64" s="372" t="n">
        <v>552.34</v>
      </c>
      <c r="BZ64" s="372" t="n">
        <v>76.38</v>
      </c>
      <c r="CA64" s="373" t="n">
        <v>76.38</v>
      </c>
      <c r="CB64" s="374" t="n">
        <v>3622.57</v>
      </c>
      <c r="CC64" s="372" t="n">
        <v>3475.82</v>
      </c>
      <c r="CD64" s="372" t="n">
        <v>480.65</v>
      </c>
      <c r="CE64" s="373" t="n">
        <v>480.65</v>
      </c>
    </row>
    <row r="65" ht="15" customHeight="1">
      <c r="B65" s="186" t="n">
        <v>2028</v>
      </c>
      <c r="C65" s="383" t="n">
        <v>60.8</v>
      </c>
      <c r="D65" s="383" t="n">
        <v>556</v>
      </c>
      <c r="E65" s="384" t="n">
        <v>9.02</v>
      </c>
      <c r="F65" s="385" t="n">
        <v>382.61</v>
      </c>
      <c r="G65" s="383" t="n">
        <v>3498.85</v>
      </c>
      <c r="H65" s="384" t="n">
        <v>56.76</v>
      </c>
      <c r="I65" s="371" t="n"/>
      <c r="J65" s="235" t="n">
        <v>2028</v>
      </c>
      <c r="K65" s="372" t="n">
        <v>626.29</v>
      </c>
      <c r="L65" s="373" t="n">
        <v>609.8099999999999</v>
      </c>
      <c r="M65" s="374" t="n">
        <v>3941.18</v>
      </c>
      <c r="N65" s="373" t="n">
        <v>3837.47</v>
      </c>
      <c r="O65" s="8" t="n"/>
      <c r="P65" s="147" t="n">
        <v>2028</v>
      </c>
      <c r="Q65" s="368" t="n">
        <v>344.56</v>
      </c>
      <c r="R65" s="369" t="n">
        <v>281.73</v>
      </c>
      <c r="S65" s="370" t="n">
        <v>2168.28</v>
      </c>
      <c r="T65" s="369" t="n">
        <v>1772.9</v>
      </c>
      <c r="V65" s="147" t="n">
        <v>2028</v>
      </c>
      <c r="W65" s="372" t="n">
        <v>281.73</v>
      </c>
      <c r="X65" s="373" t="n">
        <v>279.67</v>
      </c>
      <c r="Y65" s="374" t="n">
        <v>1772.9</v>
      </c>
      <c r="Z65" s="373" t="n">
        <v>1759.94</v>
      </c>
      <c r="AB65" s="147" t="n">
        <v>2028</v>
      </c>
      <c r="AC65" s="372" t="n">
        <v>344.56</v>
      </c>
      <c r="AD65" s="373" t="n">
        <v>330.14</v>
      </c>
      <c r="AE65" s="374" t="n">
        <v>2168.28</v>
      </c>
      <c r="AF65" s="373" t="n">
        <v>2077.54</v>
      </c>
      <c r="AH65" s="8" t="n"/>
      <c r="AI65" s="251" t="n">
        <v>2028</v>
      </c>
      <c r="AJ65" s="373" t="n">
        <v>200.84</v>
      </c>
      <c r="AK65" s="374" t="n">
        <v>1263.87</v>
      </c>
      <c r="AL65" s="375" t="n"/>
      <c r="AM65" s="9" t="n"/>
      <c r="AN65" s="147" t="n">
        <v>2028</v>
      </c>
      <c r="AO65" s="372" t="n">
        <v>200.84</v>
      </c>
      <c r="AP65" s="373" t="n">
        <v>199.71</v>
      </c>
      <c r="AQ65" s="374" t="n">
        <v>1263.87</v>
      </c>
      <c r="AR65" s="373" t="n">
        <v>1256.76</v>
      </c>
      <c r="AT65" s="8" t="n"/>
      <c r="AU65" s="251" t="n">
        <v>2020</v>
      </c>
      <c r="AV65" s="372" t="n">
        <v>237.17</v>
      </c>
      <c r="AW65" s="376" t="n">
        <v>11177</v>
      </c>
      <c r="AX65" s="9" t="n"/>
      <c r="BA65" s="378" t="n"/>
      <c r="BB65" s="378" t="n"/>
      <c r="BC65" s="378" t="n"/>
      <c r="BO65" s="147" t="n">
        <v>2028</v>
      </c>
      <c r="BP65" s="368" t="n">
        <v>76.40000000000001</v>
      </c>
      <c r="BQ65" s="368" t="n">
        <v>135.79</v>
      </c>
      <c r="BR65" s="369" t="n">
        <v>368.86</v>
      </c>
      <c r="BS65" s="370" t="n">
        <v>480.78</v>
      </c>
      <c r="BT65" s="368" t="n">
        <v>854.51</v>
      </c>
      <c r="BU65" s="369" t="n">
        <v>2321.2</v>
      </c>
      <c r="BW65" s="147" t="n">
        <v>2028</v>
      </c>
      <c r="BX65" s="372" t="n">
        <v>581.05</v>
      </c>
      <c r="BY65" s="372" t="n">
        <v>563.98</v>
      </c>
      <c r="BZ65" s="372" t="n">
        <v>76.40000000000001</v>
      </c>
      <c r="CA65" s="373" t="n">
        <v>76.40000000000001</v>
      </c>
      <c r="CB65" s="374" t="n">
        <v>3656.49</v>
      </c>
      <c r="CC65" s="372" t="n">
        <v>3549.07</v>
      </c>
      <c r="CD65" s="372" t="n">
        <v>480.78</v>
      </c>
      <c r="CE65" s="373" t="n">
        <v>480.78</v>
      </c>
    </row>
    <row r="66" ht="15" customHeight="1">
      <c r="B66" s="186" t="n">
        <v>2029</v>
      </c>
      <c r="C66" s="383" t="n">
        <v>60.93</v>
      </c>
      <c r="D66" s="383" t="n">
        <v>561.24</v>
      </c>
      <c r="E66" s="384" t="n">
        <v>8.800000000000001</v>
      </c>
      <c r="F66" s="385" t="n">
        <v>383.43</v>
      </c>
      <c r="G66" s="383" t="n">
        <v>3531.83</v>
      </c>
      <c r="H66" s="384" t="n">
        <v>55.38</v>
      </c>
      <c r="I66" s="371" t="n"/>
      <c r="J66" s="235" t="n">
        <v>2029</v>
      </c>
      <c r="K66" s="372" t="n">
        <v>630.88</v>
      </c>
      <c r="L66" s="373" t="n">
        <v>617.3099999999999</v>
      </c>
      <c r="M66" s="374" t="n">
        <v>3970.07</v>
      </c>
      <c r="N66" s="373" t="n">
        <v>3884.67</v>
      </c>
      <c r="P66" s="186" t="n">
        <v>2029</v>
      </c>
      <c r="Q66" s="383" t="n">
        <v>347.51</v>
      </c>
      <c r="R66" s="384" t="n">
        <v>283.37</v>
      </c>
      <c r="S66" s="385" t="n">
        <v>2186.85</v>
      </c>
      <c r="T66" s="384" t="n">
        <v>1783.22</v>
      </c>
      <c r="V66" s="147" t="n">
        <v>2029</v>
      </c>
      <c r="W66" s="372" t="n">
        <v>283.37</v>
      </c>
      <c r="X66" s="373" t="n">
        <v>282.23</v>
      </c>
      <c r="Y66" s="374" t="n">
        <v>1783.22</v>
      </c>
      <c r="Z66" s="373" t="n">
        <v>1776.05</v>
      </c>
      <c r="AB66" s="147" t="n">
        <v>2029</v>
      </c>
      <c r="AC66" s="372" t="n">
        <v>347.51</v>
      </c>
      <c r="AD66" s="373" t="n">
        <v>335.08</v>
      </c>
      <c r="AE66" s="374" t="n">
        <v>2186.85</v>
      </c>
      <c r="AF66" s="373" t="n">
        <v>2108.62</v>
      </c>
      <c r="AH66" s="8" t="n"/>
      <c r="AI66" s="258" t="n">
        <v>2029</v>
      </c>
      <c r="AJ66" s="387" t="n">
        <v>201.44</v>
      </c>
      <c r="AK66" s="388" t="n">
        <v>1267.64</v>
      </c>
      <c r="AL66" s="375" t="n"/>
      <c r="AM66" s="9" t="n"/>
      <c r="AN66" s="147" t="n">
        <v>2029</v>
      </c>
      <c r="AO66" s="372" t="n">
        <v>201.44</v>
      </c>
      <c r="AP66" s="373" t="n">
        <v>200.31</v>
      </c>
      <c r="AQ66" s="374" t="n">
        <v>1267.64</v>
      </c>
      <c r="AR66" s="373" t="n">
        <v>1260.53</v>
      </c>
      <c r="AT66" s="8" t="n"/>
      <c r="AU66" s="251" t="n">
        <v>2021</v>
      </c>
      <c r="AV66" s="372" t="n">
        <v>264.74</v>
      </c>
      <c r="AW66" s="376" t="n">
        <v>11492</v>
      </c>
      <c r="AX66" s="9" t="n"/>
      <c r="BO66" s="147" t="n">
        <v>2029</v>
      </c>
      <c r="BP66" s="368" t="n">
        <v>76.41</v>
      </c>
      <c r="BQ66" s="368" t="n">
        <v>136.38</v>
      </c>
      <c r="BR66" s="369" t="n">
        <v>373.2</v>
      </c>
      <c r="BS66" s="370" t="n">
        <v>480.84</v>
      </c>
      <c r="BT66" s="368" t="n">
        <v>858.23</v>
      </c>
      <c r="BU66" s="369" t="n">
        <v>2348.51</v>
      </c>
      <c r="BW66" s="147" t="n">
        <v>2029</v>
      </c>
      <c r="BX66" s="372" t="n">
        <v>585.99</v>
      </c>
      <c r="BY66" s="372" t="n">
        <v>570.52</v>
      </c>
      <c r="BZ66" s="372" t="n">
        <v>76.41</v>
      </c>
      <c r="CA66" s="373" t="n">
        <v>76.41</v>
      </c>
      <c r="CB66" s="374" t="n">
        <v>3687.58</v>
      </c>
      <c r="CC66" s="372" t="n">
        <v>3590.22</v>
      </c>
      <c r="CD66" s="372" t="n">
        <v>480.84</v>
      </c>
      <c r="CE66" s="373" t="n">
        <v>480.84</v>
      </c>
    </row>
    <row r="67" ht="15" customHeight="1">
      <c r="B67" s="186" t="n">
        <v>2030</v>
      </c>
      <c r="C67" s="383" t="n">
        <v>61.41</v>
      </c>
      <c r="D67" s="383" t="n">
        <v>566.9400000000001</v>
      </c>
      <c r="E67" s="384" t="n">
        <v>8.550000000000001</v>
      </c>
      <c r="F67" s="385" t="n">
        <v>386.45</v>
      </c>
      <c r="G67" s="383" t="n">
        <v>3567.7</v>
      </c>
      <c r="H67" s="384" t="n">
        <v>53.8</v>
      </c>
      <c r="I67" s="371" t="n"/>
      <c r="J67" s="235" t="n">
        <v>2030</v>
      </c>
      <c r="K67" s="372" t="n">
        <v>636.42</v>
      </c>
      <c r="L67" s="373" t="n">
        <v>622.6799999999999</v>
      </c>
      <c r="M67" s="374" t="n">
        <v>4004.92</v>
      </c>
      <c r="N67" s="373" t="n">
        <v>3918.46</v>
      </c>
      <c r="P67" s="186" t="n">
        <v>2030</v>
      </c>
      <c r="Q67" s="383" t="n">
        <v>350.85</v>
      </c>
      <c r="R67" s="384" t="n">
        <v>285.57</v>
      </c>
      <c r="S67" s="385" t="n">
        <v>2207.86</v>
      </c>
      <c r="T67" s="384" t="n">
        <v>1797.06</v>
      </c>
      <c r="V67" s="147" t="n">
        <v>2030</v>
      </c>
      <c r="W67" s="372" t="n">
        <v>285.57</v>
      </c>
      <c r="X67" s="373" t="n">
        <v>284.28</v>
      </c>
      <c r="Y67" s="374" t="n">
        <v>1797.06</v>
      </c>
      <c r="Z67" s="373" t="n">
        <v>1788.95</v>
      </c>
      <c r="AB67" s="147" t="n">
        <v>2030</v>
      </c>
      <c r="AC67" s="372" t="n">
        <v>350.85</v>
      </c>
      <c r="AD67" s="373" t="n">
        <v>338.4</v>
      </c>
      <c r="AE67" s="374" t="n">
        <v>2207.86</v>
      </c>
      <c r="AF67" s="373" t="n">
        <v>2129.52</v>
      </c>
      <c r="AH67" s="8" t="n"/>
      <c r="AI67" s="258" t="n">
        <v>2030</v>
      </c>
      <c r="AJ67" s="387" t="n">
        <v>202.04</v>
      </c>
      <c r="AK67" s="388" t="n">
        <v>1271.42</v>
      </c>
      <c r="AL67" s="375" t="n"/>
      <c r="AM67" s="9" t="n"/>
      <c r="AN67" s="147" t="n">
        <v>2030</v>
      </c>
      <c r="AO67" s="372" t="n">
        <v>202.04</v>
      </c>
      <c r="AP67" s="373" t="n">
        <v>200.91</v>
      </c>
      <c r="AQ67" s="374" t="n">
        <v>1271.42</v>
      </c>
      <c r="AR67" s="373" t="n">
        <v>1264.31</v>
      </c>
      <c r="AT67" s="8" t="n"/>
      <c r="AU67" s="251" t="n">
        <v>2022</v>
      </c>
      <c r="AV67" s="372" t="n">
        <v>270.04</v>
      </c>
      <c r="AW67" s="376" t="n">
        <v>11830</v>
      </c>
      <c r="AX67" s="9" t="n"/>
      <c r="BO67" s="147" t="n">
        <v>2030</v>
      </c>
      <c r="BP67" s="368" t="n">
        <v>76.42</v>
      </c>
      <c r="BQ67" s="368" t="n">
        <v>136.98</v>
      </c>
      <c r="BR67" s="369" t="n">
        <v>378.31</v>
      </c>
      <c r="BS67" s="370" t="n">
        <v>480.9</v>
      </c>
      <c r="BT67" s="368" t="n">
        <v>862</v>
      </c>
      <c r="BU67" s="369" t="n">
        <v>2380.67</v>
      </c>
      <c r="BW67" s="147" t="n">
        <v>2030</v>
      </c>
      <c r="BX67" s="372" t="n">
        <v>591.71</v>
      </c>
      <c r="BY67" s="372" t="n">
        <v>575.95</v>
      </c>
      <c r="BZ67" s="372" t="n">
        <v>76.42</v>
      </c>
      <c r="CA67" s="373" t="n">
        <v>76.42</v>
      </c>
      <c r="CB67" s="374" t="n">
        <v>3723.57</v>
      </c>
      <c r="CC67" s="372" t="n">
        <v>3624.39</v>
      </c>
      <c r="CD67" s="372" t="n">
        <v>480.9</v>
      </c>
      <c r="CE67" s="373" t="n">
        <v>480.9</v>
      </c>
    </row>
    <row r="68" ht="15" customHeight="1">
      <c r="B68" s="186" t="n">
        <v>2031</v>
      </c>
      <c r="C68" s="383" t="n">
        <v>60.94</v>
      </c>
      <c r="D68" s="383" t="n">
        <v>569.9</v>
      </c>
      <c r="E68" s="384" t="n">
        <v>8.300000000000001</v>
      </c>
      <c r="F68" s="385" t="n">
        <v>383.49</v>
      </c>
      <c r="G68" s="383" t="n">
        <v>3586.32</v>
      </c>
      <c r="H68" s="384" t="n">
        <v>52.23</v>
      </c>
      <c r="I68" s="371" t="n"/>
      <c r="J68" s="235" t="n">
        <v>2031</v>
      </c>
      <c r="K68" s="372" t="n">
        <v>639.37</v>
      </c>
      <c r="L68" s="373" t="n">
        <v>625.6900000000001</v>
      </c>
      <c r="M68" s="374" t="n">
        <v>4023.49</v>
      </c>
      <c r="N68" s="373" t="n">
        <v>3937.4</v>
      </c>
      <c r="P68" s="186" t="n">
        <v>2031</v>
      </c>
      <c r="Q68" s="383" t="n">
        <v>352.09</v>
      </c>
      <c r="R68" s="384" t="n">
        <v>287.28</v>
      </c>
      <c r="S68" s="385" t="n">
        <v>2215.67</v>
      </c>
      <c r="T68" s="384" t="n">
        <v>1807.82</v>
      </c>
      <c r="V68" s="147" t="n">
        <v>2031</v>
      </c>
      <c r="W68" s="372" t="n">
        <v>287.28</v>
      </c>
      <c r="X68" s="373" t="n">
        <v>285.85</v>
      </c>
      <c r="Y68" s="374" t="n">
        <v>1807.82</v>
      </c>
      <c r="Z68" s="373" t="n">
        <v>1798.83</v>
      </c>
      <c r="AB68" s="147" t="n">
        <v>2031</v>
      </c>
      <c r="AC68" s="372" t="n">
        <v>352.09</v>
      </c>
      <c r="AD68" s="373" t="n">
        <v>339.84</v>
      </c>
      <c r="AE68" s="374" t="n">
        <v>2215.67</v>
      </c>
      <c r="AF68" s="373" t="n">
        <v>2138.58</v>
      </c>
      <c r="AH68" s="8" t="n"/>
      <c r="AI68" s="258" t="n">
        <v>2031</v>
      </c>
      <c r="AJ68" s="387" t="n">
        <v>202.65</v>
      </c>
      <c r="AK68" s="388" t="n">
        <v>1275.26</v>
      </c>
      <c r="AL68" s="375" t="n"/>
      <c r="AM68" s="9" t="n"/>
      <c r="AN68" s="147" t="n">
        <v>2031</v>
      </c>
      <c r="AO68" s="372" t="n">
        <v>202.65</v>
      </c>
      <c r="AP68" s="373" t="n">
        <v>201.52</v>
      </c>
      <c r="AQ68" s="374" t="n">
        <v>1275.26</v>
      </c>
      <c r="AR68" s="373" t="n">
        <v>1268.15</v>
      </c>
      <c r="AT68" s="8" t="n"/>
      <c r="AU68" s="251" t="n">
        <v>2023</v>
      </c>
      <c r="AV68" s="372" t="n">
        <v>280.16</v>
      </c>
      <c r="AW68" s="376" t="n">
        <v>10368</v>
      </c>
      <c r="AX68" s="9" t="n"/>
      <c r="BO68" s="147" t="n">
        <v>2031</v>
      </c>
      <c r="BP68" s="368" t="n">
        <v>76.43000000000001</v>
      </c>
      <c r="BQ68" s="368" t="n">
        <v>137.57</v>
      </c>
      <c r="BR68" s="369" t="n">
        <v>379.19</v>
      </c>
      <c r="BS68" s="370" t="n">
        <v>480.97</v>
      </c>
      <c r="BT68" s="368" t="n">
        <v>865.71</v>
      </c>
      <c r="BU68" s="369" t="n">
        <v>2386.2</v>
      </c>
      <c r="BW68" s="147" t="n">
        <v>2031</v>
      </c>
      <c r="BX68" s="372" t="n">
        <v>593.1900000000001</v>
      </c>
      <c r="BY68" s="372" t="n">
        <v>579.02</v>
      </c>
      <c r="BZ68" s="372" t="n">
        <v>76.43000000000001</v>
      </c>
      <c r="CA68" s="373" t="n">
        <v>76.43000000000001</v>
      </c>
      <c r="CB68" s="374" t="n">
        <v>3732.89</v>
      </c>
      <c r="CC68" s="372" t="n">
        <v>3643.72</v>
      </c>
      <c r="CD68" s="372" t="n">
        <v>480.97</v>
      </c>
      <c r="CE68" s="373" t="n">
        <v>480.97</v>
      </c>
    </row>
    <row r="69" ht="15" customHeight="1" thickBot="1">
      <c r="B69" s="186" t="n">
        <v>2032</v>
      </c>
      <c r="C69" s="383" t="n">
        <v>60.47</v>
      </c>
      <c r="D69" s="383" t="n">
        <v>573.6799999999999</v>
      </c>
      <c r="E69" s="384" t="n">
        <v>8.029999999999999</v>
      </c>
      <c r="F69" s="385" t="n">
        <v>380.53</v>
      </c>
      <c r="G69" s="383" t="n">
        <v>3610.11</v>
      </c>
      <c r="H69" s="384" t="n">
        <v>50.53</v>
      </c>
      <c r="I69" s="371" t="n"/>
      <c r="J69" s="235" t="n">
        <v>2032</v>
      </c>
      <c r="K69" s="372" t="n">
        <v>642.23</v>
      </c>
      <c r="L69" s="373" t="n">
        <v>630.37</v>
      </c>
      <c r="M69" s="374" t="n">
        <v>4041.49</v>
      </c>
      <c r="N69" s="373" t="n">
        <v>3966.86</v>
      </c>
      <c r="P69" s="186" t="n">
        <v>2032</v>
      </c>
      <c r="Q69" s="383" t="n">
        <v>354.12</v>
      </c>
      <c r="R69" s="384" t="n">
        <v>288.11</v>
      </c>
      <c r="S69" s="385" t="n">
        <v>2228.44</v>
      </c>
      <c r="T69" s="384" t="n">
        <v>1813.05</v>
      </c>
      <c r="V69" s="147" t="n">
        <v>2032</v>
      </c>
      <c r="W69" s="372" t="n">
        <v>288.11</v>
      </c>
      <c r="X69" s="373" t="n">
        <v>286.63</v>
      </c>
      <c r="Y69" s="374" t="n">
        <v>1813.05</v>
      </c>
      <c r="Z69" s="373" t="n">
        <v>1803.73</v>
      </c>
      <c r="AB69" s="147" t="n">
        <v>2032</v>
      </c>
      <c r="AC69" s="372" t="n">
        <v>354.12</v>
      </c>
      <c r="AD69" s="373" t="n">
        <v>343.74</v>
      </c>
      <c r="AE69" s="374" t="n">
        <v>2228.44</v>
      </c>
      <c r="AF69" s="373" t="n">
        <v>2163.12</v>
      </c>
      <c r="AH69" s="8" t="n"/>
      <c r="AI69" s="258" t="n">
        <v>2032</v>
      </c>
      <c r="AJ69" s="387" t="n">
        <v>203.26</v>
      </c>
      <c r="AK69" s="388" t="n">
        <v>1279.09</v>
      </c>
      <c r="AL69" s="375" t="n"/>
      <c r="AM69" s="9" t="n"/>
      <c r="AN69" s="147" t="n">
        <v>2032</v>
      </c>
      <c r="AO69" s="372" t="n">
        <v>203.26</v>
      </c>
      <c r="AP69" s="373" t="n">
        <v>202.12</v>
      </c>
      <c r="AQ69" s="374" t="n">
        <v>1279.09</v>
      </c>
      <c r="AR69" s="373" t="n">
        <v>1271.92</v>
      </c>
      <c r="AT69" s="26" t="n"/>
      <c r="AU69" s="155" t="n">
        <v>2024</v>
      </c>
      <c r="AV69" s="389" t="n">
        <v>291.97</v>
      </c>
      <c r="AW69" s="377" t="n">
        <v>10737</v>
      </c>
      <c r="AX69" s="27" t="n"/>
      <c r="BO69" s="147" t="n">
        <v>2032</v>
      </c>
      <c r="BP69" s="368" t="n">
        <v>76.44</v>
      </c>
      <c r="BQ69" s="368" t="n">
        <v>138.17</v>
      </c>
      <c r="BR69" s="369" t="n">
        <v>380.04</v>
      </c>
      <c r="BS69" s="370" t="n">
        <v>481.03</v>
      </c>
      <c r="BT69" s="368" t="n">
        <v>869.49</v>
      </c>
      <c r="BU69" s="369" t="n">
        <v>2391.55</v>
      </c>
      <c r="BW69" s="147" t="n">
        <v>2032</v>
      </c>
      <c r="BX69" s="372" t="n">
        <v>594.65</v>
      </c>
      <c r="BY69" s="372" t="n">
        <v>583.77</v>
      </c>
      <c r="BZ69" s="372" t="n">
        <v>76.44</v>
      </c>
      <c r="CA69" s="373" t="n">
        <v>76.44</v>
      </c>
      <c r="CB69" s="374" t="n">
        <v>3742.07</v>
      </c>
      <c r="CC69" s="372" t="n">
        <v>3673.61</v>
      </c>
      <c r="CD69" s="372" t="n">
        <v>481.03</v>
      </c>
      <c r="CE69" s="373" t="n">
        <v>481.03</v>
      </c>
    </row>
    <row r="70" ht="15" customHeight="1">
      <c r="B70" s="186" t="n">
        <v>2033</v>
      </c>
      <c r="C70" s="383" t="n">
        <v>60.04</v>
      </c>
      <c r="D70" s="383" t="n">
        <v>575.29</v>
      </c>
      <c r="E70" s="384" t="n">
        <v>7.74</v>
      </c>
      <c r="F70" s="385" t="n">
        <v>377.83</v>
      </c>
      <c r="G70" s="383" t="n">
        <v>3620.24</v>
      </c>
      <c r="H70" s="384" t="n">
        <v>48.71</v>
      </c>
      <c r="I70" s="371" t="n"/>
      <c r="J70" s="235" t="n">
        <v>2033</v>
      </c>
      <c r="K70" s="372" t="n">
        <v>643</v>
      </c>
      <c r="L70" s="373" t="n">
        <v>632.55</v>
      </c>
      <c r="M70" s="374" t="n">
        <v>4046.33</v>
      </c>
      <c r="N70" s="373" t="n">
        <v>3980.57</v>
      </c>
      <c r="P70" s="186" t="n">
        <v>2033</v>
      </c>
      <c r="Q70" s="383" t="n">
        <v>354.56</v>
      </c>
      <c r="R70" s="384" t="n">
        <v>288.44</v>
      </c>
      <c r="S70" s="385" t="n">
        <v>2231.21</v>
      </c>
      <c r="T70" s="384" t="n">
        <v>1815.12</v>
      </c>
      <c r="V70" s="147" t="n">
        <v>2033</v>
      </c>
      <c r="W70" s="372" t="n">
        <v>288.44</v>
      </c>
      <c r="X70" s="373" t="n">
        <v>286.95</v>
      </c>
      <c r="Y70" s="374" t="n">
        <v>1815.12</v>
      </c>
      <c r="Z70" s="373" t="n">
        <v>1805.75</v>
      </c>
      <c r="AB70" s="147" t="n">
        <v>2033</v>
      </c>
      <c r="AC70" s="372" t="n">
        <v>354.56</v>
      </c>
      <c r="AD70" s="373" t="n">
        <v>345.6</v>
      </c>
      <c r="AE70" s="374" t="n">
        <v>2231.21</v>
      </c>
      <c r="AF70" s="373" t="n">
        <v>2174.83</v>
      </c>
      <c r="AH70" s="8" t="n"/>
      <c r="AI70" s="258" t="n">
        <v>2033</v>
      </c>
      <c r="AJ70" s="387" t="n">
        <v>203.87</v>
      </c>
      <c r="AK70" s="388" t="n">
        <v>1282.93</v>
      </c>
      <c r="AL70" s="375" t="n"/>
      <c r="AM70" s="9" t="n"/>
      <c r="AN70" s="147" t="n">
        <v>2033</v>
      </c>
      <c r="AO70" s="372" t="n">
        <v>203.87</v>
      </c>
      <c r="AP70" s="373" t="n">
        <v>202.73</v>
      </c>
      <c r="AQ70" s="374" t="n">
        <v>1282.93</v>
      </c>
      <c r="AR70" s="373" t="n">
        <v>1275.76</v>
      </c>
      <c r="AU70" s="44" t="inlineStr">
        <is>
          <t>Any discrepancies are due to rounding.</t>
        </is>
      </c>
      <c r="BO70" s="147" t="n">
        <v>2033</v>
      </c>
      <c r="BP70" s="368" t="n">
        <v>76.45</v>
      </c>
      <c r="BQ70" s="368" t="n">
        <v>138.76</v>
      </c>
      <c r="BR70" s="369" t="n">
        <v>377.49</v>
      </c>
      <c r="BS70" s="370" t="n">
        <v>481.09</v>
      </c>
      <c r="BT70" s="368" t="n">
        <v>873.2</v>
      </c>
      <c r="BU70" s="369" t="n">
        <v>2375.51</v>
      </c>
      <c r="BW70" s="147" t="n">
        <v>2033</v>
      </c>
      <c r="BX70" s="372" t="n">
        <v>592.7</v>
      </c>
      <c r="BY70" s="372" t="n">
        <v>586.01</v>
      </c>
      <c r="BZ70" s="372" t="n">
        <v>76.45</v>
      </c>
      <c r="CA70" s="373" t="n">
        <v>76.45</v>
      </c>
      <c r="CB70" s="374" t="n">
        <v>3729.8</v>
      </c>
      <c r="CC70" s="372" t="n">
        <v>3687.7</v>
      </c>
      <c r="CD70" s="372" t="n">
        <v>481.09</v>
      </c>
      <c r="CE70" s="373" t="n">
        <v>481.09</v>
      </c>
    </row>
    <row r="71" ht="15" customHeight="1" thickBot="1">
      <c r="B71" s="151" t="n">
        <v>2034</v>
      </c>
      <c r="C71" s="389" t="n">
        <v>59.63</v>
      </c>
      <c r="D71" s="389" t="n">
        <v>578.34</v>
      </c>
      <c r="E71" s="390" t="n">
        <v>7.49</v>
      </c>
      <c r="F71" s="391" t="n">
        <v>375.25</v>
      </c>
      <c r="G71" s="389" t="n">
        <v>3639.44</v>
      </c>
      <c r="H71" s="390" t="n">
        <v>47.13</v>
      </c>
      <c r="I71" s="371" t="n"/>
      <c r="J71" s="238" t="n">
        <v>2034</v>
      </c>
      <c r="K71" s="392" t="n">
        <v>645.26</v>
      </c>
      <c r="L71" s="393" t="n">
        <v>633.89</v>
      </c>
      <c r="M71" s="394" t="n">
        <v>4060.56</v>
      </c>
      <c r="N71" s="393" t="n">
        <v>3989.01</v>
      </c>
      <c r="P71" s="151" t="n">
        <v>2034</v>
      </c>
      <c r="Q71" s="389" t="n">
        <v>356.5</v>
      </c>
      <c r="R71" s="390" t="n">
        <v>288.76</v>
      </c>
      <c r="S71" s="391" t="n">
        <v>2243.42</v>
      </c>
      <c r="T71" s="390" t="n">
        <v>1817.14</v>
      </c>
      <c r="V71" s="151" t="n">
        <v>2034</v>
      </c>
      <c r="W71" s="389" t="n">
        <v>288.76</v>
      </c>
      <c r="X71" s="390" t="n">
        <v>287.28</v>
      </c>
      <c r="Y71" s="391" t="n">
        <v>1817.14</v>
      </c>
      <c r="Z71" s="390" t="n">
        <v>1807.82</v>
      </c>
      <c r="AB71" s="151" t="n">
        <v>2034</v>
      </c>
      <c r="AC71" s="389" t="n">
        <v>356.5</v>
      </c>
      <c r="AD71" s="390" t="n">
        <v>346.61</v>
      </c>
      <c r="AE71" s="391" t="n">
        <v>2243.42</v>
      </c>
      <c r="AF71" s="390" t="n">
        <v>2181.18</v>
      </c>
      <c r="AH71" s="26" t="n"/>
      <c r="AI71" s="155" t="n">
        <v>2034</v>
      </c>
      <c r="AJ71" s="390" t="n">
        <v>204.48</v>
      </c>
      <c r="AK71" s="391" t="n">
        <v>1286.77</v>
      </c>
      <c r="AL71" s="395" t="n"/>
      <c r="AM71" s="9" t="n"/>
      <c r="AN71" s="151" t="n">
        <v>2034</v>
      </c>
      <c r="AO71" s="389" t="n">
        <v>204.48</v>
      </c>
      <c r="AP71" s="390" t="n">
        <v>203.34</v>
      </c>
      <c r="AQ71" s="391" t="n">
        <v>1286.77</v>
      </c>
      <c r="AR71" s="390" t="n">
        <v>1279.6</v>
      </c>
      <c r="AU71" s="44" t="inlineStr">
        <is>
          <t>Note: The wells placed on production include legs and recompletions.</t>
        </is>
      </c>
      <c r="BO71" s="151" t="n">
        <v>2034</v>
      </c>
      <c r="BP71" s="389" t="n">
        <v>76.47</v>
      </c>
      <c r="BQ71" s="389" t="n">
        <v>139.36</v>
      </c>
      <c r="BR71" s="390" t="n">
        <v>375.38</v>
      </c>
      <c r="BS71" s="391" t="n">
        <v>481.22</v>
      </c>
      <c r="BT71" s="389" t="n">
        <v>876.98</v>
      </c>
      <c r="BU71" s="390" t="n">
        <v>2362.23</v>
      </c>
      <c r="BW71" s="151" t="n">
        <v>2034</v>
      </c>
      <c r="BX71" s="389" t="n">
        <v>591.21</v>
      </c>
      <c r="BY71" s="389" t="n">
        <v>587.65</v>
      </c>
      <c r="BZ71" s="389" t="n">
        <v>76.47</v>
      </c>
      <c r="CA71" s="390" t="n">
        <v>76.47</v>
      </c>
      <c r="CB71" s="391" t="n">
        <v>3720.43</v>
      </c>
      <c r="CC71" s="389" t="n">
        <v>3698.02</v>
      </c>
      <c r="CD71" s="389" t="n">
        <v>481.22</v>
      </c>
      <c r="CE71" s="390" t="n">
        <v>481.22</v>
      </c>
    </row>
    <row r="72" ht="15" customHeight="1">
      <c r="B72" s="44" t="inlineStr">
        <is>
          <t>Any discrepancies are due to rounding.</t>
        </is>
      </c>
      <c r="F72" s="378" t="n"/>
      <c r="G72" s="378" t="n"/>
      <c r="H72" s="378" t="n"/>
      <c r="I72" s="378" t="n"/>
      <c r="J72" s="44" t="inlineStr">
        <is>
          <t>Any discrepancies are due to rounding.</t>
        </is>
      </c>
      <c r="K72" s="378" t="n"/>
      <c r="L72" s="378" t="n"/>
      <c r="M72" s="378" t="n"/>
      <c r="N72" s="378" t="n"/>
      <c r="P72" s="44" t="inlineStr">
        <is>
          <t>Any discrepancies are due to rounding.</t>
        </is>
      </c>
      <c r="V72" s="44" t="inlineStr">
        <is>
          <t>Any discrepancies are due to rounding.</t>
        </is>
      </c>
      <c r="AB72" s="44" t="inlineStr">
        <is>
          <t>Any discrepancies are due to rounding.</t>
        </is>
      </c>
      <c r="AI72" s="44" t="inlineStr">
        <is>
          <t>Any discrepancies are due to rounding.</t>
        </is>
      </c>
      <c r="AN72" s="44" t="inlineStr">
        <is>
          <t>Any discrepancies are due to rounding.</t>
        </is>
      </c>
      <c r="AU72" s="44" t="inlineStr">
        <is>
          <t>(103 m3/d) = thousand cubic metres per day.</t>
        </is>
      </c>
      <c r="BO72" s="44" t="inlineStr">
        <is>
          <t>Any discrepancies are due to rounding.</t>
        </is>
      </c>
      <c r="BW72" s="44" t="inlineStr">
        <is>
          <t>Any discrepancies are due to rounding.</t>
        </is>
      </c>
    </row>
    <row r="73" ht="15" customHeight="1">
      <c r="B73" s="44" t="inlineStr">
        <is>
          <t>(103 m3/d) = thousand cubic metres per day.</t>
        </is>
      </c>
      <c r="F73" s="378" t="n"/>
      <c r="G73" s="378" t="n"/>
      <c r="H73" s="378" t="n"/>
      <c r="I73" s="378" t="n"/>
      <c r="J73" s="44" t="inlineStr">
        <is>
          <t>(103 m3/d) = thousand cubic metres per day.</t>
        </is>
      </c>
      <c r="K73" s="378" t="n"/>
      <c r="L73" s="378" t="n"/>
      <c r="M73" s="378" t="n"/>
      <c r="N73" s="378" t="n"/>
      <c r="P73" s="44" t="inlineStr">
        <is>
          <t>(103 m3/d) = thousand cubic metres per day.</t>
        </is>
      </c>
      <c r="V73" s="44" t="inlineStr">
        <is>
          <t>(103 m3/d) = thousand cubic metres per day.</t>
        </is>
      </c>
      <c r="AB73" s="44" t="inlineStr">
        <is>
          <t>(103 m3/d) = thousand cubic metres per day.</t>
        </is>
      </c>
      <c r="AI73" s="44" t="inlineStr">
        <is>
          <t>(103 m3/d) = thousand cubic metres per day.</t>
        </is>
      </c>
      <c r="AN73" s="44" t="inlineStr">
        <is>
          <t>(103 m3/d) = thousand cubic metres per day.</t>
        </is>
      </c>
      <c r="BO73" s="44" t="inlineStr">
        <is>
          <t>(103 m3/d) = thousand cubic metres per day.</t>
        </is>
      </c>
      <c r="BW73" s="44" t="inlineStr">
        <is>
          <t>(103 m3/d) = thousand cubic metres per day.</t>
        </is>
      </c>
    </row>
    <row r="74" ht="15" customHeight="1">
      <c r="B74" s="44" t="inlineStr">
        <is>
          <t>(103 bbl/d) = thousand barrels per day.</t>
        </is>
      </c>
      <c r="F74" s="378" t="n"/>
      <c r="G74" s="378" t="n"/>
      <c r="H74" s="378" t="n"/>
      <c r="I74" s="378" t="n"/>
      <c r="J74" s="44" t="inlineStr">
        <is>
          <t>(103 bbl/d) = thousand barrels per day.</t>
        </is>
      </c>
      <c r="K74" s="378" t="n"/>
      <c r="L74" s="378" t="n"/>
      <c r="M74" s="378" t="n"/>
      <c r="N74" s="378" t="n"/>
      <c r="P74" s="44" t="inlineStr">
        <is>
          <t>(103 bbl/d) = thousand barrels per day.</t>
        </is>
      </c>
      <c r="V74" s="44" t="inlineStr">
        <is>
          <t>(103 bbl/d) = thousand barrels per day.</t>
        </is>
      </c>
      <c r="AB74" s="44" t="inlineStr">
        <is>
          <t>(103 bbl/d) = thousand barrels per day.</t>
        </is>
      </c>
      <c r="AI74" s="44" t="inlineStr">
        <is>
          <t>(103 bbl/d) = thousand barrels per day.</t>
        </is>
      </c>
      <c r="AN74" s="44" t="inlineStr">
        <is>
          <t>(103 bbl/d) = thousand barrels per day.</t>
        </is>
      </c>
      <c r="BO74" s="44" t="inlineStr">
        <is>
          <t>(103 bbl/d) = thousand barrels per day.</t>
        </is>
      </c>
      <c r="BW74" s="44" t="inlineStr">
        <is>
          <t>(103 bbl/d) = thousand barrels per day.</t>
        </is>
      </c>
    </row>
    <row r="75" ht="15" customHeight="1">
      <c r="F75" s="378" t="n"/>
      <c r="G75" s="378" t="n"/>
      <c r="H75" s="378" t="n"/>
      <c r="I75" s="378" t="n"/>
      <c r="J75" s="378" t="n"/>
      <c r="K75" s="378" t="n"/>
      <c r="L75" s="378" t="n"/>
      <c r="M75" s="378" t="n"/>
      <c r="N75" s="378" t="n"/>
    </row>
    <row r="76" ht="15" customHeight="1">
      <c r="F76" s="378" t="n"/>
      <c r="G76" s="378" t="n"/>
      <c r="H76" s="378" t="n"/>
      <c r="I76" s="378" t="n"/>
      <c r="J76" s="378" t="n"/>
      <c r="K76" s="378" t="n"/>
      <c r="L76" s="378" t="n"/>
      <c r="M76" s="378" t="n"/>
      <c r="N76" s="378" t="n"/>
    </row>
    <row r="77" ht="15" customHeight="1">
      <c r="BP77" s="378" t="n"/>
    </row>
    <row r="78" ht="15" customHeight="1">
      <c r="BP78" s="378" t="n"/>
    </row>
    <row r="79" ht="15" customHeight="1">
      <c r="BP79" s="378" t="n"/>
    </row>
    <row r="80" ht="15" customHeight="1">
      <c r="BP80" s="378" t="n"/>
      <c r="BX80" s="378" t="n"/>
      <c r="BY80" s="378" t="n"/>
      <c r="BZ80" s="378" t="n"/>
      <c r="CA80" s="378" t="n"/>
      <c r="CB80" s="378" t="n"/>
      <c r="CC80" s="378" t="n"/>
      <c r="CD80" s="378" t="n"/>
      <c r="CE80" s="378" t="n"/>
    </row>
    <row r="81" ht="15" customHeight="1">
      <c r="BP81" s="378" t="n"/>
      <c r="BX81" s="378" t="n"/>
      <c r="BY81" s="378" t="n"/>
      <c r="BZ81" s="378" t="n"/>
      <c r="CA81" s="378" t="n"/>
      <c r="CB81" s="378" t="n"/>
      <c r="CC81" s="378" t="n"/>
      <c r="CD81" s="378" t="n"/>
      <c r="CE81" s="378" t="n"/>
    </row>
    <row r="82" ht="15" customHeight="1">
      <c r="BP82" s="378" t="n"/>
      <c r="BX82" s="378" t="n"/>
      <c r="BY82" s="378" t="n"/>
      <c r="BZ82" s="378" t="n"/>
      <c r="CA82" s="378" t="n"/>
      <c r="CB82" s="378" t="n"/>
      <c r="CC82" s="378" t="n"/>
      <c r="CD82" s="378" t="n"/>
      <c r="CE82" s="378" t="n"/>
    </row>
    <row r="83" ht="15" customHeight="1">
      <c r="BP83" s="378" t="n"/>
      <c r="BX83" s="378" t="n"/>
      <c r="BY83" s="378" t="n"/>
      <c r="BZ83" s="378" t="n"/>
      <c r="CA83" s="378" t="n"/>
      <c r="CB83" s="378" t="n"/>
      <c r="CC83" s="378" t="n"/>
      <c r="CD83" s="378" t="n"/>
      <c r="CE83" s="378" t="n"/>
    </row>
    <row r="84" ht="15" customHeight="1">
      <c r="BP84" s="378" t="n"/>
      <c r="BX84" s="378" t="n"/>
      <c r="BY84" s="378" t="n"/>
      <c r="BZ84" s="378" t="n"/>
      <c r="CA84" s="378" t="n"/>
      <c r="CB84" s="378" t="n"/>
      <c r="CC84" s="378" t="n"/>
      <c r="CD84" s="378" t="n"/>
      <c r="CE84" s="378" t="n"/>
    </row>
    <row r="85" ht="15" customHeight="1">
      <c r="BP85" s="378" t="n"/>
      <c r="BX85" s="378" t="n"/>
      <c r="BY85" s="378" t="n"/>
      <c r="BZ85" s="378" t="n"/>
      <c r="CA85" s="378" t="n"/>
      <c r="CB85" s="378" t="n"/>
      <c r="CC85" s="378" t="n"/>
      <c r="CD85" s="378" t="n"/>
      <c r="CE85" s="378" t="n"/>
    </row>
    <row r="86" ht="15" customHeight="1">
      <c r="BP86" s="378" t="n"/>
      <c r="BX86" s="378" t="n"/>
      <c r="BY86" s="378" t="n"/>
      <c r="BZ86" s="378" t="n"/>
      <c r="CA86" s="378" t="n"/>
      <c r="CB86" s="378" t="n"/>
      <c r="CC86" s="378" t="n"/>
      <c r="CD86" s="378" t="n"/>
      <c r="CE86" s="378" t="n"/>
    </row>
    <row r="87" ht="15" customHeight="1">
      <c r="BP87" s="378" t="n"/>
      <c r="BX87" s="378" t="n"/>
      <c r="BY87" s="378" t="n"/>
      <c r="BZ87" s="378" t="n"/>
      <c r="CA87" s="378" t="n"/>
      <c r="CB87" s="378" t="n"/>
      <c r="CC87" s="378" t="n"/>
      <c r="CD87" s="378" t="n"/>
      <c r="CE87" s="378" t="n"/>
    </row>
    <row r="88" ht="15" customHeight="1">
      <c r="BP88" s="378" t="n"/>
      <c r="BX88" s="378" t="n"/>
      <c r="BY88" s="378" t="n"/>
      <c r="BZ88" s="378" t="n"/>
      <c r="CA88" s="378" t="n"/>
      <c r="CB88" s="378" t="n"/>
      <c r="CC88" s="378" t="n"/>
      <c r="CD88" s="378" t="n"/>
      <c r="CE88" s="378" t="n"/>
    </row>
    <row r="89" ht="15" customHeight="1">
      <c r="BP89" s="378" t="n"/>
      <c r="BX89" s="378" t="n"/>
      <c r="BY89" s="378" t="n"/>
      <c r="BZ89" s="378" t="n"/>
      <c r="CA89" s="378" t="n"/>
      <c r="CB89" s="378" t="n"/>
      <c r="CC89" s="378" t="n"/>
      <c r="CD89" s="378" t="n"/>
      <c r="CE89" s="378" t="n"/>
    </row>
    <row r="90" ht="15" customHeight="1">
      <c r="BX90" s="378" t="n"/>
      <c r="BY90" s="378" t="n"/>
      <c r="BZ90" s="378" t="n"/>
      <c r="CA90" s="378" t="n"/>
      <c r="CB90" s="378" t="n"/>
      <c r="CC90" s="378" t="n"/>
      <c r="CD90" s="378" t="n"/>
      <c r="CE90" s="378" t="n"/>
    </row>
    <row r="91" ht="15" customHeight="1">
      <c r="BX91" s="378" t="n"/>
      <c r="BY91" s="378" t="n"/>
      <c r="BZ91" s="378" t="n"/>
      <c r="CA91" s="378" t="n"/>
      <c r="CB91" s="378" t="n"/>
      <c r="CC91" s="378" t="n"/>
      <c r="CD91" s="378" t="n"/>
      <c r="CE91" s="378" t="n"/>
    </row>
    <row r="92" ht="15" customHeight="1">
      <c r="BX92" s="378" t="n"/>
      <c r="BY92" s="378" t="n"/>
      <c r="BZ92" s="378" t="n"/>
      <c r="CA92" s="378" t="n"/>
      <c r="CB92" s="378" t="n"/>
      <c r="CC92" s="378" t="n"/>
      <c r="CD92" s="378" t="n"/>
      <c r="CE92" s="378" t="n"/>
    </row>
    <row r="93" ht="15" customHeight="1">
      <c r="BX93" s="378" t="n"/>
      <c r="BY93" s="378" t="n"/>
      <c r="BZ93" s="378" t="n"/>
      <c r="CA93" s="378" t="n"/>
      <c r="CB93" s="378" t="n"/>
      <c r="CC93" s="378" t="n"/>
      <c r="CD93" s="378" t="n"/>
      <c r="CE93" s="378" t="n"/>
    </row>
    <row r="94" ht="15" customHeight="1">
      <c r="BX94" s="378" t="n"/>
      <c r="BY94" s="378" t="n"/>
      <c r="BZ94" s="378" t="n"/>
      <c r="CA94" s="378" t="n"/>
      <c r="CB94" s="378" t="n"/>
      <c r="CC94" s="378" t="n"/>
      <c r="CD94" s="378" t="n"/>
      <c r="CE94" s="378" t="n"/>
    </row>
    <row r="95" ht="14.1" customHeight="1">
      <c r="BX95" s="378" t="n"/>
      <c r="BY95" s="378" t="n"/>
      <c r="BZ95" s="378" t="n"/>
      <c r="CA95" s="378" t="n"/>
      <c r="CB95" s="378" t="n"/>
      <c r="CC95" s="378" t="n"/>
      <c r="CD95" s="378" t="n"/>
      <c r="CE95" s="378" t="n"/>
    </row>
    <row r="96" ht="14.1" customHeight="1">
      <c r="BX96" s="378" t="n"/>
      <c r="BY96" s="378" t="n"/>
      <c r="BZ96" s="378" t="n"/>
      <c r="CA96" s="378" t="n"/>
      <c r="CB96" s="378" t="n"/>
      <c r="CC96" s="378" t="n"/>
      <c r="CD96" s="378" t="n"/>
      <c r="CE96" s="378" t="n"/>
    </row>
    <row r="97" ht="14.1" customHeight="1">
      <c r="BX97" s="378" t="n"/>
      <c r="BY97" s="378" t="n"/>
      <c r="BZ97" s="378" t="n"/>
      <c r="CA97" s="378" t="n"/>
      <c r="CB97" s="378" t="n"/>
      <c r="CC97" s="378" t="n"/>
      <c r="CD97" s="378" t="n"/>
      <c r="CE97" s="378" t="n"/>
    </row>
    <row r="98" ht="14.1" customHeight="1">
      <c r="BX98" s="378" t="n"/>
      <c r="BY98" s="378" t="n"/>
      <c r="BZ98" s="378" t="n"/>
      <c r="CA98" s="378" t="n"/>
      <c r="CB98" s="378" t="n"/>
      <c r="CC98" s="378" t="n"/>
      <c r="CD98" s="378" t="n"/>
      <c r="CE98" s="378" t="n"/>
    </row>
    <row r="99" ht="14.1" customHeight="1">
      <c r="BX99" s="378" t="n"/>
      <c r="BY99" s="378" t="n"/>
      <c r="BZ99" s="378" t="n"/>
      <c r="CA99" s="378" t="n"/>
      <c r="CB99" s="378" t="n"/>
      <c r="CC99" s="378" t="n"/>
      <c r="CD99" s="378" t="n"/>
      <c r="CE99" s="378" t="n"/>
    </row>
    <row r="100">
      <c r="BX100" s="378" t="n"/>
      <c r="BY100" s="378" t="n"/>
      <c r="BZ100" s="378" t="n"/>
      <c r="CA100" s="378" t="n"/>
      <c r="CB100" s="378" t="n"/>
      <c r="CC100" s="378" t="n"/>
      <c r="CD100" s="378" t="n"/>
      <c r="CE100" s="378" t="n"/>
    </row>
    <row r="101">
      <c r="BX101" s="378" t="n"/>
      <c r="BY101" s="378" t="n"/>
      <c r="BZ101" s="378" t="n"/>
      <c r="CA101" s="378" t="n"/>
      <c r="CB101" s="378" t="n"/>
      <c r="CC101" s="378" t="n"/>
      <c r="CD101" s="378" t="n"/>
      <c r="CE101" s="378" t="n"/>
    </row>
    <row r="102">
      <c r="BX102" s="378" t="n"/>
      <c r="BY102" s="378" t="n"/>
      <c r="BZ102" s="378" t="n"/>
      <c r="CA102" s="378" t="n"/>
      <c r="CB102" s="378" t="n"/>
      <c r="CC102" s="378" t="n"/>
      <c r="CD102" s="378" t="n"/>
      <c r="CE102" s="378" t="n"/>
    </row>
    <row r="103">
      <c r="BX103" s="378" t="n"/>
      <c r="BY103" s="378" t="n"/>
      <c r="BZ103" s="378" t="n"/>
      <c r="CA103" s="378" t="n"/>
      <c r="CB103" s="378" t="n"/>
      <c r="CC103" s="378" t="n"/>
      <c r="CD103" s="378" t="n"/>
      <c r="CE103" s="378" t="n"/>
    </row>
    <row r="104">
      <c r="BX104" s="378" t="n"/>
      <c r="BY104" s="378" t="n"/>
      <c r="BZ104" s="378" t="n"/>
      <c r="CA104" s="378" t="n"/>
      <c r="CB104" s="378" t="n"/>
      <c r="CC104" s="378" t="n"/>
      <c r="CD104" s="378" t="n"/>
      <c r="CE104" s="378" t="n"/>
    </row>
    <row r="105">
      <c r="BX105" s="378" t="n"/>
      <c r="BY105" s="378" t="n"/>
      <c r="BZ105" s="378" t="n"/>
      <c r="CA105" s="378" t="n"/>
      <c r="CB105" s="378" t="n"/>
      <c r="CC105" s="378" t="n"/>
      <c r="CD105" s="378" t="n"/>
      <c r="CE105" s="378" t="n"/>
    </row>
    <row r="106">
      <c r="BX106" s="378" t="n"/>
      <c r="BY106" s="378" t="n"/>
      <c r="BZ106" s="378" t="n"/>
      <c r="CA106" s="378" t="n"/>
      <c r="CB106" s="378" t="n"/>
      <c r="CC106" s="378" t="n"/>
      <c r="CD106" s="378" t="n"/>
      <c r="CE106" s="378" t="n"/>
    </row>
    <row r="107">
      <c r="BX107" s="378" t="n"/>
      <c r="BY107" s="378" t="n"/>
      <c r="BZ107" s="378" t="n"/>
      <c r="CA107" s="378" t="n"/>
      <c r="CB107" s="378" t="n"/>
      <c r="CC107" s="378" t="n"/>
      <c r="CD107" s="378" t="n"/>
      <c r="CE107" s="378" t="n"/>
    </row>
    <row r="108">
      <c r="BX108" s="378" t="n"/>
      <c r="BY108" s="378" t="n"/>
      <c r="BZ108" s="378" t="n"/>
      <c r="CA108" s="378" t="n"/>
      <c r="CB108" s="378" t="n"/>
      <c r="CC108" s="378" t="n"/>
      <c r="CD108" s="378" t="n"/>
      <c r="CE108" s="378" t="n"/>
    </row>
    <row r="109">
      <c r="BX109" s="378" t="n"/>
      <c r="BY109" s="378" t="n"/>
      <c r="BZ109" s="378" t="n"/>
      <c r="CA109" s="378" t="n"/>
      <c r="CB109" s="378" t="n"/>
      <c r="CC109" s="378" t="n"/>
      <c r="CD109" s="378" t="n"/>
      <c r="CE109" s="378" t="n"/>
    </row>
    <row r="110">
      <c r="BX110" s="378" t="n"/>
      <c r="BY110" s="378" t="n"/>
      <c r="BZ110" s="378" t="n"/>
      <c r="CA110" s="378" t="n"/>
      <c r="CB110" s="378" t="n"/>
      <c r="CC110" s="378" t="n"/>
      <c r="CD110" s="378" t="n"/>
      <c r="CE110" s="378" t="n"/>
    </row>
    <row r="111">
      <c r="BX111" s="378" t="n"/>
      <c r="BY111" s="378" t="n"/>
      <c r="BZ111" s="378" t="n"/>
      <c r="CA111" s="378" t="n"/>
      <c r="CB111" s="378" t="n"/>
      <c r="CC111" s="378" t="n"/>
      <c r="CD111" s="378" t="n"/>
      <c r="CE111" s="378" t="n"/>
    </row>
    <row r="112">
      <c r="BX112" s="378" t="n"/>
      <c r="BY112" s="378" t="n"/>
      <c r="BZ112" s="378" t="n"/>
      <c r="CA112" s="378" t="n"/>
      <c r="CB112" s="378" t="n"/>
      <c r="CC112" s="378" t="n"/>
      <c r="CD112" s="378" t="n"/>
      <c r="CE112" s="378" t="n"/>
    </row>
    <row r="113">
      <c r="BX113" s="378" t="n"/>
      <c r="BY113" s="378" t="n"/>
      <c r="BZ113" s="378" t="n"/>
      <c r="CA113" s="378" t="n"/>
      <c r="CB113" s="378" t="n"/>
      <c r="CC113" s="378" t="n"/>
      <c r="CD113" s="378" t="n"/>
      <c r="CE113" s="378" t="n"/>
    </row>
    <row r="114">
      <c r="BX114" s="378" t="n"/>
      <c r="BY114" s="378" t="n"/>
      <c r="BZ114" s="378" t="n"/>
      <c r="CA114" s="378" t="n"/>
      <c r="CB114" s="378" t="n"/>
      <c r="CC114" s="378" t="n"/>
      <c r="CD114" s="378" t="n"/>
      <c r="CE114" s="378" t="n"/>
    </row>
    <row r="115">
      <c r="BX115" s="378" t="n"/>
      <c r="BY115" s="378" t="n"/>
      <c r="BZ115" s="378" t="n"/>
      <c r="CA115" s="378" t="n"/>
      <c r="CB115" s="378" t="n"/>
      <c r="CC115" s="378" t="n"/>
      <c r="CD115" s="378" t="n"/>
      <c r="CE115" s="378" t="n"/>
    </row>
    <row r="116">
      <c r="BX116" s="378" t="n"/>
      <c r="BY116" s="378" t="n"/>
      <c r="BZ116" s="378" t="n"/>
      <c r="CA116" s="378" t="n"/>
      <c r="CB116" s="378" t="n"/>
      <c r="CC116" s="378" t="n"/>
      <c r="CD116" s="378" t="n"/>
      <c r="CE116" s="378" t="n"/>
    </row>
    <row r="117">
      <c r="BX117" s="378" t="n"/>
      <c r="BY117" s="378" t="n"/>
      <c r="BZ117" s="378" t="n"/>
      <c r="CA117" s="378" t="n"/>
      <c r="CB117" s="378" t="n"/>
      <c r="CC117" s="378" t="n"/>
      <c r="CD117" s="378" t="n"/>
      <c r="CE117" s="378" t="n"/>
    </row>
    <row r="118">
      <c r="BX118" s="378" t="n"/>
      <c r="BY118" s="378" t="n"/>
      <c r="BZ118" s="378" t="n"/>
      <c r="CA118" s="378" t="n"/>
      <c r="CB118" s="378" t="n"/>
      <c r="CC118" s="378" t="n"/>
      <c r="CD118" s="378" t="n"/>
      <c r="CE118" s="378" t="n"/>
    </row>
  </sheetData>
  <mergeCells count="35">
    <mergeCell ref="AU32:AU34"/>
    <mergeCell ref="BI32:BL32"/>
    <mergeCell ref="AN33:AN34"/>
    <mergeCell ref="BW32:CE32"/>
    <mergeCell ref="AB32:AF32"/>
    <mergeCell ref="P31:T31"/>
    <mergeCell ref="B32:H32"/>
    <mergeCell ref="AI32:AK32"/>
    <mergeCell ref="AV32:AW32"/>
    <mergeCell ref="BI31:BL31"/>
    <mergeCell ref="AI31:AK31"/>
    <mergeCell ref="BO31:BU31"/>
    <mergeCell ref="V31:Z31"/>
    <mergeCell ref="AB31:AF31"/>
    <mergeCell ref="AN32:AR32"/>
    <mergeCell ref="B31:H31"/>
    <mergeCell ref="AN31:AR31"/>
    <mergeCell ref="BA32:BF32"/>
    <mergeCell ref="B33:B34"/>
    <mergeCell ref="J32:N32"/>
    <mergeCell ref="P32:T32"/>
    <mergeCell ref="BW33:BW34"/>
    <mergeCell ref="V32:Z32"/>
    <mergeCell ref="J31:N31"/>
    <mergeCell ref="BW31:CE31"/>
    <mergeCell ref="BO32:BO34"/>
    <mergeCell ref="J33:J34"/>
    <mergeCell ref="P33:P34"/>
    <mergeCell ref="AZ31:BF31"/>
    <mergeCell ref="AI33:AI34"/>
    <mergeCell ref="BP32:BU32"/>
    <mergeCell ref="V33:V34"/>
    <mergeCell ref="AB33:AB34"/>
    <mergeCell ref="AU31:AW31"/>
    <mergeCell ref="AZ32:AZ34"/>
  </mergeCells>
  <pageMargins left="0.75" right="0.75" top="1" bottom="1" header="0.5" footer="0.5"/>
  <pageSetup orientation="portrait" scale="85"/>
  <headerFooter alignWithMargins="0">
    <oddHeader/>
    <oddFooter>&amp;L&amp;"Calibri"&amp;10 &amp;K000000_x000d_# Security Classification: Protected A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11"/>
  <sheetViews>
    <sheetView zoomScaleNormal="100" workbookViewId="0">
      <selection activeCell="A1" sqref="A1"/>
    </sheetView>
  </sheetViews>
  <sheetFormatPr baseColWidth="8" defaultRowHeight="12.75"/>
  <cols>
    <col width="64.42578125" customWidth="1" style="14" min="1" max="1"/>
    <col width="13.7109375" customWidth="1" style="14" min="2" max="6"/>
    <col width="9.140625" customWidth="1" style="14" min="7" max="7"/>
    <col width="76.85546875" customWidth="1" style="14" min="8" max="8"/>
    <col width="13.7109375" customWidth="1" style="15" min="9" max="10"/>
    <col width="9.140625" customWidth="1" style="14" min="11" max="11"/>
    <col width="81.42578125" customWidth="1" style="14" min="12" max="12"/>
    <col width="13.7109375" customWidth="1" style="14" min="13" max="13"/>
    <col width="9.140625" customWidth="1" style="14" min="14" max="14"/>
    <col width="30.7109375" customWidth="1" style="14" min="15" max="15"/>
    <col width="13.7109375" customWidth="1" style="14" min="16" max="19"/>
    <col width="14.7109375" customWidth="1" style="14" min="20" max="20"/>
    <col width="9.140625" customWidth="1" style="14" min="21" max="21"/>
    <col width="30.7109375" customWidth="1" style="14" min="22" max="22"/>
    <col width="14.7109375" customWidth="1" style="14" min="23" max="27"/>
    <col width="9.140625" customWidth="1" style="14" min="28" max="28"/>
    <col width="63.7109375" customWidth="1" style="14" min="29" max="29"/>
    <col width="13.7109375" customWidth="1" style="14" min="30" max="31"/>
    <col width="9.140625" customWidth="1" style="14" min="32" max="32"/>
    <col width="60.7109375" customWidth="1" style="14" min="33" max="33"/>
    <col width="13.7109375" customWidth="1" style="15" min="34" max="35"/>
    <col width="9.140625" customWidth="1" style="14" min="36" max="36"/>
    <col width="64.85546875" customWidth="1" style="14" min="37" max="37"/>
    <col width="13.7109375" customWidth="1" style="15" min="38" max="39"/>
    <col width="9.140625" customWidth="1" style="14" min="40" max="16384"/>
  </cols>
  <sheetData>
    <row r="1">
      <c r="A1" s="31" t="n"/>
      <c r="B1" s="32" t="n"/>
      <c r="C1" s="32" t="n"/>
      <c r="D1" s="32" t="n"/>
      <c r="E1" s="32" t="n"/>
      <c r="F1" s="33" t="n"/>
      <c r="G1" s="34" t="n"/>
      <c r="H1" s="34" t="n"/>
      <c r="I1" s="35" t="n"/>
      <c r="J1" s="35" t="n"/>
      <c r="K1" s="34" t="n"/>
      <c r="L1" s="34" t="n"/>
      <c r="M1" s="34" t="n"/>
      <c r="N1" s="34" t="n"/>
      <c r="O1" s="34" t="n"/>
      <c r="P1" s="34" t="n"/>
      <c r="Q1" s="34" t="n"/>
      <c r="R1" s="34" t="n"/>
      <c r="S1" s="34" t="n"/>
      <c r="T1" s="34" t="n"/>
      <c r="U1" s="34" t="n"/>
      <c r="V1" s="34" t="n"/>
      <c r="W1" s="34" t="n"/>
      <c r="X1" s="34" t="n"/>
      <c r="Y1" s="34" t="n"/>
      <c r="Z1" s="34" t="n"/>
      <c r="AA1" s="34" t="n"/>
      <c r="AB1" s="34" t="n"/>
      <c r="AC1" s="34" t="n"/>
      <c r="AD1" s="34" t="n"/>
      <c r="AE1" s="34" t="n"/>
      <c r="AF1" s="34" t="n"/>
      <c r="AG1" s="34" t="n"/>
      <c r="AH1" s="35" t="n"/>
      <c r="AI1" s="35" t="n"/>
      <c r="AJ1" s="34" t="n"/>
      <c r="AK1" s="34" t="n"/>
      <c r="AL1" s="35" t="n"/>
      <c r="AM1" s="35" t="n"/>
    </row>
    <row r="2" ht="27.75" customHeight="1">
      <c r="A2" s="278" t="inlineStr">
        <is>
          <t>Table S3.1  Alberta crude bitumen production highlights (103 m3/d)</t>
        </is>
      </c>
      <c r="B2" s="279" t="n"/>
      <c r="C2" s="279" t="n"/>
      <c r="D2" s="279" t="n"/>
      <c r="E2" s="279" t="n"/>
      <c r="F2" s="280" t="n"/>
      <c r="H2" s="281" t="inlineStr">
        <is>
          <t>Table S3.2  Production of bitumen in Alberta by oil sands area, 2024 (103 m3/d)</t>
        </is>
      </c>
      <c r="I2" s="282" t="n"/>
      <c r="J2" s="283" t="n"/>
      <c r="L2" s="396" t="inlineStr">
        <is>
          <t>Table S3.3  Average daily Alberta upgraded bitumen production in 2024</t>
        </is>
      </c>
      <c r="M2" s="351" t="n"/>
      <c r="O2" s="397" t="inlineStr">
        <is>
          <t>Table S3.4  Alberta crude bitumen supply costs, 2024 (base case)</t>
        </is>
      </c>
      <c r="P2" s="350" t="n"/>
      <c r="Q2" s="350" t="n"/>
      <c r="R2" s="350" t="n"/>
      <c r="S2" s="350" t="n"/>
      <c r="T2" s="351" t="n"/>
      <c r="V2" s="397" t="inlineStr">
        <is>
          <t>Table S3.5  Alberta crude bitumen supply costs, 2024 (tariff case)</t>
        </is>
      </c>
      <c r="W2" s="350" t="n"/>
      <c r="X2" s="350" t="n"/>
      <c r="Y2" s="350" t="n"/>
      <c r="Z2" s="350" t="n"/>
      <c r="AA2" s="351" t="n"/>
      <c r="AC2" s="398" t="inlineStr">
        <is>
          <t>Table S3.6  Proposed surface-mined bitumen projects in Alberta</t>
        </is>
      </c>
      <c r="AD2" s="355" t="n"/>
      <c r="AE2" s="284" t="n"/>
      <c r="AG2" s="399" t="inlineStr">
        <is>
          <t>Table S3.7  Proposed in situ crude bitumen projects in Alberta</t>
        </is>
      </c>
      <c r="AH2" s="350" t="n"/>
      <c r="AI2" s="351" t="n"/>
      <c r="AK2" s="400" t="inlineStr">
        <is>
          <t>Table S3.8  Proposed upgrader bitumen projects in Alberta</t>
        </is>
      </c>
      <c r="AL2" s="401" t="n"/>
      <c r="AM2" s="402" t="n"/>
    </row>
    <row r="3" ht="25.5" customHeight="1">
      <c r="A3" s="104" t="n"/>
      <c r="B3" s="52" t="n">
        <v>2023</v>
      </c>
      <c r="C3" s="52" t="n">
        <v>2024</v>
      </c>
      <c r="D3" s="53" t="n">
        <v>2025</v>
      </c>
      <c r="E3" s="53" t="n">
        <v>2026</v>
      </c>
      <c r="F3" s="105" t="n">
        <v>2034</v>
      </c>
      <c r="H3" s="109" t="n"/>
      <c r="I3" s="308" t="n">
        <v>2023</v>
      </c>
      <c r="J3" s="309" t="n">
        <v>2024</v>
      </c>
      <c r="L3" s="403" t="inlineStr">
        <is>
          <t>Company/project name</t>
        </is>
      </c>
      <c r="M3" s="114" t="inlineStr">
        <is>
          <t>Production</t>
        </is>
      </c>
      <c r="O3" s="124" t="n"/>
      <c r="P3" s="404" t="inlineStr">
        <is>
          <t>Production</t>
        </is>
      </c>
      <c r="Q3" s="350" t="n"/>
      <c r="R3" s="326" t="inlineStr">
        <is>
          <t>Capital cost range</t>
        </is>
      </c>
      <c r="S3" s="326" t="inlineStr">
        <is>
          <t>Capacity utilization</t>
        </is>
      </c>
      <c r="T3" s="125" t="inlineStr">
        <is>
          <t>Estimated supply cost</t>
        </is>
      </c>
      <c r="V3" s="124" t="n"/>
      <c r="W3" s="404" t="inlineStr">
        <is>
          <t>Production</t>
        </is>
      </c>
      <c r="X3" s="350" t="n"/>
      <c r="Y3" s="326" t="inlineStr">
        <is>
          <t>Capital cost range</t>
        </is>
      </c>
      <c r="Z3" s="326" t="inlineStr">
        <is>
          <t>Capacity utilization</t>
        </is>
      </c>
      <c r="AA3" s="125" t="inlineStr">
        <is>
          <t>Estimated supply cost</t>
        </is>
      </c>
      <c r="AC3" s="136" t="inlineStr">
        <is>
          <t xml:space="preserve">Company </t>
        </is>
      </c>
      <c r="AD3" s="56" t="inlineStr">
        <is>
          <t>Capacity</t>
        </is>
      </c>
      <c r="AE3" s="137" t="inlineStr">
        <is>
          <t>Status</t>
        </is>
      </c>
      <c r="AG3" s="268" t="inlineStr">
        <is>
          <t xml:space="preserve">Company </t>
        </is>
      </c>
      <c r="AH3" s="269" t="inlineStr">
        <is>
          <t>Capacity</t>
        </is>
      </c>
      <c r="AI3" s="270" t="inlineStr">
        <is>
          <t>Status</t>
        </is>
      </c>
      <c r="AK3" s="144" t="inlineStr">
        <is>
          <t>Company</t>
        </is>
      </c>
      <c r="AL3" s="58" t="inlineStr">
        <is>
          <t>Upgrading capacity</t>
        </is>
      </c>
      <c r="AM3" s="145" t="inlineStr">
        <is>
          <t>Status</t>
        </is>
      </c>
    </row>
    <row r="4" ht="38.25" customHeight="1">
      <c r="A4" s="405" t="inlineStr">
        <is>
          <t>Raw production</t>
        </is>
      </c>
      <c r="F4" s="406" t="n"/>
      <c r="H4" s="170" t="inlineStr">
        <is>
          <t>In situa</t>
        </is>
      </c>
      <c r="I4" s="54" t="n"/>
      <c r="J4" s="111" t="n"/>
      <c r="L4" s="407" t="n"/>
      <c r="M4" s="115" t="inlineStr">
        <is>
          <t>(103 m3/d)</t>
        </is>
      </c>
      <c r="O4" s="126" t="inlineStr">
        <is>
          <t>Project type</t>
        </is>
      </c>
      <c r="P4" s="59" t="inlineStr">
        <is>
          <t>(103 m3/d)</t>
        </is>
      </c>
      <c r="Q4" s="59" t="inlineStr">
        <is>
          <t>(bbl/d)a</t>
        </is>
      </c>
      <c r="R4" s="59" t="inlineStr">
        <is>
          <t>(millions of dollars)</t>
        </is>
      </c>
      <c r="S4" s="266" t="inlineStr">
        <is>
          <t>(Per cent)b</t>
        </is>
      </c>
      <c r="T4" s="127" t="inlineStr">
        <is>
          <t>($US WTI equivalent per barrel)</t>
        </is>
      </c>
      <c r="V4" s="126" t="inlineStr">
        <is>
          <t>Project type</t>
        </is>
      </c>
      <c r="W4" s="59" t="inlineStr">
        <is>
          <t>(103 m3/d)</t>
        </is>
      </c>
      <c r="X4" s="59" t="inlineStr">
        <is>
          <t>(bbl/d)a</t>
        </is>
      </c>
      <c r="Y4" s="59" t="inlineStr">
        <is>
          <t>(millions of dollars)</t>
        </is>
      </c>
      <c r="Z4" s="266" t="inlineStr">
        <is>
          <t>(Per cent)b</t>
        </is>
      </c>
      <c r="AA4" s="127" t="inlineStr">
        <is>
          <t>($US WTI equivalent per barrel)</t>
        </is>
      </c>
      <c r="AC4" s="138" t="inlineStr">
        <is>
          <t>Project name</t>
        </is>
      </c>
      <c r="AD4" s="57" t="inlineStr">
        <is>
          <t>(103 m3/d)</t>
        </is>
      </c>
      <c r="AE4" s="139" t="n"/>
      <c r="AG4" s="138" t="inlineStr">
        <is>
          <t>Project name</t>
        </is>
      </c>
      <c r="AH4" s="57" t="inlineStr">
        <is>
          <t>(103 m3/d)</t>
        </is>
      </c>
      <c r="AI4" s="139" t="n"/>
      <c r="AK4" s="210" t="inlineStr">
        <is>
          <t>Project name</t>
        </is>
      </c>
      <c r="AL4" s="211" t="inlineStr">
        <is>
          <t>(103 m3/d)</t>
        </is>
      </c>
      <c r="AM4" s="212" t="n"/>
    </row>
    <row r="5" ht="20.1" customHeight="1">
      <c r="A5" s="106" t="inlineStr">
        <is>
          <t>Mineable</t>
        </is>
      </c>
      <c r="B5" s="408" t="n">
        <v>261.9</v>
      </c>
      <c r="C5" s="408" t="n">
        <v>273.4</v>
      </c>
      <c r="D5" s="409" t="n">
        <v>280.47</v>
      </c>
      <c r="E5" s="409" t="n">
        <v>280.61</v>
      </c>
      <c r="F5" s="410" t="n">
        <v>288.76</v>
      </c>
      <c r="H5" s="162" t="inlineStr">
        <is>
          <t>Athabasca</t>
        </is>
      </c>
      <c r="I5" s="411">
        <f>I6+I7</f>
        <v/>
      </c>
      <c r="J5" s="412">
        <f>J6+J7</f>
        <v/>
      </c>
      <c r="L5" s="116" t="inlineStr">
        <is>
          <t>Canadian Natural Resources Limited (CNRL) Horizon</t>
        </is>
      </c>
      <c r="M5" s="413" t="n">
        <v>39.9</v>
      </c>
      <c r="O5" s="128" t="inlineStr">
        <is>
          <t>In situ SAGD</t>
        </is>
      </c>
      <c r="P5" s="39" t="n">
        <v>6.4</v>
      </c>
      <c r="Q5" s="122" t="n">
        <v>40000</v>
      </c>
      <c r="R5" s="39" t="inlineStr">
        <is>
          <t>621 – 1,468</t>
        </is>
      </c>
      <c r="S5" s="40" t="n">
        <v>0.9</v>
      </c>
      <c r="T5" s="129" t="inlineStr">
        <is>
          <t>47 – 58</t>
        </is>
      </c>
      <c r="V5" s="128" t="inlineStr">
        <is>
          <t>In situ SAGD</t>
        </is>
      </c>
      <c r="W5" s="39" t="n">
        <v>6.4</v>
      </c>
      <c r="X5" s="122" t="n">
        <v>40000</v>
      </c>
      <c r="Y5" s="39" t="inlineStr">
        <is>
          <t>639 – 1,511</t>
        </is>
      </c>
      <c r="Z5" s="40" t="n">
        <v>0.9</v>
      </c>
      <c r="AA5" s="129" t="inlineStr">
        <is>
          <t>51 - 63</t>
        </is>
      </c>
      <c r="AC5" s="197" t="inlineStr">
        <is>
          <t>Canadian Natural Resources Limited (CNRL)</t>
        </is>
      </c>
      <c r="AD5" s="198" t="n"/>
      <c r="AE5" s="199" t="n"/>
      <c r="AG5" s="275" t="inlineStr">
        <is>
          <t>Athabasca Oil Sands Area</t>
        </is>
      </c>
      <c r="AH5" s="276" t="n"/>
      <c r="AI5" s="277" t="n"/>
      <c r="AK5" s="217" t="inlineStr">
        <is>
          <t>North West Redwater Partnershipa</t>
        </is>
      </c>
      <c r="AL5" s="218" t="n"/>
      <c r="AM5" s="219" t="n"/>
    </row>
    <row r="6" ht="20.1" customHeight="1">
      <c r="A6" s="106" t="inlineStr">
        <is>
          <t>In situ</t>
        </is>
      </c>
      <c r="B6" s="408" t="n">
        <v>280.16</v>
      </c>
      <c r="C6" s="408" t="n">
        <v>291.97</v>
      </c>
      <c r="D6" s="409" t="n">
        <v>309.43</v>
      </c>
      <c r="E6" s="409" t="n">
        <v>323.42</v>
      </c>
      <c r="F6" s="410" t="n">
        <v>356.5</v>
      </c>
      <c r="H6" s="112" t="inlineStr">
        <is>
          <t>Thermal</t>
        </is>
      </c>
      <c r="I6" s="414" t="n">
        <v>212.42</v>
      </c>
      <c r="J6" s="415" t="n">
        <v>219.13</v>
      </c>
      <c r="L6" s="118" t="inlineStr">
        <is>
          <t>Scotford</t>
        </is>
      </c>
      <c r="M6" s="416" t="n">
        <v>50.6</v>
      </c>
      <c r="O6" s="130" t="inlineStr">
        <is>
          <t>Surface mine</t>
        </is>
      </c>
      <c r="P6" s="60" t="n">
        <v>15.9</v>
      </c>
      <c r="Q6" s="123" t="n">
        <v>100000</v>
      </c>
      <c r="R6" s="60" t="inlineStr">
        <is>
          <t>5,400 – 11,880</t>
        </is>
      </c>
      <c r="S6" s="61" t="n">
        <v>0.95</v>
      </c>
      <c r="T6" s="131" t="inlineStr">
        <is>
          <t>50 - 78</t>
        </is>
      </c>
      <c r="V6" s="130" t="inlineStr">
        <is>
          <t>Suface mine</t>
        </is>
      </c>
      <c r="W6" s="60" t="n">
        <v>15.9</v>
      </c>
      <c r="X6" s="123" t="n">
        <v>100000</v>
      </c>
      <c r="Y6" s="60" t="inlineStr">
        <is>
          <t>5,670 – 12,474</t>
        </is>
      </c>
      <c r="Z6" s="61" t="n">
        <v>0.95</v>
      </c>
      <c r="AA6" s="131" t="inlineStr">
        <is>
          <t>52 - 80</t>
        </is>
      </c>
      <c r="AC6" s="190" t="inlineStr">
        <is>
          <t xml:space="preserve">   Horizon Paraffinic Froth Treatment Expansion</t>
        </is>
      </c>
      <c r="AD6" s="177" t="n">
        <v>7.2</v>
      </c>
      <c r="AE6" s="181" t="inlineStr">
        <is>
          <t>Appoved</t>
        </is>
      </c>
      <c r="AG6" s="190" t="inlineStr">
        <is>
          <t>Athabasca Oil</t>
        </is>
      </c>
      <c r="AH6" s="228" t="n"/>
      <c r="AI6" s="203" t="n"/>
      <c r="AK6" s="220" t="inlineStr">
        <is>
          <t xml:space="preserve">   Sturgeon Refinery Phase 2 and 3</t>
        </is>
      </c>
      <c r="AL6" s="216" t="n">
        <v>15.8</v>
      </c>
      <c r="AM6" s="221" t="inlineStr">
        <is>
          <t>Approved</t>
        </is>
      </c>
    </row>
    <row r="7" ht="20.1" customHeight="1">
      <c r="A7" s="160" t="inlineStr">
        <is>
          <t>Total</t>
        </is>
      </c>
      <c r="B7" s="408">
        <f>B6+B5</f>
        <v/>
      </c>
      <c r="C7" s="408">
        <f>C6+C5</f>
        <v/>
      </c>
      <c r="D7" s="409">
        <f>D6+D5</f>
        <v/>
      </c>
      <c r="E7" s="409">
        <f>E6+E5</f>
        <v/>
      </c>
      <c r="F7" s="410">
        <f>F6+F5</f>
        <v/>
      </c>
      <c r="H7" s="112" t="inlineStr">
        <is>
          <t>Primary</t>
        </is>
      </c>
      <c r="I7" s="414" t="n">
        <v>7.78</v>
      </c>
      <c r="J7" s="415" t="n">
        <v>6.97</v>
      </c>
      <c r="L7" s="118" t="inlineStr">
        <is>
          <t>Suncor Energy</t>
        </is>
      </c>
      <c r="M7" s="416" t="n">
        <v>55</v>
      </c>
      <c r="O7" s="43" t="inlineStr">
        <is>
          <t>a bbl/d = barrels per day.</t>
        </is>
      </c>
      <c r="P7" s="42" t="n"/>
      <c r="Q7" s="42" t="n"/>
      <c r="R7" s="42" t="n"/>
      <c r="S7" s="42" t="n"/>
      <c r="T7" s="42" t="n"/>
      <c r="V7" s="43" t="inlineStr">
        <is>
          <t>a bbl/d = barrels per day.</t>
        </is>
      </c>
      <c r="W7" s="42" t="n"/>
      <c r="X7" s="42" t="n"/>
      <c r="Y7" s="42" t="n"/>
      <c r="Z7" s="42" t="n"/>
      <c r="AA7" s="42" t="n"/>
      <c r="AC7" s="190" t="inlineStr">
        <is>
          <t xml:space="preserve">   Joslyn (North)</t>
        </is>
      </c>
      <c r="AD7" s="177" t="n">
        <v>15.9</v>
      </c>
      <c r="AE7" s="181" t="inlineStr">
        <is>
          <t>On Hold</t>
        </is>
      </c>
      <c r="AG7" s="190" t="inlineStr">
        <is>
          <t xml:space="preserve">   Corner</t>
        </is>
      </c>
      <c r="AH7" s="417" t="n">
        <v>6.4</v>
      </c>
      <c r="AI7" s="203" t="inlineStr">
        <is>
          <t>Approved</t>
        </is>
      </c>
      <c r="AK7" s="220" t="inlineStr">
        <is>
          <t>Value Creation Group</t>
        </is>
      </c>
      <c r="AL7" s="216" t="n"/>
      <c r="AM7" s="221" t="n"/>
    </row>
    <row r="8" ht="20.1" customHeight="1">
      <c r="A8" s="405" t="inlineStr">
        <is>
          <t>Upgraded and nonupgraded production</t>
        </is>
      </c>
      <c r="F8" s="406" t="n"/>
      <c r="H8" s="128" t="inlineStr">
        <is>
          <t>Cold Lake</t>
        </is>
      </c>
      <c r="I8" s="414">
        <f>I9+I10</f>
        <v/>
      </c>
      <c r="J8" s="415">
        <f>J9+J10</f>
        <v/>
      </c>
      <c r="L8" s="120" t="inlineStr">
        <is>
          <t>Syncrude</t>
        </is>
      </c>
      <c r="M8" s="418" t="n">
        <v>51.1</v>
      </c>
      <c r="O8" s="44" t="inlineStr">
        <is>
          <t>b Represents the average current capacity utilization rate of operators.</t>
        </is>
      </c>
      <c r="P8" s="41" t="n"/>
      <c r="Q8" s="41" t="n"/>
      <c r="R8" s="41" t="n"/>
      <c r="S8" s="41" t="n"/>
      <c r="T8" s="41" t="n"/>
      <c r="V8" s="44" t="inlineStr">
        <is>
          <t>b Represents the average current capacity utilization rate of operators.</t>
        </is>
      </c>
      <c r="W8" s="41" t="n"/>
      <c r="X8" s="41" t="n"/>
      <c r="Y8" s="41" t="n"/>
      <c r="Z8" s="41" t="n"/>
      <c r="AA8" s="41" t="n"/>
      <c r="AC8" s="200" t="inlineStr">
        <is>
          <t>Imperial Oil/Exxon Mobil</t>
        </is>
      </c>
      <c r="AD8" s="177" t="n"/>
      <c r="AE8" s="181" t="n"/>
      <c r="AG8" s="190" t="inlineStr">
        <is>
          <t xml:space="preserve">   Hangingstone Phases 2A-3</t>
        </is>
      </c>
      <c r="AH8" s="419" t="n">
        <v>11.1</v>
      </c>
      <c r="AI8" s="204" t="inlineStr">
        <is>
          <t>Application</t>
        </is>
      </c>
      <c r="AK8" s="222" t="inlineStr">
        <is>
          <t xml:space="preserve">   Advanced TriStar Phase 1 &amp; 2</t>
        </is>
      </c>
      <c r="AL8" s="420" t="n">
        <v>19</v>
      </c>
      <c r="AM8" s="224" t="inlineStr">
        <is>
          <t>Application</t>
        </is>
      </c>
    </row>
    <row r="9" ht="20.1" customHeight="1">
      <c r="A9" s="106" t="inlineStr">
        <is>
          <t>Upgraded</t>
        </is>
      </c>
      <c r="B9" s="408" t="n">
        <v>188.2</v>
      </c>
      <c r="C9" s="408" t="n">
        <v>196.6</v>
      </c>
      <c r="D9" s="409" t="n">
        <v>198.52</v>
      </c>
      <c r="E9" s="409" t="n">
        <v>199.64</v>
      </c>
      <c r="F9" s="410" t="n">
        <v>204.48</v>
      </c>
      <c r="H9" s="112" t="inlineStr">
        <is>
          <t>Thermal</t>
        </is>
      </c>
      <c r="I9" s="414" t="n">
        <v>43.84</v>
      </c>
      <c r="J9" s="415" t="n">
        <v>46.28</v>
      </c>
      <c r="L9" s="96" t="inlineStr">
        <is>
          <t>Total</t>
        </is>
      </c>
      <c r="M9" s="370">
        <f>SUM(M4:M8)</f>
        <v/>
      </c>
      <c r="AC9" s="190" t="inlineStr">
        <is>
          <t xml:space="preserve">   Kearl debottlenecking</t>
        </is>
      </c>
      <c r="AD9" s="177" t="n">
        <v>19.9</v>
      </c>
      <c r="AE9" s="181" t="inlineStr">
        <is>
          <t>On Hold</t>
        </is>
      </c>
      <c r="AG9" s="190" t="inlineStr">
        <is>
          <t xml:space="preserve">   Leismer Expansion</t>
        </is>
      </c>
      <c r="AH9" s="419" t="n">
        <v>3.2</v>
      </c>
      <c r="AI9" s="204" t="inlineStr">
        <is>
          <t>Approved</t>
        </is>
      </c>
      <c r="AK9" s="146" t="inlineStr">
        <is>
          <t>a The Sturgeon Refinery is technically not an upgrader, though it will be a source of demand for bitumen.</t>
        </is>
      </c>
      <c r="AL9" s="214" t="n"/>
      <c r="AM9" s="214" t="n"/>
    </row>
    <row r="10" ht="20.1" customHeight="1">
      <c r="A10" s="106" t="inlineStr">
        <is>
          <t>Nonupgraded</t>
        </is>
      </c>
      <c r="B10" s="408" t="n">
        <v>320.4</v>
      </c>
      <c r="C10" s="408" t="n">
        <v>334.5</v>
      </c>
      <c r="D10" s="409" t="n">
        <v>347</v>
      </c>
      <c r="E10" s="409" t="n">
        <v>360.1</v>
      </c>
      <c r="F10" s="410" t="n">
        <v>386.7</v>
      </c>
      <c r="H10" s="112" t="inlineStr">
        <is>
          <t>Primary</t>
        </is>
      </c>
      <c r="I10" s="414" t="n">
        <v>8.800000000000001</v>
      </c>
      <c r="J10" s="415" t="n">
        <v>10.9</v>
      </c>
      <c r="L10" s="44" t="inlineStr">
        <is>
          <t>Any discrepancies are due to rounding.</t>
        </is>
      </c>
      <c r="M10" s="421" t="n"/>
      <c r="AC10" s="190" t="inlineStr">
        <is>
          <t>Suncor</t>
        </is>
      </c>
      <c r="AD10" s="178" t="n"/>
      <c r="AE10" s="182" t="n"/>
      <c r="AG10" s="190" t="inlineStr">
        <is>
          <t>Canadian Natural Resources Limited (CNRL)</t>
        </is>
      </c>
      <c r="AH10" s="419" t="n"/>
      <c r="AI10" s="204" t="n"/>
      <c r="AK10" s="146" t="inlineStr">
        <is>
          <t>Note: Projects are considered proposed until operational. The information is from AER and company releases.</t>
        </is>
      </c>
      <c r="AL10" s="422" t="n"/>
      <c r="AM10" s="214" t="n"/>
    </row>
    <row r="11" ht="20.1" customHeight="1">
      <c r="A11" s="191" t="inlineStr">
        <is>
          <t>Totala</t>
        </is>
      </c>
      <c r="B11" s="423">
        <f>B10+B9</f>
        <v/>
      </c>
      <c r="C11" s="423">
        <f>C10+C9</f>
        <v/>
      </c>
      <c r="D11" s="424">
        <f>D10+D9</f>
        <v/>
      </c>
      <c r="E11" s="424">
        <f>E10+E9</f>
        <v/>
      </c>
      <c r="F11" s="425">
        <f>F10+F9</f>
        <v/>
      </c>
      <c r="H11" s="128" t="inlineStr">
        <is>
          <t>Peace River</t>
        </is>
      </c>
      <c r="I11" s="414">
        <f>I12+I13</f>
        <v/>
      </c>
      <c r="J11" s="415">
        <f>J12+J13</f>
        <v/>
      </c>
      <c r="L11" s="45" t="n"/>
      <c r="M11" s="426" t="n"/>
      <c r="AC11" s="190" t="inlineStr">
        <is>
          <t xml:space="preserve">  Fort Hills debottlenecking</t>
        </is>
      </c>
      <c r="AD11" s="427" t="n">
        <v>3.2</v>
      </c>
      <c r="AE11" s="182" t="inlineStr">
        <is>
          <t>Approved</t>
        </is>
      </c>
      <c r="AG11" s="190" t="inlineStr">
        <is>
          <t xml:space="preserve">   Germain Phases 1–4</t>
        </is>
      </c>
      <c r="AH11" s="419" t="n">
        <v>24.6</v>
      </c>
      <c r="AI11" s="204" t="inlineStr">
        <is>
          <t>On Hold</t>
        </is>
      </c>
      <c r="AK11" s="213" t="n"/>
      <c r="AL11" s="214" t="n"/>
      <c r="AM11" s="214" t="n"/>
    </row>
    <row r="12" ht="16.5" customHeight="1">
      <c r="A12" s="159" t="inlineStr">
        <is>
          <t>a Upgrading conversion losses result in marketable production totalling less than raw.</t>
        </is>
      </c>
      <c r="B12" s="158" t="n"/>
      <c r="C12" s="158" t="n"/>
      <c r="D12" s="158" t="n"/>
      <c r="E12" s="158" t="n"/>
      <c r="F12" s="158" t="n"/>
      <c r="H12" s="112" t="inlineStr">
        <is>
          <t>Thermal</t>
        </is>
      </c>
      <c r="I12" s="414" t="n">
        <v>1.28</v>
      </c>
      <c r="J12" s="415" t="n">
        <v>1.5</v>
      </c>
      <c r="L12" s="36" t="n"/>
      <c r="M12" s="426" t="n"/>
      <c r="AC12" s="190" t="inlineStr">
        <is>
          <t>Syncrude</t>
        </is>
      </c>
      <c r="AD12" s="179" t="n"/>
      <c r="AE12" s="183" t="n"/>
      <c r="AG12" s="190" t="inlineStr">
        <is>
          <t xml:space="preserve">   Grouse</t>
        </is>
      </c>
      <c r="AH12" s="419" t="n">
        <v>6.4</v>
      </c>
      <c r="AI12" s="204" t="inlineStr">
        <is>
          <t>Application</t>
        </is>
      </c>
      <c r="AK12" s="213" t="n"/>
      <c r="AL12" s="214" t="n"/>
      <c r="AM12" s="214" t="n"/>
    </row>
    <row r="13" ht="18.95" customHeight="1">
      <c r="A13" s="44" t="inlineStr">
        <is>
          <t>Any discrepancies are due to rounding.</t>
        </is>
      </c>
      <c r="B13" s="37" t="n"/>
      <c r="C13" s="37" t="n"/>
      <c r="D13" s="37" t="n"/>
      <c r="E13" s="37" t="n"/>
      <c r="F13" s="37" t="n"/>
      <c r="H13" s="165" t="inlineStr">
        <is>
          <t>Primary</t>
        </is>
      </c>
      <c r="I13" s="428" t="n">
        <v>5.85</v>
      </c>
      <c r="J13" s="429" t="n">
        <v>7.17</v>
      </c>
      <c r="M13" s="426" t="n"/>
      <c r="AC13" s="201" t="inlineStr">
        <is>
          <t xml:space="preserve">   Mildred Lake Extension (MLX)</t>
        </is>
      </c>
      <c r="AD13" s="184" t="n">
        <v>29.3</v>
      </c>
      <c r="AE13" s="185" t="inlineStr">
        <is>
          <t>Approved</t>
        </is>
      </c>
      <c r="AG13" s="190" t="inlineStr">
        <is>
          <t xml:space="preserve">   Kirby North Phase 2</t>
        </is>
      </c>
      <c r="AH13" s="419" t="n">
        <v>9.5</v>
      </c>
      <c r="AI13" s="204" t="inlineStr">
        <is>
          <t>Approved</t>
        </is>
      </c>
      <c r="AK13" s="213" t="n"/>
      <c r="AL13" s="214" t="n"/>
      <c r="AM13" s="214" t="n"/>
    </row>
    <row r="14" ht="18.95" customHeight="1">
      <c r="B14" s="430" t="n"/>
      <c r="C14" s="430" t="n"/>
      <c r="D14" s="430" t="n"/>
      <c r="E14" s="430" t="n"/>
      <c r="F14" s="430" t="n"/>
      <c r="H14" s="96" t="inlineStr">
        <is>
          <t>In situ subtotal</t>
        </is>
      </c>
      <c r="I14" s="381" t="n">
        <v>280.15</v>
      </c>
      <c r="J14" s="370" t="n">
        <v>291.95</v>
      </c>
      <c r="M14" s="426" t="n"/>
      <c r="AC14" s="46" t="inlineStr">
        <is>
          <t>Source: AER and company releases.</t>
        </is>
      </c>
      <c r="AD14" s="141" t="n"/>
      <c r="AE14" s="141" t="n"/>
      <c r="AG14" s="190" t="inlineStr">
        <is>
          <t xml:space="preserve">   Kirby South Phase 2</t>
        </is>
      </c>
      <c r="AH14" s="419" t="n">
        <v>2.4</v>
      </c>
      <c r="AI14" s="204" t="inlineStr">
        <is>
          <t>Application</t>
        </is>
      </c>
      <c r="AL14" s="431" t="n"/>
      <c r="AM14" s="17" t="n"/>
    </row>
    <row r="15" ht="18.95" customHeight="1">
      <c r="B15" s="430" t="n"/>
      <c r="C15" s="430" t="n"/>
      <c r="D15" s="430" t="n"/>
      <c r="E15" s="430" t="n"/>
      <c r="F15" s="430" t="n"/>
      <c r="H15" s="166" t="inlineStr">
        <is>
          <t>Mined</t>
        </is>
      </c>
      <c r="I15" s="167" t="n"/>
      <c r="J15" s="168" t="n"/>
      <c r="M15" s="426" t="n"/>
      <c r="AC15" s="46" t="inlineStr">
        <is>
          <t>Note: Projects are considered proposed until operational.</t>
        </is>
      </c>
      <c r="AD15" s="15" t="n"/>
      <c r="AE15" s="15" t="n"/>
      <c r="AG15" s="190" t="inlineStr">
        <is>
          <t xml:space="preserve">   Pelican Lake Grand Rapids Phase A</t>
        </is>
      </c>
      <c r="AH15" s="419" t="n">
        <v>1.4</v>
      </c>
      <c r="AI15" s="204" t="inlineStr">
        <is>
          <t>On Hold</t>
        </is>
      </c>
      <c r="AK15" s="10" t="n"/>
      <c r="AL15" s="432" t="n"/>
      <c r="AM15" s="18" t="n"/>
    </row>
    <row r="16" ht="18.95" customHeight="1">
      <c r="B16" s="430" t="n"/>
      <c r="C16" s="430" t="n"/>
      <c r="D16" s="430" t="n"/>
      <c r="E16" s="430" t="n"/>
      <c r="F16" s="430" t="n"/>
      <c r="H16" s="169" t="inlineStr">
        <is>
          <t xml:space="preserve">  Athabasca</t>
        </is>
      </c>
      <c r="I16" s="433" t="n">
        <v>261.9</v>
      </c>
      <c r="J16" s="385" t="n">
        <v>273.4</v>
      </c>
      <c r="L16" s="16" t="n"/>
      <c r="M16" s="426" t="n"/>
      <c r="AC16" s="195" t="n"/>
      <c r="AD16" s="408" t="n"/>
      <c r="AE16" s="141" t="n"/>
      <c r="AG16" s="190" t="inlineStr">
        <is>
          <t xml:space="preserve">   Pelican Lake Grand Rapids Phases B-G</t>
        </is>
      </c>
      <c r="AH16" s="419" t="n">
        <v>28.6</v>
      </c>
      <c r="AI16" s="204" t="inlineStr">
        <is>
          <t>Approved</t>
        </is>
      </c>
      <c r="AK16" s="146" t="n"/>
      <c r="AL16" s="432" t="n"/>
      <c r="AM16" s="18" t="n"/>
    </row>
    <row r="17" ht="18.95" customHeight="1">
      <c r="A17" s="44" t="n"/>
      <c r="B17" s="430" t="n"/>
      <c r="C17" s="430" t="n"/>
      <c r="D17" s="430" t="n"/>
      <c r="E17" s="430" t="n"/>
      <c r="F17" s="430" t="n"/>
      <c r="H17" s="96" t="inlineStr">
        <is>
          <t>Grand total</t>
        </is>
      </c>
      <c r="I17" s="381">
        <f>I16+I14</f>
        <v/>
      </c>
      <c r="J17" s="370">
        <f>J16+J14</f>
        <v/>
      </c>
      <c r="AC17" s="195" t="n"/>
      <c r="AD17" s="141" t="n"/>
      <c r="AE17" s="141" t="n"/>
      <c r="AG17" s="190" t="inlineStr">
        <is>
          <t xml:space="preserve">   Pike 1 Phases A and B</t>
        </is>
      </c>
      <c r="AH17" s="419" t="n">
        <v>16.8</v>
      </c>
      <c r="AI17" s="204" t="inlineStr">
        <is>
          <t>Approved</t>
        </is>
      </c>
    </row>
    <row r="18" ht="25.5" customHeight="1">
      <c r="H18" s="316" t="inlineStr">
        <is>
          <t>a Thermal production includes SAGD, CSS, and Experimental Schemes; primary production includes primary wells, enhanced oil recovery, conventional bitumen production.</t>
        </is>
      </c>
      <c r="AC18" s="195" t="n"/>
      <c r="AD18" s="141" t="n"/>
      <c r="AE18" s="141" t="n"/>
      <c r="AG18" s="190" t="inlineStr">
        <is>
          <t xml:space="preserve">   Pike 1 Phase C</t>
        </is>
      </c>
      <c r="AH18" s="419" t="n">
        <v>16.8</v>
      </c>
      <c r="AI18" s="204" t="inlineStr">
        <is>
          <t>Application</t>
        </is>
      </c>
      <c r="AL18" s="143" t="n"/>
      <c r="AM18" s="143" t="n"/>
    </row>
    <row r="19" ht="18.95" customHeight="1">
      <c r="B19" s="430" t="n"/>
      <c r="C19" s="430" t="n"/>
      <c r="D19" s="430" t="n"/>
      <c r="E19" s="430" t="n"/>
      <c r="F19" s="430" t="n"/>
      <c r="H19" s="44" t="inlineStr">
        <is>
          <t>Any discrepancies are due to rounding.</t>
        </is>
      </c>
      <c r="AC19" s="196" t="n"/>
      <c r="AD19" s="135" t="n"/>
      <c r="AE19" s="135" t="n"/>
      <c r="AF19" s="46" t="n"/>
      <c r="AG19" s="190" t="inlineStr">
        <is>
          <t xml:space="preserve">   Saleski Phase 1–2</t>
        </is>
      </c>
      <c r="AH19" s="419" t="n">
        <v>4.9</v>
      </c>
      <c r="AI19" s="204" t="inlineStr">
        <is>
          <t>On Hold</t>
        </is>
      </c>
    </row>
    <row r="20" ht="18.95" customHeight="1">
      <c r="B20" s="430" t="n"/>
      <c r="C20" s="430" t="n"/>
      <c r="D20" s="430" t="n"/>
      <c r="E20" s="430" t="n"/>
      <c r="F20" s="430" t="n"/>
      <c r="I20" s="434" t="n"/>
      <c r="J20" s="434" t="n"/>
      <c r="AC20" s="46" t="n"/>
      <c r="AD20" s="46" t="n"/>
      <c r="AE20" s="46" t="n"/>
      <c r="AF20" s="46" t="n"/>
      <c r="AG20" s="190" t="inlineStr">
        <is>
          <t>Cavalier</t>
        </is>
      </c>
      <c r="AH20" s="419" t="n"/>
      <c r="AI20" s="204" t="n"/>
    </row>
    <row r="21" ht="18.95" customHeight="1">
      <c r="I21" s="434" t="n"/>
      <c r="J21" s="434" t="n"/>
      <c r="AC21" s="46" t="n"/>
      <c r="AD21" s="431" t="n"/>
      <c r="AE21" s="17" t="n"/>
      <c r="AG21" s="190" t="inlineStr">
        <is>
          <t xml:space="preserve">   Hoole Grand Rapids</t>
        </is>
      </c>
      <c r="AH21" s="419" t="n">
        <v>1.6</v>
      </c>
      <c r="AI21" s="204" t="inlineStr">
        <is>
          <t>Approved</t>
        </is>
      </c>
    </row>
    <row r="22" ht="18.95" customHeight="1">
      <c r="I22" s="434" t="n"/>
      <c r="J22" s="434" t="n"/>
      <c r="AC22" s="46" t="n"/>
      <c r="AD22" s="435" t="n"/>
      <c r="AE22" s="135" t="n"/>
      <c r="AG22" s="190" t="inlineStr">
        <is>
          <t>Cenovus Energy</t>
        </is>
      </c>
      <c r="AH22" s="419" t="n"/>
      <c r="AI22" s="204" t="n"/>
    </row>
    <row r="23" ht="18.95" customHeight="1">
      <c r="I23" s="434" t="n"/>
      <c r="J23" s="434" t="n"/>
      <c r="AC23" s="132" t="n"/>
      <c r="AD23" s="431" t="n"/>
      <c r="AE23" s="17" t="n"/>
      <c r="AG23" s="190" t="inlineStr">
        <is>
          <t xml:space="preserve">   Christina Lake Phase H</t>
        </is>
      </c>
      <c r="AH23" s="419" t="n">
        <v>7.9</v>
      </c>
      <c r="AI23" s="204" t="inlineStr">
        <is>
          <t>Approved</t>
        </is>
      </c>
    </row>
    <row r="24" ht="18.95" customHeight="1">
      <c r="I24" s="434" t="n"/>
      <c r="J24" s="434" t="n"/>
      <c r="AC24" s="132" t="n"/>
      <c r="AD24" s="431" t="n"/>
      <c r="AE24" s="17" t="n"/>
      <c r="AG24" s="190" t="inlineStr">
        <is>
          <t xml:space="preserve">   Foster Creek Phase H</t>
        </is>
      </c>
      <c r="AH24" s="419" t="n">
        <v>4.8</v>
      </c>
      <c r="AI24" s="204" t="inlineStr">
        <is>
          <t>Approved</t>
        </is>
      </c>
    </row>
    <row r="25" ht="18.95" customHeight="1">
      <c r="I25" s="434" t="n"/>
      <c r="J25" s="434" t="n"/>
      <c r="AD25" s="431" t="n"/>
      <c r="AE25" s="17" t="n"/>
      <c r="AG25" s="190" t="inlineStr">
        <is>
          <t xml:space="preserve">   Foster Creek Phase J</t>
        </is>
      </c>
      <c r="AH25" s="419" t="n">
        <v>8</v>
      </c>
      <c r="AI25" s="204" t="inlineStr">
        <is>
          <t>Approved</t>
        </is>
      </c>
    </row>
    <row r="26" ht="18.95" customHeight="1">
      <c r="I26" s="434" t="n"/>
      <c r="J26" s="434" t="n"/>
      <c r="AD26" s="431" t="n"/>
      <c r="AE26" s="17" t="n"/>
      <c r="AG26" s="190" t="inlineStr">
        <is>
          <t xml:space="preserve">   Narrows Lake Phase A</t>
        </is>
      </c>
      <c r="AH26" s="419" t="n">
        <v>7.2</v>
      </c>
      <c r="AI26" s="204" t="inlineStr">
        <is>
          <t>On Hold</t>
        </is>
      </c>
    </row>
    <row r="27" ht="18.95" customHeight="1">
      <c r="I27" s="434" t="n"/>
      <c r="J27" s="434" t="n"/>
      <c r="AG27" s="190" t="inlineStr">
        <is>
          <t xml:space="preserve">   Narrows Lake Phase B and C</t>
        </is>
      </c>
      <c r="AH27" s="419" t="n">
        <v>13.5</v>
      </c>
      <c r="AI27" s="204" t="inlineStr">
        <is>
          <t>Approved</t>
        </is>
      </c>
    </row>
    <row r="28" ht="18.95" customHeight="1">
      <c r="I28" s="434" t="n"/>
      <c r="J28" s="434" t="n"/>
      <c r="AD28" s="17" t="n"/>
      <c r="AE28" s="17" t="n"/>
      <c r="AG28" s="190" t="inlineStr">
        <is>
          <t xml:space="preserve">   Saleski Pilot</t>
        </is>
      </c>
      <c r="AH28" s="419" t="n">
        <v>0.5</v>
      </c>
      <c r="AI28" s="204" t="inlineStr">
        <is>
          <t>Approved</t>
        </is>
      </c>
    </row>
    <row r="29" ht="18.95" customHeight="1">
      <c r="I29" s="434" t="n"/>
      <c r="J29" s="434" t="n"/>
      <c r="AD29" s="17" t="n"/>
      <c r="AE29" s="17" t="n"/>
      <c r="AG29" s="190" t="inlineStr">
        <is>
          <t xml:space="preserve">   Sunrise Phases 2A</t>
        </is>
      </c>
      <c r="AH29" s="419" t="n">
        <v>7.9</v>
      </c>
      <c r="AI29" s="204" t="inlineStr">
        <is>
          <t>Approved</t>
        </is>
      </c>
    </row>
    <row r="30" ht="18.95" customHeight="1">
      <c r="I30" s="434" t="n"/>
      <c r="J30" s="434" t="n"/>
      <c r="AD30" s="18" t="n"/>
      <c r="AE30" s="18" t="n"/>
      <c r="AG30" s="190" t="inlineStr">
        <is>
          <t xml:space="preserve">   Sunrise Phases 2B</t>
        </is>
      </c>
      <c r="AH30" s="419" t="n">
        <v>6.4</v>
      </c>
      <c r="AI30" s="204" t="inlineStr">
        <is>
          <t>Approved</t>
        </is>
      </c>
    </row>
    <row r="31" ht="18.95" customHeight="1">
      <c r="I31" s="434" t="n"/>
      <c r="J31" s="434" t="n"/>
      <c r="AG31" s="190" t="inlineStr">
        <is>
          <t xml:space="preserve">   Telephone Lake Phases A and B</t>
        </is>
      </c>
      <c r="AH31" s="419" t="n">
        <v>14.4</v>
      </c>
      <c r="AI31" s="204" t="inlineStr">
        <is>
          <t>Approved</t>
        </is>
      </c>
    </row>
    <row r="32" ht="18.95" customHeight="1">
      <c r="I32" s="434" t="n"/>
      <c r="J32" s="434" t="n"/>
      <c r="AD32" s="15" t="n"/>
      <c r="AE32" s="15" t="n"/>
      <c r="AG32" s="190" t="inlineStr">
        <is>
          <t>Connacher Oil and Gas Limited</t>
        </is>
      </c>
      <c r="AH32" s="419" t="n"/>
      <c r="AI32" s="204" t="n"/>
    </row>
    <row r="33" ht="18.95" customHeight="1">
      <c r="I33" s="434" t="n"/>
      <c r="J33" s="434" t="n"/>
      <c r="AD33" s="15" t="n"/>
      <c r="AE33" s="15" t="n"/>
      <c r="AG33" s="190" t="inlineStr">
        <is>
          <t xml:space="preserve">   Great Divide Expansion Phases 1A and 1B</t>
        </is>
      </c>
      <c r="AH33" s="419" t="n">
        <v>3.8</v>
      </c>
      <c r="AI33" s="204" t="inlineStr">
        <is>
          <t>Approved</t>
        </is>
      </c>
    </row>
    <row r="34" ht="18.95" customHeight="1">
      <c r="AG34" s="190" t="inlineStr">
        <is>
          <t>Grizzly Oil Sands</t>
        </is>
      </c>
      <c r="AH34" s="419" t="n"/>
      <c r="AI34" s="204" t="n"/>
    </row>
    <row r="35" ht="18.95" customHeight="1">
      <c r="AG35" s="190" t="inlineStr">
        <is>
          <t xml:space="preserve">   Algar Phase 2</t>
        </is>
      </c>
      <c r="AH35" s="419" t="n">
        <v>1</v>
      </c>
      <c r="AI35" s="204" t="inlineStr">
        <is>
          <t>On Hold</t>
        </is>
      </c>
    </row>
    <row r="36" ht="18.95" customHeight="1">
      <c r="AG36" s="190" t="inlineStr">
        <is>
          <t xml:space="preserve">   May River Phases 1 </t>
        </is>
      </c>
      <c r="AH36" s="419" t="n">
        <v>1.6</v>
      </c>
      <c r="AI36" s="204" t="inlineStr">
        <is>
          <t>Approved</t>
        </is>
      </c>
    </row>
    <row r="37" ht="18.95" customHeight="1">
      <c r="AG37" s="190" t="inlineStr">
        <is>
          <t>Harvest Operations Corp.</t>
        </is>
      </c>
      <c r="AH37" s="419" t="n"/>
      <c r="AI37" s="204" t="n"/>
    </row>
    <row r="38" ht="18.95" customHeight="1">
      <c r="AG38" s="190" t="inlineStr">
        <is>
          <t xml:space="preserve">   BlackGold Phase 2</t>
        </is>
      </c>
      <c r="AH38" s="419" t="n">
        <v>3.2</v>
      </c>
      <c r="AI38" s="204" t="inlineStr">
        <is>
          <t>Approved</t>
        </is>
      </c>
    </row>
    <row r="39" ht="18.95" customHeight="1">
      <c r="AG39" s="190" t="inlineStr">
        <is>
          <t>Imperial Oil</t>
        </is>
      </c>
      <c r="AH39" s="419" t="n"/>
      <c r="AI39" s="204" t="n"/>
    </row>
    <row r="40" ht="18.95" customHeight="1">
      <c r="AG40" s="190" t="inlineStr">
        <is>
          <t xml:space="preserve">  Aspen Phases 1–2</t>
        </is>
      </c>
      <c r="AH40" s="419" t="n">
        <v>23.8</v>
      </c>
      <c r="AI40" s="204" t="inlineStr">
        <is>
          <t xml:space="preserve">On Hold </t>
        </is>
      </c>
    </row>
    <row r="41" ht="18.95" customHeight="1">
      <c r="AG41" s="190" t="inlineStr">
        <is>
          <t xml:space="preserve">  Cold Lake Expansion</t>
        </is>
      </c>
      <c r="AH41" s="419" t="n">
        <v>7.9</v>
      </c>
      <c r="AI41" s="204" t="inlineStr">
        <is>
          <t>Approved</t>
        </is>
      </c>
    </row>
    <row r="42" ht="18.95" customHeight="1">
      <c r="AG42" s="190" t="inlineStr">
        <is>
          <t>International Petroleum Corporation (formerly BlackPearl)</t>
        </is>
      </c>
      <c r="AH42" s="419" t="n"/>
      <c r="AI42" s="204" t="n"/>
    </row>
    <row r="43" ht="18.95" customHeight="1">
      <c r="AG43" s="190" t="inlineStr">
        <is>
          <t xml:space="preserve">   Blackrod Commercial Phase 2–3</t>
        </is>
      </c>
      <c r="AH43" s="419" t="n">
        <v>9.6</v>
      </c>
      <c r="AI43" s="204" t="inlineStr">
        <is>
          <t>Approved</t>
        </is>
      </c>
    </row>
    <row r="44" ht="18.95" customHeight="1">
      <c r="AG44" s="190" t="inlineStr">
        <is>
          <t>MEG Energy</t>
        </is>
      </c>
      <c r="AH44" s="419" t="n"/>
      <c r="AI44" s="204" t="n"/>
    </row>
    <row r="45" ht="18.95" customHeight="1">
      <c r="AG45" s="190" t="inlineStr">
        <is>
          <t xml:space="preserve">   Christina Lake Phases 3A–3C</t>
        </is>
      </c>
      <c r="AH45" s="419" t="n">
        <v>19.5</v>
      </c>
      <c r="AI45" s="204" t="inlineStr">
        <is>
          <t>Approved</t>
        </is>
      </c>
    </row>
    <row r="46" ht="18.95" customHeight="1">
      <c r="AG46" s="190" t="inlineStr">
        <is>
          <t xml:space="preserve">   May River Phases 1–3</t>
        </is>
      </c>
      <c r="AH46" s="419" t="n">
        <v>26</v>
      </c>
      <c r="AI46" s="204" t="inlineStr">
        <is>
          <t>Application</t>
        </is>
      </c>
    </row>
    <row r="47" ht="18.95" customHeight="1">
      <c r="AG47" s="190" t="inlineStr">
        <is>
          <t xml:space="preserve">   Surmont Phases 1–3</t>
        </is>
      </c>
      <c r="AH47" s="419" t="n">
        <v>19.5</v>
      </c>
      <c r="AI47" s="204" t="inlineStr">
        <is>
          <t>Approved</t>
        </is>
      </c>
    </row>
    <row r="48" ht="18.95" customHeight="1">
      <c r="AG48" s="190" t="inlineStr">
        <is>
          <t>PetroChina Canada (formerly Brion Energy)</t>
        </is>
      </c>
      <c r="AH48" s="419" t="n"/>
      <c r="AI48" s="204" t="n"/>
    </row>
    <row r="49" ht="18.95" customHeight="1">
      <c r="AG49" s="190" t="inlineStr">
        <is>
          <t xml:space="preserve">   Dover Phase 1</t>
        </is>
      </c>
      <c r="AH49" s="419" t="n">
        <v>8</v>
      </c>
      <c r="AI49" s="204" t="inlineStr">
        <is>
          <t>Approved</t>
        </is>
      </c>
    </row>
    <row r="50" ht="18.95" customHeight="1">
      <c r="AG50" s="190" t="inlineStr">
        <is>
          <t xml:space="preserve">   Dover Phases 2–5</t>
        </is>
      </c>
      <c r="AH50" s="419" t="n">
        <v>32</v>
      </c>
      <c r="AI50" s="204" t="inlineStr">
        <is>
          <t>Approved</t>
        </is>
      </c>
    </row>
    <row r="51" ht="18.95" customHeight="1">
      <c r="AG51" s="190" t="inlineStr">
        <is>
          <t xml:space="preserve">   MacKay River Phases 2–4</t>
        </is>
      </c>
      <c r="AH51" s="419" t="n">
        <v>18.4</v>
      </c>
      <c r="AI51" s="204" t="inlineStr">
        <is>
          <t>Approved</t>
        </is>
      </c>
    </row>
    <row r="52" ht="18.95" customHeight="1">
      <c r="AG52" s="190" t="inlineStr">
        <is>
          <t>Prosper Petroleum</t>
        </is>
      </c>
      <c r="AH52" s="419" t="n"/>
      <c r="AI52" s="204" t="n"/>
    </row>
    <row r="53" ht="18.95" customHeight="1">
      <c r="AG53" s="190" t="inlineStr">
        <is>
          <t xml:space="preserve">   Rigel Phase 1</t>
        </is>
      </c>
      <c r="AH53" s="419" t="n">
        <v>1.6</v>
      </c>
      <c r="AI53" s="204" t="inlineStr">
        <is>
          <t>On Hold</t>
        </is>
      </c>
    </row>
    <row r="54" ht="18.95" customHeight="1">
      <c r="AG54" s="190" t="inlineStr">
        <is>
          <t>Suncor Energy</t>
        </is>
      </c>
      <c r="AH54" s="419" t="n"/>
      <c r="AI54" s="204" t="n"/>
    </row>
    <row r="55" ht="18.95" customHeight="1">
      <c r="AG55" s="190" t="inlineStr">
        <is>
          <t xml:space="preserve">   Firebag Phases 5 and 6</t>
        </is>
      </c>
      <c r="AH55" s="419" t="n">
        <v>19.8</v>
      </c>
      <c r="AI55" s="204" t="inlineStr">
        <is>
          <t>Approved</t>
        </is>
      </c>
    </row>
    <row r="56" ht="18.95" customHeight="1">
      <c r="AG56" s="190" t="inlineStr">
        <is>
          <t xml:space="preserve">   Lewis Phases 1-4</t>
        </is>
      </c>
      <c r="AH56" s="419" t="n">
        <v>25.4</v>
      </c>
      <c r="AI56" s="204" t="inlineStr">
        <is>
          <t>Approved</t>
        </is>
      </c>
    </row>
    <row r="57" ht="18.95" customHeight="1">
      <c r="AG57" s="190" t="inlineStr">
        <is>
          <t xml:space="preserve">   Meadow Creek East Phases 1 and 2</t>
        </is>
      </c>
      <c r="AH57" s="419" t="n">
        <v>12.7</v>
      </c>
      <c r="AI57" s="204" t="inlineStr">
        <is>
          <t>Approved</t>
        </is>
      </c>
    </row>
    <row r="58" ht="18.95" customHeight="1">
      <c r="AG58" s="190" t="inlineStr">
        <is>
          <t xml:space="preserve">   Meadow Creek West Phase 1</t>
        </is>
      </c>
      <c r="AH58" s="419" t="n">
        <v>6.4</v>
      </c>
      <c r="AI58" s="204" t="inlineStr">
        <is>
          <t>Approved</t>
        </is>
      </c>
    </row>
    <row r="59" ht="18.95" customHeight="1">
      <c r="AG59" s="190" t="inlineStr">
        <is>
          <t xml:space="preserve">   MacKay Phase 2</t>
        </is>
      </c>
      <c r="AH59" s="419" t="n">
        <v>3.2</v>
      </c>
      <c r="AI59" s="204" t="inlineStr">
        <is>
          <t>On Hold</t>
        </is>
      </c>
    </row>
    <row r="60" ht="18.95" customHeight="1">
      <c r="AG60" s="190" t="inlineStr">
        <is>
          <t>Sunshine Oilsands</t>
        </is>
      </c>
      <c r="AH60" s="419" t="n"/>
      <c r="AI60" s="204" t="n"/>
    </row>
    <row r="61" ht="18.95" customHeight="1">
      <c r="AG61" s="190" t="inlineStr">
        <is>
          <t xml:space="preserve">   Thickwood Phase A1</t>
        </is>
      </c>
      <c r="AH61" s="419" t="n">
        <v>1.6</v>
      </c>
      <c r="AI61" s="204" t="inlineStr">
        <is>
          <t>Approved</t>
        </is>
      </c>
    </row>
    <row r="62" ht="18.95" customHeight="1">
      <c r="AG62" s="190" t="inlineStr">
        <is>
          <t xml:space="preserve">   West Ells Phase A2</t>
        </is>
      </c>
      <c r="AH62" s="419" t="n">
        <v>0.8</v>
      </c>
      <c r="AI62" s="204" t="inlineStr">
        <is>
          <t>Approved</t>
        </is>
      </c>
    </row>
    <row r="63" ht="18.95" customHeight="1">
      <c r="AG63" s="190" t="inlineStr">
        <is>
          <t>Surmont Energy</t>
        </is>
      </c>
      <c r="AH63" s="419" t="n"/>
      <c r="AI63" s="204" t="n"/>
    </row>
    <row r="64" ht="18.95" customHeight="1">
      <c r="AG64" s="190" t="inlineStr">
        <is>
          <t xml:space="preserve">   Wildwood</t>
        </is>
      </c>
      <c r="AH64" s="419" t="n">
        <v>1.9</v>
      </c>
      <c r="AI64" s="204" t="inlineStr">
        <is>
          <t>Approved</t>
        </is>
      </c>
    </row>
    <row r="65" ht="18.95" customHeight="1">
      <c r="AG65" s="190" t="inlineStr">
        <is>
          <t>Value Creation Group</t>
        </is>
      </c>
      <c r="AH65" s="419" t="n"/>
      <c r="AI65" s="204" t="n"/>
    </row>
    <row r="66" ht="18.95" customHeight="1">
      <c r="AG66" s="190" t="inlineStr">
        <is>
          <t xml:space="preserve">   Terre de Grace Phase 1</t>
        </is>
      </c>
      <c r="AH66" s="419" t="n">
        <v>1.6</v>
      </c>
      <c r="AI66" s="204" t="inlineStr">
        <is>
          <t>On Hold</t>
        </is>
      </c>
    </row>
    <row r="67" ht="18.95" customHeight="1">
      <c r="AG67" s="272" t="inlineStr">
        <is>
          <t>Cold Lake Oil Sands Area</t>
        </is>
      </c>
      <c r="AH67" s="436" t="n"/>
      <c r="AI67" s="274" t="n"/>
    </row>
    <row r="68" ht="18.95" customHeight="1">
      <c r="AG68" s="190" t="inlineStr">
        <is>
          <t>Baytex</t>
        </is>
      </c>
      <c r="AH68" s="419" t="n"/>
      <c r="AI68" s="204" t="n"/>
    </row>
    <row r="69" ht="18.95" customHeight="1">
      <c r="AG69" s="190" t="inlineStr">
        <is>
          <t xml:space="preserve">   Gemini Phase 1 </t>
        </is>
      </c>
      <c r="AH69" s="419">
        <f>5/6.29</f>
        <v/>
      </c>
      <c r="AI69" s="204" t="inlineStr">
        <is>
          <t>On Hold</t>
        </is>
      </c>
    </row>
    <row r="70" ht="18.95" customHeight="1">
      <c r="AG70" s="190" t="inlineStr">
        <is>
          <t>Imperial Oil</t>
        </is>
      </c>
      <c r="AH70" s="419" t="n"/>
      <c r="AI70" s="204" t="n"/>
    </row>
    <row r="71" ht="18.95" customHeight="1">
      <c r="AG71" s="190" t="inlineStr">
        <is>
          <t xml:space="preserve">   Cold Lake Grand Rapids Expansion</t>
        </is>
      </c>
      <c r="AH71" s="419" t="n">
        <v>7.9</v>
      </c>
      <c r="AI71" s="204" t="inlineStr">
        <is>
          <t>Approved</t>
        </is>
      </c>
    </row>
    <row r="72" ht="18.95" customHeight="1">
      <c r="AG72" s="190" t="inlineStr">
        <is>
          <t xml:space="preserve">Northern Alberta Oil Ltd. </t>
        </is>
      </c>
      <c r="AH72" s="419" t="n"/>
      <c r="AI72" s="204" t="n"/>
    </row>
    <row r="73" ht="18.95" customHeight="1">
      <c r="AG73" s="190" t="inlineStr">
        <is>
          <t xml:space="preserve">   Sawn Lake Pilot</t>
        </is>
      </c>
      <c r="AH73" s="419" t="n">
        <v>0.2</v>
      </c>
      <c r="AI73" s="204" t="inlineStr">
        <is>
          <t>Approved</t>
        </is>
      </c>
    </row>
    <row r="74" ht="18.95" customHeight="1">
      <c r="AG74" s="190" t="inlineStr">
        <is>
          <t>Osum Oil Sands Corp.</t>
        </is>
      </c>
      <c r="AH74" s="419" t="n"/>
      <c r="AI74" s="204" t="n"/>
    </row>
    <row r="75" ht="18.95" customHeight="1">
      <c r="AG75" s="190" t="inlineStr">
        <is>
          <t xml:space="preserve">   Taiga Phase 1</t>
        </is>
      </c>
      <c r="AH75" s="419" t="n">
        <v>7.2</v>
      </c>
      <c r="AI75" s="204" t="inlineStr">
        <is>
          <t>Approved</t>
        </is>
      </c>
    </row>
    <row r="76" ht="18.95" customHeight="1">
      <c r="AG76" s="190" t="inlineStr">
        <is>
          <t xml:space="preserve">   Orion Phase 2</t>
        </is>
      </c>
      <c r="AH76" s="419" t="n">
        <v>2</v>
      </c>
      <c r="AI76" s="204" t="inlineStr">
        <is>
          <t>Approved</t>
        </is>
      </c>
    </row>
    <row r="77" ht="18.95" customHeight="1">
      <c r="AG77" s="272" t="inlineStr">
        <is>
          <t>Peace River Oil Sands Area</t>
        </is>
      </c>
      <c r="AH77" s="436" t="n"/>
      <c r="AI77" s="274" t="n"/>
    </row>
    <row r="78" ht="18.95" customHeight="1">
      <c r="AG78" s="190" t="inlineStr">
        <is>
          <t>CNRL Peace River (formerly Shell)</t>
        </is>
      </c>
      <c r="AH78" s="419" t="n"/>
      <c r="AI78" s="204" t="n"/>
    </row>
    <row r="79" ht="18.95" customHeight="1">
      <c r="AG79" s="190" t="inlineStr">
        <is>
          <t xml:space="preserve">   Carmon Creek Phase 1</t>
        </is>
      </c>
      <c r="AH79" s="419" t="n">
        <v>4.3</v>
      </c>
      <c r="AI79" s="204" t="inlineStr">
        <is>
          <t>On Hold</t>
        </is>
      </c>
    </row>
    <row r="80" ht="18.95" customHeight="1">
      <c r="AG80" s="205" t="inlineStr">
        <is>
          <t xml:space="preserve">   Carmon Creek Phase 2</t>
        </is>
      </c>
      <c r="AH80" s="437" t="n">
        <v>6.3</v>
      </c>
      <c r="AI80" s="206" t="inlineStr">
        <is>
          <t>On Hold</t>
        </is>
      </c>
    </row>
    <row r="81" ht="18.95" customHeight="1">
      <c r="AG81" s="202" t="inlineStr">
        <is>
          <t>Source: AER and company releases.</t>
        </is>
      </c>
      <c r="AH81" s="207" t="n"/>
      <c r="AI81" s="207" t="n"/>
    </row>
    <row r="82" ht="18.95" customHeight="1">
      <c r="AG82" s="46" t="inlineStr">
        <is>
          <t>Note: Projects are considered proposed until operational.</t>
        </is>
      </c>
    </row>
    <row r="83" ht="18.95" customHeight="1">
      <c r="AG83" s="195" t="n"/>
      <c r="AH83" s="141" t="n"/>
      <c r="AI83" s="141" t="n"/>
    </row>
    <row r="84" ht="18.95" customHeight="1">
      <c r="AG84" s="195" t="n"/>
      <c r="AH84" s="141" t="n"/>
      <c r="AI84" s="141" t="n"/>
    </row>
    <row r="85" ht="18.95" customHeight="1">
      <c r="AG85" s="195" t="n"/>
      <c r="AH85" s="408" t="n"/>
      <c r="AI85" s="141" t="n"/>
    </row>
    <row r="86" ht="18.95" customHeight="1">
      <c r="AG86" s="195" t="n"/>
      <c r="AH86" s="141" t="n"/>
      <c r="AI86" s="141" t="n"/>
    </row>
    <row r="87" ht="18.95" customHeight="1">
      <c r="AG87" s="195" t="n"/>
      <c r="AH87" s="141" t="n"/>
      <c r="AI87" s="141" t="n"/>
    </row>
    <row r="88" ht="18.95" customHeight="1">
      <c r="AG88" s="195" t="n"/>
      <c r="AH88" s="141" t="n"/>
      <c r="AI88" s="141" t="n"/>
    </row>
    <row r="89" ht="18.95" customHeight="1">
      <c r="AG89" s="195" t="n"/>
      <c r="AH89" s="141" t="n"/>
      <c r="AI89" s="141" t="n"/>
    </row>
    <row r="90" ht="18.95" customHeight="1">
      <c r="AG90" s="195" t="n"/>
      <c r="AH90" s="141" t="n"/>
      <c r="AI90" s="141" t="n"/>
    </row>
    <row r="91" ht="18.95" customHeight="1">
      <c r="AG91" s="195" t="n"/>
      <c r="AH91" s="141" t="n"/>
      <c r="AI91" s="141" t="n"/>
    </row>
    <row r="92" ht="18.95" customHeight="1">
      <c r="AG92" s="195" t="n"/>
      <c r="AH92" s="141" t="n"/>
      <c r="AI92" s="141" t="n"/>
    </row>
    <row r="93" ht="18.95" customHeight="1">
      <c r="AH93" s="141" t="n"/>
      <c r="AI93" s="141" t="n"/>
    </row>
    <row r="94" ht="18.95" customHeight="1">
      <c r="AH94" s="141" t="n"/>
      <c r="AI94" s="141" t="n"/>
    </row>
    <row r="95" ht="18.75" customHeight="1">
      <c r="AG95" s="195" t="n"/>
      <c r="AH95" s="141" t="n"/>
      <c r="AI95" s="141" t="n"/>
    </row>
    <row r="96" ht="18.95" customHeight="1">
      <c r="AG96" s="195" t="n"/>
      <c r="AH96" s="141" t="n"/>
      <c r="AI96" s="141" t="n"/>
    </row>
    <row r="97" ht="18.95" customHeight="1">
      <c r="AG97" s="195" t="n"/>
      <c r="AH97" s="141" t="n"/>
      <c r="AI97" s="141" t="n"/>
    </row>
    <row r="98" ht="18.95" customHeight="1">
      <c r="AG98" s="195" t="n"/>
      <c r="AH98" s="141" t="n"/>
      <c r="AI98" s="141" t="n"/>
    </row>
    <row r="99" ht="18.95" customHeight="1">
      <c r="AG99" s="195" t="n"/>
      <c r="AH99" s="141" t="n"/>
      <c r="AI99" s="141" t="n"/>
      <c r="AJ99" s="46" t="n"/>
    </row>
    <row r="100" ht="18.95" customHeight="1">
      <c r="AG100" s="46" t="n"/>
      <c r="AH100" s="271" t="n"/>
      <c r="AI100" s="271" t="n"/>
      <c r="AJ100" s="46" t="n"/>
    </row>
    <row r="101" ht="18.95" customHeight="1">
      <c r="AG101" s="132" t="n"/>
      <c r="AH101" s="431" t="n"/>
      <c r="AI101" s="17" t="n"/>
    </row>
    <row r="102" ht="18.95" customHeight="1">
      <c r="AG102" s="132" t="n"/>
      <c r="AH102" s="431" t="n"/>
      <c r="AI102" s="17" t="n"/>
    </row>
    <row r="103" ht="18.95" customHeight="1">
      <c r="AG103" s="132" t="n"/>
      <c r="AH103" s="431" t="n"/>
      <c r="AI103" s="17" t="n"/>
    </row>
    <row r="104" ht="18.95" customHeight="1">
      <c r="AG104" s="132" t="n"/>
      <c r="AH104" s="408" t="n"/>
      <c r="AI104" s="141" t="n"/>
    </row>
    <row r="105" ht="18.95" customHeight="1">
      <c r="AG105" s="132" t="n"/>
      <c r="AH105" s="431" t="n"/>
      <c r="AI105" s="17" t="n"/>
    </row>
    <row r="106" ht="18.95" customHeight="1">
      <c r="AG106" s="142" t="n"/>
      <c r="AH106" s="431" t="n"/>
      <c r="AI106" s="17" t="n"/>
    </row>
    <row r="107" ht="18.95" customHeight="1">
      <c r="AH107" s="432" t="n"/>
      <c r="AI107" s="18" t="n"/>
    </row>
    <row r="108" ht="18.75" customHeight="1">
      <c r="AH108" s="432" t="n"/>
      <c r="AI108" s="18" t="n"/>
    </row>
    <row r="109" ht="18.75" customHeight="1">
      <c r="AH109" s="434" t="n"/>
    </row>
    <row r="110" ht="18.75" customHeight="1">
      <c r="AG110" s="132" t="n"/>
      <c r="AH110" s="431" t="n"/>
      <c r="AI110" s="17" t="n"/>
    </row>
    <row r="111" ht="18.75" customHeight="1">
      <c r="AG111" s="132" t="n"/>
      <c r="AH111" s="431" t="n"/>
      <c r="AI111" s="17" t="n"/>
    </row>
    <row r="112" ht="18" customHeight="1"/>
    <row r="113" ht="18" customHeight="1"/>
    <row r="114" ht="18" customHeight="1"/>
    <row r="115" ht="18" customHeight="1"/>
    <row r="116" ht="18" customHeight="1"/>
  </sheetData>
  <mergeCells count="12">
    <mergeCell ref="L2:M2"/>
    <mergeCell ref="AG2:AI2"/>
    <mergeCell ref="P3:Q3"/>
    <mergeCell ref="AK2:AM2"/>
    <mergeCell ref="H18:J18"/>
    <mergeCell ref="L3:L4"/>
    <mergeCell ref="AC2:AD2"/>
    <mergeCell ref="A8:F8"/>
    <mergeCell ref="A4:F4"/>
    <mergeCell ref="W3:X3"/>
    <mergeCell ref="V2:AA2"/>
    <mergeCell ref="O2:T2"/>
  </mergeCells>
  <pageMargins left="0.7" right="0.7" top="0.75" bottom="0.75" header="0.3" footer="0.3"/>
  <pageSetup orientation="portrait"/>
  <headerFooter>
    <oddHeader/>
    <oddFooter>&amp;L&amp;"Calibri"&amp;10 &amp;K000000_x000d_# Security Classification: Protected 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zoomScaleNormal="100" workbookViewId="0">
      <selection activeCell="N17" sqref="N17"/>
    </sheetView>
  </sheetViews>
  <sheetFormatPr baseColWidth="8" defaultRowHeight="12.75"/>
  <cols>
    <col width="15.7109375" customWidth="1" style="4" min="1" max="1"/>
    <col width="18.7109375" customWidth="1" style="4" min="2" max="4"/>
    <col width="9.140625" customWidth="1" style="4" min="5" max="5"/>
    <col width="45.7109375" customWidth="1" style="4" min="6" max="6"/>
    <col width="12" customWidth="1" style="4" min="7" max="7"/>
    <col width="45.7109375" customWidth="1" style="4" min="8" max="8"/>
    <col width="9.140625" customWidth="1" style="4" min="9" max="9"/>
    <col width="25.7109375" customWidth="1" style="11" min="10" max="12"/>
    <col width="9.28515625" customWidth="1" style="11" min="13" max="13"/>
    <col width="81.28515625" customWidth="1" style="11" min="14" max="14"/>
    <col width="12.140625" customWidth="1" style="11" min="15" max="15"/>
    <col width="11.7109375" customWidth="1" style="11" min="16" max="16"/>
    <col width="9.85546875" customWidth="1" style="11" min="17" max="17"/>
    <col width="12.42578125" customWidth="1" style="11" min="18" max="18"/>
    <col width="10.5703125" customWidth="1" style="11" min="19" max="19"/>
    <col width="44" customWidth="1" style="11" min="20" max="20"/>
    <col width="12" customWidth="1" style="11" min="21" max="21"/>
    <col width="2.7109375" customWidth="1" style="4" min="22" max="22"/>
    <col width="9.140625" customWidth="1" style="4" min="23" max="16384"/>
  </cols>
  <sheetData>
    <row r="1" ht="27.95" customHeight="1">
      <c r="A1" s="438" t="inlineStr">
        <is>
          <t>Table AA.1  Symbols</t>
        </is>
      </c>
      <c r="B1" s="355" t="n"/>
      <c r="C1" s="355" t="n"/>
      <c r="D1" s="439" t="n"/>
      <c r="E1" s="78" t="n"/>
      <c r="F1" s="342" t="inlineStr">
        <is>
          <t xml:space="preserve">Table AA.2  Metric and Imperial Equivalent Units(a) </t>
        </is>
      </c>
      <c r="G1" s="350" t="n"/>
      <c r="H1" s="351" t="n"/>
      <c r="J1" s="342" t="inlineStr">
        <is>
          <t>Table AA.3  Value and Scientific Notation</t>
        </is>
      </c>
      <c r="K1" s="350" t="n"/>
      <c r="L1" s="351" t="n"/>
      <c r="N1" s="342" t="inlineStr">
        <is>
          <t>Table AA.4  Energy Content Factors</t>
        </is>
      </c>
      <c r="O1" s="351" t="n"/>
      <c r="P1" s="4" t="n"/>
      <c r="Q1" s="4" t="n"/>
      <c r="R1" s="4" t="n"/>
    </row>
    <row r="2" ht="26.25" customHeight="1">
      <c r="A2" s="440" t="inlineStr">
        <is>
          <t>International System of Units (SI)</t>
        </is>
      </c>
      <c r="B2" s="350" t="n"/>
      <c r="C2" s="350" t="n"/>
      <c r="D2" s="351" t="n"/>
      <c r="F2" s="69" t="inlineStr">
        <is>
          <t>Metric</t>
        </is>
      </c>
      <c r="G2" s="47" t="n"/>
      <c r="H2" s="69" t="inlineStr">
        <is>
          <t>Imperial</t>
        </is>
      </c>
      <c r="J2" s="71" t="inlineStr">
        <is>
          <t>Term</t>
        </is>
      </c>
      <c r="K2" s="75" t="inlineStr">
        <is>
          <t>Value
(short scale)</t>
        </is>
      </c>
      <c r="L2" s="70" t="inlineStr">
        <is>
          <t>Scientific notation</t>
        </is>
      </c>
      <c r="N2" s="342" t="inlineStr">
        <is>
          <t>Energy resource</t>
        </is>
      </c>
      <c r="O2" s="47" t="inlineStr">
        <is>
          <t>Gigajoules</t>
        </is>
      </c>
    </row>
    <row r="3" ht="35.1" customHeight="1">
      <c r="A3" s="79" t="inlineStr">
        <is>
          <t>°C degree</t>
        </is>
      </c>
      <c r="B3" s="85" t="inlineStr">
        <is>
          <t>Celcius</t>
        </is>
      </c>
      <c r="C3" s="22" t="inlineStr">
        <is>
          <t>M</t>
        </is>
      </c>
      <c r="D3" s="80" t="inlineStr">
        <is>
          <t>mega</t>
        </is>
      </c>
      <c r="E3" s="22" t="n"/>
      <c r="F3" s="68" t="inlineStr">
        <is>
          <t>1 m3 of gas
(101.325 kPa and 15°C)</t>
        </is>
      </c>
      <c r="G3" s="64" t="inlineStr">
        <is>
          <t>=</t>
        </is>
      </c>
      <c r="H3" s="65" t="inlineStr">
        <is>
          <t>35.49373 cubic feet of gas
(14.65 psia and 60°F)</t>
        </is>
      </c>
      <c r="J3" s="73" t="inlineStr">
        <is>
          <t>kilo</t>
        </is>
      </c>
      <c r="K3" s="76" t="inlineStr">
        <is>
          <t>thousand</t>
        </is>
      </c>
      <c r="L3" s="72" t="inlineStr">
        <is>
          <t>10 3</t>
        </is>
      </c>
      <c r="N3" s="65" t="inlineStr">
        <is>
          <t>Natural gas (per thousand cubic metres)</t>
        </is>
      </c>
      <c r="O3" s="12" t="inlineStr">
        <is>
          <t>37.4*</t>
        </is>
      </c>
    </row>
    <row r="4" ht="35.1" customHeight="1">
      <c r="A4" s="79" t="inlineStr">
        <is>
          <t>d</t>
        </is>
      </c>
      <c r="B4" s="80" t="inlineStr">
        <is>
          <t>day</t>
        </is>
      </c>
      <c r="C4" s="22" t="inlineStr">
        <is>
          <t>m</t>
        </is>
      </c>
      <c r="D4" s="80" t="inlineStr">
        <is>
          <t>metre</t>
        </is>
      </c>
      <c r="E4" s="22" t="n"/>
      <c r="F4" s="68" t="inlineStr">
        <is>
          <t>1 m3 of ethane
(equilibrium pressure and 15°C)</t>
        </is>
      </c>
      <c r="G4" s="64" t="inlineStr">
        <is>
          <t>=</t>
        </is>
      </c>
      <c r="H4" s="65" t="inlineStr">
        <is>
          <t>6.3301 Canadian barrels of ethane
(equilibrium pressure and 60°F)</t>
        </is>
      </c>
      <c r="J4" s="73" t="inlineStr">
        <is>
          <t>mega</t>
        </is>
      </c>
      <c r="K4" s="76" t="inlineStr">
        <is>
          <t>million</t>
        </is>
      </c>
      <c r="L4" s="72" t="inlineStr">
        <is>
          <t>10 6</t>
        </is>
      </c>
      <c r="N4" s="65" t="inlineStr">
        <is>
          <t>Ethane (per cubic metre)</t>
        </is>
      </c>
      <c r="O4" s="12" t="n">
        <v>18.5</v>
      </c>
    </row>
    <row r="5" ht="35.1" customHeight="1">
      <c r="A5" s="79" t="inlineStr">
        <is>
          <t>EJ</t>
        </is>
      </c>
      <c r="B5" s="80" t="inlineStr">
        <is>
          <t>exajoule</t>
        </is>
      </c>
      <c r="C5" s="22" t="inlineStr">
        <is>
          <t>MJ</t>
        </is>
      </c>
      <c r="D5" s="80" t="inlineStr">
        <is>
          <t>megajoule</t>
        </is>
      </c>
      <c r="E5" s="22" t="n"/>
      <c r="F5" s="68" t="inlineStr">
        <is>
          <t>1 m3 of propane
(equilibrium pressure and 15°C)</t>
        </is>
      </c>
      <c r="G5" s="64" t="inlineStr">
        <is>
          <t>=</t>
        </is>
      </c>
      <c r="H5" s="441" t="inlineStr">
        <is>
          <t>6.3000 Canadian barrels of propane
(equilibrium pressure and 60°F)</t>
        </is>
      </c>
      <c r="J5" s="73" t="inlineStr">
        <is>
          <t>giga</t>
        </is>
      </c>
      <c r="K5" s="76" t="inlineStr">
        <is>
          <t>billion</t>
        </is>
      </c>
      <c r="L5" s="72" t="inlineStr">
        <is>
          <t>10 9</t>
        </is>
      </c>
      <c r="N5" s="65" t="inlineStr">
        <is>
          <t>Propane (per cubic metre)</t>
        </is>
      </c>
      <c r="O5" s="12" t="n">
        <v>25.4</v>
      </c>
    </row>
    <row r="6" ht="35.1" customHeight="1">
      <c r="A6" s="79" t="inlineStr">
        <is>
          <t>ha</t>
        </is>
      </c>
      <c r="B6" s="80" t="inlineStr">
        <is>
          <t>hectare</t>
        </is>
      </c>
      <c r="C6" s="22" t="inlineStr">
        <is>
          <t>mol</t>
        </is>
      </c>
      <c r="D6" s="80" t="inlineStr">
        <is>
          <t>mole</t>
        </is>
      </c>
      <c r="E6" s="22" t="n"/>
      <c r="F6" s="68" t="inlineStr">
        <is>
          <t>1 m3 of butanes
(equilibrium pressure and 15°C)</t>
        </is>
      </c>
      <c r="G6" s="64" t="inlineStr">
        <is>
          <t>=</t>
        </is>
      </c>
      <c r="H6" s="65" t="inlineStr">
        <is>
          <t>6.2968 Canadian barrels of butanes
(equilibrium pressure and 60°F)</t>
        </is>
      </c>
      <c r="J6" s="73" t="inlineStr">
        <is>
          <t>tera</t>
        </is>
      </c>
      <c r="K6" s="76" t="inlineStr">
        <is>
          <t>thousand billion (trillion)</t>
        </is>
      </c>
      <c r="L6" s="72" t="inlineStr">
        <is>
          <t>10 12</t>
        </is>
      </c>
      <c r="N6" s="65" t="inlineStr">
        <is>
          <t>Butanes (per cubic metre)</t>
        </is>
      </c>
      <c r="O6" s="12" t="n">
        <v>28.2</v>
      </c>
    </row>
    <row r="7" ht="35.1" customHeight="1">
      <c r="A7" s="79" t="inlineStr">
        <is>
          <t>J</t>
        </is>
      </c>
      <c r="B7" s="80" t="inlineStr">
        <is>
          <t>joule</t>
        </is>
      </c>
      <c r="C7" s="22" t="inlineStr">
        <is>
          <t>T</t>
        </is>
      </c>
      <c r="D7" s="80" t="inlineStr">
        <is>
          <t>tera</t>
        </is>
      </c>
      <c r="E7" s="22" t="n"/>
      <c r="F7" s="68" t="inlineStr">
        <is>
          <t>1 m3 of oil or pentanes plus
(equilibrium pressure and 15°C)</t>
        </is>
      </c>
      <c r="G7" s="64" t="inlineStr">
        <is>
          <t>=</t>
        </is>
      </c>
      <c r="H7" s="65" t="inlineStr">
        <is>
          <t>6.2929 Canadian barrels of oil or pentanes plus
(equilibrium pressure and 60°F)</t>
        </is>
      </c>
      <c r="J7" s="73" t="inlineStr">
        <is>
          <t>peta</t>
        </is>
      </c>
      <c r="K7" s="76" t="inlineStr">
        <is>
          <t>million billion</t>
        </is>
      </c>
      <c r="L7" s="72" t="inlineStr">
        <is>
          <t>10 15</t>
        </is>
      </c>
      <c r="N7" s="342" t="inlineStr">
        <is>
          <t>Oil (per cubic metre)</t>
        </is>
      </c>
      <c r="O7" s="351" t="n"/>
    </row>
    <row r="8" ht="35.1" customHeight="1">
      <c r="A8" s="79" t="inlineStr">
        <is>
          <t>kg</t>
        </is>
      </c>
      <c r="B8" s="80" t="inlineStr">
        <is>
          <t>kilogram</t>
        </is>
      </c>
      <c r="C8" s="22" t="inlineStr">
        <is>
          <t>t</t>
        </is>
      </c>
      <c r="D8" s="80" t="inlineStr">
        <is>
          <t>tonne</t>
        </is>
      </c>
      <c r="E8" s="22" t="n"/>
      <c r="F8" s="68" t="inlineStr">
        <is>
          <t>1 m3 of water
(equilibrium pressure and 15°C)</t>
        </is>
      </c>
      <c r="G8" s="64" t="inlineStr">
        <is>
          <t>=</t>
        </is>
      </c>
      <c r="H8" s="65" t="inlineStr">
        <is>
          <t>6.2901 Canadian barrels of water
(equilibrium pressure and 60°F)</t>
        </is>
      </c>
      <c r="J8" s="73" t="inlineStr">
        <is>
          <t>exa</t>
        </is>
      </c>
      <c r="K8" s="76" t="inlineStr">
        <is>
          <t>billion billion</t>
        </is>
      </c>
      <c r="L8" s="72" t="inlineStr">
        <is>
          <t>10 18</t>
        </is>
      </c>
      <c r="N8" s="65" t="inlineStr">
        <is>
          <t>Light and medium crude oil</t>
        </is>
      </c>
      <c r="O8" s="12" t="n">
        <v>38.5</v>
      </c>
    </row>
    <row r="9" ht="35.1" customHeight="1">
      <c r="A9" s="79" t="inlineStr">
        <is>
          <t>kPa</t>
        </is>
      </c>
      <c r="B9" s="84" t="inlineStr">
        <is>
          <t>kilopascal</t>
        </is>
      </c>
      <c r="C9" s="22" t="inlineStr">
        <is>
          <t>TJ</t>
        </is>
      </c>
      <c r="D9" s="80" t="inlineStr">
        <is>
          <t>terajoule</t>
        </is>
      </c>
      <c r="E9" s="22" t="n"/>
      <c r="F9" s="68" t="inlineStr">
        <is>
          <t>1 tonne</t>
        </is>
      </c>
      <c r="G9" s="64" t="inlineStr">
        <is>
          <t>=</t>
        </is>
      </c>
      <c r="H9" s="65" t="inlineStr">
        <is>
          <t xml:space="preserve">0.9842064 (U.K.) long tons (2240 pounds)  </t>
        </is>
      </c>
      <c r="N9" s="65" t="inlineStr">
        <is>
          <t>Heavy crude oil</t>
        </is>
      </c>
      <c r="O9" s="12" t="n">
        <v>41.4</v>
      </c>
    </row>
    <row r="10" ht="35.1" customHeight="1">
      <c r="A10" s="440" t="inlineStr">
        <is>
          <t>Imperial</t>
        </is>
      </c>
      <c r="B10" s="350" t="n"/>
      <c r="C10" s="350" t="n"/>
      <c r="D10" s="351" t="n"/>
      <c r="E10" s="22" t="n"/>
      <c r="F10" s="65" t="inlineStr">
        <is>
          <t>1 tonne</t>
        </is>
      </c>
      <c r="G10" s="64" t="inlineStr">
        <is>
          <t>=</t>
        </is>
      </c>
      <c r="H10" s="65" t="inlineStr">
        <is>
          <t>1.102311 short tons (2000 pounds)</t>
        </is>
      </c>
      <c r="N10" s="65" t="inlineStr">
        <is>
          <t>Bitumen</t>
        </is>
      </c>
      <c r="O10" s="12" t="n">
        <v>42.8</v>
      </c>
    </row>
    <row r="11" ht="35.1" customHeight="1">
      <c r="A11" s="79" t="inlineStr">
        <is>
          <t>bbl</t>
        </is>
      </c>
      <c r="B11" s="85" t="inlineStr">
        <is>
          <t>barrel</t>
        </is>
      </c>
      <c r="C11" s="22" t="inlineStr">
        <is>
          <t>°F</t>
        </is>
      </c>
      <c r="D11" s="80" t="inlineStr">
        <is>
          <t>degree Fahrenheit</t>
        </is>
      </c>
      <c r="E11" s="22" t="n"/>
      <c r="F11" s="68" t="inlineStr">
        <is>
          <t>1 gigajoule</t>
        </is>
      </c>
      <c r="G11" s="74" t="inlineStr">
        <is>
          <t>=</t>
        </is>
      </c>
      <c r="H11" s="442" t="inlineStr">
        <is>
          <t>0.9482133 British thermal units (Btu as defined in the federal Gas Inspection Act (60-61°F)</t>
        </is>
      </c>
      <c r="N11" s="65" t="inlineStr">
        <is>
          <t>Upgraded bitumen 
(synthetic crude oil)</t>
        </is>
      </c>
      <c r="O11" s="12" t="n">
        <v>39.4</v>
      </c>
    </row>
    <row r="12" ht="28.5" customHeight="1">
      <c r="A12" s="79" t="inlineStr">
        <is>
          <t>Btu</t>
        </is>
      </c>
      <c r="B12" s="80" t="inlineStr">
        <is>
          <t>British thermal unit</t>
        </is>
      </c>
      <c r="C12" s="22" t="inlineStr">
        <is>
          <t>psia</t>
        </is>
      </c>
      <c r="D12" s="81" t="inlineStr">
        <is>
          <t>pounds per square inch absolute</t>
        </is>
      </c>
      <c r="E12" s="22" t="n"/>
      <c r="F12" s="443" t="inlineStr">
        <is>
          <t>a Reserves and production data in this report are presented in the International System of Units (SI). The provincial totals and a few other major totals are shown in both SI units and the imperial equivalents in the various tables.</t>
        </is>
      </c>
      <c r="G12" s="355" t="n"/>
      <c r="H12" s="355" t="n"/>
      <c r="N12" s="65" t="inlineStr">
        <is>
          <t>Pentanes plus</t>
        </is>
      </c>
      <c r="O12" s="12" t="n">
        <v>33.1</v>
      </c>
    </row>
    <row r="13" ht="27.95" customHeight="1">
      <c r="A13" s="79" t="inlineStr">
        <is>
          <t>cf</t>
        </is>
      </c>
      <c r="B13" s="80" t="inlineStr">
        <is>
          <t>cubic foot</t>
        </is>
      </c>
      <c r="C13" s="22" t="inlineStr">
        <is>
          <t>psig</t>
        </is>
      </c>
      <c r="D13" s="81" t="inlineStr">
        <is>
          <t>pounds per square inch gauge</t>
        </is>
      </c>
      <c r="E13" s="22" t="n"/>
      <c r="F13" s="345" t="inlineStr">
        <is>
          <t>b Volumes of gas are given as at a standard pressure and temperature of 101.325 kPa and 15°C respectively.</t>
        </is>
      </c>
      <c r="N13" s="342" t="inlineStr">
        <is>
          <t>Refined petroleum products (per cubic metre)</t>
        </is>
      </c>
      <c r="O13" s="351" t="n"/>
      <c r="P13" s="13" t="n"/>
      <c r="Q13" s="13" t="n"/>
      <c r="R13" s="13" t="n"/>
    </row>
    <row r="14" ht="27.95" customHeight="1">
      <c r="A14" s="79" t="inlineStr">
        <is>
          <t>d</t>
        </is>
      </c>
      <c r="B14" s="80" t="inlineStr">
        <is>
          <t>day</t>
        </is>
      </c>
      <c r="C14" s="22" t="inlineStr">
        <is>
          <t>M</t>
        </is>
      </c>
      <c r="D14" s="80" t="inlineStr">
        <is>
          <t>thousand</t>
        </is>
      </c>
      <c r="E14" s="22" t="n"/>
      <c r="N14" s="65" t="inlineStr">
        <is>
          <t>Motor gasoline</t>
        </is>
      </c>
      <c r="O14" s="12" t="n">
        <v>34.7</v>
      </c>
    </row>
    <row r="15" ht="27.95" customHeight="1">
      <c r="A15" s="79" t="inlineStr">
        <is>
          <t xml:space="preserve">MM </t>
        </is>
      </c>
      <c r="B15" s="80" t="inlineStr">
        <is>
          <t>million</t>
        </is>
      </c>
      <c r="C15" s="22" t="inlineStr">
        <is>
          <t>B</t>
        </is>
      </c>
      <c r="D15" s="80" t="inlineStr">
        <is>
          <t>billion</t>
        </is>
      </c>
      <c r="E15" s="22" t="n"/>
      <c r="N15" s="65" t="inlineStr">
        <is>
          <t>Diesel</t>
        </is>
      </c>
      <c r="O15" s="12" t="n">
        <v>38.7</v>
      </c>
    </row>
    <row r="16" ht="27.95" customHeight="1">
      <c r="A16" s="82" t="inlineStr">
        <is>
          <t>T</t>
        </is>
      </c>
      <c r="B16" s="84" t="inlineStr">
        <is>
          <t>trillion</t>
        </is>
      </c>
      <c r="C16" s="83" t="n"/>
      <c r="D16" s="84" t="n"/>
      <c r="E16" s="22" t="n"/>
      <c r="N16" s="65" t="inlineStr">
        <is>
          <t>Aviation turbo fuel</t>
        </is>
      </c>
      <c r="O16" s="12" t="n">
        <v>35.9</v>
      </c>
    </row>
    <row r="17" ht="24.95" customHeight="1">
      <c r="A17" s="22" t="n"/>
      <c r="B17" s="22" t="n"/>
      <c r="C17" s="22" t="n"/>
      <c r="D17" s="22" t="n"/>
      <c r="E17" s="22" t="n"/>
      <c r="N17" s="65" t="inlineStr">
        <is>
          <t>Aviation gasoline</t>
        </is>
      </c>
      <c r="O17" s="12" t="n">
        <v>33.5</v>
      </c>
    </row>
    <row r="18" ht="24.95" customHeight="1">
      <c r="N18" s="65" t="inlineStr">
        <is>
          <t>Kerosene</t>
        </is>
      </c>
      <c r="O18" s="12" t="n">
        <v>37.7</v>
      </c>
    </row>
    <row r="19" ht="24.95" customHeight="1">
      <c r="N19" s="65" t="inlineStr">
        <is>
          <t>Light fuel oil</t>
        </is>
      </c>
      <c r="O19" s="12" t="n">
        <v>38.7</v>
      </c>
    </row>
    <row r="20" ht="24.95" customHeight="1">
      <c r="N20" s="65" t="inlineStr">
        <is>
          <t>Heavy fuel oil</t>
        </is>
      </c>
      <c r="O20" s="12" t="n">
        <v>41.7</v>
      </c>
    </row>
    <row r="21" ht="24.95" customHeight="1">
      <c r="N21" s="65" t="inlineStr">
        <is>
          <t>Naphthas</t>
        </is>
      </c>
      <c r="O21" s="12" t="n">
        <v>35.2</v>
      </c>
    </row>
    <row r="22" ht="24.95" customHeight="1">
      <c r="N22" s="65" t="inlineStr">
        <is>
          <t>Lubricating oils and greases</t>
        </is>
      </c>
      <c r="O22" s="12" t="n">
        <v>39.2</v>
      </c>
    </row>
    <row r="23" ht="24.95" customHeight="1">
      <c r="N23" s="65" t="inlineStr">
        <is>
          <t>Petrochemical feedstock</t>
        </is>
      </c>
      <c r="O23" s="12" t="n">
        <v>35.2</v>
      </c>
    </row>
    <row r="24" ht="24.95" customHeight="1">
      <c r="N24" s="65" t="inlineStr">
        <is>
          <t>Asphalt</t>
        </is>
      </c>
      <c r="O24" s="12" t="n">
        <v>44.5</v>
      </c>
    </row>
    <row r="25" ht="24.95" customHeight="1">
      <c r="N25" s="65" t="inlineStr">
        <is>
          <t>Coke</t>
        </is>
      </c>
      <c r="O25" s="12" t="n">
        <v>28.8</v>
      </c>
    </row>
    <row r="26" ht="24.95" customHeight="1">
      <c r="N26" s="65" t="inlineStr">
        <is>
          <t>Other products (from refinery)</t>
        </is>
      </c>
      <c r="O26" s="12" t="n">
        <v>39.8</v>
      </c>
    </row>
    <row r="27" ht="24.95" customHeight="1">
      <c r="N27" s="342" t="inlineStr">
        <is>
          <t>Coal (per tonne)</t>
        </is>
      </c>
      <c r="O27" s="351" t="n"/>
    </row>
    <row r="28" ht="24.95" customHeight="1">
      <c r="N28" s="65" t="inlineStr">
        <is>
          <t>Subbituminous</t>
        </is>
      </c>
      <c r="O28" s="12" t="n">
        <v>18.5</v>
      </c>
    </row>
    <row r="29" ht="24.95" customHeight="1">
      <c r="N29" s="65" t="inlineStr">
        <is>
          <t>Bituminous</t>
        </is>
      </c>
      <c r="O29" s="444" t="n">
        <v>25</v>
      </c>
      <c r="P29" s="13" t="n"/>
      <c r="Q29" s="13" t="n"/>
      <c r="R29" s="13" t="n"/>
    </row>
    <row r="30" ht="24.95" customHeight="1">
      <c r="N30" s="65" t="inlineStr">
        <is>
          <t xml:space="preserve">Electricity (per megawatt-hour of output) </t>
        </is>
      </c>
      <c r="O30" s="12" t="n">
        <v>3.6</v>
      </c>
    </row>
    <row r="31" ht="24.95" customHeight="1">
      <c r="N31" s="445" t="inlineStr">
        <is>
          <t>*Based on the heating value at 1000 Btu/cf</t>
        </is>
      </c>
      <c r="O31" s="355" t="n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</sheetData>
  <mergeCells count="12">
    <mergeCell ref="A1:D1"/>
    <mergeCell ref="J1:L1"/>
    <mergeCell ref="N7:O7"/>
    <mergeCell ref="F13:H13"/>
    <mergeCell ref="F1:H1"/>
    <mergeCell ref="A2:D2"/>
    <mergeCell ref="N27:O27"/>
    <mergeCell ref="F12:H12"/>
    <mergeCell ref="A10:D10"/>
    <mergeCell ref="N1:O1"/>
    <mergeCell ref="N31:O31"/>
    <mergeCell ref="N13:O13"/>
  </mergeCells>
  <pageMargins left="0.75" right="0.75" top="1" bottom="1" header="0.5" footer="0.5"/>
  <pageSetup orientation="portrait"/>
  <headerFooter alignWithMargins="0">
    <oddHeader/>
    <oddFooter>&amp;L&amp;"Calibri"&amp;10 &amp;K000000_x000d_# Security Classification: Protected A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2016-04-26T19:57:47Z</dcterms:created>
  <dcterms:modified xsi:type="dcterms:W3CDTF">2025-08-02T00:52:25Z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a6456a4-fd09-448a-abb7-32a44248e25a_Enabled" fmtid="{D5CDD505-2E9C-101B-9397-08002B2CF9AE}" pid="2">
    <vt:lpwstr>true</vt:lpwstr>
  </property>
  <property name="MSIP_Label_fa6456a4-fd09-448a-abb7-32a44248e25a_SetDate" fmtid="{D5CDD505-2E9C-101B-9397-08002B2CF9AE}" pid="3">
    <vt:lpwstr>2024-03-01T15:54:32Z</vt:lpwstr>
  </property>
  <property name="MSIP_Label_fa6456a4-fd09-448a-abb7-32a44248e25a_Method" fmtid="{D5CDD505-2E9C-101B-9397-08002B2CF9AE}" pid="4">
    <vt:lpwstr>Standard</vt:lpwstr>
  </property>
  <property name="MSIP_Label_fa6456a4-fd09-448a-abb7-32a44248e25a_Name" fmtid="{D5CDD505-2E9C-101B-9397-08002B2CF9AE}" pid="5">
    <vt:lpwstr>Protected A</vt:lpwstr>
  </property>
  <property name="MSIP_Label_fa6456a4-fd09-448a-abb7-32a44248e25a_SiteId" fmtid="{D5CDD505-2E9C-101B-9397-08002B2CF9AE}" pid="6">
    <vt:lpwstr>5a661919-a609-4857-a7a7-eea01d3ecdfa</vt:lpwstr>
  </property>
  <property name="MSIP_Label_fa6456a4-fd09-448a-abb7-32a44248e25a_ActionId" fmtid="{D5CDD505-2E9C-101B-9397-08002B2CF9AE}" pid="7">
    <vt:lpwstr>bde3cdc0-0a18-4a94-b46d-3cce3d21b354</vt:lpwstr>
  </property>
  <property name="MSIP_Label_fa6456a4-fd09-448a-abb7-32a44248e25a_ContentBits" fmtid="{D5CDD505-2E9C-101B-9397-08002B2CF9AE}" pid="8">
    <vt:lpwstr>2</vt:lpwstr>
  </property>
</Properties>
</file>