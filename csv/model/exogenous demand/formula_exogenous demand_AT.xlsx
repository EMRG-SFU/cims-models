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Service</t>
        </is>
      </c>
      <c r="C3" t="inlineStr">
        <is>
          <t>AT</t>
        </is>
      </c>
      <c r="D3" t="inlineStr">
        <is>
          <t>Electricity</t>
        </is>
      </c>
      <c r="G3" t="inlineStr">
        <is>
          <t>service_request</t>
        </is>
      </c>
      <c r="J3" t="inlineStr">
        <is>
          <t>CIMS.CAN.AT.Electricity.Utility Generation</t>
        </is>
      </c>
      <c r="K3" t="inlineStr">
        <is>
          <t>activity_data_region</t>
        </is>
      </c>
      <c r="L3">
        <f t="array" ref="L3">INDEX([1]!data,_xlfn.XMATCH(_xlfn.CONCAT(
SUBSTITUTE($A3,LEFT($A3,FIND($C3,$A3)+LEN($C3)-1),),
$C3,
$F3:$I3,
SUBSTITUTE($J3,LEFT($A3,FIND($C3,$A3)+LEN($C3)-1),)),
[1]!index),_xlfn.XMATCH(L$2,[1]!header))</f>
        <v/>
      </c>
      <c r="M3">
        <f t="array" ref="M3">INDEX([1]!data,_xlfn.XMATCH(_xlfn.CONCAT(
SUBSTITUTE($A3,LEFT($A3,FIND($C3,$A3)+LEN($C3)-1),),
$C3,
$F3:$I3,
SUBSTITUTE($J3,LEFT($A3,FIND($C3,$A3)+LEN($C3)-1),)),
[1]!index),_xlfn.XMATCH(M$2,[1]!header))</f>
        <v/>
      </c>
      <c r="N3">
        <f t="array" ref="N3">INDEX([1]!data,_xlfn.XMATCH(_xlfn.CONCAT(
SUBSTITUTE($A3,LEFT($A3,FIND($C3,$A3)+LEN($C3)-1),),
$C3,
$F3:$I3,
SUBSTITUTE($J3,LEFT($A3,FIND($C3,$A3)+LEN($C3)-1),)),
[1]!index),_xlfn.XMATCH(N$2,[1]!header))</f>
        <v/>
      </c>
      <c r="O3">
        <f t="array" ref="O3">INDEX([1]!data,_xlfn.XMATCH(_xlfn.CONCAT(
SUBSTITUTE($A3,LEFT($A3,FIND($C3,$A3)+LEN($C3)-1),),
$C3,
$F3:$I3,
SUBSTITUTE($J3,LEFT($A3,FIND($C3,$A3)+LEN($C3)-1),)),
[1]!index),_xlfn.XMATCH(O$2,[1]!header))</f>
        <v/>
      </c>
      <c r="P3">
        <f t="array" ref="P3">INDEX([1]!data,_xlfn.XMATCH(_xlfn.CONCAT(
SUBSTITUTE($A3,LEFT($A3,FIND($C3,$A3)+LEN($C3)-1),),
$C3,
$F3:$I3,
SUBSTITUTE($J3,LEFT($A3,FIND($C3,$A3)+LEN($C3)-1),)),
[1]!index),_xlfn.XMATCH(P$2,[1]!header))</f>
        <v/>
      </c>
      <c r="Q3">
        <f t="array" ref="Q3">INDEX([1]!data,_xlfn.XMATCH(_xlfn.CONCAT(
SUBSTITUTE($A3,LEFT($A3,FIND($C3,$A3)+LEN($C3)-1),),
$C3,
$F3:$I3,
SUBSTITUTE($J3,LEFT($A3,FIND($C3,$A3)+LEN($C3)-1),)),
[1]!index),_xlfn.XMATCH(Q$2,[1]!header))</f>
        <v/>
      </c>
      <c r="R3">
        <f t="array" ref="R3">INDEX([1]!data,_xlfn.XMATCH(_xlfn.CONCAT(
SUBSTITUTE($A3,LEFT($A3,FIND($C3,$A3)+LEN($C3)-1),),
$C3,
$F3:$I3,
SUBSTITUTE($J3,LEFT($A3,FIND($C3,$A3)+LEN($C3)-1),)),
[1]!index),_xlfn.XMATCH(R$2,[1]!header))</f>
        <v/>
      </c>
      <c r="S3">
        <f t="array" ref="S3">INDEX([1]!data,_xlfn.XMATCH(_xlfn.CONCAT(
SUBSTITUTE($A3,LEFT($A3,FIND($C3,$A3)+LEN($C3)-1),),
$C3,
$F3:$I3,
SUBSTITUTE($J3,LEFT($A3,FIND($C3,$A3)+LEN($C3)-1),)),
[1]!index),_xlfn.XMATCH(S$2,[1]!header))</f>
        <v/>
      </c>
      <c r="T3">
        <f t="array" ref="T3">INDEX([1]!data,_xlfn.XMATCH(_xlfn.CONCAT(
SUBSTITUTE($A3,LEFT($A3,FIND($C3,$A3)+LEN($C3)-1),),
$C3,
$F3:$I3,
SUBSTITUTE($J3,LEFT($A3,FIND($C3,$A3)+LEN($C3)-1),)),
[1]!index),_xlfn.XMATCH(T$2,[1]!header))</f>
        <v/>
      </c>
      <c r="U3">
        <f t="array" ref="U3">INDEX([1]!data,_xlfn.XMATCH(_xlfn.CONCAT(
SUBSTITUTE($A3,LEFT($A3,FIND($C3,$A3)+LEN($C3)-1),),
$C3,
$F3:$I3,
SUBSTITUTE($J3,LEFT($A3,FIND($C3,$A3)+LEN($C3)-1),)),
[1]!index),_xlfn.XMATCH(U$2,[1]!header))</f>
        <v/>
      </c>
      <c r="V3">
        <f t="array" ref="V3">INDEX([1]!data,_xlfn.XMATCH(_xlfn.CONCAT(
SUBSTITUTE($A3,LEFT($A3,FIND($C3,$A3)+LEN($C3)-1),),
$C3,
$F3:$I3,
SUBSTITUTE($J3,LEFT($A3,FIND($C3,$A3)+LEN($C3)-1),)),
[1]!index),_xlfn.XMATCH(V$2,[1]!header))</f>
        <v/>
      </c>
      <c r="W3">
        <f t="array" ref="W3">INDEX([1]!data,_xlfn.XMATCH(_xlfn.CONCAT(
SUBSTITUTE($A3,LEFT($A3,FIND($C3,$A3)+LEN($C3)-1),),
$C3,
$F3:$I3,
SUBSTITUTE($J3,LEFT($A3,FIND($C3,$A3)+LEN($C3)-1),)),
[1]!index),_xlfn.XMATCH(W$2,[1]!header))</f>
        <v/>
      </c>
    </row>
    <row r="4">
      <c r="A4" t="inlineStr">
        <is>
          <t>CIMS.CAN.AT.Electricity</t>
        </is>
      </c>
      <c r="B4" t="inlineStr">
        <is>
          <t>Sector</t>
        </is>
      </c>
      <c r="C4" t="inlineStr">
        <is>
          <t>AT</t>
        </is>
      </c>
      <c r="D4" t="inlineStr">
        <is>
          <t>Electricity</t>
        </is>
      </c>
      <c r="G4" t="inlineStr">
        <is>
          <t>service_request</t>
        </is>
      </c>
      <c r="J4" t="inlineStr">
        <is>
          <t>CIMS.CAN.AT.Electricity.Utility Generation</t>
        </is>
      </c>
      <c r="K4" t="inlineStr">
        <is>
          <t>activity_data_generic</t>
        </is>
      </c>
      <c r="L4">
        <f t="array" ref="L4">INDEX([1]!data,_xlfn.XMATCH(_xlfn.CONCAT(
SUBSTITUTE($A4,LEFT($A4,FIND($C4,$A4)+LEN($C4)-1),),
$F4:$I4,
SUBSTITUTE($J4,LEFT($A4,FIND($C4,$A4)+LEN($C4)-1),)),
[1]!index),_xlfn.XMATCH(L$2,[1]!header))</f>
        <v/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2025-07-31T22:14:21Z</dcterms:created>
  <dcterms:modified xsi:type="dcterms:W3CDTF">2025-08-26T18:52:20Z</dcterms:modified>
  <cp:lastModifiedBy>Bradford Griffin</cp:lastModifiedBy>
</cp:coreProperties>
</file>