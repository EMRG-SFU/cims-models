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definedNames>
      <definedName name="CIMS_GDP" refersTo="='Macro'!$D$59:$R$74"/>
      <definedName name="CIMS_population" refersTo="='Macro'!$D$4:$R$19"/>
      <definedName name="CIMS_year" refersTo="='Macro'!$D$1:$R$1"/>
      <definedName name="region_CIMS" refersTo="='Control'!$B$19:$B$34"/>
    </definedNames>
    <sheetDataSet>
      <sheetData sheetId="0">
        <row r="6">
          <cell r="D6" t="str">
            <v>Benchmark currency year</v>
          </cell>
          <cell r="E6" t="str">
            <v>Benchmark currency country</v>
          </cell>
        </row>
        <row r="7">
          <cell r="D7">
            <v>2022</v>
          </cell>
          <cell r="E7" t="str">
            <v>USD</v>
          </cell>
        </row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59">
          <cell r="D59" t="str">
            <v>Industrial</v>
          </cell>
        </row>
        <row r="60">
          <cell r="D60" t="str">
            <v>Commercial</v>
          </cell>
        </row>
        <row r="61">
          <cell r="D61" t="str">
            <v>Industrial</v>
          </cell>
        </row>
        <row r="64">
          <cell r="D64" t="str">
            <v>CER fuels</v>
          </cell>
        </row>
        <row r="65">
          <cell r="D65" t="str">
            <v>Electricity</v>
          </cell>
        </row>
        <row r="66">
          <cell r="D66" t="str">
            <v>Natural Gas</v>
          </cell>
        </row>
        <row r="67">
          <cell r="D67" t="str">
            <v>Fuel Oil</v>
          </cell>
        </row>
        <row r="68">
          <cell r="D68" t="str">
            <v>Gasoline</v>
          </cell>
        </row>
        <row r="69">
          <cell r="D69" t="str">
            <v>Diesel</v>
          </cell>
        </row>
      </sheetData>
      <sheetData sheetId="1">
        <row r="1">
          <cell r="D1" t="str">
            <v>Source</v>
          </cell>
          <cell r="E1" t="str">
            <v>Data Year</v>
          </cell>
          <cell r="F1" t="str">
            <v>Unit</v>
          </cell>
          <cell r="H1">
            <v>2000</v>
          </cell>
          <cell r="I1">
            <v>2005</v>
          </cell>
          <cell r="J1">
            <v>2010</v>
          </cell>
          <cell r="K1">
            <v>2015</v>
          </cell>
          <cell r="L1">
            <v>2020</v>
          </cell>
          <cell r="M1">
            <v>2025</v>
          </cell>
          <cell r="N1">
            <v>2030</v>
          </cell>
          <cell r="O1">
            <v>2035</v>
          </cell>
          <cell r="P1">
            <v>2040</v>
          </cell>
          <cell r="Q1">
            <v>2045</v>
          </cell>
          <cell r="R1">
            <v>2050</v>
          </cell>
        </row>
        <row r="4">
          <cell r="D4" t="str">
            <v>StatCan</v>
          </cell>
          <cell r="F4" t="str">
            <v>persons</v>
          </cell>
          <cell r="H4">
            <v>30685730</v>
          </cell>
          <cell r="I4">
            <v>32243753</v>
          </cell>
          <cell r="J4">
            <v>34004889</v>
          </cell>
          <cell r="K4">
            <v>35702908</v>
          </cell>
          <cell r="L4">
            <v>38037204</v>
          </cell>
          <cell r="M4">
            <v>39913200</v>
          </cell>
          <cell r="N4">
            <v>41887500</v>
          </cell>
          <cell r="O4">
            <v>43754600</v>
          </cell>
          <cell r="P4">
            <v>45505800</v>
          </cell>
          <cell r="Q4">
            <v>47155300</v>
          </cell>
          <cell r="R4">
            <v>48762100</v>
          </cell>
        </row>
        <row r="5">
          <cell r="D5" t="str">
            <v>StatCan</v>
          </cell>
          <cell r="F5" t="str">
            <v>persons</v>
          </cell>
          <cell r="H5">
            <v>4039230</v>
          </cell>
          <cell r="I5">
            <v>4196062</v>
          </cell>
          <cell r="J5">
            <v>4465546</v>
          </cell>
          <cell r="K5">
            <v>4776388</v>
          </cell>
          <cell r="L5">
            <v>5158728</v>
          </cell>
          <cell r="M5">
            <v>5414300</v>
          </cell>
          <cell r="N5">
            <v>5702800</v>
          </cell>
          <cell r="O5">
            <v>5977000</v>
          </cell>
          <cell r="P5">
            <v>6237500</v>
          </cell>
          <cell r="Q5">
            <v>6463597.6897450434</v>
          </cell>
          <cell r="R5">
            <v>6683842.4717288781</v>
          </cell>
        </row>
        <row r="6">
          <cell r="D6" t="str">
            <v>StatCan</v>
          </cell>
          <cell r="F6" t="str">
            <v>persons</v>
          </cell>
          <cell r="H6">
            <v>3004198</v>
          </cell>
          <cell r="I6">
            <v>3321768</v>
          </cell>
          <cell r="J6">
            <v>3732082</v>
          </cell>
          <cell r="K6">
            <v>4144491</v>
          </cell>
          <cell r="L6">
            <v>4420029</v>
          </cell>
          <cell r="M6">
            <v>4965000</v>
          </cell>
          <cell r="N6">
            <v>5460100</v>
          </cell>
          <cell r="O6">
            <v>5976700</v>
          </cell>
          <cell r="P6">
            <v>6515600</v>
          </cell>
          <cell r="Q6">
            <v>6751778.2937559607</v>
          </cell>
          <cell r="R6">
            <v>6981842.726861191</v>
          </cell>
        </row>
        <row r="7">
          <cell r="D7" t="str">
            <v>StatCan</v>
          </cell>
          <cell r="F7" t="str">
            <v>persons</v>
          </cell>
          <cell r="H7">
            <v>1007565</v>
          </cell>
          <cell r="I7">
            <v>993500</v>
          </cell>
          <cell r="J7">
            <v>1051443</v>
          </cell>
          <cell r="K7">
            <v>1120967</v>
          </cell>
          <cell r="L7">
            <v>1179300</v>
          </cell>
          <cell r="M7">
            <v>1296800</v>
          </cell>
          <cell r="N7">
            <v>1398300</v>
          </cell>
          <cell r="O7">
            <v>1495100</v>
          </cell>
          <cell r="P7">
            <v>1583800</v>
          </cell>
          <cell r="Q7">
            <v>1641209.7829287695</v>
          </cell>
          <cell r="R7">
            <v>1697133.4199157031</v>
          </cell>
        </row>
        <row r="8">
          <cell r="D8" t="str">
            <v>StatCan</v>
          </cell>
          <cell r="F8" t="str">
            <v>persons</v>
          </cell>
          <cell r="H8">
            <v>1147313</v>
          </cell>
          <cell r="I8">
            <v>1178264</v>
          </cell>
          <cell r="J8">
            <v>1220780</v>
          </cell>
          <cell r="K8">
            <v>1292227</v>
          </cell>
          <cell r="L8">
            <v>1380648</v>
          </cell>
          <cell r="M8">
            <v>1452400</v>
          </cell>
          <cell r="N8">
            <v>1524900</v>
          </cell>
          <cell r="O8">
            <v>1598100</v>
          </cell>
          <cell r="P8">
            <v>1672400</v>
          </cell>
          <cell r="Q8">
            <v>1733021.3669466309</v>
          </cell>
          <cell r="R8">
            <v>1792073.4508568139</v>
          </cell>
        </row>
        <row r="9">
          <cell r="D9" t="str">
            <v>StatCan</v>
          </cell>
          <cell r="F9" t="str">
            <v>persons</v>
          </cell>
          <cell r="H9">
            <v>11683290</v>
          </cell>
          <cell r="I9">
            <v>12528663</v>
          </cell>
          <cell r="J9">
            <v>13135778</v>
          </cell>
          <cell r="K9">
            <v>13707118</v>
          </cell>
          <cell r="L9">
            <v>14745712</v>
          </cell>
          <cell r="M9">
            <v>15465400</v>
          </cell>
          <cell r="N9">
            <v>16239800</v>
          </cell>
          <cell r="O9">
            <v>16942700</v>
          </cell>
          <cell r="P9">
            <v>17554000</v>
          </cell>
          <cell r="Q9">
            <v>18190299.614554629</v>
          </cell>
          <cell r="R9">
            <v>18810127.574946489</v>
          </cell>
        </row>
        <row r="10">
          <cell r="D10" t="str">
            <v>StatCan</v>
          </cell>
          <cell r="F10" t="str">
            <v>persons</v>
          </cell>
          <cell r="H10">
            <v>7356951</v>
          </cell>
          <cell r="I10">
            <v>7581476</v>
          </cell>
          <cell r="J10">
            <v>7929222</v>
          </cell>
          <cell r="K10">
            <v>8175272</v>
          </cell>
          <cell r="L10">
            <v>8578300</v>
          </cell>
          <cell r="M10">
            <v>8749700</v>
          </cell>
          <cell r="N10">
            <v>8977700</v>
          </cell>
          <cell r="O10">
            <v>9185100</v>
          </cell>
          <cell r="P10">
            <v>9385400</v>
          </cell>
          <cell r="Q10">
            <v>9725603.1675083172</v>
          </cell>
          <cell r="R10">
            <v>10056999.620707691</v>
          </cell>
        </row>
        <row r="11">
          <cell r="D11" t="str">
            <v>StatCan</v>
          </cell>
          <cell r="F11" t="str">
            <v>persons</v>
          </cell>
          <cell r="H11">
            <v>750517</v>
          </cell>
          <cell r="I11">
            <v>748057</v>
          </cell>
          <cell r="J11">
            <v>753035</v>
          </cell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D12" t="str">
            <v>StatCan</v>
          </cell>
          <cell r="F12" t="str">
            <v>persons</v>
          </cell>
          <cell r="H12">
            <v>933821</v>
          </cell>
          <cell r="I12">
            <v>937926</v>
          </cell>
          <cell r="J12">
            <v>942107</v>
          </cell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D13" t="str">
            <v>StatCan</v>
          </cell>
          <cell r="F13" t="str">
            <v>persons</v>
          </cell>
          <cell r="H13">
            <v>136470</v>
          </cell>
          <cell r="I13">
            <v>138064</v>
          </cell>
          <cell r="J13">
            <v>141654</v>
          </cell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D14" t="str">
            <v>StatCan</v>
          </cell>
          <cell r="F14" t="str">
            <v>persons</v>
          </cell>
          <cell r="H14">
            <v>527966</v>
          </cell>
          <cell r="I14">
            <v>514332</v>
          </cell>
          <cell r="J14">
            <v>522009</v>
          </cell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D15" t="str">
            <v>StatCan</v>
          </cell>
          <cell r="F15" t="str">
            <v>persons</v>
          </cell>
          <cell r="H15">
            <v>30431</v>
          </cell>
          <cell r="I15">
            <v>31902</v>
          </cell>
          <cell r="J15">
            <v>34596</v>
          </cell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D16" t="str">
            <v>StatCan</v>
          </cell>
          <cell r="F16" t="str">
            <v>persons</v>
          </cell>
          <cell r="H16">
            <v>40480</v>
          </cell>
          <cell r="I16">
            <v>43400</v>
          </cell>
          <cell r="J16">
            <v>43285</v>
          </cell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D17" t="str">
            <v>StatCan</v>
          </cell>
          <cell r="F17" t="str">
            <v>persons</v>
          </cell>
          <cell r="H17">
            <v>27498</v>
          </cell>
          <cell r="I17">
            <v>30339</v>
          </cell>
          <cell r="J17">
            <v>33352</v>
          </cell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D18" t="str">
            <v>StatCan</v>
          </cell>
          <cell r="F18" t="str">
            <v>persons</v>
          </cell>
          <cell r="H18">
            <v>2348774</v>
          </cell>
          <cell r="I18">
            <v>2338379</v>
          </cell>
          <cell r="J18">
            <v>2358805</v>
          </cell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D19" t="str">
            <v>StatCan</v>
          </cell>
          <cell r="F19" t="str">
            <v>persons</v>
          </cell>
          <cell r="H19">
            <v>98409</v>
          </cell>
          <cell r="I19">
            <v>105641</v>
          </cell>
          <cell r="J19">
            <v>111233</v>
          </cell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B22" t="str">
            <v>Population forecast</v>
          </cell>
        </row>
        <row r="59">
          <cell r="D59" t="str">
            <v>StatCan</v>
          </cell>
          <cell r="E59">
            <v>2020</v>
          </cell>
          <cell r="F59" t="str">
            <v>$ million</v>
          </cell>
          <cell r="H59">
            <v>1596931.7463431878</v>
          </cell>
          <cell r="I59">
            <v>1813677.4883669377</v>
          </cell>
          <cell r="J59">
            <v>1920515.2172414039</v>
          </cell>
          <cell r="K59">
            <v>2135960.2531350749</v>
          </cell>
          <cell r="L59">
            <v>2209681</v>
          </cell>
          <cell r="M59">
            <v>2494438.0342336129</v>
          </cell>
          <cell r="N59">
            <v>2763032.9952256023</v>
          </cell>
          <cell r="O59">
            <v>3038702.1591386888</v>
          </cell>
          <cell r="P59">
            <v>3356675.7142850365</v>
          </cell>
          <cell r="Q59">
            <v>3706476.3017864767</v>
          </cell>
          <cell r="R59">
            <v>4074858.5630359431</v>
          </cell>
        </row>
        <row r="60">
          <cell r="D60" t="str">
            <v>StatCan</v>
          </cell>
          <cell r="E60">
            <v>2020</v>
          </cell>
          <cell r="F60" t="str">
            <v>$ million</v>
          </cell>
          <cell r="H60">
            <v>183582.70023394562</v>
          </cell>
          <cell r="I60">
            <v>214533.76934282662</v>
          </cell>
          <cell r="J60">
            <v>233607.48289917823</v>
          </cell>
          <cell r="K60">
            <v>266439.5562080465</v>
          </cell>
          <cell r="L60">
            <v>293203.8740330849</v>
          </cell>
          <cell r="M60">
            <v>330932.89580639999</v>
          </cell>
          <cell r="N60">
            <v>366566.93722984049</v>
          </cell>
          <cell r="O60">
            <v>403139.50124878017</v>
          </cell>
          <cell r="P60">
            <v>445324.51765339373</v>
          </cell>
          <cell r="Q60">
            <v>491731.97287494532</v>
          </cell>
          <cell r="R60">
            <v>540604.62747927231</v>
          </cell>
        </row>
        <row r="61">
          <cell r="D61" t="str">
            <v>StatCan</v>
          </cell>
          <cell r="E61">
            <v>2020</v>
          </cell>
          <cell r="F61" t="str">
            <v>$ million</v>
          </cell>
          <cell r="H61">
            <v>241251.75158053398</v>
          </cell>
          <cell r="I61">
            <v>286047.23224697507</v>
          </cell>
          <cell r="J61">
            <v>311884.83832539228</v>
          </cell>
          <cell r="K61">
            <v>371864.0496689151</v>
          </cell>
          <cell r="L61">
            <v>352708.69722059922</v>
          </cell>
          <cell r="M61">
            <v>398094.70776005066</v>
          </cell>
          <cell r="N61">
            <v>440960.56814001396</v>
          </cell>
          <cell r="O61">
            <v>484955.42138564883</v>
          </cell>
          <cell r="P61">
            <v>535701.75694266777</v>
          </cell>
          <cell r="Q61">
            <v>591527.46226970514</v>
          </cell>
          <cell r="R61">
            <v>650318.67160160968</v>
          </cell>
        </row>
        <row r="62">
          <cell r="D62" t="str">
            <v>StatCan</v>
          </cell>
          <cell r="E62">
            <v>2020</v>
          </cell>
          <cell r="F62" t="str">
            <v>$ million</v>
          </cell>
          <cell r="H62">
            <v>67851.848276724602</v>
          </cell>
          <cell r="I62">
            <v>75416.684522655705</v>
          </cell>
          <cell r="J62">
            <v>80371.282682270205</v>
          </cell>
          <cell r="K62">
            <v>92750.607097552813</v>
          </cell>
          <cell r="L62">
            <v>91073.700127476201</v>
          </cell>
          <cell r="M62">
            <v>102792.92323261904</v>
          </cell>
          <cell r="N62">
            <v>113861.41273887396</v>
          </cell>
          <cell r="O62">
            <v>125221.42201343761</v>
          </cell>
          <cell r="P62">
            <v>138324.74660823104</v>
          </cell>
          <cell r="Q62">
            <v>152739.626610976</v>
          </cell>
          <cell r="R62">
            <v>167920.23602327166</v>
          </cell>
        </row>
        <row r="63">
          <cell r="D63" t="str">
            <v>StatCan</v>
          </cell>
          <cell r="E63">
            <v>2020</v>
          </cell>
          <cell r="F63" t="str">
            <v>$ million</v>
          </cell>
          <cell r="H63">
            <v>50589.635539363662</v>
          </cell>
          <cell r="I63">
            <v>55516.652992233474</v>
          </cell>
          <cell r="J63">
            <v>62582.830060220746</v>
          </cell>
          <cell r="K63">
            <v>70196.208350022484</v>
          </cell>
          <cell r="L63">
            <v>71860.97980913143</v>
          </cell>
          <cell r="M63">
            <v>81107.939730147147</v>
          </cell>
          <cell r="N63">
            <v>89841.443472865998</v>
          </cell>
          <cell r="O63">
            <v>98804.968573617676</v>
          </cell>
          <cell r="P63">
            <v>109144.04278297735</v>
          </cell>
          <cell r="Q63">
            <v>120517.98937105274</v>
          </cell>
          <cell r="R63">
            <v>132496.12866857069</v>
          </cell>
        </row>
        <row r="64">
          <cell r="D64" t="str">
            <v>StatCan</v>
          </cell>
          <cell r="E64">
            <v>2020</v>
          </cell>
          <cell r="F64" t="str">
            <v>$ million</v>
          </cell>
          <cell r="H64">
            <v>625551.39030649094</v>
          </cell>
          <cell r="I64">
            <v>706743.47482148267</v>
          </cell>
          <cell r="J64">
            <v>723831.37749221735</v>
          </cell>
          <cell r="K64">
            <v>799780.92126918025</v>
          </cell>
          <cell r="L64">
            <v>840840.8710141218</v>
          </cell>
          <cell r="M64">
            <v>949038.97595050232</v>
          </cell>
          <cell r="N64">
            <v>1051229.1619671376</v>
          </cell>
          <cell r="O64">
            <v>1156110.8136380666</v>
          </cell>
          <cell r="P64">
            <v>1277087.680176323</v>
          </cell>
          <cell r="Q64">
            <v>1410173.5242795805</v>
          </cell>
          <cell r="R64">
            <v>1550328.9898299354</v>
          </cell>
        </row>
        <row r="65">
          <cell r="D65" t="str">
            <v>StatCan</v>
          </cell>
          <cell r="E65">
            <v>2020</v>
          </cell>
          <cell r="F65" t="str">
            <v>$ million</v>
          </cell>
          <cell r="H65">
            <v>323115.70211182634</v>
          </cell>
          <cell r="I65">
            <v>355685.20709248522</v>
          </cell>
          <cell r="J65">
            <v>380540.94001079176</v>
          </cell>
          <cell r="K65">
            <v>407071.37344263529</v>
          </cell>
          <cell r="L65">
            <v>425403.7176016898</v>
          </cell>
          <cell r="M65">
            <v>480144.01111511135</v>
          </cell>
          <cell r="N65">
            <v>531844.73896086169</v>
          </cell>
          <cell r="O65">
            <v>584907.15072874713</v>
          </cell>
          <cell r="P65">
            <v>646112.55896147015</v>
          </cell>
          <cell r="Q65">
            <v>713444.22038915765</v>
          </cell>
          <cell r="R65">
            <v>784352.59097705118</v>
          </cell>
        </row>
        <row r="66">
          <cell r="D66" t="str">
            <v>StatCan</v>
          </cell>
          <cell r="E66">
            <v>2020</v>
          </cell>
          <cell r="F66" t="str">
            <v>$ million</v>
          </cell>
          <cell r="H66">
            <v>29990.157285896326</v>
          </cell>
          <cell r="I66">
            <v>33886.759534784855</v>
          </cell>
          <cell r="J66">
            <v>35358.466046681031</v>
          </cell>
          <cell r="K66">
            <v>35252.556132781465</v>
          </cell>
          <cell r="L66">
            <v>36154.99685746742</v>
          </cell>
          <cell r="M66">
            <v>40807.366026012598</v>
          </cell>
          <cell r="N66">
            <v>45201.402973621203</v>
          </cell>
          <cell r="O66">
            <v>49711.169229387269</v>
          </cell>
          <cell r="P66">
            <v>54913.007508539442</v>
          </cell>
          <cell r="Q66">
            <v>60635.515109202766</v>
          </cell>
          <cell r="R66">
            <v>66662.006674031625</v>
          </cell>
        </row>
        <row r="67">
          <cell r="D67" t="str">
            <v>StatCan</v>
          </cell>
          <cell r="E67">
            <v>2020</v>
          </cell>
          <cell r="F67" t="str">
            <v>$ million</v>
          </cell>
          <cell r="H67">
            <v>35348.536992252943</v>
          </cell>
          <cell r="I67">
            <v>39130.403501083601</v>
          </cell>
          <cell r="J67">
            <v>41980.042121944047</v>
          </cell>
          <cell r="K67">
            <v>42395.959179653837</v>
          </cell>
          <cell r="L67">
            <v>44859.467906088743</v>
          </cell>
          <cell r="M67">
            <v>50631.914968562312</v>
          </cell>
          <cell r="N67">
            <v>56083.835216446518</v>
          </cell>
          <cell r="O67">
            <v>61679.347101347033</v>
          </cell>
          <cell r="P67">
            <v>68133.550326871438</v>
          </cell>
          <cell r="Q67">
            <v>75233.776253216245</v>
          </cell>
          <cell r="R67">
            <v>82711.171590976257</v>
          </cell>
        </row>
        <row r="68">
          <cell r="D68" t="str">
            <v>StatCan</v>
          </cell>
          <cell r="E68">
            <v>2020</v>
          </cell>
          <cell r="F68" t="str">
            <v>$ million</v>
          </cell>
          <cell r="H68">
            <v>5024.1015406110901</v>
          </cell>
          <cell r="I68">
            <v>5650.7351978502411</v>
          </cell>
          <cell r="J68">
            <v>5970.6713960885418</v>
          </cell>
          <cell r="K68">
            <v>6365.6271166723736</v>
          </cell>
          <cell r="L68">
            <v>7123.5449380162063</v>
          </cell>
          <cell r="M68">
            <v>8040.191701146201</v>
          </cell>
          <cell r="N68">
            <v>8905.9397961879677</v>
          </cell>
          <cell r="O68">
            <v>9794.4897996507261</v>
          </cell>
          <cell r="P68">
            <v>10819.397335610862</v>
          </cell>
          <cell r="Q68">
            <v>11946.891280975291</v>
          </cell>
          <cell r="R68">
            <v>13134.278563841761</v>
          </cell>
        </row>
        <row r="69">
          <cell r="D69" t="str">
            <v>StatCan</v>
          </cell>
          <cell r="E69">
            <v>2020</v>
          </cell>
          <cell r="F69" t="str">
            <v>$ million</v>
          </cell>
          <cell r="H69">
            <v>25742.728447215453</v>
          </cell>
          <cell r="I69">
            <v>33303.151780067405</v>
          </cell>
          <cell r="J69">
            <v>36008.267497585723</v>
          </cell>
          <cell r="K69">
            <v>36367.91991353636</v>
          </cell>
          <cell r="L69">
            <v>35661.853820872522</v>
          </cell>
          <cell r="M69">
            <v>40250.76610493278</v>
          </cell>
          <cell r="N69">
            <v>44584.869740092312</v>
          </cell>
          <cell r="O69">
            <v>49033.124171242016</v>
          </cell>
          <cell r="P69">
            <v>54164.010976246107</v>
          </cell>
          <cell r="Q69">
            <v>59808.465333363209</v>
          </cell>
          <cell r="R69">
            <v>65752.75740687392</v>
          </cell>
        </row>
        <row r="70">
          <cell r="D70" t="str">
            <v>StatCan</v>
          </cell>
          <cell r="E70">
            <v>2020</v>
          </cell>
          <cell r="F70" t="str">
            <v>$ million</v>
          </cell>
          <cell r="H70">
            <v>1753.0297206919238</v>
          </cell>
          <cell r="I70">
            <v>1924.0301025089459</v>
          </cell>
          <cell r="J70">
            <v>2584.8638361115027</v>
          </cell>
          <cell r="K70">
            <v>2657.6769019174608</v>
          </cell>
          <cell r="L70">
            <v>3069.1810465481008</v>
          </cell>
          <cell r="M70">
            <v>3464.1185244833096</v>
          </cell>
          <cell r="N70">
            <v>3837.1262990545029</v>
          </cell>
          <cell r="O70">
            <v>4219.9582813424686</v>
          </cell>
          <cell r="P70">
            <v>4661.5399392394947</v>
          </cell>
          <cell r="Q70">
            <v>5147.3209762541828</v>
          </cell>
          <cell r="R70">
            <v>5658.9070721089947</v>
          </cell>
        </row>
        <row r="71">
          <cell r="D71" t="str">
            <v>StatCan</v>
          </cell>
          <cell r="E71">
            <v>2020</v>
          </cell>
          <cell r="F71" t="str">
            <v>$ million</v>
          </cell>
          <cell r="H71">
            <v>3965.0024016153397</v>
          </cell>
          <cell r="I71">
            <v>5897.8583302825828</v>
          </cell>
          <cell r="J71">
            <v>5342.9345105796019</v>
          </cell>
          <cell r="K71">
            <v>5272.3279013132187</v>
          </cell>
          <cell r="L71">
            <v>4579.5005478868325</v>
          </cell>
          <cell r="M71">
            <v>5168.7836071639904</v>
          </cell>
          <cell r="N71">
            <v>5725.3455310478957</v>
          </cell>
          <cell r="O71">
            <v>6296.56607687009</v>
          </cell>
          <cell r="P71">
            <v>6955.4465448537558</v>
          </cell>
          <cell r="Q71">
            <v>7680.2765537135574</v>
          </cell>
          <cell r="R71">
            <v>8443.6100849476788</v>
          </cell>
        </row>
        <row r="72">
          <cell r="D72" t="str">
            <v>StatCan</v>
          </cell>
          <cell r="E72">
            <v>2020</v>
          </cell>
          <cell r="F72" t="str">
            <v>$ million</v>
          </cell>
          <cell r="H72">
            <v>1445.2290334212839</v>
          </cell>
          <cell r="I72">
            <v>1633.8810675549018</v>
          </cell>
          <cell r="J72">
            <v>2249.4824420961818</v>
          </cell>
          <cell r="K72">
            <v>2616.8574559353328</v>
          </cell>
          <cell r="L72">
            <v>3511.5755827327839</v>
          </cell>
          <cell r="M72">
            <v>3963.4397064810842</v>
          </cell>
          <cell r="N72">
            <v>4390.2131595580458</v>
          </cell>
          <cell r="O72">
            <v>4828.22689055107</v>
          </cell>
          <cell r="P72">
            <v>5333.4585286122619</v>
          </cell>
          <cell r="Q72">
            <v>5889.2604843339559</v>
          </cell>
          <cell r="R72">
            <v>6474.5870634518087</v>
          </cell>
        </row>
        <row r="73">
          <cell r="D73" t="str">
            <v>StatCan</v>
          </cell>
          <cell r="E73">
            <v>2020</v>
          </cell>
          <cell r="F73" t="str">
            <v>$ million</v>
          </cell>
          <cell r="H73">
            <v>96105.524265975822</v>
          </cell>
          <cell r="I73">
            <v>111971.05001378611</v>
          </cell>
          <cell r="J73">
            <v>119317.44706229934</v>
          </cell>
          <cell r="K73">
            <v>120382.06234264404</v>
          </cell>
          <cell r="L73">
            <v>123799.8635224449</v>
          </cell>
          <cell r="M73">
            <v>139730.2388006539</v>
          </cell>
          <cell r="N73">
            <v>154776.04772634801</v>
          </cell>
          <cell r="O73">
            <v>170218.13030162704</v>
          </cell>
          <cell r="P73">
            <v>188029.96614726784</v>
          </cell>
          <cell r="Q73">
            <v>207624.64797675752</v>
          </cell>
          <cell r="R73">
            <v>228260.21423572357</v>
          </cell>
        </row>
        <row r="74">
          <cell r="D74" t="str">
            <v>StatCan</v>
          </cell>
          <cell r="E74">
            <v>2020</v>
          </cell>
          <cell r="F74" t="str">
            <v>$ million</v>
          </cell>
          <cell r="H74">
            <v>7163.2611557285472</v>
          </cell>
          <cell r="I74">
            <v>9455.7695003464305</v>
          </cell>
          <cell r="J74">
            <v>10177.280788787286</v>
          </cell>
          <cell r="K74">
            <v>10546.862259166013</v>
          </cell>
          <cell r="L74">
            <v>11160.257177167718</v>
          </cell>
          <cell r="M74">
            <v>12596.341838128385</v>
          </cell>
          <cell r="N74">
            <v>13952.684989660444</v>
          </cell>
          <cell r="O74">
            <v>15344.751248763629</v>
          </cell>
          <cell r="P74">
            <v>16950.44501270551</v>
          </cell>
          <cell r="Q74">
            <v>18716.858014301695</v>
          </cell>
          <cell r="R74">
            <v>20577.104220508481</v>
          </cell>
        </row>
      </sheetData>
      <sheetData sheetId="2">
        <row r="1">
          <cell r="D1" t="str">
            <v>Sector</v>
          </cell>
        </row>
        <row r="26">
          <cell r="B26" t="str">
            <v>CM</v>
          </cell>
        </row>
        <row r="27">
          <cell r="B27" t="str">
            <v>CNZ</v>
          </cell>
        </row>
        <row r="59">
          <cell r="D59" t="str">
            <v>Residential</v>
          </cell>
          <cell r="E59" t="str">
            <v>Natural Gas</v>
          </cell>
          <cell r="F59">
            <v>2020</v>
          </cell>
          <cell r="G59" t="str">
            <v>CAD</v>
          </cell>
          <cell r="H59" t="str">
            <v>GJ</v>
          </cell>
          <cell r="I59" t="str">
            <v>CER (avg calc)</v>
          </cell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</row>
        <row r="60">
          <cell r="D60" t="str">
            <v>Residential</v>
          </cell>
          <cell r="E60" t="str">
            <v>Natural Gas</v>
          </cell>
          <cell r="F60">
            <v>2020</v>
          </cell>
          <cell r="G60" t="str">
            <v>CAD</v>
          </cell>
          <cell r="H60" t="str">
            <v>GJ</v>
          </cell>
          <cell r="I60" t="str">
            <v>CER (avg calc)</v>
          </cell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</row>
        <row r="61">
          <cell r="D61" t="str">
            <v>Residential</v>
          </cell>
          <cell r="E61" t="str">
            <v>Oil</v>
          </cell>
          <cell r="F61">
            <v>2020</v>
          </cell>
          <cell r="G61" t="str">
            <v>CAD</v>
          </cell>
          <cell r="H61" t="str">
            <v>GJ</v>
          </cell>
          <cell r="I61" t="str">
            <v>CER (weighted avg calc)</v>
          </cell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</row>
        <row r="62">
          <cell r="D62" t="str">
            <v>Residential</v>
          </cell>
          <cell r="E62" t="str">
            <v>Oil</v>
          </cell>
          <cell r="F62">
            <v>2020</v>
          </cell>
          <cell r="G62" t="str">
            <v>CAD</v>
          </cell>
          <cell r="H62" t="str">
            <v>GJ</v>
          </cell>
          <cell r="I62" t="str">
            <v>CER</v>
          </cell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</row>
        <row r="63">
          <cell r="D63" t="str">
            <v>Residential</v>
          </cell>
          <cell r="E63" t="str">
            <v>Oil</v>
          </cell>
          <cell r="F63">
            <v>2020</v>
          </cell>
          <cell r="G63" t="str">
            <v>CAD</v>
          </cell>
          <cell r="H63" t="str">
            <v>GJ</v>
          </cell>
          <cell r="I63" t="str">
            <v>CER</v>
          </cell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</row>
        <row r="64">
          <cell r="D64" t="str">
            <v>Residential</v>
          </cell>
          <cell r="E64" t="str">
            <v>Oil</v>
          </cell>
          <cell r="F64">
            <v>2020</v>
          </cell>
          <cell r="G64" t="str">
            <v>CAD</v>
          </cell>
          <cell r="H64" t="str">
            <v>GJ</v>
          </cell>
          <cell r="I64" t="str">
            <v>CER</v>
          </cell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</row>
        <row r="65">
          <cell r="D65" t="str">
            <v>Residential</v>
          </cell>
          <cell r="E65" t="str">
            <v>Oil</v>
          </cell>
          <cell r="F65">
            <v>2020</v>
          </cell>
          <cell r="G65" t="str">
            <v>CAD</v>
          </cell>
          <cell r="H65" t="str">
            <v>GJ</v>
          </cell>
          <cell r="I65" t="str">
            <v>CER</v>
          </cell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</row>
        <row r="66">
          <cell r="D66" t="str">
            <v>Residential</v>
          </cell>
          <cell r="E66" t="str">
            <v>Oil</v>
          </cell>
          <cell r="F66">
            <v>2020</v>
          </cell>
          <cell r="G66" t="str">
            <v>CAD</v>
          </cell>
          <cell r="H66" t="str">
            <v>GJ</v>
          </cell>
          <cell r="I66" t="str">
            <v>CER</v>
          </cell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</row>
        <row r="67">
          <cell r="D67" t="str">
            <v>Residential</v>
          </cell>
          <cell r="E67" t="str">
            <v>Oil</v>
          </cell>
          <cell r="F67">
            <v>2020</v>
          </cell>
          <cell r="G67" t="str">
            <v>CAD</v>
          </cell>
          <cell r="H67" t="str">
            <v>GJ</v>
          </cell>
          <cell r="I67" t="str">
            <v>CER</v>
          </cell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</row>
        <row r="68">
          <cell r="D68" t="str">
            <v>Residential</v>
          </cell>
          <cell r="E68" t="str">
            <v>Oil</v>
          </cell>
          <cell r="F68">
            <v>2020</v>
          </cell>
          <cell r="G68" t="str">
            <v>CAD</v>
          </cell>
          <cell r="H68" t="str">
            <v>GJ</v>
          </cell>
          <cell r="I68" t="str">
            <v>CER</v>
          </cell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</row>
        <row r="69">
          <cell r="D69" t="str">
            <v>Residential</v>
          </cell>
          <cell r="E69" t="str">
            <v>Oil</v>
          </cell>
          <cell r="F69">
            <v>2020</v>
          </cell>
          <cell r="G69" t="str">
            <v>CAD</v>
          </cell>
          <cell r="H69" t="str">
            <v>GJ</v>
          </cell>
          <cell r="I69" t="str">
            <v>CER</v>
          </cell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</row>
        <row r="70">
          <cell r="D70" t="str">
            <v>Residential</v>
          </cell>
          <cell r="E70" t="str">
            <v>Oil</v>
          </cell>
          <cell r="F70">
            <v>2020</v>
          </cell>
          <cell r="G70" t="str">
            <v>CAD</v>
          </cell>
          <cell r="H70" t="str">
            <v>GJ</v>
          </cell>
          <cell r="I70" t="str">
            <v>CER</v>
          </cell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</row>
        <row r="71">
          <cell r="D71" t="str">
            <v>Residential</v>
          </cell>
          <cell r="E71" t="str">
            <v>Oil</v>
          </cell>
          <cell r="F71">
            <v>2020</v>
          </cell>
          <cell r="G71" t="str">
            <v>CAD</v>
          </cell>
          <cell r="H71" t="str">
            <v>GJ</v>
          </cell>
          <cell r="I71" t="str">
            <v>CER</v>
          </cell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</row>
        <row r="72">
          <cell r="D72" t="str">
            <v>Residential</v>
          </cell>
          <cell r="E72" t="str">
            <v>Oil</v>
          </cell>
          <cell r="F72">
            <v>2020</v>
          </cell>
          <cell r="G72" t="str">
            <v>CAD</v>
          </cell>
          <cell r="H72" t="str">
            <v>GJ</v>
          </cell>
          <cell r="I72" t="str">
            <v>CER</v>
          </cell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</row>
        <row r="73">
          <cell r="D73" t="str">
            <v>Residential</v>
          </cell>
          <cell r="E73" t="str">
            <v>Oil</v>
          </cell>
          <cell r="F73">
            <v>2020</v>
          </cell>
          <cell r="G73" t="str">
            <v>CAD</v>
          </cell>
          <cell r="H73" t="str">
            <v>GJ</v>
          </cell>
          <cell r="I73" t="str">
            <v>CER</v>
          </cell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</row>
        <row r="74">
          <cell r="D74" t="str">
            <v>Residential</v>
          </cell>
          <cell r="E74" t="str">
            <v>Oil</v>
          </cell>
          <cell r="F74">
            <v>2020</v>
          </cell>
          <cell r="G74" t="str">
            <v>CAD</v>
          </cell>
          <cell r="H74" t="str">
            <v>GJ</v>
          </cell>
          <cell r="I74" t="str">
            <v>CER</v>
          </cell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</row>
      </sheetData>
      <sheetData sheetId="3">
        <row r="1">
          <cell r="D1" t="str">
            <v>Sector</v>
          </cell>
        </row>
        <row r="24">
          <cell r="B24" t="str">
            <v>Need to check on process, CH4, N2O!!!</v>
          </cell>
        </row>
        <row r="25">
          <cell r="B25" t="str">
            <v>Need to check other provinces</v>
          </cell>
        </row>
      </sheetData>
      <sheetData sheetId="4">
        <row r="1">
          <cell r="D1" t="str">
            <v>Sector</v>
          </cell>
        </row>
        <row r="59">
          <cell r="D59" t="str">
            <v>Residential</v>
          </cell>
          <cell r="E59" t="str">
            <v>Natural Gas</v>
          </cell>
          <cell r="H59" t="str">
            <v>PJ</v>
          </cell>
          <cell r="I59" t="str">
            <v>CER (avg calc)</v>
          </cell>
          <cell r="K59">
            <v>0.19125</v>
          </cell>
          <cell r="L59">
            <v>0.19125</v>
          </cell>
          <cell r="M59">
            <v>0.185775</v>
          </cell>
          <cell r="N59">
            <v>0.22</v>
          </cell>
          <cell r="O59">
            <v>0.22052499999999997</v>
          </cell>
          <cell r="P59">
            <v>0.21505000000000002</v>
          </cell>
          <cell r="Q59">
            <v>0.18557499999999999</v>
          </cell>
          <cell r="R59">
            <v>0.16272500000000001</v>
          </cell>
        </row>
        <row r="60">
          <cell r="D60" t="str">
            <v>Residential</v>
          </cell>
          <cell r="E60" t="str">
            <v>Natural Gas</v>
          </cell>
          <cell r="H60" t="str">
            <v>PJ</v>
          </cell>
          <cell r="I60" t="str">
            <v>CER (avg calc)</v>
          </cell>
          <cell r="K60">
            <v>6.133333333333333E-2</v>
          </cell>
          <cell r="L60">
            <v>6.133333333333333E-2</v>
          </cell>
          <cell r="M60">
            <v>0.11803333333333334</v>
          </cell>
          <cell r="N60">
            <v>2.8666666666666663E-2</v>
          </cell>
          <cell r="O60">
            <v>2.4300000000000002E-2</v>
          </cell>
          <cell r="P60">
            <v>4.3E-3</v>
          </cell>
          <cell r="Q60">
            <v>2.3666666666666667E-3</v>
          </cell>
          <cell r="R60">
            <v>1.2666666666666666E-3</v>
          </cell>
        </row>
        <row r="61">
          <cell r="D61" t="str">
            <v>Residential</v>
          </cell>
          <cell r="E61" t="str">
            <v>RPP</v>
          </cell>
          <cell r="H61" t="str">
            <v>PJ</v>
          </cell>
          <cell r="K61">
            <v>138.92420000000001</v>
          </cell>
          <cell r="L61">
            <v>138.92420000000001</v>
          </cell>
          <cell r="M61">
            <v>120.87720000000002</v>
          </cell>
          <cell r="N61">
            <v>84.262500000000003</v>
          </cell>
          <cell r="O61">
            <v>62.07</v>
          </cell>
          <cell r="P61">
            <v>48.657700000000006</v>
          </cell>
          <cell r="Q61">
            <v>41.023900000000005</v>
          </cell>
          <cell r="R61">
            <v>36.169000000000004</v>
          </cell>
        </row>
        <row r="62">
          <cell r="D62" t="str">
            <v>Residential</v>
          </cell>
          <cell r="E62" t="str">
            <v>RPP</v>
          </cell>
          <cell r="H62" t="str">
            <v>PJ</v>
          </cell>
          <cell r="I62" t="str">
            <v>CER</v>
          </cell>
          <cell r="K62">
            <v>4.3559999999999999</v>
          </cell>
          <cell r="L62">
            <v>4.3559999999999999</v>
          </cell>
          <cell r="M62">
            <v>2.6728999999999998</v>
          </cell>
          <cell r="N62">
            <v>1.0529999999999999</v>
          </cell>
          <cell r="O62">
            <v>1.016</v>
          </cell>
          <cell r="P62">
            <v>0.85729999999999995</v>
          </cell>
          <cell r="Q62">
            <v>0.67559999999999998</v>
          </cell>
          <cell r="R62">
            <v>0.58360000000000001</v>
          </cell>
        </row>
        <row r="63">
          <cell r="D63" t="str">
            <v>Residential</v>
          </cell>
          <cell r="E63" t="str">
            <v>RPP</v>
          </cell>
          <cell r="H63" t="str">
            <v>PJ</v>
          </cell>
          <cell r="I63" t="str">
            <v>CER</v>
          </cell>
          <cell r="K63">
            <v>1.218</v>
          </cell>
          <cell r="L63">
            <v>1.218</v>
          </cell>
          <cell r="M63">
            <v>1.62</v>
          </cell>
          <cell r="N63">
            <v>1.7241</v>
          </cell>
          <cell r="O63">
            <v>1.7689999999999999</v>
          </cell>
          <cell r="P63">
            <v>1.6361000000000001</v>
          </cell>
          <cell r="Q63">
            <v>1.5373000000000001</v>
          </cell>
          <cell r="R63">
            <v>1.4926999999999999</v>
          </cell>
        </row>
        <row r="64">
          <cell r="D64" t="str">
            <v>Residential</v>
          </cell>
          <cell r="E64" t="str">
            <v>RPP</v>
          </cell>
          <cell r="H64" t="str">
            <v>PJ</v>
          </cell>
          <cell r="I64" t="str">
            <v>CER</v>
          </cell>
          <cell r="K64">
            <v>1.016</v>
          </cell>
          <cell r="L64">
            <v>1.016</v>
          </cell>
          <cell r="M64">
            <v>0.9</v>
          </cell>
          <cell r="N64">
            <v>0.68700000000000006</v>
          </cell>
          <cell r="O64">
            <v>0.372</v>
          </cell>
          <cell r="P64">
            <v>0.22109999999999999</v>
          </cell>
          <cell r="Q64">
            <v>0.14979999999999999</v>
          </cell>
          <cell r="R64">
            <v>0.1047</v>
          </cell>
        </row>
        <row r="65">
          <cell r="D65" t="str">
            <v>Residential</v>
          </cell>
          <cell r="E65" t="str">
            <v>RPP</v>
          </cell>
          <cell r="H65" t="str">
            <v>PJ</v>
          </cell>
          <cell r="I65" t="str">
            <v>CER</v>
          </cell>
          <cell r="K65">
            <v>0.3901</v>
          </cell>
          <cell r="L65">
            <v>0.3901</v>
          </cell>
          <cell r="M65">
            <v>0.50800000000000001</v>
          </cell>
          <cell r="N65">
            <v>0.37209999999999999</v>
          </cell>
          <cell r="O65">
            <v>0.49220000000000003</v>
          </cell>
          <cell r="P65">
            <v>0.31690000000000002</v>
          </cell>
          <cell r="Q65">
            <v>0.27179999999999999</v>
          </cell>
          <cell r="R65">
            <v>0.24049999999999999</v>
          </cell>
        </row>
        <row r="66">
          <cell r="D66" t="str">
            <v>Residential</v>
          </cell>
          <cell r="E66" t="str">
            <v>RPP</v>
          </cell>
          <cell r="H66" t="str">
            <v>PJ</v>
          </cell>
          <cell r="I66" t="str">
            <v>CER</v>
          </cell>
          <cell r="K66">
            <v>41.999099999999999</v>
          </cell>
          <cell r="L66">
            <v>41.999099999999999</v>
          </cell>
          <cell r="M66">
            <v>37.487000000000002</v>
          </cell>
          <cell r="N66">
            <v>25.202100000000002</v>
          </cell>
          <cell r="O66">
            <v>16.2529</v>
          </cell>
          <cell r="P66">
            <v>10.912000000000001</v>
          </cell>
          <cell r="Q66">
            <v>9.0859000000000005</v>
          </cell>
          <cell r="R66">
            <v>7.8308</v>
          </cell>
        </row>
        <row r="67">
          <cell r="D67" t="str">
            <v>Residential</v>
          </cell>
          <cell r="E67" t="str">
            <v>RPP</v>
          </cell>
          <cell r="H67" t="str">
            <v>PJ</v>
          </cell>
          <cell r="I67" t="str">
            <v>CER</v>
          </cell>
          <cell r="K67">
            <v>52.942</v>
          </cell>
          <cell r="L67">
            <v>52.942</v>
          </cell>
          <cell r="M67">
            <v>33.133000000000003</v>
          </cell>
          <cell r="N67">
            <v>21.225100000000001</v>
          </cell>
          <cell r="O67">
            <v>13.255000000000001</v>
          </cell>
          <cell r="P67">
            <v>7.7271000000000001</v>
          </cell>
          <cell r="Q67">
            <v>5.0659999999999998</v>
          </cell>
          <cell r="R67">
            <v>3.3805999999999998</v>
          </cell>
        </row>
        <row r="68">
          <cell r="D68" t="str">
            <v>Residential</v>
          </cell>
          <cell r="E68" t="str">
            <v>RPP</v>
          </cell>
          <cell r="H68" t="str">
            <v>PJ</v>
          </cell>
          <cell r="I68" t="str">
            <v>CER</v>
          </cell>
          <cell r="K68">
            <v>8.7760999999999996</v>
          </cell>
          <cell r="L68">
            <v>8.7760999999999996</v>
          </cell>
          <cell r="M68">
            <v>9.9651999999999994</v>
          </cell>
          <cell r="N68">
            <v>8.1929999999999996</v>
          </cell>
          <cell r="O68">
            <v>5.31</v>
          </cell>
          <cell r="P68">
            <v>5.1571999999999996</v>
          </cell>
          <cell r="Q68">
            <v>4.6386000000000003</v>
          </cell>
          <cell r="R68">
            <v>4.2362000000000002</v>
          </cell>
        </row>
        <row r="69">
          <cell r="D69" t="str">
            <v>Residential</v>
          </cell>
          <cell r="E69" t="str">
            <v>RPP</v>
          </cell>
          <cell r="H69" t="str">
            <v>PJ</v>
          </cell>
          <cell r="I69" t="str">
            <v>CER</v>
          </cell>
          <cell r="K69">
            <v>17.571999999999999</v>
          </cell>
          <cell r="L69">
            <v>17.571999999999999</v>
          </cell>
          <cell r="M69">
            <v>22.601099999999999</v>
          </cell>
          <cell r="N69">
            <v>17.588999999999999</v>
          </cell>
          <cell r="O69">
            <v>15.4857</v>
          </cell>
          <cell r="P69">
            <v>14.2789</v>
          </cell>
          <cell r="Q69">
            <v>12.801500000000001</v>
          </cell>
          <cell r="R69">
            <v>11.847099999999999</v>
          </cell>
        </row>
        <row r="70">
          <cell r="D70" t="str">
            <v>Residential</v>
          </cell>
          <cell r="E70" t="str">
            <v>RPP</v>
          </cell>
          <cell r="H70" t="str">
            <v>PJ</v>
          </cell>
          <cell r="I70" t="str">
            <v>CER</v>
          </cell>
          <cell r="K70">
            <v>4.0869</v>
          </cell>
          <cell r="L70">
            <v>4.0869</v>
          </cell>
          <cell r="M70">
            <v>4.915</v>
          </cell>
          <cell r="N70">
            <v>2.847</v>
          </cell>
          <cell r="O70">
            <v>2.6602000000000001</v>
          </cell>
          <cell r="P70">
            <v>2.5773999999999999</v>
          </cell>
          <cell r="Q70">
            <v>2.3856999999999999</v>
          </cell>
          <cell r="R70">
            <v>2.3178999999999998</v>
          </cell>
        </row>
        <row r="71">
          <cell r="D71" t="str">
            <v>Residential</v>
          </cell>
          <cell r="E71" t="str">
            <v>RPP</v>
          </cell>
          <cell r="H71" t="str">
            <v>PJ</v>
          </cell>
          <cell r="I71" t="str">
            <v>CER</v>
          </cell>
          <cell r="K71">
            <v>4.6109</v>
          </cell>
          <cell r="L71">
            <v>4.6109</v>
          </cell>
          <cell r="M71">
            <v>5.5549999999999997</v>
          </cell>
          <cell r="N71">
            <v>4.0030000000000001</v>
          </cell>
          <cell r="O71">
            <v>4.6670999999999996</v>
          </cell>
          <cell r="P71">
            <v>4.3627000000000002</v>
          </cell>
          <cell r="Q71">
            <v>3.9775999999999998</v>
          </cell>
          <cell r="R71">
            <v>3.7892000000000001</v>
          </cell>
        </row>
        <row r="72">
          <cell r="D72" t="str">
            <v>Residential</v>
          </cell>
          <cell r="E72" t="str">
            <v>RPP</v>
          </cell>
          <cell r="H72" t="str">
            <v>PJ</v>
          </cell>
          <cell r="I72" t="str">
            <v>CER</v>
          </cell>
          <cell r="K72">
            <v>0.65010000000000001</v>
          </cell>
          <cell r="L72">
            <v>0.65010000000000001</v>
          </cell>
          <cell r="M72">
            <v>0.45600000000000002</v>
          </cell>
          <cell r="N72">
            <v>7.3099999999999998E-2</v>
          </cell>
          <cell r="O72">
            <v>0.12590000000000001</v>
          </cell>
          <cell r="P72">
            <v>8.8499999999999995E-2</v>
          </cell>
          <cell r="Q72">
            <v>6.0100000000000001E-2</v>
          </cell>
          <cell r="R72">
            <v>4.2799999999999998E-2</v>
          </cell>
        </row>
        <row r="73">
          <cell r="D73" t="str">
            <v>Residential</v>
          </cell>
          <cell r="E73" t="str">
            <v>RPP</v>
          </cell>
          <cell r="H73" t="str">
            <v>PJ</v>
          </cell>
          <cell r="I73" t="str">
            <v>CER</v>
          </cell>
          <cell r="K73">
            <v>1.306</v>
          </cell>
          <cell r="L73">
            <v>1.306</v>
          </cell>
          <cell r="M73">
            <v>1.0629999999999999</v>
          </cell>
          <cell r="N73">
            <v>1.2929999999999999</v>
          </cell>
          <cell r="O73">
            <v>0.66300000000000003</v>
          </cell>
          <cell r="P73">
            <v>0.52159999999999995</v>
          </cell>
          <cell r="Q73">
            <v>0.37309999999999999</v>
          </cell>
          <cell r="R73">
            <v>0.30209999999999998</v>
          </cell>
        </row>
        <row r="74">
          <cell r="D74" t="str">
            <v>Residential</v>
          </cell>
          <cell r="E74" t="str">
            <v>RPP</v>
          </cell>
          <cell r="H74" t="str">
            <v>PJ</v>
          </cell>
          <cell r="I74" t="str">
            <v>CER</v>
          </cell>
          <cell r="K74">
            <v>1E-3</v>
          </cell>
          <cell r="L74">
            <v>1E-3</v>
          </cell>
          <cell r="M74">
            <v>1E-3</v>
          </cell>
          <cell r="N74">
            <v>1E-3</v>
          </cell>
          <cell r="O74">
            <v>1E-3</v>
          </cell>
          <cell r="P74">
            <v>8.9999999999999998E-4</v>
          </cell>
          <cell r="Q74">
            <v>8.9999999999999998E-4</v>
          </cell>
          <cell r="R74">
            <v>8.0000000000000004E-4</v>
          </cell>
        </row>
      </sheetData>
      <sheetData sheetId="5">
        <row r="1">
          <cell r="D1" t="str">
            <v>Commercial</v>
          </cell>
        </row>
        <row r="59">
          <cell r="D59">
            <v>1.7</v>
          </cell>
          <cell r="E59">
            <v>1.4</v>
          </cell>
        </row>
        <row r="60">
          <cell r="D60">
            <v>1.4</v>
          </cell>
          <cell r="E60">
            <v>1.05</v>
          </cell>
        </row>
        <row r="61">
          <cell r="D61">
            <v>1.5</v>
          </cell>
          <cell r="E61">
            <v>1.1000000000000001</v>
          </cell>
        </row>
        <row r="62">
          <cell r="D62">
            <v>1.75</v>
          </cell>
          <cell r="E62">
            <v>1.5</v>
          </cell>
        </row>
        <row r="63">
          <cell r="D63">
            <v>1.85</v>
          </cell>
          <cell r="E63">
            <v>1.25</v>
          </cell>
        </row>
        <row r="64">
          <cell r="D64">
            <v>1.6</v>
          </cell>
          <cell r="E64">
            <v>1.05</v>
          </cell>
        </row>
        <row r="65">
          <cell r="D65">
            <v>1.6</v>
          </cell>
          <cell r="E65">
            <v>1.2</v>
          </cell>
        </row>
        <row r="66">
          <cell r="D66">
            <v>1.6</v>
          </cell>
          <cell r="E66">
            <v>1</v>
          </cell>
        </row>
        <row r="67">
          <cell r="D67">
            <v>1.4</v>
          </cell>
          <cell r="E67">
            <v>1.2</v>
          </cell>
        </row>
        <row r="68">
          <cell r="D68">
            <v>1.5</v>
          </cell>
          <cell r="E68">
            <v>1.3</v>
          </cell>
        </row>
        <row r="69">
          <cell r="D69">
            <v>1.5</v>
          </cell>
          <cell r="E69">
            <v>1.3</v>
          </cell>
        </row>
        <row r="70">
          <cell r="D70">
            <v>1.5</v>
          </cell>
          <cell r="E70">
            <v>1.3</v>
          </cell>
        </row>
        <row r="71">
          <cell r="D71">
            <v>1.6</v>
          </cell>
          <cell r="E71">
            <v>1.125</v>
          </cell>
        </row>
        <row r="72">
          <cell r="D72">
            <v>1.5</v>
          </cell>
          <cell r="E72">
            <v>1.3</v>
          </cell>
        </row>
      </sheetData>
      <sheetData sheetId="6">
        <row r="1">
          <cell r="D1" t="str">
            <v>Sector</v>
          </cell>
        </row>
        <row r="26">
          <cell r="B26" t="str">
            <v>CM</v>
          </cell>
        </row>
        <row r="27">
          <cell r="B27" t="str">
            <v>CNZ</v>
          </cell>
        </row>
        <row r="59">
          <cell r="D59" t="str">
            <v>Residential</v>
          </cell>
          <cell r="E59" t="str">
            <v>Natural Gas</v>
          </cell>
          <cell r="F59">
            <v>2020</v>
          </cell>
          <cell r="G59" t="str">
            <v>CAD</v>
          </cell>
          <cell r="H59" t="str">
            <v>GJ</v>
          </cell>
          <cell r="I59" t="str">
            <v>CER (avg calc)</v>
          </cell>
        </row>
        <row r="60">
          <cell r="D60" t="str">
            <v>Residential</v>
          </cell>
          <cell r="E60" t="str">
            <v>Natural Gas</v>
          </cell>
          <cell r="F60">
            <v>2020</v>
          </cell>
          <cell r="G60" t="str">
            <v>CAD</v>
          </cell>
          <cell r="H60" t="str">
            <v>GJ</v>
          </cell>
          <cell r="I60" t="str">
            <v>CER (avg calc)</v>
          </cell>
        </row>
        <row r="61">
          <cell r="D61" t="str">
            <v>Residential</v>
          </cell>
          <cell r="E61" t="str">
            <v>Oil</v>
          </cell>
          <cell r="F61">
            <v>2020</v>
          </cell>
          <cell r="G61" t="str">
            <v>CAD</v>
          </cell>
          <cell r="H61" t="str">
            <v>GJ</v>
          </cell>
          <cell r="I61" t="str">
            <v>CER (weighted avg calc)</v>
          </cell>
        </row>
        <row r="62">
          <cell r="D62" t="str">
            <v>Residential</v>
          </cell>
          <cell r="E62" t="str">
            <v>Oil</v>
          </cell>
          <cell r="F62">
            <v>2020</v>
          </cell>
          <cell r="G62" t="str">
            <v>CAD</v>
          </cell>
          <cell r="H62" t="str">
            <v>GJ</v>
          </cell>
          <cell r="I62" t="str">
            <v>CER</v>
          </cell>
          <cell r="K62">
            <v>2022</v>
          </cell>
          <cell r="L62" t="str">
            <v>CAD</v>
          </cell>
          <cell r="M62" t="str">
            <v>GJ</v>
          </cell>
          <cell r="N62">
            <v>31.673392426239602</v>
          </cell>
          <cell r="O62">
            <v>31.673392426239602</v>
          </cell>
          <cell r="P62">
            <v>31.673392426239602</v>
          </cell>
          <cell r="Q62">
            <v>31.673392426239602</v>
          </cell>
          <cell r="R62">
            <v>31.673392426239602</v>
          </cell>
        </row>
        <row r="63">
          <cell r="D63" t="str">
            <v>Residential</v>
          </cell>
          <cell r="E63" t="str">
            <v>Oil</v>
          </cell>
          <cell r="F63">
            <v>2020</v>
          </cell>
          <cell r="G63" t="str">
            <v>CAD</v>
          </cell>
          <cell r="H63" t="str">
            <v>GJ</v>
          </cell>
          <cell r="I63" t="str">
            <v>CER</v>
          </cell>
          <cell r="K63">
            <v>2022</v>
          </cell>
          <cell r="L63" t="str">
            <v>CAD</v>
          </cell>
          <cell r="M63" t="str">
            <v>GJ</v>
          </cell>
          <cell r="N63">
            <v>27.008549334206801</v>
          </cell>
          <cell r="O63">
            <v>27.008549334206801</v>
          </cell>
          <cell r="P63">
            <v>27.008549334206801</v>
          </cell>
          <cell r="Q63">
            <v>27.008549334206801</v>
          </cell>
          <cell r="R63">
            <v>27.008549334206801</v>
          </cell>
        </row>
        <row r="64">
          <cell r="D64" t="str">
            <v>Residential</v>
          </cell>
          <cell r="E64" t="str">
            <v>Oil</v>
          </cell>
          <cell r="F64">
            <v>2020</v>
          </cell>
          <cell r="G64" t="str">
            <v>CAD</v>
          </cell>
          <cell r="H64" t="str">
            <v>GJ</v>
          </cell>
          <cell r="I64" t="str">
            <v>CER</v>
          </cell>
          <cell r="K64">
            <v>2022</v>
          </cell>
          <cell r="L64" t="str">
            <v>CAD</v>
          </cell>
          <cell r="M64" t="str">
            <v>GJ</v>
          </cell>
          <cell r="N64">
            <v>28.775457796757099</v>
          </cell>
          <cell r="O64">
            <v>28.775457796757099</v>
          </cell>
          <cell r="P64">
            <v>28.775457796757099</v>
          </cell>
          <cell r="Q64">
            <v>28.775457796757099</v>
          </cell>
          <cell r="R64">
            <v>28.775457796757099</v>
          </cell>
        </row>
        <row r="65">
          <cell r="D65" t="str">
            <v>Residential</v>
          </cell>
          <cell r="E65" t="str">
            <v>Oil</v>
          </cell>
          <cell r="F65">
            <v>2020</v>
          </cell>
          <cell r="G65" t="str">
            <v>CAD</v>
          </cell>
          <cell r="H65" t="str">
            <v>GJ</v>
          </cell>
          <cell r="I65" t="str">
            <v>CER</v>
          </cell>
          <cell r="K65">
            <v>2022</v>
          </cell>
          <cell r="L65" t="str">
            <v>CAD</v>
          </cell>
          <cell r="M65" t="str">
            <v>GJ</v>
          </cell>
          <cell r="N65">
            <v>29.352571576593</v>
          </cell>
          <cell r="O65">
            <v>29.352571576593</v>
          </cell>
          <cell r="P65">
            <v>29.352571576593</v>
          </cell>
          <cell r="Q65">
            <v>29.352571576593</v>
          </cell>
          <cell r="R65">
            <v>29.352571576593</v>
          </cell>
        </row>
        <row r="66">
          <cell r="D66" t="str">
            <v>Residential</v>
          </cell>
          <cell r="E66" t="str">
            <v>Oil</v>
          </cell>
          <cell r="F66">
            <v>2020</v>
          </cell>
          <cell r="G66" t="str">
            <v>CAD</v>
          </cell>
          <cell r="H66" t="str">
            <v>GJ</v>
          </cell>
          <cell r="I66" t="str">
            <v>CER</v>
          </cell>
          <cell r="K66">
            <v>2022</v>
          </cell>
          <cell r="L66" t="str">
            <v>CAD</v>
          </cell>
          <cell r="M66" t="str">
            <v>GJ</v>
          </cell>
          <cell r="N66">
            <v>28.047242860248399</v>
          </cell>
          <cell r="O66">
            <v>28.047242860248399</v>
          </cell>
          <cell r="P66">
            <v>28.047242860248399</v>
          </cell>
          <cell r="Q66">
            <v>28.047242860248399</v>
          </cell>
          <cell r="R66">
            <v>28.047242860248399</v>
          </cell>
        </row>
        <row r="67">
          <cell r="D67" t="str">
            <v>Residential</v>
          </cell>
          <cell r="E67" t="str">
            <v>Oil</v>
          </cell>
          <cell r="F67">
            <v>2020</v>
          </cell>
          <cell r="G67" t="str">
            <v>CAD</v>
          </cell>
          <cell r="H67" t="str">
            <v>GJ</v>
          </cell>
          <cell r="I67" t="str">
            <v>CER</v>
          </cell>
          <cell r="K67">
            <v>2022</v>
          </cell>
          <cell r="L67" t="str">
            <v>CAD</v>
          </cell>
          <cell r="M67" t="str">
            <v>GJ</v>
          </cell>
          <cell r="N67">
            <v>26.9441056576105</v>
          </cell>
          <cell r="O67">
            <v>26.9441056576105</v>
          </cell>
          <cell r="P67">
            <v>26.9441056576105</v>
          </cell>
          <cell r="Q67">
            <v>26.9441056576105</v>
          </cell>
          <cell r="R67">
            <v>26.9441056576105</v>
          </cell>
        </row>
        <row r="68">
          <cell r="D68" t="str">
            <v>Residential</v>
          </cell>
          <cell r="E68" t="str">
            <v>Oil</v>
          </cell>
          <cell r="F68">
            <v>2020</v>
          </cell>
          <cell r="G68" t="str">
            <v>CAD</v>
          </cell>
          <cell r="H68" t="str">
            <v>GJ</v>
          </cell>
          <cell r="I68" t="str">
            <v>CER</v>
          </cell>
          <cell r="K68">
            <v>2022</v>
          </cell>
          <cell r="L68" t="str">
            <v>CAD</v>
          </cell>
          <cell r="M68" t="str">
            <v>GJ</v>
          </cell>
          <cell r="N68">
            <v>29.902255412494501</v>
          </cell>
          <cell r="O68">
            <v>29.902255412494501</v>
          </cell>
          <cell r="P68">
            <v>29.902255412494501</v>
          </cell>
          <cell r="Q68">
            <v>29.902255412494501</v>
          </cell>
          <cell r="R68">
            <v>29.902255412494501</v>
          </cell>
        </row>
        <row r="69">
          <cell r="D69" t="str">
            <v>Residential</v>
          </cell>
          <cell r="E69" t="str">
            <v>Oil</v>
          </cell>
          <cell r="F69">
            <v>2020</v>
          </cell>
          <cell r="G69" t="str">
            <v>CAD</v>
          </cell>
          <cell r="H69" t="str">
            <v>GJ</v>
          </cell>
          <cell r="I69" t="str">
            <v>CER</v>
          </cell>
          <cell r="K69">
            <v>2022</v>
          </cell>
          <cell r="L69" t="str">
            <v>CAD</v>
          </cell>
          <cell r="M69" t="str">
            <v>GJ</v>
          </cell>
          <cell r="N69">
            <v>30.076085031839199</v>
          </cell>
          <cell r="O69">
            <v>30.076085031839199</v>
          </cell>
          <cell r="P69">
            <v>30.076085031839199</v>
          </cell>
          <cell r="Q69">
            <v>30.076085031839199</v>
          </cell>
          <cell r="R69">
            <v>30.076085031839199</v>
          </cell>
        </row>
        <row r="70">
          <cell r="D70" t="str">
            <v>Residential</v>
          </cell>
          <cell r="E70" t="str">
            <v>Oil</v>
          </cell>
          <cell r="F70">
            <v>2020</v>
          </cell>
          <cell r="G70" t="str">
            <v>CAD</v>
          </cell>
          <cell r="H70" t="str">
            <v>GJ</v>
          </cell>
          <cell r="I70" t="str">
            <v>CER</v>
          </cell>
          <cell r="K70">
            <v>2022</v>
          </cell>
          <cell r="L70" t="str">
            <v>CAD</v>
          </cell>
          <cell r="M70" t="str">
            <v>GJ</v>
          </cell>
          <cell r="N70">
            <v>26.545842901663001</v>
          </cell>
          <cell r="O70">
            <v>26.545842901663001</v>
          </cell>
          <cell r="P70">
            <v>26.545842901663001</v>
          </cell>
          <cell r="Q70">
            <v>26.545842901663001</v>
          </cell>
          <cell r="R70">
            <v>26.545842901663001</v>
          </cell>
        </row>
        <row r="71">
          <cell r="D71" t="str">
            <v>Residential</v>
          </cell>
          <cell r="E71" t="str">
            <v>Oil</v>
          </cell>
          <cell r="F71">
            <v>2020</v>
          </cell>
          <cell r="G71" t="str">
            <v>CAD</v>
          </cell>
          <cell r="H71" t="str">
            <v>GJ</v>
          </cell>
          <cell r="I71" t="str">
            <v>CER</v>
          </cell>
          <cell r="K71">
            <v>2022</v>
          </cell>
          <cell r="L71" t="str">
            <v>CAD</v>
          </cell>
          <cell r="M71" t="str">
            <v>GJ</v>
          </cell>
          <cell r="N71">
            <v>28.2630102488435</v>
          </cell>
          <cell r="O71">
            <v>28.2630102488435</v>
          </cell>
          <cell r="P71">
            <v>28.2630102488435</v>
          </cell>
          <cell r="Q71">
            <v>28.2630102488435</v>
          </cell>
          <cell r="R71">
            <v>28.2630102488435</v>
          </cell>
        </row>
        <row r="72">
          <cell r="D72" t="str">
            <v>Residential</v>
          </cell>
          <cell r="E72" t="str">
            <v>Oil</v>
          </cell>
          <cell r="F72">
            <v>2020</v>
          </cell>
          <cell r="G72" t="str">
            <v>CAD</v>
          </cell>
          <cell r="H72" t="str">
            <v>GJ</v>
          </cell>
          <cell r="I72" t="str">
            <v>CER</v>
          </cell>
          <cell r="K72">
            <v>2022</v>
          </cell>
          <cell r="L72" t="str">
            <v>CAD</v>
          </cell>
          <cell r="M72" t="str">
            <v>GJ</v>
          </cell>
          <cell r="N72">
            <v>31.7872712046324</v>
          </cell>
          <cell r="O72">
            <v>31.7872712046324</v>
          </cell>
          <cell r="P72">
            <v>31.7872712046324</v>
          </cell>
          <cell r="Q72">
            <v>31.7872712046324</v>
          </cell>
          <cell r="R72">
            <v>31.7872712046324</v>
          </cell>
        </row>
        <row r="73">
          <cell r="D73" t="str">
            <v>Residential</v>
          </cell>
          <cell r="E73" t="str">
            <v>Oil</v>
          </cell>
          <cell r="F73">
            <v>2020</v>
          </cell>
          <cell r="G73" t="str">
            <v>CAD</v>
          </cell>
          <cell r="H73" t="str">
            <v>GJ</v>
          </cell>
          <cell r="I73" t="str">
            <v>CER</v>
          </cell>
          <cell r="K73">
            <v>2022</v>
          </cell>
          <cell r="L73" t="str">
            <v>CAD</v>
          </cell>
          <cell r="M73" t="str">
            <v>GJ</v>
          </cell>
          <cell r="N73">
            <v>29.2279962328425</v>
          </cell>
          <cell r="O73">
            <v>29.2279962328425</v>
          </cell>
          <cell r="P73">
            <v>29.2279962328425</v>
          </cell>
          <cell r="Q73">
            <v>29.2279962328425</v>
          </cell>
          <cell r="R73">
            <v>29.2279962328425</v>
          </cell>
        </row>
        <row r="74">
          <cell r="D74" t="str">
            <v>Residential</v>
          </cell>
          <cell r="E74" t="str">
            <v>Oil</v>
          </cell>
          <cell r="F74">
            <v>2020</v>
          </cell>
          <cell r="G74" t="str">
            <v>CAD</v>
          </cell>
          <cell r="H74" t="str">
            <v>GJ</v>
          </cell>
          <cell r="I74" t="str">
            <v>CER</v>
          </cell>
          <cell r="K74">
            <v>2022</v>
          </cell>
          <cell r="L74" t="str">
            <v>CAD</v>
          </cell>
          <cell r="M74" t="str">
            <v>GJ</v>
          </cell>
          <cell r="N74">
            <v>29.2279962328425</v>
          </cell>
          <cell r="O74">
            <v>29.2279962328425</v>
          </cell>
          <cell r="P74">
            <v>29.2279962328425</v>
          </cell>
          <cell r="Q74">
            <v>29.2279962328425</v>
          </cell>
          <cell r="R74">
            <v>29.2279962328425</v>
          </cell>
        </row>
      </sheetData>
      <sheetData sheetId="7">
        <row r="1">
          <cell r="D1" t="str">
            <v>To</v>
          </cell>
        </row>
      </sheetData>
      <sheetData sheetId="8">
        <row r="1">
          <cell r="D1" t="str">
            <v>For prices</v>
          </cell>
        </row>
        <row r="19">
          <cell r="B19" t="str">
            <v>Petroleum coke</v>
          </cell>
        </row>
        <row r="20">
          <cell r="B20" t="str">
            <v>Propane</v>
          </cell>
        </row>
        <row r="21">
          <cell r="B21" t="str">
            <v>Refinery fuel gas</v>
          </cell>
        </row>
        <row r="22">
          <cell r="B22" t="str">
            <v>Solid biomass</v>
          </cell>
        </row>
        <row r="23">
          <cell r="B23" t="str">
            <v>Uranium</v>
          </cell>
        </row>
        <row r="24">
          <cell r="B24" t="str">
            <v>Waste fuel</v>
          </cell>
        </row>
        <row r="27">
          <cell r="B27" t="str">
            <v>Energy</v>
          </cell>
        </row>
        <row r="28">
          <cell r="B28" t="str">
            <v>HHV</v>
          </cell>
        </row>
        <row r="29">
          <cell r="B29" t="str">
            <v>Biodiesel</v>
          </cell>
        </row>
        <row r="30">
          <cell r="B30" t="str">
            <v>Biogas</v>
          </cell>
        </row>
        <row r="31">
          <cell r="B31" t="str">
            <v>Black liquor</v>
          </cell>
        </row>
        <row r="32">
          <cell r="B32" t="str">
            <v>Coal</v>
          </cell>
        </row>
        <row r="33">
          <cell r="B33" t="str">
            <v>Coke</v>
          </cell>
        </row>
        <row r="34">
          <cell r="B34" t="str">
            <v>Diesel</v>
          </cell>
        </row>
        <row r="60">
          <cell r="F60" t="str">
            <v>NIR, Table A6-12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</row>
        <row r="61">
          <cell r="F61" t="str">
            <v>Assumption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</row>
        <row r="62">
          <cell r="F62" t="str">
            <v>NIR, Table A6-34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</row>
        <row r="63">
          <cell r="F63" t="str">
            <v>NIR, Table A6-8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</row>
        <row r="64">
          <cell r="F64" t="str">
            <v>NIR, Table A6-9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</row>
        <row r="65">
          <cell r="F65" t="str">
            <v>NIR, Table A6-4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F67" t="str">
            <v>NIR, Table A6-12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</row>
        <row r="68">
          <cell r="F68" t="str">
            <v>NIR, Table A6-4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</row>
        <row r="69">
          <cell r="F69" t="str">
            <v>NIR, Table A6-4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</row>
        <row r="70">
          <cell r="F70" t="str">
            <v>Assumption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F71" t="str">
            <v>NIR, Table A6-12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</row>
        <row r="72">
          <cell r="F72" t="str">
            <v>Propane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</row>
        <row r="73">
          <cell r="F73" t="str">
            <v>NIR, Table A6.1-1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</row>
        <row r="74">
          <cell r="F74" t="str">
            <v>NIR, CRF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service_request</t>
        </is>
      </c>
      <c r="J3" t="inlineStr">
        <is>
          <t>CIMS.CAN.AT</t>
        </is>
      </c>
      <c r="K3" t="inlineStr">
        <is>
          <t>n/a</t>
        </is>
      </c>
      <c r="L3" t="inlineStr">
        <is>
          <t>unit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CIMS.CAN.AT</t>
        </is>
      </c>
      <c r="B4" t="inlineStr">
        <is>
          <t>Region</t>
        </is>
      </c>
      <c r="C4" t="inlineStr">
        <is>
          <t>AT</t>
        </is>
      </c>
      <c r="G4" t="inlineStr">
        <is>
          <t>service_provide</t>
        </is>
      </c>
      <c r="L4" t="inlineStr">
        <is>
          <t>unit</t>
        </is>
      </c>
    </row>
    <row r="5">
      <c r="A5" t="inlineStr">
        <is>
          <t>CIMS.CAN.AT</t>
        </is>
      </c>
      <c r="B5" t="inlineStr">
        <is>
          <t>Region</t>
        </is>
      </c>
      <c r="C5" t="inlineStr">
        <is>
          <t>AT</t>
        </is>
      </c>
      <c r="G5" t="inlineStr">
        <is>
          <t>competition</t>
        </is>
      </c>
      <c r="H5" t="inlineStr">
        <is>
          <t>Region</t>
        </is>
      </c>
    </row>
    <row r="6">
      <c r="A6" t="inlineStr">
        <is>
          <t>CIMS.CAN.AT</t>
        </is>
      </c>
      <c r="B6" t="inlineStr">
        <is>
          <t>Region</t>
        </is>
      </c>
      <c r="C6" t="inlineStr">
        <is>
          <t>AT</t>
        </is>
      </c>
      <c r="G6" t="inlineStr">
        <is>
          <t>attribute</t>
        </is>
      </c>
      <c r="H6" t="inlineStr">
        <is>
          <t>Population</t>
        </is>
      </c>
      <c r="K6" t="inlineStr">
        <is>
          <t>StatCan</t>
        </is>
      </c>
      <c r="L6" t="inlineStr">
        <is>
          <t>persons</t>
        </is>
      </c>
      <c r="M6">
        <f t="array" ref="M6">INDEX([1]!CIMS_population,_xlfn.XMATCH($C6,[1]!region_CIMS),_xlfn.XMATCH(M$2,[1]!CIMS_year))</f>
        <v/>
      </c>
      <c r="N6">
        <f t="array" ref="N6">INDEX([1]!CIMS_population,_xlfn.XMATCH($C6,[1]!region_CIMS),_xlfn.XMATCH(N$2,[1]!CIMS_year))</f>
        <v/>
      </c>
      <c r="O6">
        <f t="array" ref="O6">INDEX([1]!CIMS_population,_xlfn.XMATCH($C6,[1]!region_CIMS),_xlfn.XMATCH(O$2,[1]!CIMS_year))</f>
        <v/>
      </c>
      <c r="P6">
        <f t="array" ref="P6">INDEX([1]!CIMS_population,_xlfn.XMATCH($C6,[1]!region_CIMS),_xlfn.XMATCH(P$2,[1]!CIMS_year))</f>
        <v/>
      </c>
      <c r="Q6">
        <f t="array" ref="Q6">INDEX([1]!CIMS_population,_xlfn.XMATCH($C6,[1]!region_CIMS),_xlfn.XMATCH(Q$2,[1]!CIMS_year))</f>
        <v/>
      </c>
      <c r="R6">
        <f t="array" ref="R6">INDEX([1]!CIMS_population,_xlfn.XMATCH($C6,[1]!region_CIMS),_xlfn.XMATCH(R$2,[1]!CIMS_year))</f>
        <v/>
      </c>
      <c r="S6">
        <f t="array" ref="S6">INDEX([1]!CIMS_population,_xlfn.XMATCH($C6,[1]!region_CIMS),_xlfn.XMATCH(S$2,[1]!CIMS_year))</f>
        <v/>
      </c>
      <c r="T6">
        <f t="array" ref="T6">INDEX([1]!CIMS_population,_xlfn.XMATCH($C6,[1]!region_CIMS),_xlfn.XMATCH(T$2,[1]!CIMS_year))</f>
        <v/>
      </c>
      <c r="U6">
        <f t="array" ref="U6">INDEX([1]!CIMS_population,_xlfn.XMATCH($C6,[1]!region_CIMS),_xlfn.XMATCH(U$2,[1]!CIMS_year))</f>
        <v/>
      </c>
      <c r="V6">
        <f t="array" ref="V6">INDEX([1]!CIMS_population,_xlfn.XMATCH($C6,[1]!region_CIMS),_xlfn.XMATCH(V$2,[1]!CIMS_year))</f>
        <v/>
      </c>
      <c r="W6">
        <f t="array" ref="W6">INDEX([1]!CIMS_population,_xlfn.XMATCH($C6,[1]!region_CIMS),_xlfn.XMATCH(W$2,[1]!CIMS_year))</f>
        <v/>
      </c>
    </row>
    <row r="7">
      <c r="A7" t="inlineStr">
        <is>
          <t>CIMS.CAN.AT</t>
        </is>
      </c>
      <c r="B7" t="inlineStr">
        <is>
          <t>Region</t>
        </is>
      </c>
      <c r="C7" t="inlineStr">
        <is>
          <t>AT</t>
        </is>
      </c>
      <c r="G7" t="inlineStr">
        <is>
          <t>attribute</t>
        </is>
      </c>
      <c r="H7" t="inlineStr">
        <is>
          <t>GDP</t>
        </is>
      </c>
      <c r="K7" t="inlineStr">
        <is>
          <t>StatCan</t>
        </is>
      </c>
      <c r="L7" t="inlineStr">
        <is>
          <t>$ million</t>
        </is>
      </c>
      <c r="M7">
        <f t="array" ref="M7">INDEX([1]!CIMS_GDP,_xlfn.XMATCH($C7,[1]!region_CIMS),_xlfn.XMATCH(M$2,[1]!CIMS_year))</f>
        <v/>
      </c>
      <c r="N7">
        <f t="array" ref="N7">INDEX([1]!CIMS_GDP,_xlfn.XMATCH($C7,[1]!region_CIMS),_xlfn.XMATCH(N$2,[1]!CIMS_year))</f>
        <v/>
      </c>
      <c r="O7">
        <f t="array" ref="O7">INDEX([1]!CIMS_GDP,_xlfn.XMATCH($C7,[1]!region_CIMS),_xlfn.XMATCH(O$2,[1]!CIMS_year))</f>
        <v/>
      </c>
      <c r="P7">
        <f t="array" ref="P7">INDEX([1]!CIMS_GDP,_xlfn.XMATCH($C7,[1]!region_CIMS),_xlfn.XMATCH(P$2,[1]!CIMS_year))</f>
        <v/>
      </c>
      <c r="Q7">
        <f t="array" ref="Q7">INDEX([1]!CIMS_GDP,_xlfn.XMATCH($C7,[1]!region_CIMS),_xlfn.XMATCH(Q$2,[1]!CIMS_year))</f>
        <v/>
      </c>
      <c r="R7">
        <f t="array" ref="R7">INDEX([1]!CIMS_GDP,_xlfn.XMATCH($C7,[1]!region_CIMS),_xlfn.XMATCH(R$2,[1]!CIMS_year))</f>
        <v/>
      </c>
      <c r="S7">
        <f t="array" ref="S7">INDEX([1]!CIMS_GDP,_xlfn.XMATCH($C7,[1]!region_CIMS),_xlfn.XMATCH(S$2,[1]!CIMS_year))</f>
        <v/>
      </c>
      <c r="T7">
        <f t="array" ref="T7">INDEX([1]!CIMS_GDP,_xlfn.XMATCH($C7,[1]!region_CIMS),_xlfn.XMATCH(T$2,[1]!CIMS_year))</f>
        <v/>
      </c>
      <c r="U7">
        <f t="array" ref="U7">INDEX([1]!CIMS_GDP,_xlfn.XMATCH($C7,[1]!region_CIMS),_xlfn.XMATCH(U$2,[1]!CIMS_year))</f>
        <v/>
      </c>
      <c r="V7">
        <f t="array" ref="V7">INDEX([1]!CIMS_GDP,_xlfn.XMATCH($C7,[1]!region_CIMS),_xlfn.XMATCH(V$2,[1]!CIMS_year))</f>
        <v/>
      </c>
      <c r="W7">
        <f t="array" ref="W7">INDEX([1]!CIMS_GDP,_xlfn.XMATCH($C7,[1]!region_CIMS),_xlfn.XMATCH(W$2,[1]!CIMS_year))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2025-03-20T21:30:40Z</dcterms:created>
  <dcterms:modified xsi:type="dcterms:W3CDTF">2025-09-19T06:04:09Z</dcterms:modified>
  <cp:lastModifiedBy>Bradford Griffin</cp:lastModifiedBy>
</cp:coreProperties>
</file>