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Conversions"/>
      <sheetName val="Coefficients"/>
    </sheetNames>
    <definedNames>
      <definedName name="CIMS_GDP" refersTo="='Macro'!$D$59:$R$74"/>
      <definedName name="CIMS_population" refersTo="='Macro'!$D$4:$R$19"/>
      <definedName name="CIMS_year" refersTo="='Macro'!$D$1:$R$1"/>
      <definedName name="region_CIMS" refersTo="='Control'!$B$19:$B$34"/>
    </definedNames>
    <sheetDataSet>
      <sheetData sheetId="0">
        <row r="6">
          <cell r="D6" t="str">
            <v>Benchmark currency year</v>
          </cell>
          <cell r="E6" t="str">
            <v>Benchmark currency country</v>
          </cell>
        </row>
        <row r="7">
          <cell r="D7">
            <v>2022</v>
          </cell>
          <cell r="E7" t="str">
            <v>USD</v>
          </cell>
        </row>
        <row r="19">
          <cell r="B19" t="str">
            <v>CAN</v>
          </cell>
        </row>
        <row r="20">
          <cell r="B20" t="str">
            <v>BC</v>
          </cell>
        </row>
        <row r="21">
          <cell r="B21" t="str">
            <v>AB</v>
          </cell>
        </row>
        <row r="22">
          <cell r="B22" t="str">
            <v>SK</v>
          </cell>
        </row>
        <row r="23">
          <cell r="B23" t="str">
            <v>MB</v>
          </cell>
        </row>
        <row r="24">
          <cell r="B24" t="str">
            <v>ON</v>
          </cell>
        </row>
        <row r="25">
          <cell r="B25" t="str">
            <v>QC</v>
          </cell>
        </row>
        <row r="26">
          <cell r="B26" t="str">
            <v>NB</v>
          </cell>
        </row>
        <row r="27">
          <cell r="B27" t="str">
            <v>NS</v>
          </cell>
        </row>
        <row r="28">
          <cell r="B28" t="str">
            <v>PE</v>
          </cell>
        </row>
        <row r="29">
          <cell r="B29" t="str">
            <v>NL</v>
          </cell>
        </row>
        <row r="30">
          <cell r="B30" t="str">
            <v>YT</v>
          </cell>
        </row>
        <row r="31">
          <cell r="B31" t="str">
            <v>NT</v>
          </cell>
        </row>
        <row r="32">
          <cell r="B32" t="str">
            <v>NU</v>
          </cell>
        </row>
        <row r="33">
          <cell r="B33" t="str">
            <v>AT</v>
          </cell>
        </row>
        <row r="34">
          <cell r="B34" t="str">
            <v>TR</v>
          </cell>
        </row>
        <row r="59">
          <cell r="D59" t="str">
            <v>Industrial</v>
          </cell>
        </row>
        <row r="60">
          <cell r="D60" t="str">
            <v>Commercial</v>
          </cell>
        </row>
        <row r="61">
          <cell r="D61" t="str">
            <v>Industrial</v>
          </cell>
        </row>
        <row r="64">
          <cell r="D64" t="str">
            <v>CER fuels</v>
          </cell>
        </row>
        <row r="65">
          <cell r="D65" t="str">
            <v>Electricity</v>
          </cell>
        </row>
        <row r="66">
          <cell r="D66" t="str">
            <v>Natural Gas</v>
          </cell>
        </row>
        <row r="67">
          <cell r="D67" t="str">
            <v>Fuel Oil</v>
          </cell>
        </row>
        <row r="68">
          <cell r="D68" t="str">
            <v>Gasoline</v>
          </cell>
        </row>
        <row r="69">
          <cell r="D69" t="str">
            <v>Diesel</v>
          </cell>
        </row>
      </sheetData>
      <sheetData sheetId="1">
        <row r="1">
          <cell r="D1" t="str">
            <v>Source</v>
          </cell>
          <cell r="E1" t="str">
            <v>Data Year</v>
          </cell>
          <cell r="F1" t="str">
            <v>Unit</v>
          </cell>
          <cell r="H1">
            <v>2000</v>
          </cell>
          <cell r="I1">
            <v>2005</v>
          </cell>
          <cell r="J1">
            <v>2010</v>
          </cell>
          <cell r="K1">
            <v>2015</v>
          </cell>
          <cell r="L1">
            <v>2020</v>
          </cell>
          <cell r="M1">
            <v>2025</v>
          </cell>
          <cell r="N1">
            <v>2030</v>
          </cell>
          <cell r="O1">
            <v>2035</v>
          </cell>
          <cell r="P1">
            <v>2040</v>
          </cell>
          <cell r="Q1">
            <v>2045</v>
          </cell>
          <cell r="R1">
            <v>2050</v>
          </cell>
        </row>
        <row r="4">
          <cell r="D4" t="str">
            <v>StatCan</v>
          </cell>
          <cell r="F4" t="str">
            <v>persons</v>
          </cell>
          <cell r="H4">
            <v>30685730</v>
          </cell>
          <cell r="I4">
            <v>32243753</v>
          </cell>
          <cell r="J4">
            <v>34004889</v>
          </cell>
          <cell r="K4">
            <v>35702908</v>
          </cell>
          <cell r="L4">
            <v>38037204</v>
          </cell>
          <cell r="M4">
            <v>39913200</v>
          </cell>
          <cell r="N4">
            <v>41887500</v>
          </cell>
          <cell r="O4">
            <v>43754600</v>
          </cell>
          <cell r="P4">
            <v>45505800</v>
          </cell>
          <cell r="Q4">
            <v>47155300</v>
          </cell>
          <cell r="R4">
            <v>48762100</v>
          </cell>
        </row>
        <row r="5">
          <cell r="D5" t="str">
            <v>StatCan</v>
          </cell>
          <cell r="F5" t="str">
            <v>persons</v>
          </cell>
          <cell r="H5">
            <v>4039230</v>
          </cell>
          <cell r="I5">
            <v>4196062</v>
          </cell>
          <cell r="J5">
            <v>4465546</v>
          </cell>
          <cell r="K5">
            <v>4776388</v>
          </cell>
          <cell r="L5">
            <v>5158728</v>
          </cell>
          <cell r="M5">
            <v>5414300</v>
          </cell>
          <cell r="N5">
            <v>5702800</v>
          </cell>
          <cell r="O5">
            <v>5977000</v>
          </cell>
          <cell r="P5">
            <v>6237500</v>
          </cell>
          <cell r="Q5">
            <v>6463597.6897450434</v>
          </cell>
          <cell r="R5">
            <v>6683842.4717288781</v>
          </cell>
        </row>
        <row r="6">
          <cell r="D6" t="str">
            <v>StatCan</v>
          </cell>
          <cell r="F6" t="str">
            <v>persons</v>
          </cell>
          <cell r="H6">
            <v>3004198</v>
          </cell>
          <cell r="I6">
            <v>3321768</v>
          </cell>
          <cell r="J6">
            <v>3732082</v>
          </cell>
          <cell r="K6">
            <v>4144491</v>
          </cell>
          <cell r="L6">
            <v>4420029</v>
          </cell>
          <cell r="M6">
            <v>4965000</v>
          </cell>
          <cell r="N6">
            <v>5460100</v>
          </cell>
          <cell r="O6">
            <v>5976700</v>
          </cell>
          <cell r="P6">
            <v>6515600</v>
          </cell>
          <cell r="Q6">
            <v>6751778.2937559607</v>
          </cell>
          <cell r="R6">
            <v>6981842.726861191</v>
          </cell>
        </row>
        <row r="7">
          <cell r="D7" t="str">
            <v>StatCan</v>
          </cell>
          <cell r="F7" t="str">
            <v>persons</v>
          </cell>
          <cell r="H7">
            <v>1007565</v>
          </cell>
          <cell r="I7">
            <v>993500</v>
          </cell>
          <cell r="J7">
            <v>1051443</v>
          </cell>
          <cell r="K7">
            <v>1120967</v>
          </cell>
          <cell r="L7">
            <v>1179300</v>
          </cell>
          <cell r="M7">
            <v>1296800</v>
          </cell>
          <cell r="N7">
            <v>1398300</v>
          </cell>
          <cell r="O7">
            <v>1495100</v>
          </cell>
          <cell r="P7">
            <v>1583800</v>
          </cell>
          <cell r="Q7">
            <v>1641209.7829287695</v>
          </cell>
          <cell r="R7">
            <v>1697133.4199157031</v>
          </cell>
        </row>
        <row r="8">
          <cell r="D8" t="str">
            <v>StatCan</v>
          </cell>
          <cell r="F8" t="str">
            <v>persons</v>
          </cell>
          <cell r="H8">
            <v>1147313</v>
          </cell>
          <cell r="I8">
            <v>1178264</v>
          </cell>
          <cell r="J8">
            <v>1220780</v>
          </cell>
          <cell r="K8">
            <v>1292227</v>
          </cell>
          <cell r="L8">
            <v>1380648</v>
          </cell>
          <cell r="M8">
            <v>1452400</v>
          </cell>
          <cell r="N8">
            <v>1524900</v>
          </cell>
          <cell r="O8">
            <v>1598100</v>
          </cell>
          <cell r="P8">
            <v>1672400</v>
          </cell>
          <cell r="Q8">
            <v>1733021.3669466309</v>
          </cell>
          <cell r="R8">
            <v>1792073.4508568139</v>
          </cell>
        </row>
        <row r="9">
          <cell r="D9" t="str">
            <v>StatCan</v>
          </cell>
          <cell r="F9" t="str">
            <v>persons</v>
          </cell>
          <cell r="H9">
            <v>11683290</v>
          </cell>
          <cell r="I9">
            <v>12528663</v>
          </cell>
          <cell r="J9">
            <v>13135778</v>
          </cell>
          <cell r="K9">
            <v>13707118</v>
          </cell>
          <cell r="L9">
            <v>14745712</v>
          </cell>
          <cell r="M9">
            <v>15465400</v>
          </cell>
          <cell r="N9">
            <v>16239800</v>
          </cell>
          <cell r="O9">
            <v>16942700</v>
          </cell>
          <cell r="P9">
            <v>17554000</v>
          </cell>
          <cell r="Q9">
            <v>18190299.614554629</v>
          </cell>
          <cell r="R9">
            <v>18810127.574946489</v>
          </cell>
        </row>
        <row r="10">
          <cell r="D10" t="str">
            <v>StatCan</v>
          </cell>
          <cell r="F10" t="str">
            <v>persons</v>
          </cell>
          <cell r="H10">
            <v>7356951</v>
          </cell>
          <cell r="I10">
            <v>7581476</v>
          </cell>
          <cell r="J10">
            <v>7929222</v>
          </cell>
          <cell r="K10">
            <v>8175272</v>
          </cell>
          <cell r="L10">
            <v>8578300</v>
          </cell>
          <cell r="M10">
            <v>8749700</v>
          </cell>
          <cell r="N10">
            <v>8977700</v>
          </cell>
          <cell r="O10">
            <v>9185100</v>
          </cell>
          <cell r="P10">
            <v>9385400</v>
          </cell>
          <cell r="Q10">
            <v>9725603.1675083172</v>
          </cell>
          <cell r="R10">
            <v>10056999.620707691</v>
          </cell>
        </row>
        <row r="11">
          <cell r="D11" t="str">
            <v>StatCan</v>
          </cell>
          <cell r="F11" t="str">
            <v>persons</v>
          </cell>
          <cell r="H11">
            <v>750517</v>
          </cell>
          <cell r="I11">
            <v>748057</v>
          </cell>
          <cell r="J11">
            <v>753035</v>
          </cell>
          <cell r="K11">
            <v>758842</v>
          </cell>
          <cell r="L11">
            <v>783204</v>
          </cell>
          <cell r="M11">
            <v>784400</v>
          </cell>
          <cell r="N11">
            <v>790600</v>
          </cell>
          <cell r="O11">
            <v>791500</v>
          </cell>
          <cell r="P11">
            <v>786400</v>
          </cell>
          <cell r="Q11">
            <v>814905.5267680164</v>
          </cell>
          <cell r="R11">
            <v>842673.14144570578</v>
          </cell>
        </row>
        <row r="12">
          <cell r="D12" t="str">
            <v>StatCan</v>
          </cell>
          <cell r="F12" t="str">
            <v>persons</v>
          </cell>
          <cell r="H12">
            <v>933821</v>
          </cell>
          <cell r="I12">
            <v>937926</v>
          </cell>
          <cell r="J12">
            <v>942107</v>
          </cell>
          <cell r="K12">
            <v>936525</v>
          </cell>
          <cell r="L12">
            <v>981889</v>
          </cell>
          <cell r="M12">
            <v>974700</v>
          </cell>
          <cell r="N12">
            <v>980500</v>
          </cell>
          <cell r="O12">
            <v>979000</v>
          </cell>
          <cell r="P12">
            <v>969700</v>
          </cell>
          <cell r="Q12">
            <v>1004849.8083760751</v>
          </cell>
          <cell r="R12">
            <v>1039089.7065868527</v>
          </cell>
        </row>
        <row r="13">
          <cell r="D13" t="str">
            <v>StatCan</v>
          </cell>
          <cell r="F13" t="str">
            <v>persons</v>
          </cell>
          <cell r="H13">
            <v>136470</v>
          </cell>
          <cell r="I13">
            <v>138064</v>
          </cell>
          <cell r="J13">
            <v>141654</v>
          </cell>
          <cell r="K13">
            <v>144546</v>
          </cell>
          <cell r="L13">
            <v>161329</v>
          </cell>
          <cell r="M13">
            <v>165700</v>
          </cell>
          <cell r="N13">
            <v>173800</v>
          </cell>
          <cell r="O13">
            <v>180700</v>
          </cell>
          <cell r="P13">
            <v>186100</v>
          </cell>
          <cell r="Q13">
            <v>192845.77636257355</v>
          </cell>
          <cell r="R13">
            <v>199416.92729278465</v>
          </cell>
        </row>
        <row r="14">
          <cell r="D14" t="str">
            <v>StatCan</v>
          </cell>
          <cell r="F14" t="str">
            <v>persons</v>
          </cell>
          <cell r="H14">
            <v>527966</v>
          </cell>
          <cell r="I14">
            <v>514332</v>
          </cell>
          <cell r="J14">
            <v>522009</v>
          </cell>
          <cell r="K14">
            <v>528117</v>
          </cell>
          <cell r="L14">
            <v>521364</v>
          </cell>
          <cell r="M14">
            <v>514200.00000000006</v>
          </cell>
          <cell r="N14">
            <v>503400</v>
          </cell>
          <cell r="O14">
            <v>489100</v>
          </cell>
          <cell r="P14">
            <v>471700</v>
          </cell>
          <cell r="Q14">
            <v>488798.2413230841</v>
          </cell>
          <cell r="R14">
            <v>505453.86675984162</v>
          </cell>
        </row>
        <row r="15">
          <cell r="D15" t="str">
            <v>StatCan</v>
          </cell>
          <cell r="F15" t="str">
            <v>persons</v>
          </cell>
          <cell r="H15">
            <v>30431</v>
          </cell>
          <cell r="I15">
            <v>31902</v>
          </cell>
          <cell r="J15">
            <v>34596</v>
          </cell>
          <cell r="K15">
            <v>37690</v>
          </cell>
          <cell r="L15">
            <v>42174</v>
          </cell>
          <cell r="M15">
            <v>44400</v>
          </cell>
          <cell r="N15">
            <v>47000</v>
          </cell>
          <cell r="O15">
            <v>49300</v>
          </cell>
          <cell r="P15">
            <v>51200</v>
          </cell>
          <cell r="Q15">
            <v>53055.90408255651</v>
          </cell>
          <cell r="R15">
            <v>54863.76505852001</v>
          </cell>
        </row>
        <row r="16">
          <cell r="D16" t="str">
            <v>StatCan</v>
          </cell>
          <cell r="F16" t="str">
            <v>persons</v>
          </cell>
          <cell r="H16">
            <v>40480</v>
          </cell>
          <cell r="I16">
            <v>43400</v>
          </cell>
          <cell r="J16">
            <v>43285</v>
          </cell>
          <cell r="K16">
            <v>44237</v>
          </cell>
          <cell r="L16">
            <v>45372</v>
          </cell>
          <cell r="M16">
            <v>45100</v>
          </cell>
          <cell r="N16">
            <v>45200</v>
          </cell>
          <cell r="O16">
            <v>45000</v>
          </cell>
          <cell r="P16">
            <v>44400</v>
          </cell>
          <cell r="Q16">
            <v>46009.416821591971</v>
          </cell>
          <cell r="R16">
            <v>47577.171261685326</v>
          </cell>
        </row>
        <row r="17">
          <cell r="D17" t="str">
            <v>StatCan</v>
          </cell>
          <cell r="F17" t="str">
            <v>persons</v>
          </cell>
          <cell r="H17">
            <v>27498</v>
          </cell>
          <cell r="I17">
            <v>30339</v>
          </cell>
          <cell r="J17">
            <v>33352</v>
          </cell>
          <cell r="K17">
            <v>36488</v>
          </cell>
          <cell r="L17">
            <v>39155</v>
          </cell>
          <cell r="M17">
            <v>41300</v>
          </cell>
          <cell r="N17">
            <v>43300</v>
          </cell>
          <cell r="O17">
            <v>45400</v>
          </cell>
          <cell r="P17">
            <v>47600</v>
          </cell>
          <cell r="Q17">
            <v>49325.410826751751</v>
          </cell>
          <cell r="R17">
            <v>51006.156577842827</v>
          </cell>
        </row>
        <row r="18">
          <cell r="D18" t="str">
            <v>StatCan</v>
          </cell>
          <cell r="F18" t="str">
            <v>persons</v>
          </cell>
          <cell r="H18">
            <v>2348774</v>
          </cell>
          <cell r="I18">
            <v>2338379</v>
          </cell>
          <cell r="J18">
            <v>2358805</v>
          </cell>
          <cell r="K18">
            <v>2368030</v>
          </cell>
          <cell r="L18">
            <v>2447786</v>
          </cell>
          <cell r="M18">
            <v>2439000</v>
          </cell>
          <cell r="N18">
            <v>2448300</v>
          </cell>
          <cell r="O18">
            <v>2440300</v>
          </cell>
          <cell r="P18">
            <v>2413900</v>
          </cell>
          <cell r="Q18">
            <v>2501399.3528297488</v>
          </cell>
          <cell r="R18">
            <v>2586633.6420851848</v>
          </cell>
        </row>
        <row r="19">
          <cell r="D19" t="str">
            <v>StatCan</v>
          </cell>
          <cell r="F19" t="str">
            <v>persons</v>
          </cell>
          <cell r="H19">
            <v>98409</v>
          </cell>
          <cell r="I19">
            <v>105641</v>
          </cell>
          <cell r="J19">
            <v>111233</v>
          </cell>
          <cell r="K19">
            <v>118415</v>
          </cell>
          <cell r="L19">
            <v>126701</v>
          </cell>
          <cell r="M19">
            <v>130800</v>
          </cell>
          <cell r="N19">
            <v>135500</v>
          </cell>
          <cell r="O19">
            <v>139700</v>
          </cell>
          <cell r="P19">
            <v>143200</v>
          </cell>
          <cell r="Q19">
            <v>148390.73173090024</v>
          </cell>
          <cell r="R19">
            <v>153447.09289804817</v>
          </cell>
        </row>
        <row r="22">
          <cell r="B22" t="str">
            <v>Population forecast</v>
          </cell>
        </row>
        <row r="59">
          <cell r="D59" t="str">
            <v>StatCan</v>
          </cell>
          <cell r="E59">
            <v>2020</v>
          </cell>
          <cell r="F59" t="str">
            <v>$ million</v>
          </cell>
          <cell r="H59">
            <v>1596931.7463431878</v>
          </cell>
          <cell r="I59">
            <v>1813677.4883669377</v>
          </cell>
          <cell r="J59">
            <v>1920515.2172414039</v>
          </cell>
          <cell r="K59">
            <v>2135960.2531350749</v>
          </cell>
          <cell r="L59">
            <v>2209681</v>
          </cell>
          <cell r="M59">
            <v>2494438.0342336129</v>
          </cell>
          <cell r="N59">
            <v>2763032.9952256023</v>
          </cell>
          <cell r="O59">
            <v>3038702.1591386888</v>
          </cell>
          <cell r="P59">
            <v>3356675.7142850365</v>
          </cell>
          <cell r="Q59">
            <v>3706476.3017864767</v>
          </cell>
          <cell r="R59">
            <v>4074858.5630359431</v>
          </cell>
        </row>
        <row r="60">
          <cell r="D60" t="str">
            <v>StatCan</v>
          </cell>
          <cell r="E60">
            <v>2020</v>
          </cell>
          <cell r="F60" t="str">
            <v>$ million</v>
          </cell>
          <cell r="H60">
            <v>183582.70023394562</v>
          </cell>
          <cell r="I60">
            <v>214533.76934282662</v>
          </cell>
          <cell r="J60">
            <v>233607.48289917823</v>
          </cell>
          <cell r="K60">
            <v>266439.5562080465</v>
          </cell>
          <cell r="L60">
            <v>293203.8740330849</v>
          </cell>
          <cell r="M60">
            <v>330932.89580639999</v>
          </cell>
          <cell r="N60">
            <v>366566.93722984049</v>
          </cell>
          <cell r="O60">
            <v>403139.50124878017</v>
          </cell>
          <cell r="P60">
            <v>445324.51765339373</v>
          </cell>
          <cell r="Q60">
            <v>491731.97287494532</v>
          </cell>
          <cell r="R60">
            <v>540604.62747927231</v>
          </cell>
        </row>
        <row r="61">
          <cell r="D61" t="str">
            <v>StatCan</v>
          </cell>
          <cell r="E61">
            <v>2020</v>
          </cell>
          <cell r="F61" t="str">
            <v>$ million</v>
          </cell>
          <cell r="H61">
            <v>241251.75158053398</v>
          </cell>
          <cell r="I61">
            <v>286047.23224697507</v>
          </cell>
          <cell r="J61">
            <v>311884.83832539228</v>
          </cell>
          <cell r="K61">
            <v>371864.0496689151</v>
          </cell>
          <cell r="L61">
            <v>352708.69722059922</v>
          </cell>
          <cell r="M61">
            <v>398094.70776005066</v>
          </cell>
          <cell r="N61">
            <v>440960.56814001396</v>
          </cell>
          <cell r="O61">
            <v>484955.42138564883</v>
          </cell>
          <cell r="P61">
            <v>535701.75694266777</v>
          </cell>
          <cell r="Q61">
            <v>591527.46226970514</v>
          </cell>
          <cell r="R61">
            <v>650318.67160160968</v>
          </cell>
        </row>
        <row r="62">
          <cell r="D62" t="str">
            <v>StatCan</v>
          </cell>
          <cell r="E62">
            <v>2020</v>
          </cell>
          <cell r="F62" t="str">
            <v>$ million</v>
          </cell>
          <cell r="H62">
            <v>67851.848276724602</v>
          </cell>
          <cell r="I62">
            <v>75416.684522655705</v>
          </cell>
          <cell r="J62">
            <v>80371.282682270205</v>
          </cell>
          <cell r="K62">
            <v>92750.607097552813</v>
          </cell>
          <cell r="L62">
            <v>91073.700127476201</v>
          </cell>
          <cell r="M62">
            <v>102792.92323261904</v>
          </cell>
          <cell r="N62">
            <v>113861.41273887396</v>
          </cell>
          <cell r="O62">
            <v>125221.42201343761</v>
          </cell>
          <cell r="P62">
            <v>138324.74660823104</v>
          </cell>
          <cell r="Q62">
            <v>152739.626610976</v>
          </cell>
          <cell r="R62">
            <v>167920.23602327166</v>
          </cell>
        </row>
        <row r="63">
          <cell r="D63" t="str">
            <v>StatCan</v>
          </cell>
          <cell r="E63">
            <v>2020</v>
          </cell>
          <cell r="F63" t="str">
            <v>$ million</v>
          </cell>
          <cell r="H63">
            <v>50589.635539363662</v>
          </cell>
          <cell r="I63">
            <v>55516.652992233474</v>
          </cell>
          <cell r="J63">
            <v>62582.830060220746</v>
          </cell>
          <cell r="K63">
            <v>70196.208350022484</v>
          </cell>
          <cell r="L63">
            <v>71860.97980913143</v>
          </cell>
          <cell r="M63">
            <v>81107.939730147147</v>
          </cell>
          <cell r="N63">
            <v>89841.443472865998</v>
          </cell>
          <cell r="O63">
            <v>98804.968573617676</v>
          </cell>
          <cell r="P63">
            <v>109144.04278297735</v>
          </cell>
          <cell r="Q63">
            <v>120517.98937105274</v>
          </cell>
          <cell r="R63">
            <v>132496.12866857069</v>
          </cell>
        </row>
        <row r="64">
          <cell r="D64" t="str">
            <v>StatCan</v>
          </cell>
          <cell r="E64">
            <v>2020</v>
          </cell>
          <cell r="F64" t="str">
            <v>$ million</v>
          </cell>
          <cell r="H64">
            <v>625551.39030649094</v>
          </cell>
          <cell r="I64">
            <v>706743.47482148267</v>
          </cell>
          <cell r="J64">
            <v>723831.37749221735</v>
          </cell>
          <cell r="K64">
            <v>799780.92126918025</v>
          </cell>
          <cell r="L64">
            <v>840840.8710141218</v>
          </cell>
          <cell r="M64">
            <v>949038.97595050232</v>
          </cell>
          <cell r="N64">
            <v>1051229.1619671376</v>
          </cell>
          <cell r="O64">
            <v>1156110.8136380666</v>
          </cell>
          <cell r="P64">
            <v>1277087.680176323</v>
          </cell>
          <cell r="Q64">
            <v>1410173.5242795805</v>
          </cell>
          <cell r="R64">
            <v>1550328.9898299354</v>
          </cell>
        </row>
        <row r="65">
          <cell r="D65" t="str">
            <v>StatCan</v>
          </cell>
          <cell r="E65">
            <v>2020</v>
          </cell>
          <cell r="F65" t="str">
            <v>$ million</v>
          </cell>
          <cell r="H65">
            <v>323115.70211182634</v>
          </cell>
          <cell r="I65">
            <v>355685.20709248522</v>
          </cell>
          <cell r="J65">
            <v>380540.94001079176</v>
          </cell>
          <cell r="K65">
            <v>407071.37344263529</v>
          </cell>
          <cell r="L65">
            <v>425403.7176016898</v>
          </cell>
          <cell r="M65">
            <v>480144.01111511135</v>
          </cell>
          <cell r="N65">
            <v>531844.73896086169</v>
          </cell>
          <cell r="O65">
            <v>584907.15072874713</v>
          </cell>
          <cell r="P65">
            <v>646112.55896147015</v>
          </cell>
          <cell r="Q65">
            <v>713444.22038915765</v>
          </cell>
          <cell r="R65">
            <v>784352.59097705118</v>
          </cell>
        </row>
        <row r="66">
          <cell r="D66" t="str">
            <v>StatCan</v>
          </cell>
          <cell r="E66">
            <v>2020</v>
          </cell>
          <cell r="F66" t="str">
            <v>$ million</v>
          </cell>
          <cell r="H66">
            <v>29990.157285896326</v>
          </cell>
          <cell r="I66">
            <v>33886.759534784855</v>
          </cell>
          <cell r="J66">
            <v>35358.466046681031</v>
          </cell>
          <cell r="K66">
            <v>35252.556132781465</v>
          </cell>
          <cell r="L66">
            <v>36154.99685746742</v>
          </cell>
          <cell r="M66">
            <v>40807.366026012598</v>
          </cell>
          <cell r="N66">
            <v>45201.402973621203</v>
          </cell>
          <cell r="O66">
            <v>49711.169229387269</v>
          </cell>
          <cell r="P66">
            <v>54913.007508539442</v>
          </cell>
          <cell r="Q66">
            <v>60635.515109202766</v>
          </cell>
          <cell r="R66">
            <v>66662.006674031625</v>
          </cell>
        </row>
        <row r="67">
          <cell r="D67" t="str">
            <v>StatCan</v>
          </cell>
          <cell r="E67">
            <v>2020</v>
          </cell>
          <cell r="F67" t="str">
            <v>$ million</v>
          </cell>
          <cell r="H67">
            <v>35348.536992252943</v>
          </cell>
          <cell r="I67">
            <v>39130.403501083601</v>
          </cell>
          <cell r="J67">
            <v>41980.042121944047</v>
          </cell>
          <cell r="K67">
            <v>42395.959179653837</v>
          </cell>
          <cell r="L67">
            <v>44859.467906088743</v>
          </cell>
          <cell r="M67">
            <v>50631.914968562312</v>
          </cell>
          <cell r="N67">
            <v>56083.835216446518</v>
          </cell>
          <cell r="O67">
            <v>61679.347101347033</v>
          </cell>
          <cell r="P67">
            <v>68133.550326871438</v>
          </cell>
          <cell r="Q67">
            <v>75233.776253216245</v>
          </cell>
          <cell r="R67">
            <v>82711.171590976257</v>
          </cell>
        </row>
        <row r="68">
          <cell r="D68" t="str">
            <v>StatCan</v>
          </cell>
          <cell r="E68">
            <v>2020</v>
          </cell>
          <cell r="F68" t="str">
            <v>$ million</v>
          </cell>
          <cell r="H68">
            <v>5024.1015406110901</v>
          </cell>
          <cell r="I68">
            <v>5650.7351978502411</v>
          </cell>
          <cell r="J68">
            <v>5970.6713960885418</v>
          </cell>
          <cell r="K68">
            <v>6365.6271166723736</v>
          </cell>
          <cell r="L68">
            <v>7123.5449380162063</v>
          </cell>
          <cell r="M68">
            <v>8040.191701146201</v>
          </cell>
          <cell r="N68">
            <v>8905.9397961879677</v>
          </cell>
          <cell r="O68">
            <v>9794.4897996507261</v>
          </cell>
          <cell r="P68">
            <v>10819.397335610862</v>
          </cell>
          <cell r="Q68">
            <v>11946.891280975291</v>
          </cell>
          <cell r="R68">
            <v>13134.278563841761</v>
          </cell>
        </row>
        <row r="69">
          <cell r="D69" t="str">
            <v>StatCan</v>
          </cell>
          <cell r="E69">
            <v>2020</v>
          </cell>
          <cell r="F69" t="str">
            <v>$ million</v>
          </cell>
          <cell r="H69">
            <v>25742.728447215453</v>
          </cell>
          <cell r="I69">
            <v>33303.151780067405</v>
          </cell>
          <cell r="J69">
            <v>36008.267497585723</v>
          </cell>
          <cell r="K69">
            <v>36367.91991353636</v>
          </cell>
          <cell r="L69">
            <v>35661.853820872522</v>
          </cell>
          <cell r="M69">
            <v>40250.76610493278</v>
          </cell>
          <cell r="N69">
            <v>44584.869740092312</v>
          </cell>
          <cell r="O69">
            <v>49033.124171242016</v>
          </cell>
          <cell r="P69">
            <v>54164.010976246107</v>
          </cell>
          <cell r="Q69">
            <v>59808.465333363209</v>
          </cell>
          <cell r="R69">
            <v>65752.75740687392</v>
          </cell>
        </row>
        <row r="70">
          <cell r="D70" t="str">
            <v>StatCan</v>
          </cell>
          <cell r="E70">
            <v>2020</v>
          </cell>
          <cell r="F70" t="str">
            <v>$ million</v>
          </cell>
          <cell r="H70">
            <v>1753.0297206919238</v>
          </cell>
          <cell r="I70">
            <v>1924.0301025089459</v>
          </cell>
          <cell r="J70">
            <v>2584.8638361115027</v>
          </cell>
          <cell r="K70">
            <v>2657.6769019174608</v>
          </cell>
          <cell r="L70">
            <v>3069.1810465481008</v>
          </cell>
          <cell r="M70">
            <v>3464.1185244833096</v>
          </cell>
          <cell r="N70">
            <v>3837.1262990545029</v>
          </cell>
          <cell r="O70">
            <v>4219.9582813424686</v>
          </cell>
          <cell r="P70">
            <v>4661.5399392394947</v>
          </cell>
          <cell r="Q70">
            <v>5147.3209762541828</v>
          </cell>
          <cell r="R70">
            <v>5658.9070721089947</v>
          </cell>
        </row>
        <row r="71">
          <cell r="D71" t="str">
            <v>StatCan</v>
          </cell>
          <cell r="E71">
            <v>2020</v>
          </cell>
          <cell r="F71" t="str">
            <v>$ million</v>
          </cell>
          <cell r="H71">
            <v>3965.0024016153397</v>
          </cell>
          <cell r="I71">
            <v>5897.8583302825828</v>
          </cell>
          <cell r="J71">
            <v>5342.9345105796019</v>
          </cell>
          <cell r="K71">
            <v>5272.3279013132187</v>
          </cell>
          <cell r="L71">
            <v>4579.5005478868325</v>
          </cell>
          <cell r="M71">
            <v>5168.7836071639904</v>
          </cell>
          <cell r="N71">
            <v>5725.3455310478957</v>
          </cell>
          <cell r="O71">
            <v>6296.56607687009</v>
          </cell>
          <cell r="P71">
            <v>6955.4465448537558</v>
          </cell>
          <cell r="Q71">
            <v>7680.2765537135574</v>
          </cell>
          <cell r="R71">
            <v>8443.6100849476788</v>
          </cell>
        </row>
        <row r="72">
          <cell r="D72" t="str">
            <v>StatCan</v>
          </cell>
          <cell r="E72">
            <v>2020</v>
          </cell>
          <cell r="F72" t="str">
            <v>$ million</v>
          </cell>
          <cell r="H72">
            <v>1445.2290334212839</v>
          </cell>
          <cell r="I72">
            <v>1633.8810675549018</v>
          </cell>
          <cell r="J72">
            <v>2249.4824420961818</v>
          </cell>
          <cell r="K72">
            <v>2616.8574559353328</v>
          </cell>
          <cell r="L72">
            <v>3511.5755827327839</v>
          </cell>
          <cell r="M72">
            <v>3963.4397064810842</v>
          </cell>
          <cell r="N72">
            <v>4390.2131595580458</v>
          </cell>
          <cell r="O72">
            <v>4828.22689055107</v>
          </cell>
          <cell r="P72">
            <v>5333.4585286122619</v>
          </cell>
          <cell r="Q72">
            <v>5889.2604843339559</v>
          </cell>
          <cell r="R72">
            <v>6474.5870634518087</v>
          </cell>
        </row>
        <row r="73">
          <cell r="D73" t="str">
            <v>StatCan</v>
          </cell>
          <cell r="E73">
            <v>2020</v>
          </cell>
          <cell r="F73" t="str">
            <v>$ million</v>
          </cell>
          <cell r="H73">
            <v>96105.524265975822</v>
          </cell>
          <cell r="I73">
            <v>111971.05001378611</v>
          </cell>
          <cell r="J73">
            <v>119317.44706229934</v>
          </cell>
          <cell r="K73">
            <v>120382.06234264404</v>
          </cell>
          <cell r="L73">
            <v>123799.8635224449</v>
          </cell>
          <cell r="M73">
            <v>139730.2388006539</v>
          </cell>
          <cell r="N73">
            <v>154776.04772634801</v>
          </cell>
          <cell r="O73">
            <v>170218.13030162704</v>
          </cell>
          <cell r="P73">
            <v>188029.96614726784</v>
          </cell>
          <cell r="Q73">
            <v>207624.64797675752</v>
          </cell>
          <cell r="R73">
            <v>228260.21423572357</v>
          </cell>
        </row>
        <row r="74">
          <cell r="D74" t="str">
            <v>StatCan</v>
          </cell>
          <cell r="E74">
            <v>2020</v>
          </cell>
          <cell r="F74" t="str">
            <v>$ million</v>
          </cell>
          <cell r="H74">
            <v>7163.2611557285472</v>
          </cell>
          <cell r="I74">
            <v>9455.7695003464305</v>
          </cell>
          <cell r="J74">
            <v>10177.280788787286</v>
          </cell>
          <cell r="K74">
            <v>10546.862259166013</v>
          </cell>
          <cell r="L74">
            <v>11160.257177167718</v>
          </cell>
          <cell r="M74">
            <v>12596.341838128385</v>
          </cell>
          <cell r="N74">
            <v>13952.684989660444</v>
          </cell>
          <cell r="O74">
            <v>15344.751248763629</v>
          </cell>
          <cell r="P74">
            <v>16950.44501270551</v>
          </cell>
          <cell r="Q74">
            <v>18716.858014301695</v>
          </cell>
          <cell r="R74">
            <v>20577.104220508481</v>
          </cell>
        </row>
      </sheetData>
      <sheetData sheetId="2">
        <row r="1">
          <cell r="D1" t="str">
            <v>Sector</v>
          </cell>
          <cell r="E1" t="str">
            <v>Fuel</v>
          </cell>
          <cell r="F1" t="str">
            <v>Unit</v>
          </cell>
          <cell r="I1" t="str">
            <v>Source</v>
          </cell>
          <cell r="K1">
            <v>2000</v>
          </cell>
          <cell r="L1">
            <v>2005</v>
          </cell>
          <cell r="M1">
            <v>2010</v>
          </cell>
          <cell r="N1">
            <v>2015</v>
          </cell>
          <cell r="O1">
            <v>2021</v>
          </cell>
          <cell r="P1">
            <v>2025</v>
          </cell>
          <cell r="Q1">
            <v>2030</v>
          </cell>
          <cell r="R1">
            <v>2035</v>
          </cell>
        </row>
        <row r="4">
          <cell r="D4" t="str">
            <v>Brent</v>
          </cell>
          <cell r="E4" t="str">
            <v>Oil</v>
          </cell>
          <cell r="F4">
            <v>2020</v>
          </cell>
          <cell r="G4" t="str">
            <v>USD</v>
          </cell>
          <cell r="H4" t="str">
            <v>bbl</v>
          </cell>
          <cell r="I4" t="str">
            <v>CER</v>
          </cell>
          <cell r="K4">
            <v>77.624814851455724</v>
          </cell>
          <cell r="L4">
            <v>77.624814851455724</v>
          </cell>
          <cell r="M4">
            <v>101.39911303920623</v>
          </cell>
          <cell r="N4">
            <v>60.837965156576949</v>
          </cell>
          <cell r="O4">
            <v>72.811378070272852</v>
          </cell>
          <cell r="P4">
            <v>75.993051453005904</v>
          </cell>
          <cell r="Q4">
            <v>71.993417166005571</v>
          </cell>
          <cell r="R4">
            <v>71.993417166005571</v>
          </cell>
        </row>
        <row r="5">
          <cell r="D5" t="str">
            <v>West Texas Intermediate (WTI)</v>
          </cell>
          <cell r="E5" t="str">
            <v>Oil</v>
          </cell>
          <cell r="F5">
            <v>2020</v>
          </cell>
          <cell r="G5" t="str">
            <v>USD</v>
          </cell>
          <cell r="H5" t="str">
            <v>bbl</v>
          </cell>
          <cell r="I5" t="str">
            <v>CER</v>
          </cell>
          <cell r="K5">
            <v>80.510277023790977</v>
          </cell>
          <cell r="L5">
            <v>80.510277023790977</v>
          </cell>
          <cell r="M5">
            <v>101.23700842278313</v>
          </cell>
          <cell r="N5">
            <v>56.593726379407435</v>
          </cell>
          <cell r="O5">
            <v>70.058740276108168</v>
          </cell>
          <cell r="P5">
            <v>73.593270880805719</v>
          </cell>
          <cell r="Q5">
            <v>69.593636593805385</v>
          </cell>
          <cell r="R5">
            <v>69.593636593805385</v>
          </cell>
        </row>
        <row r="6">
          <cell r="D6" t="str">
            <v>Western Canadian Select (WCS)</v>
          </cell>
          <cell r="E6" t="str">
            <v>Oil</v>
          </cell>
          <cell r="F6">
            <v>2020</v>
          </cell>
          <cell r="G6" t="str">
            <v>USD</v>
          </cell>
          <cell r="H6" t="str">
            <v>bbl</v>
          </cell>
          <cell r="I6" t="str">
            <v>CER</v>
          </cell>
          <cell r="K6">
            <v>52.152776124136977</v>
          </cell>
          <cell r="L6">
            <v>52.152776124136977</v>
          </cell>
          <cell r="M6">
            <v>83.589219181497086</v>
          </cell>
          <cell r="N6">
            <v>40.725433300622093</v>
          </cell>
          <cell r="O6">
            <v>56.47426734117483</v>
          </cell>
          <cell r="P6">
            <v>61.594368019804797</v>
          </cell>
          <cell r="Q6">
            <v>57.594733732804457</v>
          </cell>
          <cell r="R6">
            <v>57.594733732804457</v>
          </cell>
        </row>
        <row r="7">
          <cell r="D7" t="str">
            <v>Canadian Light Sweet (CLS)</v>
          </cell>
          <cell r="E7" t="str">
            <v>Oil</v>
          </cell>
          <cell r="F7">
            <v>2020</v>
          </cell>
          <cell r="G7" t="str">
            <v>USD</v>
          </cell>
          <cell r="H7" t="str">
            <v>bbl</v>
          </cell>
          <cell r="I7" t="str">
            <v>CER</v>
          </cell>
          <cell r="K7">
            <v>63.12185516878214</v>
          </cell>
          <cell r="L7">
            <v>63.12185516878214</v>
          </cell>
          <cell r="M7">
            <v>83.643254053638174</v>
          </cell>
          <cell r="N7">
            <v>66.803155547502755</v>
          </cell>
          <cell r="O7">
            <v>82.48669449603068</v>
          </cell>
          <cell r="P7">
            <v>92.55153740118719</v>
          </cell>
          <cell r="Q7">
            <v>85.336197147438611</v>
          </cell>
          <cell r="R7">
            <v>85.336197147438611</v>
          </cell>
        </row>
        <row r="8">
          <cell r="D8" t="str">
            <v>Henry Hub</v>
          </cell>
          <cell r="E8" t="str">
            <v>Natural Gas</v>
          </cell>
          <cell r="F8">
            <v>2020</v>
          </cell>
          <cell r="G8" t="str">
            <v>USD</v>
          </cell>
          <cell r="H8" t="str">
            <v>MMBtu</v>
          </cell>
          <cell r="I8" t="str">
            <v>CER</v>
          </cell>
          <cell r="K8">
            <v>12.09484683970792</v>
          </cell>
          <cell r="L8">
            <v>12.09484683970792</v>
          </cell>
          <cell r="M8">
            <v>5.4809784896361426</v>
          </cell>
          <cell r="N8">
            <v>3.0581775298508642</v>
          </cell>
          <cell r="O8">
            <v>4.0159752892476659</v>
          </cell>
          <cell r="P8">
            <v>3.5996708583002786</v>
          </cell>
          <cell r="Q8">
            <v>3.5996708583002786</v>
          </cell>
          <cell r="R8">
            <v>3.7556565954932908</v>
          </cell>
        </row>
        <row r="9">
          <cell r="D9" t="str">
            <v>Nova Inventory Transfer (NIT)</v>
          </cell>
          <cell r="E9" t="str">
            <v>Natural Gas</v>
          </cell>
          <cell r="F9">
            <v>2020</v>
          </cell>
          <cell r="G9" t="str">
            <v>USD</v>
          </cell>
          <cell r="H9" t="str">
            <v>MMBtu</v>
          </cell>
          <cell r="I9" t="str">
            <v>CER</v>
          </cell>
          <cell r="K9">
            <v>10.156284763586822</v>
          </cell>
          <cell r="L9">
            <v>10.156284763586822</v>
          </cell>
          <cell r="M9">
            <v>4.3529394956316887</v>
          </cell>
          <cell r="N9">
            <v>2.4527921015320051</v>
          </cell>
          <cell r="O9">
            <v>2.9909258420177003</v>
          </cell>
          <cell r="P9">
            <v>2.5533665288209977</v>
          </cell>
          <cell r="Q9">
            <v>2.8797366866402228</v>
          </cell>
          <cell r="R9">
            <v>3.0453215461220355</v>
          </cell>
        </row>
        <row r="11">
          <cell r="D11" t="str">
            <v>Brent</v>
          </cell>
          <cell r="E11" t="str">
            <v>Oil</v>
          </cell>
          <cell r="F11">
            <v>2020</v>
          </cell>
          <cell r="G11" t="str">
            <v>CAD</v>
          </cell>
          <cell r="H11" t="str">
            <v>GJ</v>
          </cell>
          <cell r="I11" t="str">
            <v>calc</v>
          </cell>
          <cell r="K11">
            <v>14.311056498313594</v>
          </cell>
          <cell r="L11">
            <v>14.311058874991911</v>
          </cell>
          <cell r="M11">
            <v>18.694133190132003</v>
          </cell>
          <cell r="N11">
            <v>11.21620037411093</v>
          </cell>
          <cell r="O11">
            <v>13.423701887148971</v>
          </cell>
          <cell r="P11">
            <v>14.010283766575347</v>
          </cell>
          <cell r="Q11">
            <v>13.272900410439801</v>
          </cell>
          <cell r="R11">
            <v>13.272900410439801</v>
          </cell>
        </row>
        <row r="12">
          <cell r="D12" t="str">
            <v>West Texas Intermediate (WTI)</v>
          </cell>
          <cell r="E12" t="str">
            <v>Oil</v>
          </cell>
          <cell r="F12">
            <v>2020</v>
          </cell>
          <cell r="G12" t="str">
            <v>CAD</v>
          </cell>
          <cell r="H12" t="str">
            <v>GJ</v>
          </cell>
          <cell r="I12" t="str">
            <v>calc</v>
          </cell>
          <cell r="K12">
            <v>14.843025717835181</v>
          </cell>
          <cell r="L12">
            <v>14.843028182859156</v>
          </cell>
          <cell r="M12">
            <v>18.664247274966481</v>
          </cell>
          <cell r="N12">
            <v>10.433724621712123</v>
          </cell>
          <cell r="O12">
            <v>12.916218165078719</v>
          </cell>
          <cell r="P12">
            <v>13.56785375289402</v>
          </cell>
          <cell r="Q12">
            <v>12.830470396758475</v>
          </cell>
          <cell r="R12">
            <v>12.830470396758475</v>
          </cell>
        </row>
        <row r="13">
          <cell r="D13" t="str">
            <v>Western Canadian Select (WCS)</v>
          </cell>
          <cell r="E13" t="str">
            <v>Oil</v>
          </cell>
          <cell r="F13">
            <v>2020</v>
          </cell>
          <cell r="G13" t="str">
            <v>CAD</v>
          </cell>
          <cell r="H13" t="str">
            <v>GJ</v>
          </cell>
          <cell r="I13" t="str">
            <v>calc</v>
          </cell>
          <cell r="K13">
            <v>9.6149836503272237</v>
          </cell>
          <cell r="L13">
            <v>9.6149852471152126</v>
          </cell>
          <cell r="M13">
            <v>15.410667310609007</v>
          </cell>
          <cell r="N13">
            <v>7.5082166053163277</v>
          </cell>
          <cell r="O13">
            <v>10.411748124742546</v>
          </cell>
          <cell r="P13">
            <v>11.35570368448739</v>
          </cell>
          <cell r="Q13">
            <v>10.618320328351839</v>
          </cell>
          <cell r="R13">
            <v>10.618320328351839</v>
          </cell>
        </row>
        <row r="14">
          <cell r="D14" t="str">
            <v>Canadian Light Sweet (CLS)</v>
          </cell>
          <cell r="E14" t="str">
            <v>Oil</v>
          </cell>
          <cell r="F14">
            <v>2020</v>
          </cell>
          <cell r="G14" t="str">
            <v>CAD</v>
          </cell>
          <cell r="H14" t="str">
            <v>GJ</v>
          </cell>
          <cell r="I14" t="str">
            <v>calc</v>
          </cell>
          <cell r="K14">
            <v>11.637263642141473</v>
          </cell>
          <cell r="L14">
            <v>11.63726557477532</v>
          </cell>
          <cell r="M14">
            <v>15.420629282330859</v>
          </cell>
          <cell r="N14">
            <v>12.315953965838542</v>
          </cell>
          <cell r="O14">
            <v>15.207469298306304</v>
          </cell>
          <cell r="P14">
            <v>17.063050860976503</v>
          </cell>
          <cell r="Q14">
            <v>15.732811286507976</v>
          </cell>
          <cell r="R14">
            <v>15.732811286507976</v>
          </cell>
        </row>
        <row r="15">
          <cell r="D15" t="str">
            <v>Henry Hub</v>
          </cell>
          <cell r="E15" t="str">
            <v>Natural Gas</v>
          </cell>
          <cell r="F15">
            <v>2020</v>
          </cell>
          <cell r="G15" t="str">
            <v>CAD</v>
          </cell>
          <cell r="H15" t="str">
            <v>GJ</v>
          </cell>
          <cell r="I15" t="str">
            <v>calc</v>
          </cell>
          <cell r="K15">
            <v>14.280530770624067</v>
          </cell>
          <cell r="L15">
            <v>14.280530770624067</v>
          </cell>
          <cell r="M15">
            <v>6.4714570603250188</v>
          </cell>
          <cell r="N15">
            <v>3.6108268997411312</v>
          </cell>
          <cell r="O15">
            <v>4.7417102053647948</v>
          </cell>
          <cell r="P15">
            <v>4.2501745691652983</v>
          </cell>
          <cell r="Q15">
            <v>4.2501745691652983</v>
          </cell>
          <cell r="R15">
            <v>4.4343488004957941</v>
          </cell>
        </row>
        <row r="16">
          <cell r="D16" t="str">
            <v>Nova Inventory Transfer (NIT)</v>
          </cell>
          <cell r="E16" t="str">
            <v>Natural Gas</v>
          </cell>
          <cell r="F16">
            <v>2020</v>
          </cell>
          <cell r="G16" t="str">
            <v>CAD</v>
          </cell>
          <cell r="H16" t="str">
            <v>GJ</v>
          </cell>
          <cell r="I16" t="str">
            <v>calc</v>
          </cell>
          <cell r="K16">
            <v>11.991647269600687</v>
          </cell>
          <cell r="L16">
            <v>11.991647269600687</v>
          </cell>
          <cell r="M16">
            <v>5.1395678865441754</v>
          </cell>
          <cell r="N16">
            <v>2.8960410614606298</v>
          </cell>
          <cell r="O16">
            <v>3.5314220250696389</v>
          </cell>
          <cell r="P16">
            <v>3.0147904943945849</v>
          </cell>
          <cell r="Q16">
            <v>3.4001396553322385</v>
          </cell>
          <cell r="R16">
            <v>3.5956476855138422</v>
          </cell>
        </row>
        <row r="17">
          <cell r="D17" t="str">
            <v>Production cost</v>
          </cell>
          <cell r="E17" t="str">
            <v>Electricity</v>
          </cell>
          <cell r="F17">
            <v>2020</v>
          </cell>
          <cell r="G17" t="str">
            <v>CAD</v>
          </cell>
          <cell r="H17" t="str">
            <v>GJ</v>
          </cell>
          <cell r="I17" t="str">
            <v>CER</v>
          </cell>
          <cell r="K17">
            <v>11.771416341000174</v>
          </cell>
          <cell r="L17">
            <v>12.086123636069974</v>
          </cell>
          <cell r="M17">
            <v>13.770920548236083</v>
          </cell>
          <cell r="N17">
            <v>16.358872616858644</v>
          </cell>
          <cell r="O17">
            <v>17.569872231974031</v>
          </cell>
          <cell r="P17">
            <v>18.122399914601161</v>
          </cell>
          <cell r="Q17">
            <v>18.701809249326345</v>
          </cell>
          <cell r="R17">
            <v>19.04278218850915</v>
          </cell>
        </row>
        <row r="18">
          <cell r="D18" t="str">
            <v>Production cost</v>
          </cell>
          <cell r="E18" t="str">
            <v>Electricity</v>
          </cell>
          <cell r="F18">
            <v>2020</v>
          </cell>
          <cell r="G18" t="str">
            <v>CAD</v>
          </cell>
          <cell r="H18" t="str">
            <v>GJ</v>
          </cell>
          <cell r="I18" t="str">
            <v>CER</v>
          </cell>
          <cell r="K18">
            <v>16.217127036453075</v>
          </cell>
          <cell r="L18">
            <v>16.468106697367272</v>
          </cell>
          <cell r="M18">
            <v>19.604275328408644</v>
          </cell>
          <cell r="N18">
            <v>18.942155917143779</v>
          </cell>
          <cell r="O18">
            <v>26.63650638910439</v>
          </cell>
          <cell r="P18">
            <v>30.853601591345132</v>
          </cell>
          <cell r="Q18">
            <v>29.138115588333637</v>
          </cell>
          <cell r="R18">
            <v>29.29379240167458</v>
          </cell>
        </row>
        <row r="19">
          <cell r="D19" t="str">
            <v>Production cost</v>
          </cell>
          <cell r="E19" t="str">
            <v>Electricity</v>
          </cell>
          <cell r="F19">
            <v>2020</v>
          </cell>
          <cell r="G19" t="str">
            <v>CAD</v>
          </cell>
          <cell r="H19" t="str">
            <v>GJ</v>
          </cell>
          <cell r="I19" t="str">
            <v>CER</v>
          </cell>
          <cell r="K19">
            <v>18.87119975589912</v>
          </cell>
          <cell r="L19">
            <v>20.054571632219091</v>
          </cell>
          <cell r="M19">
            <v>22.479254311443441</v>
          </cell>
          <cell r="N19">
            <v>25.421474866158949</v>
          </cell>
          <cell r="O19">
            <v>29.418058936757351</v>
          </cell>
          <cell r="P19">
            <v>30.972746062531844</v>
          </cell>
          <cell r="Q19">
            <v>31.797943331654654</v>
          </cell>
          <cell r="R19">
            <v>32.066931792689836</v>
          </cell>
        </row>
        <row r="26">
          <cell r="B26" t="str">
            <v>CM</v>
          </cell>
        </row>
        <row r="27">
          <cell r="B27" t="str">
            <v>CNZ</v>
          </cell>
        </row>
      </sheetData>
      <sheetData sheetId="3">
        <row r="1">
          <cell r="D1" t="str">
            <v>Sector</v>
          </cell>
          <cell r="E1" t="str">
            <v>Context</v>
          </cell>
          <cell r="F1" t="str">
            <v>Sub_context</v>
          </cell>
          <cell r="G1" t="str">
            <v>Unit</v>
          </cell>
          <cell r="J1" t="str">
            <v>Source</v>
          </cell>
        </row>
        <row r="4">
          <cell r="E4" t="str">
            <v>CO2</v>
          </cell>
          <cell r="F4" t="str">
            <v>combustion</v>
          </cell>
          <cell r="G4">
            <v>2020</v>
          </cell>
          <cell r="H4" t="str">
            <v>CAD</v>
          </cell>
          <cell r="I4" t="str">
            <v>tCO2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30</v>
          </cell>
          <cell r="Q4">
            <v>68.341643330825832</v>
          </cell>
          <cell r="R4">
            <v>100.32134973994673</v>
          </cell>
        </row>
        <row r="5">
          <cell r="E5" t="str">
            <v>CO2</v>
          </cell>
          <cell r="F5" t="str">
            <v>combustion</v>
          </cell>
          <cell r="G5">
            <v>2020</v>
          </cell>
          <cell r="H5" t="str">
            <v>CAD</v>
          </cell>
          <cell r="I5" t="str">
            <v>tCO2</v>
          </cell>
          <cell r="L5">
            <v>0</v>
          </cell>
          <cell r="M5">
            <v>0</v>
          </cell>
          <cell r="N5">
            <v>26.526018458051627</v>
          </cell>
          <cell r="O5">
            <v>33.304393348006798</v>
          </cell>
          <cell r="P5">
            <v>40</v>
          </cell>
          <cell r="Q5">
            <v>68.341643330825832</v>
          </cell>
          <cell r="R5">
            <v>100.32134973994673</v>
          </cell>
        </row>
        <row r="6">
          <cell r="E6" t="str">
            <v>CO2</v>
          </cell>
          <cell r="F6" t="str">
            <v>combustion</v>
          </cell>
          <cell r="G6">
            <v>2020</v>
          </cell>
          <cell r="H6" t="str">
            <v>CAD</v>
          </cell>
          <cell r="I6" t="str">
            <v>tCO2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30</v>
          </cell>
          <cell r="Q6">
            <v>68.341643330825832</v>
          </cell>
          <cell r="R6">
            <v>100.32134973994673</v>
          </cell>
        </row>
        <row r="7">
          <cell r="E7" t="str">
            <v>CO2</v>
          </cell>
          <cell r="F7" t="str">
            <v>combustion</v>
          </cell>
          <cell r="G7">
            <v>2020</v>
          </cell>
          <cell r="H7" t="str">
            <v>CAD</v>
          </cell>
          <cell r="I7" t="str">
            <v>tCO2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30</v>
          </cell>
          <cell r="Q7">
            <v>68.341643330825832</v>
          </cell>
          <cell r="R7">
            <v>100.32134973994673</v>
          </cell>
        </row>
        <row r="8">
          <cell r="E8" t="str">
            <v>CO2</v>
          </cell>
          <cell r="F8" t="str">
            <v>combustion</v>
          </cell>
          <cell r="G8">
            <v>2020</v>
          </cell>
          <cell r="H8" t="str">
            <v>CAD</v>
          </cell>
          <cell r="I8" t="str">
            <v>tCO2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30</v>
          </cell>
          <cell r="Q8">
            <v>68.341643330825832</v>
          </cell>
          <cell r="R8">
            <v>100.32134973994673</v>
          </cell>
        </row>
        <row r="9">
          <cell r="E9" t="str">
            <v>CO2</v>
          </cell>
          <cell r="F9" t="str">
            <v>combustion</v>
          </cell>
          <cell r="G9">
            <v>2020</v>
          </cell>
          <cell r="H9" t="str">
            <v>CAD</v>
          </cell>
          <cell r="I9" t="str">
            <v>tCO2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30</v>
          </cell>
          <cell r="Q9">
            <v>68.341643330825832</v>
          </cell>
          <cell r="R9">
            <v>100.32134973994673</v>
          </cell>
        </row>
        <row r="10">
          <cell r="E10" t="str">
            <v>CO2</v>
          </cell>
          <cell r="F10" t="str">
            <v>combustion</v>
          </cell>
          <cell r="G10">
            <v>2020</v>
          </cell>
          <cell r="H10" t="str">
            <v>CAD</v>
          </cell>
          <cell r="I10" t="str">
            <v>tCO2</v>
          </cell>
          <cell r="L10">
            <v>0</v>
          </cell>
          <cell r="M10">
            <v>0</v>
          </cell>
          <cell r="N10">
            <v>0</v>
          </cell>
          <cell r="O10">
            <v>18.87248956387052</v>
          </cell>
          <cell r="P10">
            <v>22.15</v>
          </cell>
          <cell r="Q10">
            <v>68.341643330825832</v>
          </cell>
          <cell r="R10">
            <v>100.32134973994673</v>
          </cell>
        </row>
        <row r="11">
          <cell r="E11" t="str">
            <v>CO2</v>
          </cell>
          <cell r="F11" t="str">
            <v>combustion</v>
          </cell>
          <cell r="G11">
            <v>2020</v>
          </cell>
          <cell r="H11" t="str">
            <v>CAD</v>
          </cell>
          <cell r="I11" t="str">
            <v>tCO2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30</v>
          </cell>
          <cell r="Q11">
            <v>68.341643330825832</v>
          </cell>
          <cell r="R11">
            <v>100.32134973994673</v>
          </cell>
        </row>
        <row r="12">
          <cell r="E12" t="str">
            <v>CO2</v>
          </cell>
          <cell r="F12" t="str">
            <v>combustion</v>
          </cell>
          <cell r="G12">
            <v>2020</v>
          </cell>
          <cell r="H12" t="str">
            <v>CAD</v>
          </cell>
          <cell r="I12" t="str">
            <v>tCO2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30</v>
          </cell>
          <cell r="Q12">
            <v>68.341643330825832</v>
          </cell>
          <cell r="R12">
            <v>100.32134973994673</v>
          </cell>
        </row>
        <row r="13">
          <cell r="E13" t="str">
            <v>CO2</v>
          </cell>
          <cell r="F13" t="str">
            <v>combustion</v>
          </cell>
          <cell r="G13">
            <v>2020</v>
          </cell>
          <cell r="H13" t="str">
            <v>CAD</v>
          </cell>
          <cell r="I13" t="str">
            <v>tCO2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30</v>
          </cell>
          <cell r="Q13">
            <v>68.341643330825832</v>
          </cell>
          <cell r="R13">
            <v>100.32134973994673</v>
          </cell>
        </row>
        <row r="14">
          <cell r="E14" t="str">
            <v>CO2</v>
          </cell>
          <cell r="F14" t="str">
            <v>combustion</v>
          </cell>
          <cell r="G14">
            <v>2020</v>
          </cell>
          <cell r="H14" t="str">
            <v>CAD</v>
          </cell>
          <cell r="I14" t="str">
            <v>tCO2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30</v>
          </cell>
          <cell r="Q14">
            <v>68.341643330825832</v>
          </cell>
          <cell r="R14">
            <v>100.32134973994673</v>
          </cell>
        </row>
        <row r="15">
          <cell r="E15" t="str">
            <v>CO2</v>
          </cell>
          <cell r="F15" t="str">
            <v>combustion</v>
          </cell>
          <cell r="G15">
            <v>2020</v>
          </cell>
          <cell r="H15" t="str">
            <v>CAD</v>
          </cell>
          <cell r="I15" t="str">
            <v>tCO2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30</v>
          </cell>
          <cell r="Q15">
            <v>68.341643330825832</v>
          </cell>
          <cell r="R15">
            <v>100.32134973994673</v>
          </cell>
        </row>
        <row r="16">
          <cell r="E16" t="str">
            <v>CO2</v>
          </cell>
          <cell r="F16" t="str">
            <v>combustion</v>
          </cell>
          <cell r="G16">
            <v>2020</v>
          </cell>
          <cell r="H16" t="str">
            <v>CAD</v>
          </cell>
          <cell r="I16" t="str">
            <v>tCO2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30</v>
          </cell>
          <cell r="Q16">
            <v>68.341643330825832</v>
          </cell>
          <cell r="R16">
            <v>100.32134973994673</v>
          </cell>
        </row>
        <row r="17">
          <cell r="E17" t="str">
            <v>CO2</v>
          </cell>
          <cell r="F17" t="str">
            <v>combustion</v>
          </cell>
          <cell r="G17">
            <v>2020</v>
          </cell>
          <cell r="H17" t="str">
            <v>CAD</v>
          </cell>
          <cell r="I17" t="str">
            <v>tCO2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30</v>
          </cell>
          <cell r="Q17">
            <v>68.341643330825832</v>
          </cell>
          <cell r="R17">
            <v>100.32134973994673</v>
          </cell>
        </row>
        <row r="18">
          <cell r="E18" t="str">
            <v>CO2</v>
          </cell>
          <cell r="F18" t="str">
            <v>combustion</v>
          </cell>
          <cell r="G18">
            <v>2020</v>
          </cell>
          <cell r="H18" t="str">
            <v>CAD</v>
          </cell>
          <cell r="I18" t="str">
            <v>tCO2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30</v>
          </cell>
          <cell r="Q18">
            <v>68.341643330825832</v>
          </cell>
          <cell r="R18">
            <v>100.32134973994673</v>
          </cell>
        </row>
        <row r="19">
          <cell r="E19" t="str">
            <v>CO2</v>
          </cell>
          <cell r="F19" t="str">
            <v>combustion</v>
          </cell>
          <cell r="G19">
            <v>2020</v>
          </cell>
          <cell r="H19" t="str">
            <v>CAD</v>
          </cell>
          <cell r="I19" t="str">
            <v>tCO2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30</v>
          </cell>
          <cell r="Q19">
            <v>68.341643330825832</v>
          </cell>
          <cell r="R19">
            <v>100.32134973994671</v>
          </cell>
        </row>
        <row r="24">
          <cell r="B24" t="str">
            <v>Need to check on process, CH4, N2O!!!</v>
          </cell>
        </row>
        <row r="25">
          <cell r="B25" t="str">
            <v>Need to check other provinces</v>
          </cell>
        </row>
      </sheetData>
      <sheetData sheetId="4">
        <row r="1">
          <cell r="D1" t="str">
            <v>Sector</v>
          </cell>
          <cell r="E1" t="str">
            <v>Fuel</v>
          </cell>
          <cell r="F1" t="str">
            <v>Unit</v>
          </cell>
          <cell r="I1" t="str">
            <v>Source</v>
          </cell>
          <cell r="K1">
            <v>2000</v>
          </cell>
          <cell r="L1">
            <v>2005</v>
          </cell>
          <cell r="M1">
            <v>2010</v>
          </cell>
          <cell r="N1">
            <v>2015</v>
          </cell>
          <cell r="O1">
            <v>2020</v>
          </cell>
          <cell r="P1">
            <v>2025</v>
          </cell>
          <cell r="Q1">
            <v>2030</v>
          </cell>
          <cell r="R1">
            <v>2035</v>
          </cell>
        </row>
      </sheetData>
      <sheetData sheetId="5">
        <row r="1">
          <cell r="D1" t="str">
            <v>Commercial</v>
          </cell>
          <cell r="E1" t="str">
            <v>Industrial</v>
          </cell>
          <cell r="G1">
            <v>2000</v>
          </cell>
          <cell r="H1">
            <v>2001</v>
          </cell>
          <cell r="I1">
            <v>2002</v>
          </cell>
          <cell r="J1">
            <v>2003</v>
          </cell>
          <cell r="K1">
            <v>2004</v>
          </cell>
          <cell r="L1">
            <v>2005</v>
          </cell>
          <cell r="M1">
            <v>2006</v>
          </cell>
          <cell r="N1">
            <v>2007</v>
          </cell>
          <cell r="O1">
            <v>2008</v>
          </cell>
          <cell r="P1">
            <v>2009</v>
          </cell>
          <cell r="Q1">
            <v>2010</v>
          </cell>
          <cell r="R1">
            <v>2011</v>
          </cell>
        </row>
        <row r="4">
          <cell r="D4">
            <v>1.7</v>
          </cell>
          <cell r="E4">
            <v>1.4</v>
          </cell>
          <cell r="G4">
            <v>15.938184889998666</v>
          </cell>
          <cell r="H4">
            <v>15.938184889998666</v>
          </cell>
          <cell r="I4">
            <v>16.176831247143408</v>
          </cell>
          <cell r="J4">
            <v>16.655268564438959</v>
          </cell>
          <cell r="K4">
            <v>17.68553320197298</v>
          </cell>
          <cell r="L4">
            <v>18.084189040854593</v>
          </cell>
          <cell r="M4">
            <v>18.126250987864257</v>
          </cell>
          <cell r="N4">
            <v>18.84000244263439</v>
          </cell>
          <cell r="O4">
            <v>19.479219715639889</v>
          </cell>
          <cell r="P4">
            <v>21.162132261499366</v>
          </cell>
          <cell r="Q4">
            <v>21.52812266540521</v>
          </cell>
          <cell r="R4">
            <v>21.243054330275232</v>
          </cell>
        </row>
        <row r="5">
          <cell r="D5">
            <v>1.4</v>
          </cell>
          <cell r="E5">
            <v>1.05</v>
          </cell>
          <cell r="G5">
            <v>20.641632142380061</v>
          </cell>
          <cell r="H5">
            <v>20.641632142380061</v>
          </cell>
          <cell r="I5">
            <v>21.002486384976525</v>
          </cell>
          <cell r="J5">
            <v>21.359273839239382</v>
          </cell>
          <cell r="K5">
            <v>21.650358433909805</v>
          </cell>
          <cell r="L5">
            <v>21.936023981510434</v>
          </cell>
          <cell r="M5">
            <v>22.354862407449914</v>
          </cell>
          <cell r="N5">
            <v>22.850874504452449</v>
          </cell>
          <cell r="O5">
            <v>23.310623200918219</v>
          </cell>
          <cell r="P5">
            <v>23.8807959405469</v>
          </cell>
          <cell r="Q5">
            <v>24.588182221259032</v>
          </cell>
          <cell r="R5">
            <v>24.997322279318041</v>
          </cell>
        </row>
        <row r="6">
          <cell r="D6">
            <v>1.5</v>
          </cell>
          <cell r="E6">
            <v>1.1000000000000001</v>
          </cell>
          <cell r="G6">
            <v>12.798414036174719</v>
          </cell>
          <cell r="H6">
            <v>12.798414036174719</v>
          </cell>
          <cell r="I6">
            <v>12.840485527079352</v>
          </cell>
          <cell r="J6">
            <v>12.880917573756482</v>
          </cell>
          <cell r="K6">
            <v>12.88424566501571</v>
          </cell>
          <cell r="L6">
            <v>13.000644814058056</v>
          </cell>
          <cell r="M6">
            <v>13.123126195711459</v>
          </cell>
          <cell r="N6">
            <v>13.251679100857368</v>
          </cell>
          <cell r="O6">
            <v>13.393341468896613</v>
          </cell>
          <cell r="P6">
            <v>13.553251487351067</v>
          </cell>
          <cell r="Q6">
            <v>13.744419209122919</v>
          </cell>
          <cell r="R6">
            <v>13.924878266709229</v>
          </cell>
        </row>
        <row r="7">
          <cell r="D7">
            <v>1.75</v>
          </cell>
          <cell r="E7">
            <v>1.5</v>
          </cell>
          <cell r="G7">
            <v>20.891525343335005</v>
          </cell>
          <cell r="H7">
            <v>20.891525343335005</v>
          </cell>
          <cell r="I7">
            <v>20.867359047559777</v>
          </cell>
          <cell r="J7">
            <v>20.797188240958889</v>
          </cell>
          <cell r="K7">
            <v>20.755862025812934</v>
          </cell>
          <cell r="L7">
            <v>20.688436206864079</v>
          </cell>
          <cell r="M7">
            <v>20.760662137374052</v>
          </cell>
          <cell r="N7">
            <v>21.001788320532963</v>
          </cell>
          <cell r="O7">
            <v>21.405958903729836</v>
          </cell>
          <cell r="P7">
            <v>21.819980740198986</v>
          </cell>
          <cell r="Q7">
            <v>22.422315509452357</v>
          </cell>
          <cell r="R7">
            <v>22.687809879571876</v>
          </cell>
        </row>
        <row r="8">
          <cell r="D8">
            <v>1.85</v>
          </cell>
          <cell r="E8">
            <v>1.25</v>
          </cell>
          <cell r="G8">
            <v>12.803721252368257</v>
          </cell>
          <cell r="H8">
            <v>12.803721252368257</v>
          </cell>
          <cell r="I8">
            <v>12.99667960028682</v>
          </cell>
          <cell r="J8">
            <v>13.175561448312138</v>
          </cell>
          <cell r="K8">
            <v>13.352292859183786</v>
          </cell>
          <cell r="L8">
            <v>13.544454248373</v>
          </cell>
          <cell r="M8">
            <v>13.719482041656056</v>
          </cell>
          <cell r="N8">
            <v>13.873104831023646</v>
          </cell>
          <cell r="O8">
            <v>14.017034551624517</v>
          </cell>
          <cell r="P8">
            <v>14.174747484102122</v>
          </cell>
          <cell r="Q8">
            <v>14.353912670349146</v>
          </cell>
          <cell r="R8">
            <v>14.362642231412229</v>
          </cell>
        </row>
        <row r="9">
          <cell r="D9">
            <v>1.6</v>
          </cell>
          <cell r="E9">
            <v>1.05</v>
          </cell>
          <cell r="G9">
            <v>20.159485816731102</v>
          </cell>
          <cell r="H9">
            <v>20.159485816731102</v>
          </cell>
          <cell r="I9">
            <v>20.397990064819748</v>
          </cell>
          <cell r="J9">
            <v>20.749212659816752</v>
          </cell>
          <cell r="K9">
            <v>21.222198583547353</v>
          </cell>
          <cell r="L9">
            <v>21.754130297676962</v>
          </cell>
          <cell r="M9">
            <v>22.248797378774608</v>
          </cell>
          <cell r="N9">
            <v>22.754213023786605</v>
          </cell>
          <cell r="O9">
            <v>23.22393975002603</v>
          </cell>
          <cell r="P9">
            <v>23.658891342773561</v>
          </cell>
          <cell r="Q9">
            <v>24.094558483192532</v>
          </cell>
          <cell r="R9">
            <v>24.318066381659364</v>
          </cell>
        </row>
        <row r="10">
          <cell r="D10">
            <v>1.6</v>
          </cell>
          <cell r="E10">
            <v>1.2</v>
          </cell>
          <cell r="G10">
            <v>19.396313521238877</v>
          </cell>
          <cell r="H10">
            <v>19.396313521238877</v>
          </cell>
          <cell r="I10">
            <v>19.781184157916407</v>
          </cell>
          <cell r="J10">
            <v>20.134738491359517</v>
          </cell>
          <cell r="K10">
            <v>20.432099708934739</v>
          </cell>
          <cell r="L10">
            <v>21.022203157404999</v>
          </cell>
          <cell r="M10">
            <v>21.504448878167935</v>
          </cell>
          <cell r="N10">
            <v>22.127624972991583</v>
          </cell>
          <cell r="O10">
            <v>22.973386046316278</v>
          </cell>
          <cell r="P10">
            <v>23.882437132012694</v>
          </cell>
          <cell r="Q10">
            <v>24.858511245634929</v>
          </cell>
          <cell r="R10">
            <v>25.436605571382557</v>
          </cell>
        </row>
        <row r="11">
          <cell r="D11">
            <v>1.6</v>
          </cell>
          <cell r="E11">
            <v>1</v>
          </cell>
          <cell r="G11">
            <v>23.825278491751121</v>
          </cell>
          <cell r="H11">
            <v>23.825278491751121</v>
          </cell>
          <cell r="I11">
            <v>23.838185162587461</v>
          </cell>
          <cell r="J11">
            <v>24.105169044668671</v>
          </cell>
          <cell r="K11">
            <v>24.680510237764171</v>
          </cell>
          <cell r="L11">
            <v>25.872230739230403</v>
          </cell>
          <cell r="M11">
            <v>26.691279337312114</v>
          </cell>
          <cell r="N11">
            <v>27.034028067375754</v>
          </cell>
          <cell r="O11">
            <v>27.337907595903662</v>
          </cell>
          <cell r="P11">
            <v>27.983685183796911</v>
          </cell>
          <cell r="Q11">
            <v>28.675576915779612</v>
          </cell>
          <cell r="R11">
            <v>29.417269220995323</v>
          </cell>
        </row>
        <row r="12">
          <cell r="D12">
            <v>1.4</v>
          </cell>
          <cell r="E12">
            <v>1.2</v>
          </cell>
          <cell r="G12">
            <v>19.105314401242016</v>
          </cell>
          <cell r="H12">
            <v>19.105314401242016</v>
          </cell>
          <cell r="I12">
            <v>19.404292816168798</v>
          </cell>
          <cell r="J12">
            <v>19.764260989179398</v>
          </cell>
          <cell r="K12">
            <v>20.058160261081596</v>
          </cell>
          <cell r="L12">
            <v>20.523715667276761</v>
          </cell>
          <cell r="M12">
            <v>20.834470499952019</v>
          </cell>
          <cell r="N12">
            <v>21.162706572015999</v>
          </cell>
          <cell r="O12">
            <v>21.689470223628984</v>
          </cell>
          <cell r="P12">
            <v>22.328044109143288</v>
          </cell>
          <cell r="Q12">
            <v>22.796986513591765</v>
          </cell>
          <cell r="R12">
            <v>23.003396031916907</v>
          </cell>
        </row>
        <row r="13">
          <cell r="D13">
            <v>1.5</v>
          </cell>
          <cell r="E13">
            <v>1.3</v>
          </cell>
          <cell r="G13">
            <v>16.736255805605211</v>
          </cell>
          <cell r="H13">
            <v>16.736255805605211</v>
          </cell>
          <cell r="I13">
            <v>16.805067459908134</v>
          </cell>
          <cell r="J13">
            <v>16.892083708033471</v>
          </cell>
          <cell r="K13">
            <v>17.029867624028089</v>
          </cell>
          <cell r="L13">
            <v>17.246162874513328</v>
          </cell>
          <cell r="M13">
            <v>17.623009133985107</v>
          </cell>
          <cell r="N13">
            <v>17.917474491621416</v>
          </cell>
          <cell r="O13">
            <v>18.521513956689969</v>
          </cell>
          <cell r="P13">
            <v>19.140477974986471</v>
          </cell>
          <cell r="Q13">
            <v>19.883347256895416</v>
          </cell>
          <cell r="R13">
            <v>20.681271879553687</v>
          </cell>
        </row>
        <row r="14">
          <cell r="D14">
            <v>1.5</v>
          </cell>
          <cell r="E14">
            <v>1.3</v>
          </cell>
          <cell r="G14">
            <v>19.835556520574045</v>
          </cell>
          <cell r="H14">
            <v>19.835556520574045</v>
          </cell>
          <cell r="I14">
            <v>19.917111663442132</v>
          </cell>
          <cell r="J14">
            <v>20.020242784610513</v>
          </cell>
          <cell r="K14">
            <v>20.183542423256238</v>
          </cell>
          <cell r="L14">
            <v>20.439892909795432</v>
          </cell>
          <cell r="M14">
            <v>20.88652629368875</v>
          </cell>
          <cell r="N14">
            <v>21.235522969372514</v>
          </cell>
          <cell r="O14">
            <v>21.951422186204912</v>
          </cell>
          <cell r="P14">
            <v>22.685009636350809</v>
          </cell>
          <cell r="Q14">
            <v>23.565448018671912</v>
          </cell>
          <cell r="R14">
            <v>24.511136146233184</v>
          </cell>
        </row>
        <row r="15">
          <cell r="D15">
            <v>1.5</v>
          </cell>
          <cell r="E15">
            <v>1.3</v>
          </cell>
          <cell r="G15">
            <v>19.835556520574045</v>
          </cell>
          <cell r="H15">
            <v>19.835556520574045</v>
          </cell>
          <cell r="I15">
            <v>19.917111663442132</v>
          </cell>
          <cell r="J15">
            <v>20.020242784610513</v>
          </cell>
          <cell r="K15">
            <v>20.183542423256238</v>
          </cell>
          <cell r="L15">
            <v>20.439892909795432</v>
          </cell>
          <cell r="M15">
            <v>20.88652629368875</v>
          </cell>
          <cell r="N15">
            <v>21.235522969372514</v>
          </cell>
          <cell r="O15">
            <v>21.951422186204912</v>
          </cell>
          <cell r="P15">
            <v>22.685009636350809</v>
          </cell>
          <cell r="Q15">
            <v>23.565448018671912</v>
          </cell>
          <cell r="R15">
            <v>24.511136146233184</v>
          </cell>
        </row>
        <row r="16">
          <cell r="D16">
            <v>1.6</v>
          </cell>
          <cell r="E16">
            <v>1.125</v>
          </cell>
          <cell r="G16">
            <v>20.28481591392644</v>
          </cell>
          <cell r="H16">
            <v>20.28481591392644</v>
          </cell>
          <cell r="I16">
            <v>20.521066070699977</v>
          </cell>
          <cell r="J16">
            <v>20.852449290834866</v>
          </cell>
          <cell r="K16">
            <v>21.255928527363917</v>
          </cell>
          <cell r="L16">
            <v>21.937266625662073</v>
          </cell>
          <cell r="M16">
            <v>22.455700357765892</v>
          </cell>
          <cell r="N16">
            <v>22.902954191124465</v>
          </cell>
          <cell r="O16">
            <v>23.438176499958029</v>
          </cell>
          <cell r="P16">
            <v>24.091181398625451</v>
          </cell>
          <cell r="Q16">
            <v>24.731587821493207</v>
          </cell>
          <cell r="R16">
            <v>25.163285572090135</v>
          </cell>
        </row>
        <row r="17">
          <cell r="D17">
            <v>1.5</v>
          </cell>
          <cell r="E17">
            <v>1.3</v>
          </cell>
          <cell r="G17">
            <v>18.8024562822511</v>
          </cell>
          <cell r="H17">
            <v>18.8024562822511</v>
          </cell>
          <cell r="I17">
            <v>18.879763595597463</v>
          </cell>
          <cell r="J17">
            <v>18.977523092418163</v>
          </cell>
          <cell r="K17">
            <v>19.132317490180185</v>
          </cell>
          <cell r="L17">
            <v>19.375316231368064</v>
          </cell>
          <cell r="M17">
            <v>19.7986872404542</v>
          </cell>
          <cell r="N17">
            <v>20.129506810122148</v>
          </cell>
          <cell r="O17">
            <v>20.808119443033267</v>
          </cell>
          <cell r="P17">
            <v>21.503499082562694</v>
          </cell>
          <cell r="Q17">
            <v>22.338081098079744</v>
          </cell>
          <cell r="R17">
            <v>23.234514724006683</v>
          </cell>
        </row>
      </sheetData>
      <sheetData sheetId="6">
        <row r="1">
          <cell r="D1" t="str">
            <v>Sector</v>
          </cell>
          <cell r="E1" t="str">
            <v>Fuel</v>
          </cell>
          <cell r="F1" t="str">
            <v>Unit</v>
          </cell>
          <cell r="I1" t="str">
            <v>Source</v>
          </cell>
          <cell r="K1" t="str">
            <v>Unit</v>
          </cell>
          <cell r="N1">
            <v>1995</v>
          </cell>
          <cell r="O1">
            <v>1996</v>
          </cell>
          <cell r="P1">
            <v>1997</v>
          </cell>
          <cell r="Q1">
            <v>1998</v>
          </cell>
          <cell r="R1">
            <v>1999</v>
          </cell>
        </row>
        <row r="4">
          <cell r="D4" t="str">
            <v>Brent</v>
          </cell>
          <cell r="E4" t="str">
            <v>Oil</v>
          </cell>
          <cell r="F4">
            <v>2020</v>
          </cell>
          <cell r="G4" t="str">
            <v>USD</v>
          </cell>
          <cell r="H4" t="str">
            <v>bbl</v>
          </cell>
          <cell r="I4" t="str">
            <v>CER</v>
          </cell>
          <cell r="K4">
            <v>2022</v>
          </cell>
          <cell r="L4" t="str">
            <v>USD</v>
          </cell>
          <cell r="M4" t="str">
            <v>bbl</v>
          </cell>
        </row>
        <row r="5">
          <cell r="D5" t="str">
            <v>West Texas Intermediate (WTI)</v>
          </cell>
          <cell r="E5" t="str">
            <v>Oil</v>
          </cell>
          <cell r="F5">
            <v>2020</v>
          </cell>
          <cell r="G5" t="str">
            <v>USD</v>
          </cell>
          <cell r="H5" t="str">
            <v>bbl</v>
          </cell>
          <cell r="I5" t="str">
            <v>CER</v>
          </cell>
          <cell r="K5">
            <v>2022</v>
          </cell>
          <cell r="L5" t="str">
            <v>USD</v>
          </cell>
          <cell r="M5" t="str">
            <v>bbl</v>
          </cell>
        </row>
        <row r="6">
          <cell r="D6" t="str">
            <v>Western Canadian Select (WCS)</v>
          </cell>
          <cell r="E6" t="str">
            <v>Oil</v>
          </cell>
          <cell r="F6">
            <v>2020</v>
          </cell>
          <cell r="G6" t="str">
            <v>USD</v>
          </cell>
          <cell r="H6" t="str">
            <v>bbl</v>
          </cell>
          <cell r="I6" t="str">
            <v>CER</v>
          </cell>
          <cell r="K6">
            <v>2022</v>
          </cell>
          <cell r="L6" t="str">
            <v>USD</v>
          </cell>
          <cell r="M6" t="str">
            <v>bbl</v>
          </cell>
        </row>
        <row r="7">
          <cell r="D7" t="str">
            <v>Canadian Light Sweet (CLS)</v>
          </cell>
          <cell r="E7" t="str">
            <v>Oil</v>
          </cell>
          <cell r="F7">
            <v>2020</v>
          </cell>
          <cell r="G7" t="str">
            <v>USD</v>
          </cell>
          <cell r="H7" t="str">
            <v>bbl</v>
          </cell>
          <cell r="I7" t="str">
            <v>CER</v>
          </cell>
          <cell r="K7">
            <v>2022</v>
          </cell>
          <cell r="L7" t="str">
            <v>USD</v>
          </cell>
          <cell r="M7" t="str">
            <v>bbl</v>
          </cell>
        </row>
        <row r="8">
          <cell r="D8" t="str">
            <v>Henry Hub</v>
          </cell>
          <cell r="E8" t="str">
            <v>Natural Gas</v>
          </cell>
          <cell r="F8">
            <v>2020</v>
          </cell>
          <cell r="G8" t="str">
            <v>USD</v>
          </cell>
          <cell r="H8" t="str">
            <v>MMBtu</v>
          </cell>
          <cell r="I8" t="str">
            <v>CER</v>
          </cell>
          <cell r="K8">
            <v>2022</v>
          </cell>
          <cell r="L8" t="str">
            <v>USD</v>
          </cell>
          <cell r="M8" t="str">
            <v>MMBtu</v>
          </cell>
        </row>
        <row r="9">
          <cell r="D9" t="str">
            <v>Nova Inventory Transfer (NIT)</v>
          </cell>
          <cell r="E9" t="str">
            <v>Natural Gas</v>
          </cell>
          <cell r="F9">
            <v>2020</v>
          </cell>
          <cell r="G9" t="str">
            <v>USD</v>
          </cell>
          <cell r="H9" t="str">
            <v>MMBtu</v>
          </cell>
          <cell r="I9" t="str">
            <v>CER</v>
          </cell>
          <cell r="K9">
            <v>2022</v>
          </cell>
          <cell r="L9" t="str">
            <v>USD</v>
          </cell>
          <cell r="M9" t="str">
            <v>MMBtu</v>
          </cell>
        </row>
        <row r="11">
          <cell r="D11" t="str">
            <v>Brent</v>
          </cell>
          <cell r="E11" t="str">
            <v>Oil</v>
          </cell>
          <cell r="F11">
            <v>2020</v>
          </cell>
          <cell r="G11" t="str">
            <v>CAD</v>
          </cell>
          <cell r="H11" t="str">
            <v>GJ</v>
          </cell>
          <cell r="I11" t="str">
            <v>calc</v>
          </cell>
        </row>
        <row r="12">
          <cell r="D12" t="str">
            <v>West Texas Intermediate (WTI)</v>
          </cell>
          <cell r="E12" t="str">
            <v>Oil</v>
          </cell>
          <cell r="F12">
            <v>2020</v>
          </cell>
          <cell r="G12" t="str">
            <v>CAD</v>
          </cell>
          <cell r="H12" t="str">
            <v>GJ</v>
          </cell>
          <cell r="I12" t="str">
            <v>calc</v>
          </cell>
        </row>
        <row r="13">
          <cell r="D13" t="str">
            <v>Western Canadian Select (WCS)</v>
          </cell>
          <cell r="E13" t="str">
            <v>Oil</v>
          </cell>
          <cell r="F13">
            <v>2020</v>
          </cell>
          <cell r="G13" t="str">
            <v>CAD</v>
          </cell>
          <cell r="H13" t="str">
            <v>GJ</v>
          </cell>
          <cell r="I13" t="str">
            <v>calc</v>
          </cell>
        </row>
        <row r="14">
          <cell r="D14" t="str">
            <v>Canadian Light Sweet (CLS)</v>
          </cell>
          <cell r="E14" t="str">
            <v>Oil</v>
          </cell>
          <cell r="F14">
            <v>2020</v>
          </cell>
          <cell r="G14" t="str">
            <v>CAD</v>
          </cell>
          <cell r="H14" t="str">
            <v>GJ</v>
          </cell>
          <cell r="I14" t="str">
            <v>calc</v>
          </cell>
        </row>
        <row r="15">
          <cell r="D15" t="str">
            <v>Henry Hub</v>
          </cell>
          <cell r="E15" t="str">
            <v>Natural Gas</v>
          </cell>
          <cell r="F15">
            <v>2020</v>
          </cell>
          <cell r="G15" t="str">
            <v>CAD</v>
          </cell>
          <cell r="H15" t="str">
            <v>GJ</v>
          </cell>
          <cell r="I15" t="str">
            <v>calc</v>
          </cell>
        </row>
        <row r="16">
          <cell r="D16" t="str">
            <v>Nova Inventory Transfer (NIT)</v>
          </cell>
          <cell r="E16" t="str">
            <v>Natural Gas</v>
          </cell>
          <cell r="F16">
            <v>2020</v>
          </cell>
          <cell r="G16" t="str">
            <v>CAD</v>
          </cell>
          <cell r="H16" t="str">
            <v>GJ</v>
          </cell>
          <cell r="I16" t="str">
            <v>calc</v>
          </cell>
        </row>
        <row r="17">
          <cell r="D17" t="str">
            <v>Production cost</v>
          </cell>
          <cell r="E17" t="str">
            <v>Electricity</v>
          </cell>
          <cell r="F17">
            <v>2020</v>
          </cell>
          <cell r="G17" t="str">
            <v>CAD</v>
          </cell>
          <cell r="H17" t="str">
            <v>GJ</v>
          </cell>
          <cell r="I17" t="str">
            <v>CER</v>
          </cell>
          <cell r="K17">
            <v>2022</v>
          </cell>
          <cell r="L17" t="str">
            <v>CAD</v>
          </cell>
          <cell r="M17" t="str">
            <v>GJ</v>
          </cell>
        </row>
        <row r="18">
          <cell r="D18" t="str">
            <v>Production cost</v>
          </cell>
          <cell r="E18" t="str">
            <v>Electricity</v>
          </cell>
          <cell r="F18">
            <v>2020</v>
          </cell>
          <cell r="G18" t="str">
            <v>CAD</v>
          </cell>
          <cell r="H18" t="str">
            <v>GJ</v>
          </cell>
          <cell r="I18" t="str">
            <v>CER</v>
          </cell>
          <cell r="K18">
            <v>2022</v>
          </cell>
          <cell r="L18" t="str">
            <v>CAD</v>
          </cell>
          <cell r="M18" t="str">
            <v>GJ</v>
          </cell>
        </row>
        <row r="19">
          <cell r="D19" t="str">
            <v>Production cost</v>
          </cell>
          <cell r="E19" t="str">
            <v>Electricity</v>
          </cell>
          <cell r="F19">
            <v>2020</v>
          </cell>
          <cell r="G19" t="str">
            <v>CAD</v>
          </cell>
          <cell r="H19" t="str">
            <v>GJ</v>
          </cell>
          <cell r="I19" t="str">
            <v>CER</v>
          </cell>
          <cell r="K19">
            <v>2022</v>
          </cell>
          <cell r="L19" t="str">
            <v>CAD</v>
          </cell>
          <cell r="M19" t="str">
            <v>GJ</v>
          </cell>
        </row>
        <row r="26">
          <cell r="B26" t="str">
            <v>CM</v>
          </cell>
        </row>
        <row r="27">
          <cell r="B27" t="str">
            <v>CNZ</v>
          </cell>
        </row>
      </sheetData>
      <sheetData sheetId="7">
        <row r="1">
          <cell r="D1" t="str">
            <v>To</v>
          </cell>
          <cell r="G1" t="str">
            <v>Multiply by</v>
          </cell>
        </row>
        <row r="4">
          <cell r="D4" t="str">
            <v>Litre</v>
          </cell>
          <cell r="E4" t="str">
            <v>l</v>
          </cell>
          <cell r="G4">
            <v>3.7854000000000001</v>
          </cell>
        </row>
        <row r="5">
          <cell r="D5" t="str">
            <v>Gigajoule</v>
          </cell>
          <cell r="E5" t="str">
            <v>GJ</v>
          </cell>
          <cell r="G5">
            <v>1.0550600000000001</v>
          </cell>
        </row>
        <row r="6">
          <cell r="D6" t="str">
            <v>Gigajoule</v>
          </cell>
          <cell r="E6" t="str">
            <v>GJ</v>
          </cell>
          <cell r="G6">
            <v>3.6</v>
          </cell>
        </row>
      </sheetData>
      <sheetData sheetId="8">
        <row r="1">
          <cell r="D1" t="str">
            <v>For prices</v>
          </cell>
          <cell r="F1" t="str">
            <v>Source</v>
          </cell>
          <cell r="G1">
            <v>2000</v>
          </cell>
          <cell r="H1">
            <v>2001</v>
          </cell>
          <cell r="I1">
            <v>2002</v>
          </cell>
          <cell r="J1">
            <v>2003</v>
          </cell>
          <cell r="K1">
            <v>2004</v>
          </cell>
          <cell r="L1">
            <v>2005</v>
          </cell>
          <cell r="M1">
            <v>2006</v>
          </cell>
          <cell r="N1">
            <v>2007</v>
          </cell>
          <cell r="O1">
            <v>2008</v>
          </cell>
          <cell r="P1">
            <v>2009</v>
          </cell>
          <cell r="Q1">
            <v>2010</v>
          </cell>
          <cell r="R1">
            <v>2011</v>
          </cell>
        </row>
        <row r="5">
          <cell r="D5" t="str">
            <v>ML</v>
          </cell>
          <cell r="F5" t="str">
            <v>AFDC</v>
          </cell>
          <cell r="G5">
            <v>33.322391017173047</v>
          </cell>
          <cell r="H5">
            <v>33.322391017173047</v>
          </cell>
          <cell r="I5">
            <v>33.322391017173047</v>
          </cell>
          <cell r="J5">
            <v>33.322391017173047</v>
          </cell>
          <cell r="K5">
            <v>33.322391017173047</v>
          </cell>
          <cell r="L5">
            <v>33.322391017173047</v>
          </cell>
          <cell r="M5">
            <v>33.322391017173047</v>
          </cell>
          <cell r="N5">
            <v>33.322391017173047</v>
          </cell>
          <cell r="O5">
            <v>33.322391017173047</v>
          </cell>
          <cell r="P5">
            <v>33.322391017173047</v>
          </cell>
          <cell r="Q5">
            <v>33.322391017173047</v>
          </cell>
          <cell r="R5">
            <v>33.322391017173047</v>
          </cell>
        </row>
        <row r="6">
          <cell r="D6" t="str">
            <v>Mm3</v>
          </cell>
          <cell r="G6">
            <v>37.989999934966505</v>
          </cell>
          <cell r="H6">
            <v>38.090000067537595</v>
          </cell>
          <cell r="I6">
            <v>38.089999943885992</v>
          </cell>
          <cell r="J6">
            <v>38.200000000000003</v>
          </cell>
          <cell r="K6">
            <v>38.21000005608883</v>
          </cell>
          <cell r="L6">
            <v>38.259998958056819</v>
          </cell>
          <cell r="M6">
            <v>38.260000180720937</v>
          </cell>
          <cell r="N6">
            <v>38.110000608339433</v>
          </cell>
          <cell r="O6">
            <v>38.409998944225379</v>
          </cell>
          <cell r="P6">
            <v>38.430000915151403</v>
          </cell>
          <cell r="Q6">
            <v>38.51999993949601</v>
          </cell>
          <cell r="R6">
            <v>38.560001088530569</v>
          </cell>
        </row>
        <row r="7">
          <cell r="D7" t="str">
            <v>kt</v>
          </cell>
          <cell r="F7" t="str">
            <v>StatCan, ICE</v>
          </cell>
          <cell r="G7">
            <v>14</v>
          </cell>
          <cell r="H7">
            <v>14</v>
          </cell>
          <cell r="I7">
            <v>14</v>
          </cell>
          <cell r="J7">
            <v>14</v>
          </cell>
          <cell r="K7">
            <v>14</v>
          </cell>
          <cell r="L7">
            <v>14.000000108315001</v>
          </cell>
          <cell r="M7">
            <v>13.999999806108626</v>
          </cell>
          <cell r="N7">
            <v>13.999999748986674</v>
          </cell>
          <cell r="O7">
            <v>14.000000379920184</v>
          </cell>
          <cell r="P7">
            <v>14.000000293094232</v>
          </cell>
          <cell r="Q7">
            <v>13.999999509048447</v>
          </cell>
          <cell r="R7">
            <v>13.999999576064937</v>
          </cell>
        </row>
        <row r="8">
          <cell r="D8" t="str">
            <v>kt</v>
          </cell>
          <cell r="F8" t="str">
            <v>StatCan, ICE</v>
          </cell>
          <cell r="G8">
            <v>27.281135001993739</v>
          </cell>
          <cell r="H8">
            <v>27.326522347523987</v>
          </cell>
          <cell r="I8">
            <v>27.26900553429919</v>
          </cell>
          <cell r="J8">
            <v>26.649636115461792</v>
          </cell>
          <cell r="K8">
            <v>26.436665511450485</v>
          </cell>
          <cell r="L8">
            <v>26.065005050848569</v>
          </cell>
          <cell r="M8">
            <v>25.961495108007071</v>
          </cell>
          <cell r="N8">
            <v>25.531014474531759</v>
          </cell>
          <cell r="O8">
            <v>25.843172868753484</v>
          </cell>
          <cell r="P8">
            <v>26.793021648355463</v>
          </cell>
          <cell r="Q8">
            <v>26.786318243881073</v>
          </cell>
          <cell r="R8">
            <v>26.168637600813259</v>
          </cell>
        </row>
        <row r="9">
          <cell r="D9" t="str">
            <v>kt</v>
          </cell>
          <cell r="F9" t="str">
            <v>StatCan, ICE</v>
          </cell>
          <cell r="G9">
            <v>28.830000239717378</v>
          </cell>
          <cell r="H9">
            <v>28.82999995511139</v>
          </cell>
          <cell r="I9">
            <v>28.830000015450388</v>
          </cell>
          <cell r="J9">
            <v>28.82999994686336</v>
          </cell>
          <cell r="K9">
            <v>28.829999901213348</v>
          </cell>
          <cell r="L9">
            <v>28.830000062087507</v>
          </cell>
          <cell r="M9">
            <v>28.829996791359196</v>
          </cell>
          <cell r="N9">
            <v>28.829996297848346</v>
          </cell>
          <cell r="O9">
            <v>28.829998215308454</v>
          </cell>
          <cell r="P9">
            <v>28.83000207582332</v>
          </cell>
          <cell r="Q9">
            <v>28.829995050999777</v>
          </cell>
          <cell r="R9">
            <v>28.829996754598554</v>
          </cell>
        </row>
        <row r="10">
          <cell r="D10" t="str">
            <v>ML</v>
          </cell>
          <cell r="F10" t="str">
            <v>StatCan, RESD</v>
          </cell>
          <cell r="G10">
            <v>38.679925435948505</v>
          </cell>
          <cell r="H10">
            <v>38.680065473475189</v>
          </cell>
          <cell r="I10">
            <v>38.299955672007968</v>
          </cell>
          <cell r="J10">
            <v>38.300019365322605</v>
          </cell>
          <cell r="K10">
            <v>38.299998399923197</v>
          </cell>
          <cell r="L10">
            <v>38.299931844114475</v>
          </cell>
          <cell r="M10">
            <v>38.300002287300146</v>
          </cell>
          <cell r="N10">
            <v>38.300022546602378</v>
          </cell>
          <cell r="O10">
            <v>38.299933175988855</v>
          </cell>
          <cell r="P10">
            <v>38.299956398350787</v>
          </cell>
          <cell r="Q10">
            <v>38.299949311917906</v>
          </cell>
          <cell r="R10">
            <v>38.300029726613161</v>
          </cell>
        </row>
        <row r="11">
          <cell r="D11" t="str">
            <v>GWh</v>
          </cell>
          <cell r="F11" t="str">
            <v>StatCan, ICE</v>
          </cell>
          <cell r="G11">
            <v>3.6</v>
          </cell>
          <cell r="H11">
            <v>3.6</v>
          </cell>
          <cell r="I11">
            <v>3.6</v>
          </cell>
          <cell r="J11">
            <v>3.6</v>
          </cell>
          <cell r="K11">
            <v>3.6</v>
          </cell>
          <cell r="L11">
            <v>3.6</v>
          </cell>
          <cell r="M11">
            <v>3.6</v>
          </cell>
          <cell r="N11">
            <v>3.6</v>
          </cell>
          <cell r="O11">
            <v>3.6</v>
          </cell>
          <cell r="P11">
            <v>3.6</v>
          </cell>
          <cell r="Q11">
            <v>3.6</v>
          </cell>
          <cell r="R11">
            <v>3.6</v>
          </cell>
        </row>
        <row r="12">
          <cell r="D12" t="str">
            <v>ML</v>
          </cell>
          <cell r="F12" t="str">
            <v>AFDC</v>
          </cell>
          <cell r="G12">
            <v>21.275601056803168</v>
          </cell>
          <cell r="H12">
            <v>21.275601056803168</v>
          </cell>
          <cell r="I12">
            <v>21.275601056803168</v>
          </cell>
          <cell r="J12">
            <v>21.275601056803168</v>
          </cell>
          <cell r="K12">
            <v>21.275601056803168</v>
          </cell>
          <cell r="L12">
            <v>21.275601056803168</v>
          </cell>
          <cell r="M12">
            <v>21.275601056803168</v>
          </cell>
          <cell r="N12">
            <v>21.275601056803168</v>
          </cell>
          <cell r="O12">
            <v>21.275601056803168</v>
          </cell>
          <cell r="P12">
            <v>21.275601056803168</v>
          </cell>
          <cell r="Q12">
            <v>21.275601056803168</v>
          </cell>
          <cell r="R12">
            <v>21.275601056803168</v>
          </cell>
        </row>
        <row r="13">
          <cell r="D13" t="str">
            <v>ML</v>
          </cell>
          <cell r="F13" t="str">
            <v>StatCan, ICE</v>
          </cell>
          <cell r="G13">
            <v>42.500001679681141</v>
          </cell>
          <cell r="H13">
            <v>42.500001372430312</v>
          </cell>
          <cell r="I13">
            <v>42.500001853421082</v>
          </cell>
          <cell r="J13">
            <v>42.500000153212326</v>
          </cell>
          <cell r="K13">
            <v>42.500001555910806</v>
          </cell>
          <cell r="L13">
            <v>42.49999462158479</v>
          </cell>
          <cell r="M13">
            <v>42.499993198406727</v>
          </cell>
          <cell r="N13">
            <v>42.500007934339692</v>
          </cell>
          <cell r="O13">
            <v>42.500003902539106</v>
          </cell>
          <cell r="P13">
            <v>42.500005927963386</v>
          </cell>
          <cell r="Q13">
            <v>42.499996053265136</v>
          </cell>
          <cell r="R13">
            <v>42.500008082757489</v>
          </cell>
        </row>
        <row r="14">
          <cell r="D14" t="str">
            <v>ML</v>
          </cell>
          <cell r="F14" t="str">
            <v>StatCan, RESD</v>
          </cell>
          <cell r="G14">
            <v>34.659999168511533</v>
          </cell>
          <cell r="H14">
            <v>34.659952530630569</v>
          </cell>
          <cell r="I14">
            <v>34.99994930856888</v>
          </cell>
          <cell r="J14">
            <v>35.000024944125158</v>
          </cell>
          <cell r="K14">
            <v>35</v>
          </cell>
          <cell r="L14">
            <v>34.999987755571823</v>
          </cell>
          <cell r="M14">
            <v>35</v>
          </cell>
          <cell r="N14">
            <v>35</v>
          </cell>
          <cell r="O14">
            <v>35.000011988021569</v>
          </cell>
          <cell r="P14">
            <v>34.999976328671664</v>
          </cell>
          <cell r="Q14">
            <v>35.000023044660551</v>
          </cell>
          <cell r="R14">
            <v>35</v>
          </cell>
        </row>
        <row r="15">
          <cell r="D15" t="str">
            <v>kt</v>
          </cell>
          <cell r="F15" t="str">
            <v>-</v>
          </cell>
          <cell r="G15">
            <v>120</v>
          </cell>
          <cell r="H15">
            <v>120</v>
          </cell>
          <cell r="I15">
            <v>120</v>
          </cell>
          <cell r="J15">
            <v>120</v>
          </cell>
          <cell r="K15">
            <v>120</v>
          </cell>
          <cell r="L15">
            <v>120</v>
          </cell>
          <cell r="M15">
            <v>120</v>
          </cell>
          <cell r="N15">
            <v>120</v>
          </cell>
          <cell r="O15">
            <v>120</v>
          </cell>
          <cell r="P15">
            <v>120</v>
          </cell>
          <cell r="Q15">
            <v>120</v>
          </cell>
          <cell r="R15">
            <v>120</v>
          </cell>
        </row>
        <row r="16">
          <cell r="D16" t="str">
            <v>ML</v>
          </cell>
          <cell r="F16" t="str">
            <v>StatCan, RESD</v>
          </cell>
          <cell r="G16">
            <v>36.369907239712113</v>
          </cell>
          <cell r="H16">
            <v>36.370010596962203</v>
          </cell>
          <cell r="I16">
            <v>37.40004995420864</v>
          </cell>
          <cell r="J16">
            <v>37.400067238191291</v>
          </cell>
          <cell r="K16">
            <v>37.399981406303262</v>
          </cell>
          <cell r="L16">
            <v>37.400184612679666</v>
          </cell>
          <cell r="M16">
            <v>37.400059355987537</v>
          </cell>
          <cell r="N16">
            <v>37.400157760962927</v>
          </cell>
          <cell r="O16">
            <v>37.40004043482994</v>
          </cell>
          <cell r="P16">
            <v>37.400068271036012</v>
          </cell>
          <cell r="Q16">
            <v>37.400177462289264</v>
          </cell>
          <cell r="R16">
            <v>37.400238829734306</v>
          </cell>
        </row>
        <row r="17">
          <cell r="D17" t="str">
            <v>ML</v>
          </cell>
          <cell r="F17" t="str">
            <v>StatCan, RESD</v>
          </cell>
          <cell r="G17">
            <v>26.84811029236986</v>
          </cell>
          <cell r="H17">
            <v>26.84811029236986</v>
          </cell>
          <cell r="I17">
            <v>26.84811029236986</v>
          </cell>
          <cell r="J17">
            <v>26.800082610491533</v>
          </cell>
          <cell r="K17">
            <v>26.799897075220859</v>
          </cell>
          <cell r="L17">
            <v>26.799897075220859</v>
          </cell>
          <cell r="M17">
            <v>26.799897075220859</v>
          </cell>
          <cell r="N17">
            <v>26.799897075220859</v>
          </cell>
          <cell r="O17">
            <v>26.799897075220859</v>
          </cell>
          <cell r="P17">
            <v>26.799897075220859</v>
          </cell>
          <cell r="Q17">
            <v>26.799897075220859</v>
          </cell>
          <cell r="R17">
            <v>26.799897075220859</v>
          </cell>
        </row>
        <row r="18">
          <cell r="D18" t="str">
            <v>Mm3</v>
          </cell>
          <cell r="F18" t="str">
            <v>StatCan, ICE</v>
          </cell>
          <cell r="G18">
            <v>37.989999934966505</v>
          </cell>
          <cell r="H18">
            <v>38.090000067537595</v>
          </cell>
          <cell r="I18">
            <v>38.089999943885992</v>
          </cell>
          <cell r="J18">
            <v>38.200000000000003</v>
          </cell>
          <cell r="K18">
            <v>38.21000005608883</v>
          </cell>
          <cell r="L18">
            <v>38.259998958056819</v>
          </cell>
          <cell r="M18">
            <v>38.260000180720937</v>
          </cell>
          <cell r="N18">
            <v>38.110000608339433</v>
          </cell>
          <cell r="O18">
            <v>38.409998944225379</v>
          </cell>
          <cell r="P18">
            <v>38.430000915151403</v>
          </cell>
          <cell r="Q18">
            <v>38.51999993949601</v>
          </cell>
          <cell r="R18">
            <v>38.560001088530569</v>
          </cell>
        </row>
        <row r="19">
          <cell r="B19" t="str">
            <v>Petroleum coke</v>
          </cell>
          <cell r="D19" t="str">
            <v>kt</v>
          </cell>
          <cell r="F19" t="str">
            <v>StatCan, ICE</v>
          </cell>
          <cell r="G19">
            <v>38.647544558124402</v>
          </cell>
          <cell r="H19">
            <v>38.647544505439768</v>
          </cell>
          <cell r="I19">
            <v>38.647544645524597</v>
          </cell>
          <cell r="J19">
            <v>38.647544383625231</v>
          </cell>
          <cell r="K19">
            <v>38.647544562117609</v>
          </cell>
          <cell r="L19">
            <v>38.647544328371573</v>
          </cell>
          <cell r="M19">
            <v>38.647538364410046</v>
          </cell>
          <cell r="N19">
            <v>38.647532379989407</v>
          </cell>
          <cell r="O19">
            <v>38.647536489743565</v>
          </cell>
          <cell r="P19">
            <v>38.647537590620246</v>
          </cell>
          <cell r="Q19">
            <v>38.647532447156081</v>
          </cell>
          <cell r="R19">
            <v>38.647541819225708</v>
          </cell>
        </row>
        <row r="20">
          <cell r="B20" t="str">
            <v>Propane</v>
          </cell>
        </row>
        <row r="21">
          <cell r="B21" t="str">
            <v>Refinery fuel gas</v>
          </cell>
        </row>
        <row r="22">
          <cell r="B22" t="str">
            <v>Solid biomass</v>
          </cell>
        </row>
        <row r="23">
          <cell r="B23" t="str">
            <v>Uranium</v>
          </cell>
        </row>
        <row r="24">
          <cell r="B24" t="str">
            <v>Waste fuel</v>
          </cell>
        </row>
        <row r="27">
          <cell r="B27" t="str">
            <v>Energy</v>
          </cell>
        </row>
        <row r="28">
          <cell r="B28" t="str">
            <v>HHV</v>
          </cell>
        </row>
        <row r="29">
          <cell r="B29" t="str">
            <v>Biodiesel</v>
          </cell>
        </row>
        <row r="30">
          <cell r="B30" t="str">
            <v>Biogas</v>
          </cell>
        </row>
        <row r="31">
          <cell r="B31" t="str">
            <v>Black liquor</v>
          </cell>
        </row>
        <row r="32">
          <cell r="B32" t="str">
            <v>Coal</v>
          </cell>
        </row>
        <row r="33">
          <cell r="B33" t="str">
            <v>Coke</v>
          </cell>
        </row>
        <row r="34">
          <cell r="B34" t="str">
            <v>Diesel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tabSelected="1" workbookViewId="0">
      <selection activeCell="A1" sqref="A1:X7"/>
    </sheetView>
  </sheetViews>
  <sheetFormatPr baseColWidth="8" defaultRowHeight="15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</t>
        </is>
      </c>
      <c r="B3" t="inlineStr">
        <is>
          <t>Region</t>
        </is>
      </c>
      <c r="C3" t="inlineStr">
        <is>
          <t>CAN</t>
        </is>
      </c>
      <c r="G3" t="inlineStr">
        <is>
          <t>Service requested</t>
        </is>
      </c>
      <c r="J3" t="inlineStr">
        <is>
          <t>CIMS.CAN.ON</t>
        </is>
      </c>
      <c r="K3" t="inlineStr">
        <is>
          <t>n/a</t>
        </is>
      </c>
      <c r="L3" t="inlineStr">
        <is>
          <t>unit</t>
        </is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</row>
    <row r="4">
      <c r="A4" t="inlineStr">
        <is>
          <t>CIMS.CAN.ON</t>
        </is>
      </c>
      <c r="B4" t="inlineStr">
        <is>
          <t>Region</t>
        </is>
      </c>
      <c r="C4" t="inlineStr">
        <is>
          <t>ON</t>
        </is>
      </c>
      <c r="G4" t="inlineStr">
        <is>
          <t>Service provided</t>
        </is>
      </c>
      <c r="L4" t="inlineStr">
        <is>
          <t>unit</t>
        </is>
      </c>
    </row>
    <row r="5">
      <c r="A5" t="inlineStr">
        <is>
          <t>CIMS.CAN.ON</t>
        </is>
      </c>
      <c r="B5" t="inlineStr">
        <is>
          <t>Region</t>
        </is>
      </c>
      <c r="C5" t="inlineStr">
        <is>
          <t>ON</t>
        </is>
      </c>
      <c r="G5" t="inlineStr">
        <is>
          <t>Competition type</t>
        </is>
      </c>
      <c r="H5" t="inlineStr">
        <is>
          <t>Region</t>
        </is>
      </c>
    </row>
    <row r="6">
      <c r="A6" t="inlineStr">
        <is>
          <t>CIMS.CAN.ON</t>
        </is>
      </c>
      <c r="B6" t="inlineStr">
        <is>
          <t>Region</t>
        </is>
      </c>
      <c r="C6" t="inlineStr">
        <is>
          <t>ON</t>
        </is>
      </c>
      <c r="G6" t="inlineStr">
        <is>
          <t>Attribute</t>
        </is>
      </c>
      <c r="H6" t="inlineStr">
        <is>
          <t>Population</t>
        </is>
      </c>
      <c r="K6" t="inlineStr">
        <is>
          <t>StatCan</t>
        </is>
      </c>
      <c r="L6" t="inlineStr">
        <is>
          <t>persons</t>
        </is>
      </c>
      <c r="M6">
        <f t="array" ref="M6">INDEX([1]!CIMS_population,_xlfn.XMATCH($C6,[1]!region_CIMS),_xlfn.XMATCH(M$2,[1]!CIMS_year))</f>
        <v/>
      </c>
      <c r="N6">
        <f t="array" ref="N6">INDEX([1]!CIMS_population,_xlfn.XMATCH($C6,[1]!region_CIMS),_xlfn.XMATCH(N$2,[1]!CIMS_year))</f>
        <v/>
      </c>
      <c r="O6">
        <f t="array" ref="O6">INDEX([1]!CIMS_population,_xlfn.XMATCH($C6,[1]!region_CIMS),_xlfn.XMATCH(O$2,[1]!CIMS_year))</f>
        <v/>
      </c>
      <c r="P6">
        <f t="array" ref="P6">INDEX([1]!CIMS_population,_xlfn.XMATCH($C6,[1]!region_CIMS),_xlfn.XMATCH(P$2,[1]!CIMS_year))</f>
        <v/>
      </c>
      <c r="Q6">
        <f t="array" ref="Q6">INDEX([1]!CIMS_population,_xlfn.XMATCH($C6,[1]!region_CIMS),_xlfn.XMATCH(Q$2,[1]!CIMS_year))</f>
        <v/>
      </c>
      <c r="R6">
        <f t="array" ref="R6">INDEX([1]!CIMS_population,_xlfn.XMATCH($C6,[1]!region_CIMS),_xlfn.XMATCH(R$2,[1]!CIMS_year))</f>
        <v/>
      </c>
      <c r="S6">
        <f t="array" ref="S6">INDEX([1]!CIMS_population,_xlfn.XMATCH($C6,[1]!region_CIMS),_xlfn.XMATCH(S$2,[1]!CIMS_year))</f>
        <v/>
      </c>
      <c r="T6">
        <f t="array" ref="T6">INDEX([1]!CIMS_population,_xlfn.XMATCH($C6,[1]!region_CIMS),_xlfn.XMATCH(T$2,[1]!CIMS_year))</f>
        <v/>
      </c>
      <c r="U6">
        <f t="array" ref="U6">INDEX([1]!CIMS_population,_xlfn.XMATCH($C6,[1]!region_CIMS),_xlfn.XMATCH(U$2,[1]!CIMS_year))</f>
        <v/>
      </c>
      <c r="V6">
        <f t="array" ref="V6">INDEX([1]!CIMS_population,_xlfn.XMATCH($C6,[1]!region_CIMS),_xlfn.XMATCH(V$2,[1]!CIMS_year))</f>
        <v/>
      </c>
      <c r="W6">
        <f t="array" ref="W6">INDEX([1]!CIMS_population,_xlfn.XMATCH($C6,[1]!region_CIMS),_xlfn.XMATCH(W$2,[1]!CIMS_year))</f>
        <v/>
      </c>
    </row>
    <row r="7">
      <c r="A7" t="inlineStr">
        <is>
          <t>CIMS.CAN.ON</t>
        </is>
      </c>
      <c r="B7" t="inlineStr">
        <is>
          <t>Region</t>
        </is>
      </c>
      <c r="C7" t="inlineStr">
        <is>
          <t>ON</t>
        </is>
      </c>
      <c r="G7" t="inlineStr">
        <is>
          <t>Attribute</t>
        </is>
      </c>
      <c r="H7" t="inlineStr">
        <is>
          <t>GDP</t>
        </is>
      </c>
      <c r="K7" t="inlineStr">
        <is>
          <t>StatCan</t>
        </is>
      </c>
      <c r="L7" t="inlineStr">
        <is>
          <t>$ million</t>
        </is>
      </c>
      <c r="M7">
        <f t="array" ref="M7">INDEX([1]!CIMS_GDP,_xlfn.XMATCH($C7,[1]!region_CIMS),_xlfn.XMATCH(M$2,[1]!CIMS_year))</f>
        <v/>
      </c>
      <c r="N7">
        <f t="array" ref="N7">INDEX([1]!CIMS_GDP,_xlfn.XMATCH($C7,[1]!region_CIMS),_xlfn.XMATCH(N$2,[1]!CIMS_year))</f>
        <v/>
      </c>
      <c r="O7">
        <f t="array" ref="O7">INDEX([1]!CIMS_GDP,_xlfn.XMATCH($C7,[1]!region_CIMS),_xlfn.XMATCH(O$2,[1]!CIMS_year))</f>
        <v/>
      </c>
      <c r="P7">
        <f t="array" ref="P7">INDEX([1]!CIMS_GDP,_xlfn.XMATCH($C7,[1]!region_CIMS),_xlfn.XMATCH(P$2,[1]!CIMS_year))</f>
        <v/>
      </c>
      <c r="Q7">
        <f t="array" ref="Q7">INDEX([1]!CIMS_GDP,_xlfn.XMATCH($C7,[1]!region_CIMS),_xlfn.XMATCH(Q$2,[1]!CIMS_year))</f>
        <v/>
      </c>
      <c r="R7">
        <f t="array" ref="R7">INDEX([1]!CIMS_GDP,_xlfn.XMATCH($C7,[1]!region_CIMS),_xlfn.XMATCH(R$2,[1]!CIMS_year))</f>
        <v/>
      </c>
      <c r="S7">
        <f t="array" ref="S7">INDEX([1]!CIMS_GDP,_xlfn.XMATCH($C7,[1]!region_CIMS),_xlfn.XMATCH(S$2,[1]!CIMS_year))</f>
        <v/>
      </c>
      <c r="T7">
        <f t="array" ref="T7">INDEX([1]!CIMS_GDP,_xlfn.XMATCH($C7,[1]!region_CIMS),_xlfn.XMATCH(T$2,[1]!CIMS_year))</f>
        <v/>
      </c>
      <c r="U7">
        <f t="array" ref="U7">INDEX([1]!CIMS_GDP,_xlfn.XMATCH($C7,[1]!region_CIMS),_xlfn.XMATCH(U$2,[1]!CIMS_year))</f>
        <v/>
      </c>
      <c r="V7">
        <f t="array" ref="V7">INDEX([1]!CIMS_GDP,_xlfn.XMATCH($C7,[1]!region_CIMS),_xlfn.XMATCH(V$2,[1]!CIMS_year))</f>
        <v/>
      </c>
      <c r="W7">
        <f t="array" ref="W7">INDEX([1]!CIMS_GDP,_xlfn.XMATCH($C7,[1]!region_CIMS),_xlfn.XMATCH(W$2,[1]!CIMS_year))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2025-03-20T21:30:38Z</dcterms:created>
  <dcterms:modified xsi:type="dcterms:W3CDTF">2025-08-01T23:53:41Z</dcterms:modified>
  <cp:lastModifiedBy>Bradford Griffin</cp:lastModifiedBy>
</cp:coreProperties>
</file>