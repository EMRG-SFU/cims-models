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od_cost" refersTo="='Prices'!$K$11:$U$23"/>
      <definedName name="CER_prod_cost_index" refersTo="='Prices'!$CJ$11:$CJ$23"/>
      <definedName name="CER_year" refersTo="='Prices'!$K$2:$U$2"/>
    </definedNames>
    <sheetDataSet>
      <sheetData sheetId="0"/>
      <sheetData sheetId="1">
        <row r="2">
          <cell r="T2" t="str">
            <v>Year</v>
          </cell>
          <cell r="U2" t="str">
            <v>Currency</v>
          </cell>
        </row>
        <row r="11"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M22">
            <v>39913200</v>
          </cell>
          <cell r="N22">
            <v>41887500</v>
          </cell>
          <cell r="O22">
            <v>43754600</v>
          </cell>
          <cell r="P22">
            <v>45505800</v>
          </cell>
          <cell r="Q22">
            <v>47155300</v>
          </cell>
          <cell r="R22">
            <v>48762100</v>
          </cell>
          <cell r="U22" t="str">
            <v>Scenario M3: Medium growth</v>
          </cell>
        </row>
        <row r="23">
          <cell r="M23">
            <v>5414300</v>
          </cell>
          <cell r="N23">
            <v>5702800</v>
          </cell>
          <cell r="O23">
            <v>5977000</v>
          </cell>
          <cell r="P23">
            <v>6237500</v>
          </cell>
          <cell r="Q23">
            <v>6463597.6897450434</v>
          </cell>
          <cell r="R23">
            <v>6683842.4717288781</v>
          </cell>
          <cell r="U23" t="str">
            <v>Scenario M3: Medium growth</v>
          </cell>
        </row>
      </sheetData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</sheetData>
      <sheetData sheetId="3">
        <row r="2">
          <cell r="L2">
            <v>2000</v>
          </cell>
          <cell r="M2">
            <v>2005</v>
          </cell>
          <cell r="N2">
            <v>2010</v>
          </cell>
          <cell r="O2">
            <v>2015</v>
          </cell>
          <cell r="P2">
            <v>2020</v>
          </cell>
          <cell r="Q2">
            <v>2025</v>
          </cell>
          <cell r="R2">
            <v>2030</v>
          </cell>
          <cell r="S2">
            <v>2035</v>
          </cell>
          <cell r="T2">
            <v>2040</v>
          </cell>
          <cell r="U2">
            <v>2045</v>
          </cell>
        </row>
      </sheetData>
      <sheetData sheetId="4"/>
      <sheetData sheetId="5">
        <row r="11">
          <cell r="K11">
            <v>24.680510237764171</v>
          </cell>
        </row>
      </sheetData>
      <sheetData sheetId="6">
        <row r="2">
          <cell r="K2" t="str">
            <v>Year</v>
          </cell>
          <cell r="L2" t="str">
            <v>Currency</v>
          </cell>
          <cell r="M2" t="str">
            <v>Commodity</v>
          </cell>
        </row>
      </sheetData>
      <sheetData sheetId="7">
        <row r="48">
          <cell r="R48">
            <v>18.215701075674659</v>
          </cell>
          <cell r="S48">
            <v>33.871171322160656</v>
          </cell>
        </row>
        <row r="49">
          <cell r="R49">
            <v>26.253759143028354</v>
          </cell>
          <cell r="S49">
            <v>33.871171322160656</v>
          </cell>
        </row>
        <row r="50">
          <cell r="R50">
            <v>36.040762408001513</v>
          </cell>
          <cell r="S50">
            <v>37.212681638044913</v>
          </cell>
        </row>
        <row r="51">
          <cell r="R51">
            <v>33.501604076240795</v>
          </cell>
          <cell r="S51">
            <v>36.669182864691443</v>
          </cell>
        </row>
        <row r="52">
          <cell r="R52">
            <v>37.756180411398375</v>
          </cell>
          <cell r="S52">
            <v>42.938526137006974</v>
          </cell>
        </row>
        <row r="53">
          <cell r="R53">
            <v>42.010756746555948</v>
          </cell>
          <cell r="S53">
            <v>49.207869409322505</v>
          </cell>
        </row>
      </sheetData>
      <sheetData sheetId="8"/>
      <sheetData sheetId="9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</sheetData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2"/>
  <sheetViews>
    <sheetView tabSelected="1" workbookViewId="0">
      <selection activeCell="A1" sqref="A1:X3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CIMS.CAN.QC.Electricity</t>
        </is>
      </c>
      <c r="B3" t="inlineStr">
        <is>
          <t>Sector</t>
        </is>
      </c>
      <c r="C3" t="inlineStr">
        <is>
          <t>QC</t>
        </is>
      </c>
      <c r="E3" t="inlineStr">
        <is>
          <t>Electricity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CIMS.CAN.QC.Electricity</t>
        </is>
      </c>
      <c r="B4" t="inlineStr">
        <is>
          <t>Sector</t>
        </is>
      </c>
      <c r="C4" t="inlineStr">
        <is>
          <t>QC</t>
        </is>
      </c>
      <c r="E4" t="inlineStr">
        <is>
          <t>Electricity</t>
        </is>
      </c>
      <c r="G4" t="inlineStr">
        <is>
          <t>competition</t>
        </is>
      </c>
      <c r="H4" t="inlineStr">
        <is>
          <t>Sector</t>
        </is>
      </c>
    </row>
    <row r="5">
      <c r="A5" t="inlineStr">
        <is>
          <t>CIMS.CAN.QC.Electricity</t>
        </is>
      </c>
      <c r="B5" t="inlineStr">
        <is>
          <t>Sector</t>
        </is>
      </c>
      <c r="C5" t="inlineStr">
        <is>
          <t>QC</t>
        </is>
      </c>
      <c r="E5" t="inlineStr">
        <is>
          <t>Electricity</t>
        </is>
      </c>
      <c r="G5" t="inlineStr">
        <is>
          <t>is_supply</t>
        </is>
      </c>
      <c r="H5" t="b">
        <v>1</v>
      </c>
    </row>
    <row r="6">
      <c r="A6" t="inlineStr">
        <is>
          <t>CIMS.CAN.QC.Electricity</t>
        </is>
      </c>
      <c r="B6" t="inlineStr">
        <is>
          <t>Sector</t>
        </is>
      </c>
      <c r="C6" t="inlineStr">
        <is>
          <t>QC</t>
        </is>
      </c>
      <c r="E6" t="inlineStr">
        <is>
          <t>Electricity</t>
        </is>
      </c>
      <c r="G6" t="inlineStr">
        <is>
          <t>lcc_financial</t>
        </is>
      </c>
      <c r="K6" t="inlineStr">
        <is>
          <t>CER</t>
        </is>
      </c>
      <c r="L6" t="inlineStr">
        <is>
          <t>$/GJ</t>
        </is>
      </c>
      <c r="M6">
        <f t="array" ref="M6">INDEX([1]!CER_prod_cost,_xlfn.XMATCH($C6&amp;"Production cost"&amp;$A6,[1]!CER_prod_cost_index),_xlfn.XMATCH(M$2,[1]!CER_year))</f>
        <v/>
      </c>
      <c r="N6">
        <f t="array" ref="N6">INDEX([1]!CER_prod_cost,_xlfn.XMATCH($C6&amp;"Production cost"&amp;$A6,[1]!CER_prod_cost_index),_xlfn.XMATCH(N$2,[1]!CER_year))</f>
        <v/>
      </c>
      <c r="O6">
        <f t="array" ref="O6">INDEX([1]!CER_prod_cost,_xlfn.XMATCH($C6&amp;"Production cost"&amp;$A6,[1]!CER_prod_cost_index),_xlfn.XMATCH(O$2,[1]!CER_year))</f>
        <v/>
      </c>
      <c r="P6">
        <f t="array" ref="P6">INDEX([1]!CER_prod_cost,_xlfn.XMATCH($C6&amp;"Production cost"&amp;$A6,[1]!CER_prod_cost_index),_xlfn.XMATCH(P$2,[1]!CER_year))</f>
        <v/>
      </c>
      <c r="Q6">
        <f t="array" ref="Q6">INDEX([1]!CER_prod_cost,_xlfn.XMATCH($C6&amp;"Production cost"&amp;$A6,[1]!CER_prod_cost_index),_xlfn.XMATCH(Q$2,[1]!CER_year))</f>
        <v/>
      </c>
      <c r="R6">
        <f t="array" ref="R6">INDEX([1]!CER_prod_cost,_xlfn.XMATCH($C6&amp;"Production cost"&amp;$A6,[1]!CER_prod_cost_index),_xlfn.XMATCH(R$2,[1]!CER_year))</f>
        <v/>
      </c>
      <c r="S6">
        <f t="array" ref="S6">INDEX([1]!CER_prod_cost,_xlfn.XMATCH($C6&amp;"Production cost"&amp;$A6,[1]!CER_prod_cost_index),_xlfn.XMATCH(S$2,[1]!CER_year))</f>
        <v/>
      </c>
      <c r="T6">
        <f t="array" ref="T6">INDEX([1]!CER_prod_cost,_xlfn.XMATCH($C6&amp;"Production cost"&amp;$A6,[1]!CER_prod_cost_index),_xlfn.XMATCH(T$2,[1]!CER_year))</f>
        <v/>
      </c>
      <c r="U6">
        <f t="array" ref="U6">INDEX([1]!CER_prod_cost,_xlfn.XMATCH($C6&amp;"Production cost"&amp;$A6,[1]!CER_prod_cost_index),_xlfn.XMATCH(U$2,[1]!CER_year))</f>
        <v/>
      </c>
      <c r="V6">
        <f t="array" ref="V6">INDEX([1]!CER_prod_cost,_xlfn.XMATCH($C6&amp;"Production cost"&amp;$A6,[1]!CER_prod_cost_index),_xlfn.XMATCH(V$2,[1]!CER_year))</f>
        <v/>
      </c>
      <c r="W6">
        <f t="array" ref="W6">INDEX([1]!CER_prod_cost,_xlfn.XMATCH($C6&amp;"Production cost"&amp;$A6,[1]!CER_prod_cost_index),_xlfn.XMATCH(W$2,[1]!CER_year))</f>
        <v/>
      </c>
    </row>
    <row r="7">
      <c r="A7" t="inlineStr">
        <is>
          <t>CIMS.CAN.QC.Electricity</t>
        </is>
      </c>
      <c r="B7" t="inlineStr">
        <is>
          <t>Sector</t>
        </is>
      </c>
      <c r="C7" t="inlineStr">
        <is>
          <t>QC</t>
        </is>
      </c>
      <c r="E7" t="inlineStr">
        <is>
          <t>Electricity</t>
        </is>
      </c>
      <c r="G7" t="inlineStr">
        <is>
          <t>emissions</t>
        </is>
      </c>
      <c r="H7" t="inlineStr">
        <is>
          <t>CO2</t>
        </is>
      </c>
      <c r="I7" t="inlineStr">
        <is>
          <t>Combustion</t>
        </is>
      </c>
      <c r="K7" t="inlineStr">
        <is>
          <t>ECCC, NIR</t>
        </is>
      </c>
      <c r="L7" t="inlineStr">
        <is>
          <t>tCO2</t>
        </is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</row>
    <row r="8">
      <c r="A8" t="inlineStr">
        <is>
          <t>CIMS.CAN.QC.Electricity</t>
        </is>
      </c>
      <c r="B8" t="inlineStr">
        <is>
          <t>Sector</t>
        </is>
      </c>
      <c r="C8" t="inlineStr">
        <is>
          <t>QC</t>
        </is>
      </c>
      <c r="E8" t="inlineStr">
        <is>
          <t>Electricity</t>
        </is>
      </c>
      <c r="G8" t="inlineStr">
        <is>
          <t>emissions</t>
        </is>
      </c>
      <c r="H8" t="inlineStr">
        <is>
          <t>CH4</t>
        </is>
      </c>
      <c r="I8" t="inlineStr">
        <is>
          <t>Combustion</t>
        </is>
      </c>
      <c r="K8" t="inlineStr">
        <is>
          <t>ECCC, NIR</t>
        </is>
      </c>
      <c r="L8" t="inlineStr">
        <is>
          <t>tCH4</t>
        </is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</row>
    <row r="9">
      <c r="A9" t="inlineStr">
        <is>
          <t>CIMS.CAN.QC.Electricity</t>
        </is>
      </c>
      <c r="B9" t="inlineStr">
        <is>
          <t>Sector</t>
        </is>
      </c>
      <c r="C9" t="inlineStr">
        <is>
          <t>QC</t>
        </is>
      </c>
      <c r="E9" t="inlineStr">
        <is>
          <t>Electricity</t>
        </is>
      </c>
      <c r="G9" t="inlineStr">
        <is>
          <t>emissions</t>
        </is>
      </c>
      <c r="H9" t="inlineStr">
        <is>
          <t>N2O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tN2O</t>
        </is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</row>
    <row r="10">
      <c r="A10" t="inlineStr">
        <is>
          <t>CIMS.CAN.QC.Biodiesel</t>
        </is>
      </c>
      <c r="B10" t="inlineStr">
        <is>
          <t>Sector</t>
        </is>
      </c>
      <c r="C10" t="inlineStr">
        <is>
          <t>QC</t>
        </is>
      </c>
      <c r="E10" t="inlineStr">
        <is>
          <t>Biodiesel</t>
        </is>
      </c>
      <c r="G10" t="inlineStr">
        <is>
          <t>service_provide</t>
        </is>
      </c>
      <c r="L10" t="inlineStr">
        <is>
          <t>GJ</t>
        </is>
      </c>
    </row>
    <row r="11">
      <c r="A11" t="inlineStr">
        <is>
          <t>CIMS.CAN.QC.Biodiesel</t>
        </is>
      </c>
      <c r="B11" t="inlineStr">
        <is>
          <t>Sector</t>
        </is>
      </c>
      <c r="C11" t="inlineStr">
        <is>
          <t>QC</t>
        </is>
      </c>
      <c r="E11" t="inlineStr">
        <is>
          <t>Biodiesel</t>
        </is>
      </c>
      <c r="G11" t="inlineStr">
        <is>
          <t>competition</t>
        </is>
      </c>
      <c r="H11" t="inlineStr">
        <is>
          <t>Sector</t>
        </is>
      </c>
    </row>
    <row r="12">
      <c r="A12" t="inlineStr">
        <is>
          <t>CIMS.CAN.QC.Biodiesel</t>
        </is>
      </c>
      <c r="B12" t="inlineStr">
        <is>
          <t>Sector</t>
        </is>
      </c>
      <c r="C12" t="inlineStr">
        <is>
          <t>QC</t>
        </is>
      </c>
      <c r="E12" t="inlineStr">
        <is>
          <t>Biodiesel</t>
        </is>
      </c>
      <c r="G12" t="inlineStr">
        <is>
          <t>is_supply</t>
        </is>
      </c>
      <c r="H12" t="b">
        <v>1</v>
      </c>
    </row>
    <row r="13">
      <c r="A13" t="inlineStr">
        <is>
          <t>CIMS.CAN.QC.Biodiesel</t>
        </is>
      </c>
      <c r="B13" t="inlineStr">
        <is>
          <t>Sector</t>
        </is>
      </c>
      <c r="C13" t="inlineStr">
        <is>
          <t>QC</t>
        </is>
      </c>
      <c r="E13" t="inlineStr">
        <is>
          <t>Biodiesel</t>
        </is>
      </c>
      <c r="G13" t="inlineStr">
        <is>
          <t>lcc_financial</t>
        </is>
      </c>
      <c r="K13" t="inlineStr">
        <is>
          <t>AFDC 2023</t>
        </is>
      </c>
      <c r="L13" t="inlineStr">
        <is>
          <t>$/GJ</t>
        </is>
      </c>
      <c r="M13">
        <f t="array" ref="M13:R13">TRANSPOSE([1]AFDC!$S$48:$S$53)</f>
        <v/>
      </c>
      <c r="N13" t="n">
        <v>33.87117132216066</v>
      </c>
      <c r="O13" t="n">
        <v>37.21268163804491</v>
      </c>
      <c r="P13" t="n">
        <v>36.66918286469144</v>
      </c>
      <c r="Q13" t="n">
        <v>42.93852613700697</v>
      </c>
      <c r="R13" t="n">
        <v>49.20786940932251</v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CIMS.CAN.QC.Biodiesel</t>
        </is>
      </c>
      <c r="B14" t="inlineStr">
        <is>
          <t>Sector</t>
        </is>
      </c>
      <c r="C14" t="inlineStr">
        <is>
          <t>QC</t>
        </is>
      </c>
      <c r="E14" t="inlineStr">
        <is>
          <t>Biodiesel</t>
        </is>
      </c>
      <c r="G14" t="inlineStr">
        <is>
          <t>emissions_biomass</t>
        </is>
      </c>
      <c r="H14" t="inlineStr">
        <is>
          <t>CO2</t>
        </is>
      </c>
      <c r="I14" t="inlineStr">
        <is>
          <t>Combustion</t>
        </is>
      </c>
      <c r="L14" t="inlineStr">
        <is>
          <t>tCO2</t>
        </is>
      </c>
      <c r="M14">
        <f t="array" ref="M14">INDEX([1]Coefficients!$G$60:$BO$79,_xlfn.XMATCH($E14,[1]Coefficients!$B$60:$B$79),_xlfn.XMATCH(M$2,[1]Coefficients!$G$1:$BO$1))/INDEX([1]Coefficients!$G$29:$BO$48,_xlfn.XMATCH($E14,[1]Coefficients!$B$29:$B$48),_xlfn.XMATCH(M$2,[1]Coefficients!$G$1:$BO$1))</f>
        <v/>
      </c>
      <c r="N14">
        <f t="array" ref="N14">INDEX([1]Coefficients!$G$60:$BO$79,_xlfn.XMATCH($E14,[1]Coefficients!$B$60:$B$79),_xlfn.XMATCH(N$2,[1]Coefficients!$G$1:$BO$1))/INDEX([1]Coefficients!$G$29:$BO$48,_xlfn.XMATCH($E14,[1]Coefficients!$B$29:$B$48),_xlfn.XMATCH(N$2,[1]Coefficients!$G$1:$BO$1))</f>
        <v/>
      </c>
      <c r="O14">
        <f t="array" ref="O14">INDEX([1]Coefficients!$G$60:$BO$79,_xlfn.XMATCH($E14,[1]Coefficients!$B$60:$B$79),_xlfn.XMATCH(O$2,[1]Coefficients!$G$1:$BO$1))/INDEX([1]Coefficients!$G$29:$BO$48,_xlfn.XMATCH($E14,[1]Coefficients!$B$29:$B$48),_xlfn.XMATCH(O$2,[1]Coefficients!$G$1:$BO$1))</f>
        <v/>
      </c>
      <c r="P14">
        <f t="array" ref="P14">INDEX([1]Coefficients!$G$60:$BO$79,_xlfn.XMATCH($E14,[1]Coefficients!$B$60:$B$79),_xlfn.XMATCH(P$2,[1]Coefficients!$G$1:$BO$1))/INDEX([1]Coefficients!$G$29:$BO$48,_xlfn.XMATCH($E14,[1]Coefficients!$B$29:$B$48),_xlfn.XMATCH(P$2,[1]Coefficients!$G$1:$BO$1))</f>
        <v/>
      </c>
      <c r="Q14">
        <f t="array" ref="Q14">INDEX([1]Coefficients!$G$60:$BO$79,_xlfn.XMATCH($E14,[1]Coefficients!$B$60:$B$79),_xlfn.XMATCH(Q$2,[1]Coefficients!$G$1:$BO$1))/INDEX([1]Coefficients!$G$29:$BO$48,_xlfn.XMATCH($E14,[1]Coefficients!$B$29:$B$48),_xlfn.XMATCH(Q$2,[1]Coefficients!$G$1:$BO$1))</f>
        <v/>
      </c>
      <c r="R14">
        <f t="array" ref="R14">INDEX([1]Coefficients!$G$60:$BO$79,_xlfn.XMATCH($E14,[1]Coefficients!$B$60:$B$79),_xlfn.XMATCH(R$2,[1]Coefficients!$G$1:$BO$1))/INDEX([1]Coefficients!$G$29:$BO$48,_xlfn.XMATCH($E14,[1]Coefficients!$B$29:$B$48),_xlfn.XMATCH(R$2,[1]Coefficients!$G$1:$BO$1))</f>
        <v/>
      </c>
      <c r="S14">
        <f t="array" ref="S14">INDEX([1]Coefficients!$G$60:$BO$79,_xlfn.XMATCH($E14,[1]Coefficients!$B$60:$B$79),_xlfn.XMATCH(S$2,[1]Coefficients!$G$1:$BO$1))/INDEX([1]Coefficients!$G$29:$BO$48,_xlfn.XMATCH($E14,[1]Coefficients!$B$29:$B$48),_xlfn.XMATCH(S$2,[1]Coefficients!$G$1:$BO$1))</f>
        <v/>
      </c>
      <c r="T14">
        <f t="array" ref="T14">INDEX([1]Coefficients!$G$60:$BO$79,_xlfn.XMATCH($E14,[1]Coefficients!$B$60:$B$79),_xlfn.XMATCH(T$2,[1]Coefficients!$G$1:$BO$1))/INDEX([1]Coefficients!$G$29:$BO$48,_xlfn.XMATCH($E14,[1]Coefficients!$B$29:$B$48),_xlfn.XMATCH(T$2,[1]Coefficients!$G$1:$BO$1))</f>
        <v/>
      </c>
      <c r="U14">
        <f t="array" ref="U14">INDEX([1]Coefficients!$G$60:$BO$79,_xlfn.XMATCH($E14,[1]Coefficients!$B$60:$B$79),_xlfn.XMATCH(U$2,[1]Coefficients!$G$1:$BO$1))/INDEX([1]Coefficients!$G$29:$BO$48,_xlfn.XMATCH($E14,[1]Coefficients!$B$29:$B$48),_xlfn.XMATCH(U$2,[1]Coefficients!$G$1:$BO$1))</f>
        <v/>
      </c>
      <c r="V14">
        <f t="array" ref="V14">INDEX([1]Coefficients!$G$60:$BO$79,_xlfn.XMATCH($E14,[1]Coefficients!$B$60:$B$79),_xlfn.XMATCH(V$2,[1]Coefficients!$G$1:$BO$1))/INDEX([1]Coefficients!$G$29:$BO$48,_xlfn.XMATCH($E14,[1]Coefficients!$B$29:$B$48),_xlfn.XMATCH(V$2,[1]Coefficients!$G$1:$BO$1))</f>
        <v/>
      </c>
      <c r="W14">
        <f t="array" ref="W14">INDEX([1]Coefficients!$G$60:$BO$79,_xlfn.XMATCH($E14,[1]Coefficients!$B$60:$B$79),_xlfn.XMATCH(W$2,[1]Coefficients!$G$1:$BO$1))/INDEX([1]Coefficients!$G$29:$BO$48,_xlfn.XMATCH($E14,[1]Coefficients!$B$29:$B$48),_xlfn.XMATCH(W$2,[1]Coefficients!$G$1:$BO$1))</f>
        <v/>
      </c>
    </row>
    <row r="15">
      <c r="A15" t="inlineStr">
        <is>
          <t>CIMS.CAN.QC.Biodiesel</t>
        </is>
      </c>
      <c r="B15" t="inlineStr">
        <is>
          <t>Sector</t>
        </is>
      </c>
      <c r="C15" t="inlineStr">
        <is>
          <t>QC</t>
        </is>
      </c>
      <c r="E15" t="inlineStr">
        <is>
          <t>Biodiesel</t>
        </is>
      </c>
      <c r="G15" t="inlineStr">
        <is>
          <t>emissions</t>
        </is>
      </c>
      <c r="H15" t="inlineStr">
        <is>
          <t>CO2</t>
        </is>
      </c>
      <c r="I15" t="inlineStr">
        <is>
          <t>Combustion</t>
        </is>
      </c>
      <c r="K15" t="inlineStr">
        <is>
          <t>ECCC, NIR</t>
        </is>
      </c>
      <c r="L15" t="inlineStr">
        <is>
          <t>tCO2</t>
        </is>
      </c>
      <c r="M15">
        <f t="array" ref="M15">INDEX([1]Coefficients!$G$132:$BO$151,_xlfn.XMATCH($E15,[1]Coefficients!$B$132:$B$151),_xlfn.XMATCH(M$2,[1]Coefficients!$G$1:$BO$1))</f>
        <v/>
      </c>
      <c r="N15">
        <f t="array" ref="N15">INDEX([1]Coefficients!$G$132:$BO$151,_xlfn.XMATCH($E15,[1]Coefficients!$B$132:$B$151),_xlfn.XMATCH(N$2,[1]Coefficients!$G$1:$BO$1))</f>
        <v/>
      </c>
      <c r="O15">
        <f t="array" ref="O15">INDEX([1]Coefficients!$G$132:$BO$151,_xlfn.XMATCH($E15,[1]Coefficients!$B$132:$B$151),_xlfn.XMATCH(O$2,[1]Coefficients!$G$1:$BO$1))</f>
        <v/>
      </c>
      <c r="P15">
        <f t="array" ref="P15">INDEX([1]Coefficients!$G$132:$BO$151,_xlfn.XMATCH($E15,[1]Coefficients!$B$132:$B$151),_xlfn.XMATCH(P$2,[1]Coefficients!$G$1:$BO$1))</f>
        <v/>
      </c>
      <c r="Q15">
        <f t="array" ref="Q15">INDEX([1]Coefficients!$G$132:$BO$151,_xlfn.XMATCH($E15,[1]Coefficients!$B$132:$B$151),_xlfn.XMATCH(Q$2,[1]Coefficients!$G$1:$BO$1))</f>
        <v/>
      </c>
      <c r="R15">
        <f t="array" ref="R15">INDEX([1]Coefficients!$G$132:$BO$151,_xlfn.XMATCH($E15,[1]Coefficients!$B$132:$B$151),_xlfn.XMATCH(R$2,[1]Coefficients!$G$1:$BO$1))</f>
        <v/>
      </c>
      <c r="S15">
        <f t="array" ref="S15">INDEX([1]Coefficients!$G$132:$BO$151,_xlfn.XMATCH($E15,[1]Coefficients!$B$132:$B$151),_xlfn.XMATCH(S$2,[1]Coefficients!$G$1:$BO$1))</f>
        <v/>
      </c>
      <c r="T15">
        <f t="array" ref="T15">INDEX([1]Coefficients!$G$132:$BO$151,_xlfn.XMATCH($E15,[1]Coefficients!$B$132:$B$151),_xlfn.XMATCH(T$2,[1]Coefficients!$G$1:$BO$1))</f>
        <v/>
      </c>
      <c r="U15">
        <f t="array" ref="U15">INDEX([1]Coefficients!$G$132:$BO$151,_xlfn.XMATCH($E15,[1]Coefficients!$B$132:$B$151),_xlfn.XMATCH(U$2,[1]Coefficients!$G$1:$BO$1))</f>
        <v/>
      </c>
      <c r="V15">
        <f t="array" ref="V15">INDEX([1]Coefficients!$G$132:$BO$151,_xlfn.XMATCH($E15,[1]Coefficients!$B$132:$B$151),_xlfn.XMATCH(V$2,[1]Coefficients!$G$1:$BO$1))</f>
        <v/>
      </c>
      <c r="W15">
        <f t="array" ref="W15">INDEX([1]Coefficients!$G$132:$BO$151,_xlfn.XMATCH($E15,[1]Coefficients!$B$132:$B$151),_xlfn.XMATCH(W$2,[1]Coefficients!$G$1:$BO$1))</f>
        <v/>
      </c>
    </row>
    <row r="16">
      <c r="A16" t="inlineStr">
        <is>
          <t>CIMS.CAN.QC.Biodiesel</t>
        </is>
      </c>
      <c r="B16" t="inlineStr">
        <is>
          <t>Sector</t>
        </is>
      </c>
      <c r="C16" t="inlineStr">
        <is>
          <t>QC</t>
        </is>
      </c>
      <c r="E16" t="inlineStr">
        <is>
          <t>Biodiesel</t>
        </is>
      </c>
      <c r="G16" t="inlineStr">
        <is>
          <t>emissions</t>
        </is>
      </c>
      <c r="H16" t="inlineStr">
        <is>
          <t>CH4</t>
        </is>
      </c>
      <c r="I16" t="inlineStr">
        <is>
          <t>Combustion</t>
        </is>
      </c>
      <c r="K16" t="inlineStr">
        <is>
          <t>ECCC, NIR</t>
        </is>
      </c>
      <c r="L16" t="inlineStr">
        <is>
          <t>tCH4</t>
        </is>
      </c>
      <c r="M16">
        <f t="array" ref="M16">INDEX([1]Coefficients!$G$132:$BO$151,_xlfn.XMATCH($E16,[1]Coefficients!$B$132:$B$151),_xlfn.XMATCH(M$2,[1]Coefficients!$G$1:$BO$1))</f>
        <v/>
      </c>
      <c r="N16">
        <f t="array" ref="N16">INDEX([1]Coefficients!$G$132:$BO$151,_xlfn.XMATCH($E16,[1]Coefficients!$B$132:$B$151),_xlfn.XMATCH(N$2,[1]Coefficients!$G$1:$BO$1))</f>
        <v/>
      </c>
      <c r="O16">
        <f t="array" ref="O16">INDEX([1]Coefficients!$G$132:$BO$151,_xlfn.XMATCH($E16,[1]Coefficients!$B$132:$B$151),_xlfn.XMATCH(O$2,[1]Coefficients!$G$1:$BO$1))</f>
        <v/>
      </c>
      <c r="P16">
        <f t="array" ref="P16">INDEX([1]Coefficients!$G$132:$BO$151,_xlfn.XMATCH($E16,[1]Coefficients!$B$132:$B$151),_xlfn.XMATCH(P$2,[1]Coefficients!$G$1:$BO$1))</f>
        <v/>
      </c>
      <c r="Q16">
        <f t="array" ref="Q16">INDEX([1]Coefficients!$G$132:$BO$151,_xlfn.XMATCH($E16,[1]Coefficients!$B$132:$B$151),_xlfn.XMATCH(Q$2,[1]Coefficients!$G$1:$BO$1))</f>
        <v/>
      </c>
      <c r="R16">
        <f t="array" ref="R16">INDEX([1]Coefficients!$G$132:$BO$151,_xlfn.XMATCH($E16,[1]Coefficients!$B$132:$B$151),_xlfn.XMATCH(R$2,[1]Coefficients!$G$1:$BO$1))</f>
        <v/>
      </c>
      <c r="S16">
        <f t="array" ref="S16">INDEX([1]Coefficients!$G$132:$BO$151,_xlfn.XMATCH($E16,[1]Coefficients!$B$132:$B$151),_xlfn.XMATCH(S$2,[1]Coefficients!$G$1:$BO$1))</f>
        <v/>
      </c>
      <c r="T16">
        <f t="array" ref="T16">INDEX([1]Coefficients!$G$132:$BO$151,_xlfn.XMATCH($E16,[1]Coefficients!$B$132:$B$151),_xlfn.XMATCH(T$2,[1]Coefficients!$G$1:$BO$1))</f>
        <v/>
      </c>
      <c r="U16">
        <f t="array" ref="U16">INDEX([1]Coefficients!$G$132:$BO$151,_xlfn.XMATCH($E16,[1]Coefficients!$B$132:$B$151),_xlfn.XMATCH(U$2,[1]Coefficients!$G$1:$BO$1))</f>
        <v/>
      </c>
      <c r="V16">
        <f t="array" ref="V16">INDEX([1]Coefficients!$G$132:$BO$151,_xlfn.XMATCH($E16,[1]Coefficients!$B$132:$B$151),_xlfn.XMATCH(V$2,[1]Coefficients!$G$1:$BO$1))</f>
        <v/>
      </c>
      <c r="W16">
        <f t="array" ref="W16">INDEX([1]Coefficients!$G$132:$BO$151,_xlfn.XMATCH($E16,[1]Coefficients!$B$132:$B$151),_xlfn.XMATCH(W$2,[1]Coefficients!$G$1:$BO$1))</f>
        <v/>
      </c>
    </row>
    <row r="17">
      <c r="A17" t="inlineStr">
        <is>
          <t>CIMS.CAN.QC.Biodiesel</t>
        </is>
      </c>
      <c r="B17" t="inlineStr">
        <is>
          <t>Sector</t>
        </is>
      </c>
      <c r="C17" t="inlineStr">
        <is>
          <t>QC</t>
        </is>
      </c>
      <c r="E17" t="inlineStr">
        <is>
          <t>Biodiesel</t>
        </is>
      </c>
      <c r="G17" t="inlineStr">
        <is>
          <t>emissions</t>
        </is>
      </c>
      <c r="H17" t="inlineStr">
        <is>
          <t>N2O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tN2O</t>
        </is>
      </c>
      <c r="M17">
        <f t="array" ref="M17">INDEX([1]Coefficients!$G$132:$BO$151,_xlfn.XMATCH($E17,[1]Coefficients!$B$132:$B$151),_xlfn.XMATCH(M$2,[1]Coefficients!$G$1:$BO$1))</f>
        <v/>
      </c>
      <c r="N17">
        <f t="array" ref="N17">INDEX([1]Coefficients!$G$132:$BO$151,_xlfn.XMATCH($E17,[1]Coefficients!$B$132:$B$151),_xlfn.XMATCH(N$2,[1]Coefficients!$G$1:$BO$1))</f>
        <v/>
      </c>
      <c r="O17">
        <f t="array" ref="O17">INDEX([1]Coefficients!$G$132:$BO$151,_xlfn.XMATCH($E17,[1]Coefficients!$B$132:$B$151),_xlfn.XMATCH(O$2,[1]Coefficients!$G$1:$BO$1))</f>
        <v/>
      </c>
      <c r="P17">
        <f t="array" ref="P17">INDEX([1]Coefficients!$G$132:$BO$151,_xlfn.XMATCH($E17,[1]Coefficients!$B$132:$B$151),_xlfn.XMATCH(P$2,[1]Coefficients!$G$1:$BO$1))</f>
        <v/>
      </c>
      <c r="Q17">
        <f t="array" ref="Q17">INDEX([1]Coefficients!$G$132:$BO$151,_xlfn.XMATCH($E17,[1]Coefficients!$B$132:$B$151),_xlfn.XMATCH(Q$2,[1]Coefficients!$G$1:$BO$1))</f>
        <v/>
      </c>
      <c r="R17">
        <f t="array" ref="R17">INDEX([1]Coefficients!$G$132:$BO$151,_xlfn.XMATCH($E17,[1]Coefficients!$B$132:$B$151),_xlfn.XMATCH(R$2,[1]Coefficients!$G$1:$BO$1))</f>
        <v/>
      </c>
      <c r="S17">
        <f t="array" ref="S17">INDEX([1]Coefficients!$G$132:$BO$151,_xlfn.XMATCH($E17,[1]Coefficients!$B$132:$B$151),_xlfn.XMATCH(S$2,[1]Coefficients!$G$1:$BO$1))</f>
        <v/>
      </c>
      <c r="T17">
        <f t="array" ref="T17">INDEX([1]Coefficients!$G$132:$BO$151,_xlfn.XMATCH($E17,[1]Coefficients!$B$132:$B$151),_xlfn.XMATCH(T$2,[1]Coefficients!$G$1:$BO$1))</f>
        <v/>
      </c>
      <c r="U17">
        <f t="array" ref="U17">INDEX([1]Coefficients!$G$132:$BO$151,_xlfn.XMATCH($E17,[1]Coefficients!$B$132:$B$151),_xlfn.XMATCH(U$2,[1]Coefficients!$G$1:$BO$1))</f>
        <v/>
      </c>
      <c r="V17">
        <f t="array" ref="V17">INDEX([1]Coefficients!$G$132:$BO$151,_xlfn.XMATCH($E17,[1]Coefficients!$B$132:$B$151),_xlfn.XMATCH(V$2,[1]Coefficients!$G$1:$BO$1))</f>
        <v/>
      </c>
      <c r="W17">
        <f t="array" ref="W17">INDEX([1]Coefficients!$G$132:$BO$151,_xlfn.XMATCH($E17,[1]Coefficients!$B$132:$B$151),_xlfn.XMATCH(W$2,[1]Coefficients!$G$1:$BO$1))</f>
        <v/>
      </c>
    </row>
    <row r="18">
      <c r="A18" t="inlineStr">
        <is>
          <t>CIMS.CAN.QC.Ethanol</t>
        </is>
      </c>
      <c r="B18" t="inlineStr">
        <is>
          <t>Sector</t>
        </is>
      </c>
      <c r="C18" t="inlineStr">
        <is>
          <t>QC</t>
        </is>
      </c>
      <c r="E18" t="inlineStr">
        <is>
          <t>Ethanol</t>
        </is>
      </c>
      <c r="G18" t="inlineStr">
        <is>
          <t>service_provide</t>
        </is>
      </c>
      <c r="L18" t="inlineStr">
        <is>
          <t>GJ</t>
        </is>
      </c>
    </row>
    <row r="19">
      <c r="A19" t="inlineStr">
        <is>
          <t>CIMS.CAN.QC.Ethanol</t>
        </is>
      </c>
      <c r="B19" t="inlineStr">
        <is>
          <t>Sector</t>
        </is>
      </c>
      <c r="C19" t="inlineStr">
        <is>
          <t>QC</t>
        </is>
      </c>
      <c r="E19" t="inlineStr">
        <is>
          <t>Ethanol</t>
        </is>
      </c>
      <c r="G19" t="inlineStr">
        <is>
          <t>competition</t>
        </is>
      </c>
      <c r="H19" t="inlineStr">
        <is>
          <t>Sector</t>
        </is>
      </c>
    </row>
    <row r="20">
      <c r="A20" t="inlineStr">
        <is>
          <t>CIMS.CAN.QC.Ethanol</t>
        </is>
      </c>
      <c r="B20" t="inlineStr">
        <is>
          <t>Sector</t>
        </is>
      </c>
      <c r="C20" t="inlineStr">
        <is>
          <t>QC</t>
        </is>
      </c>
      <c r="E20" t="inlineStr">
        <is>
          <t>Ethanol</t>
        </is>
      </c>
      <c r="G20" t="inlineStr">
        <is>
          <t>is_supply</t>
        </is>
      </c>
      <c r="H20" t="b">
        <v>1</v>
      </c>
    </row>
    <row r="21">
      <c r="A21" t="inlineStr">
        <is>
          <t>CIMS.CAN.QC.Ethanol</t>
        </is>
      </c>
      <c r="B21" t="inlineStr">
        <is>
          <t>Sector</t>
        </is>
      </c>
      <c r="C21" t="inlineStr">
        <is>
          <t>QC</t>
        </is>
      </c>
      <c r="E21" t="inlineStr">
        <is>
          <t>Ethanol</t>
        </is>
      </c>
      <c r="G21" t="inlineStr">
        <is>
          <t>lcc_financial</t>
        </is>
      </c>
      <c r="K21" t="inlineStr">
        <is>
          <t>AFDC 2023</t>
        </is>
      </c>
      <c r="L21" t="inlineStr">
        <is>
          <t>$/GJ</t>
        </is>
      </c>
      <c r="M21">
        <f t="array" ref="M21:R21">TRANSPOSE([1]AFDC!$R$48:$R$53)</f>
        <v/>
      </c>
      <c r="N21" t="n">
        <v>26.25375914302835</v>
      </c>
      <c r="O21" t="n">
        <v>36.04076240800151</v>
      </c>
      <c r="P21" t="n">
        <v>33.5016040762408</v>
      </c>
      <c r="Q21" t="n">
        <v>37.75618041139838</v>
      </c>
      <c r="R21" t="n">
        <v>42.01075674655595</v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CIMS.CAN.QC.Ethanol</t>
        </is>
      </c>
      <c r="B22" t="inlineStr">
        <is>
          <t>Sector</t>
        </is>
      </c>
      <c r="C22" t="inlineStr">
        <is>
          <t>QC</t>
        </is>
      </c>
      <c r="E22" t="inlineStr">
        <is>
          <t>Ethanol</t>
        </is>
      </c>
      <c r="G22" t="inlineStr">
        <is>
          <t>emissions_biomass</t>
        </is>
      </c>
      <c r="H22" t="inlineStr">
        <is>
          <t>CO2</t>
        </is>
      </c>
      <c r="I22" t="inlineStr">
        <is>
          <t>Combustion</t>
        </is>
      </c>
      <c r="L22" t="inlineStr">
        <is>
          <t>tCO2</t>
        </is>
      </c>
      <c r="M22">
        <f t="array" ref="M22">INDEX([1]Coefficients!$G$60:$BO$79,_xlfn.XMATCH($E22,[1]Coefficients!$B$60:$B$79),_xlfn.XMATCH(M$2,[1]Coefficients!$G$1:$BO$1))/INDEX([1]Coefficients!$G$29:$BO$48,_xlfn.XMATCH($E22,[1]Coefficients!$B$29:$B$48),_xlfn.XMATCH(M$2,[1]Coefficients!$G$1:$BO$1))</f>
        <v/>
      </c>
      <c r="N22">
        <f t="array" ref="N22">INDEX([1]Coefficients!$G$60:$BO$79,_xlfn.XMATCH($E22,[1]Coefficients!$B$60:$B$79),_xlfn.XMATCH(N$2,[1]Coefficients!$G$1:$BO$1))/INDEX([1]Coefficients!$G$29:$BO$48,_xlfn.XMATCH($E22,[1]Coefficients!$B$29:$B$48),_xlfn.XMATCH(N$2,[1]Coefficients!$G$1:$BO$1))</f>
        <v/>
      </c>
      <c r="O22">
        <f t="array" ref="O22">INDEX([1]Coefficients!$G$60:$BO$79,_xlfn.XMATCH($E22,[1]Coefficients!$B$60:$B$79),_xlfn.XMATCH(O$2,[1]Coefficients!$G$1:$BO$1))/INDEX([1]Coefficients!$G$29:$BO$48,_xlfn.XMATCH($E22,[1]Coefficients!$B$29:$B$48),_xlfn.XMATCH(O$2,[1]Coefficients!$G$1:$BO$1))</f>
        <v/>
      </c>
      <c r="P22">
        <f t="array" ref="P22">INDEX([1]Coefficients!$G$60:$BO$79,_xlfn.XMATCH($E22,[1]Coefficients!$B$60:$B$79),_xlfn.XMATCH(P$2,[1]Coefficients!$G$1:$BO$1))/INDEX([1]Coefficients!$G$29:$BO$48,_xlfn.XMATCH($E22,[1]Coefficients!$B$29:$B$48),_xlfn.XMATCH(P$2,[1]Coefficients!$G$1:$BO$1))</f>
        <v/>
      </c>
      <c r="Q22">
        <f t="array" ref="Q22">INDEX([1]Coefficients!$G$60:$BO$79,_xlfn.XMATCH($E22,[1]Coefficients!$B$60:$B$79),_xlfn.XMATCH(Q$2,[1]Coefficients!$G$1:$BO$1))/INDEX([1]Coefficients!$G$29:$BO$48,_xlfn.XMATCH($E22,[1]Coefficients!$B$29:$B$48),_xlfn.XMATCH(Q$2,[1]Coefficients!$G$1:$BO$1))</f>
        <v/>
      </c>
      <c r="R22">
        <f t="array" ref="R22">INDEX([1]Coefficients!$G$60:$BO$79,_xlfn.XMATCH($E22,[1]Coefficients!$B$60:$B$79),_xlfn.XMATCH(R$2,[1]Coefficients!$G$1:$BO$1))/INDEX([1]Coefficients!$G$29:$BO$48,_xlfn.XMATCH($E22,[1]Coefficients!$B$29:$B$48),_xlfn.XMATCH(R$2,[1]Coefficients!$G$1:$BO$1))</f>
        <v/>
      </c>
      <c r="S22">
        <f t="array" ref="S22">INDEX([1]Coefficients!$G$60:$BO$79,_xlfn.XMATCH($E22,[1]Coefficients!$B$60:$B$79),_xlfn.XMATCH(S$2,[1]Coefficients!$G$1:$BO$1))/INDEX([1]Coefficients!$G$29:$BO$48,_xlfn.XMATCH($E22,[1]Coefficients!$B$29:$B$48),_xlfn.XMATCH(S$2,[1]Coefficients!$G$1:$BO$1))</f>
        <v/>
      </c>
      <c r="T22">
        <f t="array" ref="T22">INDEX([1]Coefficients!$G$60:$BO$79,_xlfn.XMATCH($E22,[1]Coefficients!$B$60:$B$79),_xlfn.XMATCH(T$2,[1]Coefficients!$G$1:$BO$1))/INDEX([1]Coefficients!$G$29:$BO$48,_xlfn.XMATCH($E22,[1]Coefficients!$B$29:$B$48),_xlfn.XMATCH(T$2,[1]Coefficients!$G$1:$BO$1))</f>
        <v/>
      </c>
      <c r="U22">
        <f t="array" ref="U22">INDEX([1]Coefficients!$G$60:$BO$79,_xlfn.XMATCH($E22,[1]Coefficients!$B$60:$B$79),_xlfn.XMATCH(U$2,[1]Coefficients!$G$1:$BO$1))/INDEX([1]Coefficients!$G$29:$BO$48,_xlfn.XMATCH($E22,[1]Coefficients!$B$29:$B$48),_xlfn.XMATCH(U$2,[1]Coefficients!$G$1:$BO$1))</f>
        <v/>
      </c>
      <c r="V22">
        <f t="array" ref="V22">INDEX([1]Coefficients!$G$60:$BO$79,_xlfn.XMATCH($E22,[1]Coefficients!$B$60:$B$79),_xlfn.XMATCH(V$2,[1]Coefficients!$G$1:$BO$1))/INDEX([1]Coefficients!$G$29:$BO$48,_xlfn.XMATCH($E22,[1]Coefficients!$B$29:$B$48),_xlfn.XMATCH(V$2,[1]Coefficients!$G$1:$BO$1))</f>
        <v/>
      </c>
      <c r="W22">
        <f t="array" ref="W22">INDEX([1]Coefficients!$G$60:$BO$79,_xlfn.XMATCH($E22,[1]Coefficients!$B$60:$B$79),_xlfn.XMATCH(W$2,[1]Coefficients!$G$1:$BO$1))/INDEX([1]Coefficients!$G$29:$BO$48,_xlfn.XMATCH($E22,[1]Coefficients!$B$29:$B$48),_xlfn.XMATCH(W$2,[1]Coefficients!$G$1:$BO$1))</f>
        <v/>
      </c>
    </row>
    <row r="23">
      <c r="A23" t="inlineStr">
        <is>
          <t>CIMS.CAN.QC.Ethanol</t>
        </is>
      </c>
      <c r="B23" t="inlineStr">
        <is>
          <t>Sector</t>
        </is>
      </c>
      <c r="C23" t="inlineStr">
        <is>
          <t>QC</t>
        </is>
      </c>
      <c r="E23" t="inlineStr">
        <is>
          <t>Ethanol</t>
        </is>
      </c>
      <c r="G23" t="inlineStr">
        <is>
          <t>emissions</t>
        </is>
      </c>
      <c r="H23" t="inlineStr">
        <is>
          <t>CO2</t>
        </is>
      </c>
      <c r="I23" t="inlineStr">
        <is>
          <t>Combustion</t>
        </is>
      </c>
      <c r="K23" t="inlineStr">
        <is>
          <t>ECCC, NIR</t>
        </is>
      </c>
      <c r="L23" t="inlineStr">
        <is>
          <t>tCO2</t>
        </is>
      </c>
      <c r="M23">
        <f t="array" ref="M23">INDEX([1]Coefficients!$G$132:$BO$151,_xlfn.XMATCH($E23,[1]Coefficients!$B$132:$B$151),_xlfn.XMATCH(M$2,[1]Coefficients!$G$1:$BO$1))</f>
        <v/>
      </c>
      <c r="N23">
        <f t="array" ref="N23">INDEX([1]Coefficients!$G$132:$BO$151,_xlfn.XMATCH($E23,[1]Coefficients!$B$132:$B$151),_xlfn.XMATCH(N$2,[1]Coefficients!$G$1:$BO$1))</f>
        <v/>
      </c>
      <c r="O23">
        <f t="array" ref="O23">INDEX([1]Coefficients!$G$132:$BO$151,_xlfn.XMATCH($E23,[1]Coefficients!$B$132:$B$151),_xlfn.XMATCH(O$2,[1]Coefficients!$G$1:$BO$1))</f>
        <v/>
      </c>
      <c r="P23">
        <f t="array" ref="P23">INDEX([1]Coefficients!$G$132:$BO$151,_xlfn.XMATCH($E23,[1]Coefficients!$B$132:$B$151),_xlfn.XMATCH(P$2,[1]Coefficients!$G$1:$BO$1))</f>
        <v/>
      </c>
      <c r="Q23">
        <f t="array" ref="Q23">INDEX([1]Coefficients!$G$132:$BO$151,_xlfn.XMATCH($E23,[1]Coefficients!$B$132:$B$151),_xlfn.XMATCH(Q$2,[1]Coefficients!$G$1:$BO$1))</f>
        <v/>
      </c>
      <c r="R23">
        <f t="array" ref="R23">INDEX([1]Coefficients!$G$132:$BO$151,_xlfn.XMATCH($E23,[1]Coefficients!$B$132:$B$151),_xlfn.XMATCH(R$2,[1]Coefficients!$G$1:$BO$1))</f>
        <v/>
      </c>
      <c r="S23">
        <f t="array" ref="S23">INDEX([1]Coefficients!$G$132:$BO$151,_xlfn.XMATCH($E23,[1]Coefficients!$B$132:$B$151),_xlfn.XMATCH(S$2,[1]Coefficients!$G$1:$BO$1))</f>
        <v/>
      </c>
      <c r="T23">
        <f t="array" ref="T23">INDEX([1]Coefficients!$G$132:$BO$151,_xlfn.XMATCH($E23,[1]Coefficients!$B$132:$B$151),_xlfn.XMATCH(T$2,[1]Coefficients!$G$1:$BO$1))</f>
        <v/>
      </c>
      <c r="U23">
        <f t="array" ref="U23">INDEX([1]Coefficients!$G$132:$BO$151,_xlfn.XMATCH($E23,[1]Coefficients!$B$132:$B$151),_xlfn.XMATCH(U$2,[1]Coefficients!$G$1:$BO$1))</f>
        <v/>
      </c>
      <c r="V23">
        <f t="array" ref="V23">INDEX([1]Coefficients!$G$132:$BO$151,_xlfn.XMATCH($E23,[1]Coefficients!$B$132:$B$151),_xlfn.XMATCH(V$2,[1]Coefficients!$G$1:$BO$1))</f>
        <v/>
      </c>
      <c r="W23">
        <f t="array" ref="W23">INDEX([1]Coefficients!$G$132:$BO$151,_xlfn.XMATCH($E23,[1]Coefficients!$B$132:$B$151),_xlfn.XMATCH(W$2,[1]Coefficients!$G$1:$BO$1))</f>
        <v/>
      </c>
    </row>
    <row r="24">
      <c r="A24" t="inlineStr">
        <is>
          <t>CIMS.CAN.QC.Ethanol</t>
        </is>
      </c>
      <c r="B24" t="inlineStr">
        <is>
          <t>Sector</t>
        </is>
      </c>
      <c r="C24" t="inlineStr">
        <is>
          <t>QC</t>
        </is>
      </c>
      <c r="E24" t="inlineStr">
        <is>
          <t>Ethanol</t>
        </is>
      </c>
      <c r="G24" t="inlineStr">
        <is>
          <t>emissions</t>
        </is>
      </c>
      <c r="H24" t="inlineStr">
        <is>
          <t>CH4</t>
        </is>
      </c>
      <c r="I24" t="inlineStr">
        <is>
          <t>Combustion</t>
        </is>
      </c>
      <c r="K24" t="inlineStr">
        <is>
          <t>ECCC, NIR</t>
        </is>
      </c>
      <c r="L24" t="inlineStr">
        <is>
          <t>tCH4</t>
        </is>
      </c>
      <c r="M24">
        <f t="array" ref="M24">INDEX([1]Coefficients!$G$132:$BO$151,_xlfn.XMATCH($E24,[1]Coefficients!$B$132:$B$151),_xlfn.XMATCH(M$2,[1]Coefficients!$G$1:$BO$1))</f>
        <v/>
      </c>
      <c r="N24">
        <f t="array" ref="N24">INDEX([1]Coefficients!$G$132:$BO$151,_xlfn.XMATCH($E24,[1]Coefficients!$B$132:$B$151),_xlfn.XMATCH(N$2,[1]Coefficients!$G$1:$BO$1))</f>
        <v/>
      </c>
      <c r="O24">
        <f t="array" ref="O24">INDEX([1]Coefficients!$G$132:$BO$151,_xlfn.XMATCH($E24,[1]Coefficients!$B$132:$B$151),_xlfn.XMATCH(O$2,[1]Coefficients!$G$1:$BO$1))</f>
        <v/>
      </c>
      <c r="P24">
        <f t="array" ref="P24">INDEX([1]Coefficients!$G$132:$BO$151,_xlfn.XMATCH($E24,[1]Coefficients!$B$132:$B$151),_xlfn.XMATCH(P$2,[1]Coefficients!$G$1:$BO$1))</f>
        <v/>
      </c>
      <c r="Q24">
        <f t="array" ref="Q24">INDEX([1]Coefficients!$G$132:$BO$151,_xlfn.XMATCH($E24,[1]Coefficients!$B$132:$B$151),_xlfn.XMATCH(Q$2,[1]Coefficients!$G$1:$BO$1))</f>
        <v/>
      </c>
      <c r="R24">
        <f t="array" ref="R24">INDEX([1]Coefficients!$G$132:$BO$151,_xlfn.XMATCH($E24,[1]Coefficients!$B$132:$B$151),_xlfn.XMATCH(R$2,[1]Coefficients!$G$1:$BO$1))</f>
        <v/>
      </c>
      <c r="S24">
        <f t="array" ref="S24">INDEX([1]Coefficients!$G$132:$BO$151,_xlfn.XMATCH($E24,[1]Coefficients!$B$132:$B$151),_xlfn.XMATCH(S$2,[1]Coefficients!$G$1:$BO$1))</f>
        <v/>
      </c>
      <c r="T24">
        <f t="array" ref="T24">INDEX([1]Coefficients!$G$132:$BO$151,_xlfn.XMATCH($E24,[1]Coefficients!$B$132:$B$151),_xlfn.XMATCH(T$2,[1]Coefficients!$G$1:$BO$1))</f>
        <v/>
      </c>
      <c r="U24">
        <f t="array" ref="U24">INDEX([1]Coefficients!$G$132:$BO$151,_xlfn.XMATCH($E24,[1]Coefficients!$B$132:$B$151),_xlfn.XMATCH(U$2,[1]Coefficients!$G$1:$BO$1))</f>
        <v/>
      </c>
      <c r="V24">
        <f t="array" ref="V24">INDEX([1]Coefficients!$G$132:$BO$151,_xlfn.XMATCH($E24,[1]Coefficients!$B$132:$B$151),_xlfn.XMATCH(V$2,[1]Coefficients!$G$1:$BO$1))</f>
        <v/>
      </c>
      <c r="W24">
        <f t="array" ref="W24">INDEX([1]Coefficients!$G$132:$BO$151,_xlfn.XMATCH($E24,[1]Coefficients!$B$132:$B$151),_xlfn.XMATCH(W$2,[1]Coefficients!$G$1:$BO$1))</f>
        <v/>
      </c>
    </row>
    <row r="25">
      <c r="A25" t="inlineStr">
        <is>
          <t>CIMS.CAN.QC.Ethanol</t>
        </is>
      </c>
      <c r="B25" t="inlineStr">
        <is>
          <t>Sector</t>
        </is>
      </c>
      <c r="C25" t="inlineStr">
        <is>
          <t>QC</t>
        </is>
      </c>
      <c r="E25" t="inlineStr">
        <is>
          <t>Ethanol</t>
        </is>
      </c>
      <c r="G25" t="inlineStr">
        <is>
          <t>emissions</t>
        </is>
      </c>
      <c r="H25" t="inlineStr">
        <is>
          <t>N2O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tN2O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CIMS.CAN.QC.Hydrogen</t>
        </is>
      </c>
      <c r="B26" t="inlineStr">
        <is>
          <t>Sector</t>
        </is>
      </c>
      <c r="C26" t="inlineStr">
        <is>
          <t>QC</t>
        </is>
      </c>
      <c r="E26" t="inlineStr">
        <is>
          <t>Hydrogen</t>
        </is>
      </c>
      <c r="G26" t="inlineStr">
        <is>
          <t>service_provide</t>
        </is>
      </c>
      <c r="L26" t="inlineStr">
        <is>
          <t>GJ</t>
        </is>
      </c>
    </row>
    <row r="27">
      <c r="A27" t="inlineStr">
        <is>
          <t>CIMS.CAN.QC.Hydrogen</t>
        </is>
      </c>
      <c r="B27" t="inlineStr">
        <is>
          <t>Sector</t>
        </is>
      </c>
      <c r="C27" t="inlineStr">
        <is>
          <t>QC</t>
        </is>
      </c>
      <c r="E27" t="inlineStr">
        <is>
          <t>Hydrogen</t>
        </is>
      </c>
      <c r="G27" t="inlineStr">
        <is>
          <t>competition</t>
        </is>
      </c>
      <c r="H27" t="inlineStr">
        <is>
          <t>Sector</t>
        </is>
      </c>
    </row>
    <row r="28">
      <c r="A28" t="inlineStr">
        <is>
          <t>CIMS.CAN.QC.Hydrogen</t>
        </is>
      </c>
      <c r="B28" t="inlineStr">
        <is>
          <t>Sector</t>
        </is>
      </c>
      <c r="C28" t="inlineStr">
        <is>
          <t>QC</t>
        </is>
      </c>
      <c r="E28" t="inlineStr">
        <is>
          <t>Hydrogen</t>
        </is>
      </c>
      <c r="G28" t="inlineStr">
        <is>
          <t>is_supply</t>
        </is>
      </c>
      <c r="H28" t="b">
        <v>1</v>
      </c>
    </row>
    <row r="29">
      <c r="A29" t="inlineStr">
        <is>
          <t>CIMS.CAN.QC.Hydrogen</t>
        </is>
      </c>
      <c r="B29" t="inlineStr">
        <is>
          <t>Sector</t>
        </is>
      </c>
      <c r="C29" t="inlineStr">
        <is>
          <t>QC</t>
        </is>
      </c>
      <c r="E29" t="inlineStr">
        <is>
          <t>Hydrogen</t>
        </is>
      </c>
      <c r="G29" t="inlineStr">
        <is>
          <t>lcc_financial</t>
        </is>
      </c>
      <c r="L29" t="inlineStr">
        <is>
          <t>$/GJ</t>
        </is>
      </c>
      <c r="M29">
        <f>10/0.142</f>
        <v/>
      </c>
      <c r="N29">
        <f>M29*0.9</f>
        <v/>
      </c>
      <c r="O29">
        <f>N29*0.9</f>
        <v/>
      </c>
      <c r="P29">
        <f>O29*0.9</f>
        <v/>
      </c>
      <c r="Q29">
        <f>P29*0.9</f>
        <v/>
      </c>
      <c r="R29">
        <f>Q29*0.9</f>
        <v/>
      </c>
      <c r="S29">
        <f>R29*0.9</f>
        <v/>
      </c>
      <c r="T29">
        <f>S29*0.9</f>
        <v/>
      </c>
      <c r="U29">
        <f>T29*0.9</f>
        <v/>
      </c>
      <c r="V29">
        <f>U29*0.9</f>
        <v/>
      </c>
      <c r="W29">
        <f>V29*0.9</f>
        <v/>
      </c>
      <c r="X29" t="inlineStr">
        <is>
          <t>Temporarily use $10.00-3.50/kg</t>
        </is>
      </c>
    </row>
    <row r="30">
      <c r="A30" t="inlineStr">
        <is>
          <t>CIMS.CAN.QC.Hydrogen</t>
        </is>
      </c>
      <c r="B30" t="inlineStr">
        <is>
          <t>Sector</t>
        </is>
      </c>
      <c r="C30" t="inlineStr">
        <is>
          <t>QC</t>
        </is>
      </c>
      <c r="E30" t="inlineStr">
        <is>
          <t>Hydrogen</t>
        </is>
      </c>
      <c r="G30" t="inlineStr">
        <is>
          <t>emissions</t>
        </is>
      </c>
      <c r="H30" t="inlineStr">
        <is>
          <t>CO2</t>
        </is>
      </c>
      <c r="I30" t="inlineStr">
        <is>
          <t>Combustion</t>
        </is>
      </c>
      <c r="K30" t="inlineStr">
        <is>
          <t>ECCC, NIR</t>
        </is>
      </c>
      <c r="L30" t="inlineStr">
        <is>
          <t>tCO2</t>
        </is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</row>
    <row r="31">
      <c r="A31" t="inlineStr">
        <is>
          <t>CIMS.CAN.QC.Hydrogen</t>
        </is>
      </c>
      <c r="B31" t="inlineStr">
        <is>
          <t>Sector</t>
        </is>
      </c>
      <c r="C31" t="inlineStr">
        <is>
          <t>QC</t>
        </is>
      </c>
      <c r="E31" t="inlineStr">
        <is>
          <t>Hydrogen</t>
        </is>
      </c>
      <c r="G31" t="inlineStr">
        <is>
          <t>emissions</t>
        </is>
      </c>
      <c r="H31" t="inlineStr">
        <is>
          <t>CH4</t>
        </is>
      </c>
      <c r="I31" t="inlineStr">
        <is>
          <t>Combustion</t>
        </is>
      </c>
      <c r="K31" t="inlineStr">
        <is>
          <t>ECCC, NIR</t>
        </is>
      </c>
      <c r="L31" t="inlineStr">
        <is>
          <t>tCH4</t>
        </is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</row>
    <row r="32">
      <c r="A32" t="inlineStr">
        <is>
          <t>CIMS.CAN.QC.Hydrogen</t>
        </is>
      </c>
      <c r="B32" t="inlineStr">
        <is>
          <t>Sector</t>
        </is>
      </c>
      <c r="C32" t="inlineStr">
        <is>
          <t>QC</t>
        </is>
      </c>
      <c r="E32" t="inlineStr">
        <is>
          <t>Hydrogen</t>
        </is>
      </c>
      <c r="G32" t="inlineStr">
        <is>
          <t>emissions</t>
        </is>
      </c>
      <c r="H32" t="inlineStr">
        <is>
          <t>N2O</t>
        </is>
      </c>
      <c r="I32" t="inlineStr">
        <is>
          <t>Combustion</t>
        </is>
      </c>
      <c r="K32" t="inlineStr">
        <is>
          <t>ECCC, NIR</t>
        </is>
      </c>
      <c r="L32" t="inlineStr">
        <is>
          <t>tN2O</t>
        </is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2025-07-30T20:35:05Z</dcterms:created>
  <dcterms:modified xsi:type="dcterms:W3CDTF">2025-09-19T06:13:10Z</dcterms:modified>
  <cp:lastModifiedBy>Bradford Griffin</cp:lastModifiedBy>
</cp:coreProperties>
</file>