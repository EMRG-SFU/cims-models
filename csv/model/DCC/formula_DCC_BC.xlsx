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MS\test\cims-models\csv\model\DCC\"/>
    </mc:Choice>
  </mc:AlternateContent>
  <xr:revisionPtr revIDLastSave="0" documentId="8_{77F95F6F-7D63-4E4B-B3F8-BEB54D7AEA6A}" xr6:coauthVersionLast="47" xr6:coauthVersionMax="47" xr10:uidLastSave="{00000000-0000-0000-0000-000000000000}"/>
  <bookViews>
    <workbookView xWindow="32505" yWindow="2025" windowWidth="38700" windowHeight="15285" xr2:uid="{C402C03E-A10E-4031-A5EA-4ADD5C62453A}"/>
  </bookViews>
  <sheets>
    <sheet name="Sheet1" sheetId="1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53" i="1" l="1"/>
  <c r="V553" i="1"/>
  <c r="U553" i="1"/>
  <c r="T553" i="1"/>
  <c r="S553" i="1"/>
  <c r="R553" i="1"/>
  <c r="Q553" i="1"/>
  <c r="P553" i="1"/>
  <c r="O553" i="1"/>
  <c r="N553" i="1"/>
  <c r="W552" i="1"/>
  <c r="V552" i="1"/>
  <c r="U552" i="1"/>
  <c r="T552" i="1"/>
  <c r="S552" i="1"/>
  <c r="R552" i="1"/>
  <c r="Q552" i="1"/>
  <c r="P552" i="1"/>
  <c r="O552" i="1"/>
  <c r="N552" i="1"/>
  <c r="W551" i="1"/>
  <c r="V551" i="1"/>
  <c r="U551" i="1"/>
  <c r="T551" i="1"/>
  <c r="S551" i="1"/>
  <c r="R551" i="1"/>
  <c r="Q551" i="1"/>
  <c r="P551" i="1"/>
  <c r="O551" i="1"/>
  <c r="N551" i="1"/>
  <c r="W550" i="1"/>
  <c r="V550" i="1"/>
  <c r="U550" i="1"/>
  <c r="T550" i="1"/>
  <c r="S550" i="1"/>
  <c r="R550" i="1"/>
  <c r="Q550" i="1"/>
  <c r="P550" i="1"/>
  <c r="O550" i="1"/>
  <c r="N550" i="1"/>
  <c r="W548" i="1"/>
  <c r="V548" i="1"/>
  <c r="U548" i="1"/>
  <c r="T548" i="1"/>
  <c r="S548" i="1"/>
  <c r="R548" i="1"/>
  <c r="Q548" i="1"/>
  <c r="P548" i="1"/>
  <c r="O548" i="1"/>
  <c r="N548" i="1"/>
  <c r="W547" i="1"/>
  <c r="V547" i="1"/>
  <c r="U547" i="1"/>
  <c r="T547" i="1"/>
  <c r="S547" i="1"/>
  <c r="R547" i="1"/>
  <c r="Q547" i="1"/>
  <c r="P547" i="1"/>
  <c r="O547" i="1"/>
  <c r="N547" i="1"/>
  <c r="M547" i="1"/>
  <c r="W546" i="1"/>
  <c r="V546" i="1"/>
  <c r="U546" i="1"/>
  <c r="T546" i="1"/>
  <c r="S546" i="1"/>
  <c r="R546" i="1"/>
  <c r="Q546" i="1"/>
  <c r="P546" i="1"/>
  <c r="O546" i="1"/>
  <c r="N546" i="1"/>
  <c r="W545" i="1"/>
  <c r="V545" i="1"/>
  <c r="U545" i="1"/>
  <c r="T545" i="1"/>
  <c r="S545" i="1"/>
  <c r="R545" i="1"/>
  <c r="Q545" i="1"/>
  <c r="P545" i="1"/>
  <c r="O545" i="1"/>
  <c r="N545" i="1"/>
  <c r="W543" i="1"/>
  <c r="V543" i="1"/>
  <c r="U543" i="1"/>
  <c r="T543" i="1"/>
  <c r="S543" i="1"/>
  <c r="R543" i="1"/>
  <c r="Q543" i="1"/>
  <c r="P543" i="1"/>
  <c r="O543" i="1"/>
  <c r="N543" i="1"/>
  <c r="W542" i="1"/>
  <c r="V542" i="1"/>
  <c r="U542" i="1"/>
  <c r="T542" i="1"/>
  <c r="S542" i="1"/>
  <c r="R542" i="1"/>
  <c r="Q542" i="1"/>
  <c r="P542" i="1"/>
  <c r="O542" i="1"/>
  <c r="N542" i="1"/>
  <c r="M542" i="1"/>
  <c r="W541" i="1"/>
  <c r="V541" i="1"/>
  <c r="U541" i="1"/>
  <c r="T541" i="1"/>
  <c r="S541" i="1"/>
  <c r="R541" i="1"/>
  <c r="Q541" i="1"/>
  <c r="P541" i="1"/>
  <c r="O541" i="1"/>
  <c r="N541" i="1"/>
  <c r="W540" i="1"/>
  <c r="V540" i="1"/>
  <c r="U540" i="1"/>
  <c r="T540" i="1"/>
  <c r="S540" i="1"/>
  <c r="R540" i="1"/>
  <c r="Q540" i="1"/>
  <c r="P540" i="1"/>
  <c r="O540" i="1"/>
  <c r="N540" i="1"/>
  <c r="W538" i="1"/>
  <c r="V538" i="1"/>
  <c r="U538" i="1"/>
  <c r="T538" i="1"/>
  <c r="S538" i="1"/>
  <c r="R538" i="1"/>
  <c r="Q538" i="1"/>
  <c r="P538" i="1"/>
  <c r="O538" i="1"/>
  <c r="N538" i="1"/>
  <c r="W537" i="1"/>
  <c r="V537" i="1"/>
  <c r="U537" i="1"/>
  <c r="T537" i="1"/>
  <c r="S537" i="1"/>
  <c r="R537" i="1"/>
  <c r="Q537" i="1"/>
  <c r="P537" i="1"/>
  <c r="O537" i="1"/>
  <c r="N537" i="1"/>
  <c r="M537" i="1"/>
  <c r="W536" i="1"/>
  <c r="V536" i="1"/>
  <c r="U536" i="1"/>
  <c r="T536" i="1"/>
  <c r="S536" i="1"/>
  <c r="R536" i="1"/>
  <c r="Q536" i="1"/>
  <c r="P536" i="1"/>
  <c r="O536" i="1"/>
  <c r="N536" i="1"/>
  <c r="W535" i="1"/>
  <c r="V535" i="1"/>
  <c r="U535" i="1"/>
  <c r="T535" i="1"/>
  <c r="S535" i="1"/>
  <c r="R535" i="1"/>
  <c r="Q535" i="1"/>
  <c r="P535" i="1"/>
  <c r="O535" i="1"/>
  <c r="N535" i="1"/>
  <c r="W533" i="1"/>
  <c r="V533" i="1"/>
  <c r="U533" i="1"/>
  <c r="T533" i="1"/>
  <c r="S533" i="1"/>
  <c r="R533" i="1"/>
  <c r="Q533" i="1"/>
  <c r="P533" i="1"/>
  <c r="O533" i="1"/>
  <c r="N533" i="1"/>
  <c r="W532" i="1"/>
  <c r="V532" i="1"/>
  <c r="U532" i="1"/>
  <c r="T532" i="1"/>
  <c r="S532" i="1"/>
  <c r="R532" i="1"/>
  <c r="Q532" i="1"/>
  <c r="P532" i="1"/>
  <c r="O532" i="1"/>
  <c r="N532" i="1"/>
  <c r="M532" i="1"/>
  <c r="W531" i="1"/>
  <c r="V531" i="1"/>
  <c r="U531" i="1"/>
  <c r="T531" i="1"/>
  <c r="S531" i="1"/>
  <c r="R531" i="1"/>
  <c r="Q531" i="1"/>
  <c r="P531" i="1"/>
  <c r="O531" i="1"/>
  <c r="N531" i="1"/>
  <c r="W530" i="1"/>
  <c r="V530" i="1"/>
  <c r="U530" i="1"/>
  <c r="T530" i="1"/>
  <c r="S530" i="1"/>
  <c r="R530" i="1"/>
  <c r="Q530" i="1"/>
  <c r="P530" i="1"/>
  <c r="O530" i="1"/>
  <c r="N530" i="1"/>
  <c r="W528" i="1"/>
  <c r="V528" i="1"/>
  <c r="U528" i="1"/>
  <c r="T528" i="1"/>
  <c r="S528" i="1"/>
  <c r="R528" i="1"/>
  <c r="Q528" i="1"/>
  <c r="P528" i="1"/>
  <c r="O528" i="1"/>
  <c r="N528" i="1"/>
  <c r="W527" i="1"/>
  <c r="V527" i="1"/>
  <c r="U527" i="1"/>
  <c r="T527" i="1"/>
  <c r="S527" i="1"/>
  <c r="R527" i="1"/>
  <c r="Q527" i="1"/>
  <c r="P527" i="1"/>
  <c r="O527" i="1"/>
  <c r="N527" i="1"/>
  <c r="M527" i="1"/>
  <c r="W526" i="1"/>
  <c r="V526" i="1"/>
  <c r="U526" i="1"/>
  <c r="T526" i="1"/>
  <c r="S526" i="1"/>
  <c r="R526" i="1"/>
  <c r="Q526" i="1"/>
  <c r="P526" i="1"/>
  <c r="O526" i="1"/>
  <c r="N526" i="1"/>
  <c r="W525" i="1"/>
  <c r="V525" i="1"/>
  <c r="U525" i="1"/>
  <c r="T525" i="1"/>
  <c r="S525" i="1"/>
  <c r="R525" i="1"/>
  <c r="Q525" i="1"/>
  <c r="P525" i="1"/>
  <c r="O525" i="1"/>
  <c r="N525" i="1"/>
  <c r="W523" i="1"/>
  <c r="V523" i="1"/>
  <c r="U523" i="1"/>
  <c r="T523" i="1"/>
  <c r="S523" i="1"/>
  <c r="R523" i="1"/>
  <c r="Q523" i="1"/>
  <c r="P523" i="1"/>
  <c r="O523" i="1"/>
  <c r="N523" i="1"/>
  <c r="W522" i="1"/>
  <c r="V522" i="1"/>
  <c r="U522" i="1"/>
  <c r="T522" i="1"/>
  <c r="S522" i="1"/>
  <c r="R522" i="1"/>
  <c r="Q522" i="1"/>
  <c r="P522" i="1"/>
  <c r="O522" i="1"/>
  <c r="N522" i="1"/>
  <c r="M522" i="1"/>
  <c r="W521" i="1"/>
  <c r="V521" i="1"/>
  <c r="U521" i="1"/>
  <c r="T521" i="1"/>
  <c r="S521" i="1"/>
  <c r="R521" i="1"/>
  <c r="Q521" i="1"/>
  <c r="P521" i="1"/>
  <c r="O521" i="1"/>
  <c r="N521" i="1"/>
  <c r="W520" i="1"/>
  <c r="V520" i="1"/>
  <c r="U520" i="1"/>
  <c r="T520" i="1"/>
  <c r="S520" i="1"/>
  <c r="R520" i="1"/>
  <c r="Q520" i="1"/>
  <c r="P520" i="1"/>
  <c r="O520" i="1"/>
  <c r="N520" i="1"/>
  <c r="W518" i="1"/>
  <c r="V518" i="1"/>
  <c r="U518" i="1"/>
  <c r="T518" i="1"/>
  <c r="S518" i="1"/>
  <c r="R518" i="1"/>
  <c r="Q518" i="1"/>
  <c r="P518" i="1"/>
  <c r="O518" i="1"/>
  <c r="N518" i="1"/>
  <c r="W517" i="1"/>
  <c r="V517" i="1"/>
  <c r="U517" i="1"/>
  <c r="T517" i="1"/>
  <c r="S517" i="1"/>
  <c r="R517" i="1"/>
  <c r="Q517" i="1"/>
  <c r="P517" i="1"/>
  <c r="O517" i="1"/>
  <c r="N517" i="1"/>
  <c r="M517" i="1"/>
  <c r="W516" i="1"/>
  <c r="V516" i="1"/>
  <c r="U516" i="1"/>
  <c r="T516" i="1"/>
  <c r="S516" i="1"/>
  <c r="R516" i="1"/>
  <c r="Q516" i="1"/>
  <c r="P516" i="1"/>
  <c r="O516" i="1"/>
  <c r="N516" i="1"/>
  <c r="W515" i="1"/>
  <c r="V515" i="1"/>
  <c r="U515" i="1"/>
  <c r="T515" i="1"/>
  <c r="S515" i="1"/>
  <c r="R515" i="1"/>
  <c r="Q515" i="1"/>
  <c r="P515" i="1"/>
  <c r="O515" i="1"/>
  <c r="N515" i="1"/>
  <c r="W513" i="1"/>
  <c r="V513" i="1"/>
  <c r="U513" i="1"/>
  <c r="T513" i="1"/>
  <c r="S513" i="1"/>
  <c r="R513" i="1"/>
  <c r="Q513" i="1"/>
  <c r="P513" i="1"/>
  <c r="O513" i="1"/>
  <c r="N513" i="1"/>
  <c r="W512" i="1"/>
  <c r="V512" i="1"/>
  <c r="U512" i="1"/>
  <c r="T512" i="1"/>
  <c r="S512" i="1"/>
  <c r="R512" i="1"/>
  <c r="Q512" i="1"/>
  <c r="P512" i="1"/>
  <c r="O512" i="1"/>
  <c r="N512" i="1"/>
  <c r="M512" i="1"/>
  <c r="W511" i="1"/>
  <c r="V511" i="1"/>
  <c r="U511" i="1"/>
  <c r="T511" i="1"/>
  <c r="S511" i="1"/>
  <c r="R511" i="1"/>
  <c r="Q511" i="1"/>
  <c r="P511" i="1"/>
  <c r="O511" i="1"/>
  <c r="N511" i="1"/>
  <c r="W510" i="1"/>
  <c r="V510" i="1"/>
  <c r="U510" i="1"/>
  <c r="T510" i="1"/>
  <c r="S510" i="1"/>
  <c r="R510" i="1"/>
  <c r="Q510" i="1"/>
  <c r="P510" i="1"/>
  <c r="O510" i="1"/>
  <c r="N510" i="1"/>
  <c r="W508" i="1"/>
  <c r="V508" i="1"/>
  <c r="U508" i="1"/>
  <c r="T508" i="1"/>
  <c r="S508" i="1"/>
  <c r="R508" i="1"/>
  <c r="Q508" i="1"/>
  <c r="P508" i="1"/>
  <c r="O508" i="1"/>
  <c r="N508" i="1"/>
  <c r="W507" i="1"/>
  <c r="V507" i="1"/>
  <c r="U507" i="1"/>
  <c r="T507" i="1"/>
  <c r="S507" i="1"/>
  <c r="R507" i="1"/>
  <c r="Q507" i="1"/>
  <c r="P507" i="1"/>
  <c r="O507" i="1"/>
  <c r="N507" i="1"/>
  <c r="M507" i="1"/>
  <c r="W506" i="1"/>
  <c r="V506" i="1"/>
  <c r="U506" i="1"/>
  <c r="T506" i="1"/>
  <c r="S506" i="1"/>
  <c r="R506" i="1"/>
  <c r="Q506" i="1"/>
  <c r="P506" i="1"/>
  <c r="O506" i="1"/>
  <c r="N506" i="1"/>
  <c r="W505" i="1"/>
  <c r="V505" i="1"/>
  <c r="U505" i="1"/>
  <c r="T505" i="1"/>
  <c r="S505" i="1"/>
  <c r="R505" i="1"/>
  <c r="Q505" i="1"/>
  <c r="P505" i="1"/>
  <c r="O505" i="1"/>
  <c r="N505" i="1"/>
  <c r="W503" i="1"/>
  <c r="V503" i="1"/>
  <c r="U503" i="1"/>
  <c r="T503" i="1"/>
  <c r="S503" i="1"/>
  <c r="R503" i="1"/>
  <c r="Q503" i="1"/>
  <c r="P503" i="1"/>
  <c r="O503" i="1"/>
  <c r="N503" i="1"/>
  <c r="W502" i="1"/>
  <c r="V502" i="1"/>
  <c r="U502" i="1"/>
  <c r="T502" i="1"/>
  <c r="S502" i="1"/>
  <c r="R502" i="1"/>
  <c r="Q502" i="1"/>
  <c r="P502" i="1"/>
  <c r="O502" i="1"/>
  <c r="N502" i="1"/>
  <c r="M502" i="1"/>
  <c r="W501" i="1"/>
  <c r="V501" i="1"/>
  <c r="U501" i="1"/>
  <c r="T501" i="1"/>
  <c r="S501" i="1"/>
  <c r="R501" i="1"/>
  <c r="Q501" i="1"/>
  <c r="P501" i="1"/>
  <c r="O501" i="1"/>
  <c r="N501" i="1"/>
  <c r="W500" i="1"/>
  <c r="V500" i="1"/>
  <c r="U500" i="1"/>
  <c r="T500" i="1"/>
  <c r="S500" i="1"/>
  <c r="R500" i="1"/>
  <c r="Q500" i="1"/>
  <c r="P500" i="1"/>
  <c r="O500" i="1"/>
  <c r="N500" i="1"/>
  <c r="W498" i="1"/>
  <c r="V498" i="1"/>
  <c r="U498" i="1"/>
  <c r="T498" i="1"/>
  <c r="S498" i="1"/>
  <c r="R498" i="1"/>
  <c r="Q498" i="1"/>
  <c r="P498" i="1"/>
  <c r="O498" i="1"/>
  <c r="N498" i="1"/>
  <c r="W497" i="1"/>
  <c r="V497" i="1"/>
  <c r="U497" i="1"/>
  <c r="T497" i="1"/>
  <c r="S497" i="1"/>
  <c r="R497" i="1"/>
  <c r="Q497" i="1"/>
  <c r="P497" i="1"/>
  <c r="O497" i="1"/>
  <c r="N497" i="1"/>
  <c r="M497" i="1"/>
  <c r="W496" i="1"/>
  <c r="V496" i="1"/>
  <c r="U496" i="1"/>
  <c r="T496" i="1"/>
  <c r="S496" i="1"/>
  <c r="R496" i="1"/>
  <c r="Q496" i="1"/>
  <c r="P496" i="1"/>
  <c r="O496" i="1"/>
  <c r="N496" i="1"/>
  <c r="W495" i="1"/>
  <c r="V495" i="1"/>
  <c r="U495" i="1"/>
  <c r="T495" i="1"/>
  <c r="S495" i="1"/>
  <c r="R495" i="1"/>
  <c r="Q495" i="1"/>
  <c r="P495" i="1"/>
  <c r="O495" i="1"/>
  <c r="N495" i="1"/>
  <c r="W493" i="1"/>
  <c r="V493" i="1"/>
  <c r="U493" i="1"/>
  <c r="T493" i="1"/>
  <c r="S493" i="1"/>
  <c r="R493" i="1"/>
  <c r="Q493" i="1"/>
  <c r="P493" i="1"/>
  <c r="O493" i="1"/>
  <c r="N493" i="1"/>
  <c r="W492" i="1"/>
  <c r="V492" i="1"/>
  <c r="U492" i="1"/>
  <c r="T492" i="1"/>
  <c r="S492" i="1"/>
  <c r="R492" i="1"/>
  <c r="Q492" i="1"/>
  <c r="P492" i="1"/>
  <c r="O492" i="1"/>
  <c r="N492" i="1"/>
  <c r="M492" i="1"/>
  <c r="W491" i="1"/>
  <c r="V491" i="1"/>
  <c r="U491" i="1"/>
  <c r="T491" i="1"/>
  <c r="S491" i="1"/>
  <c r="R491" i="1"/>
  <c r="Q491" i="1"/>
  <c r="P491" i="1"/>
  <c r="O491" i="1"/>
  <c r="N491" i="1"/>
  <c r="W490" i="1"/>
  <c r="V490" i="1"/>
  <c r="U490" i="1"/>
  <c r="T490" i="1"/>
  <c r="S490" i="1"/>
  <c r="R490" i="1"/>
  <c r="Q490" i="1"/>
  <c r="P490" i="1"/>
  <c r="O490" i="1"/>
  <c r="N490" i="1"/>
  <c r="W488" i="1"/>
  <c r="V488" i="1"/>
  <c r="U488" i="1"/>
  <c r="T488" i="1"/>
  <c r="S488" i="1"/>
  <c r="R488" i="1"/>
  <c r="Q488" i="1"/>
  <c r="P488" i="1"/>
  <c r="O488" i="1"/>
  <c r="N488" i="1"/>
  <c r="W487" i="1"/>
  <c r="V487" i="1"/>
  <c r="U487" i="1"/>
  <c r="T487" i="1"/>
  <c r="S487" i="1"/>
  <c r="R487" i="1"/>
  <c r="Q487" i="1"/>
  <c r="P487" i="1"/>
  <c r="O487" i="1"/>
  <c r="N487" i="1"/>
  <c r="M487" i="1"/>
  <c r="W486" i="1"/>
  <c r="V486" i="1"/>
  <c r="U486" i="1"/>
  <c r="T486" i="1"/>
  <c r="S486" i="1"/>
  <c r="R486" i="1"/>
  <c r="Q486" i="1"/>
  <c r="P486" i="1"/>
  <c r="O486" i="1"/>
  <c r="N486" i="1"/>
  <c r="W485" i="1"/>
  <c r="V485" i="1"/>
  <c r="U485" i="1"/>
  <c r="T485" i="1"/>
  <c r="S485" i="1"/>
  <c r="R485" i="1"/>
  <c r="Q485" i="1"/>
  <c r="P485" i="1"/>
  <c r="O485" i="1"/>
  <c r="N485" i="1"/>
  <c r="W483" i="1"/>
  <c r="V483" i="1"/>
  <c r="U483" i="1"/>
  <c r="T483" i="1"/>
  <c r="S483" i="1"/>
  <c r="R483" i="1"/>
  <c r="Q483" i="1"/>
  <c r="P483" i="1"/>
  <c r="O483" i="1"/>
  <c r="N483" i="1"/>
  <c r="W482" i="1"/>
  <c r="V482" i="1"/>
  <c r="U482" i="1"/>
  <c r="T482" i="1"/>
  <c r="S482" i="1"/>
  <c r="R482" i="1"/>
  <c r="Q482" i="1"/>
  <c r="P482" i="1"/>
  <c r="O482" i="1"/>
  <c r="N482" i="1"/>
  <c r="M482" i="1"/>
  <c r="W481" i="1"/>
  <c r="V481" i="1"/>
  <c r="U481" i="1"/>
  <c r="T481" i="1"/>
  <c r="S481" i="1"/>
  <c r="R481" i="1"/>
  <c r="Q481" i="1"/>
  <c r="P481" i="1"/>
  <c r="O481" i="1"/>
  <c r="N481" i="1"/>
  <c r="W480" i="1"/>
  <c r="V480" i="1"/>
  <c r="U480" i="1"/>
  <c r="T480" i="1"/>
  <c r="S480" i="1"/>
  <c r="R480" i="1"/>
  <c r="Q480" i="1"/>
  <c r="P480" i="1"/>
  <c r="O480" i="1"/>
  <c r="N480" i="1"/>
  <c r="W478" i="1"/>
  <c r="V478" i="1"/>
  <c r="U478" i="1"/>
  <c r="T478" i="1"/>
  <c r="S478" i="1"/>
  <c r="R478" i="1"/>
  <c r="Q478" i="1"/>
  <c r="P478" i="1"/>
  <c r="O478" i="1"/>
  <c r="N478" i="1"/>
  <c r="W477" i="1"/>
  <c r="V477" i="1"/>
  <c r="U477" i="1"/>
  <c r="T477" i="1"/>
  <c r="S477" i="1"/>
  <c r="R477" i="1"/>
  <c r="Q477" i="1"/>
  <c r="P477" i="1"/>
  <c r="O477" i="1"/>
  <c r="N477" i="1"/>
  <c r="M477" i="1"/>
  <c r="W476" i="1"/>
  <c r="V476" i="1"/>
  <c r="U476" i="1"/>
  <c r="T476" i="1"/>
  <c r="S476" i="1"/>
  <c r="R476" i="1"/>
  <c r="Q476" i="1"/>
  <c r="P476" i="1"/>
  <c r="O476" i="1"/>
  <c r="N476" i="1"/>
  <c r="W475" i="1"/>
  <c r="V475" i="1"/>
  <c r="U475" i="1"/>
  <c r="T475" i="1"/>
  <c r="S475" i="1"/>
  <c r="R475" i="1"/>
  <c r="Q475" i="1"/>
  <c r="P475" i="1"/>
  <c r="O475" i="1"/>
  <c r="N475" i="1"/>
  <c r="W473" i="1"/>
  <c r="V473" i="1"/>
  <c r="U473" i="1"/>
  <c r="T473" i="1"/>
  <c r="S473" i="1"/>
  <c r="R473" i="1"/>
  <c r="Q473" i="1"/>
  <c r="P473" i="1"/>
  <c r="O473" i="1"/>
  <c r="N473" i="1"/>
  <c r="W472" i="1"/>
  <c r="V472" i="1"/>
  <c r="U472" i="1"/>
  <c r="T472" i="1"/>
  <c r="S472" i="1"/>
  <c r="R472" i="1"/>
  <c r="Q472" i="1"/>
  <c r="P472" i="1"/>
  <c r="O472" i="1"/>
  <c r="N472" i="1"/>
  <c r="M472" i="1"/>
  <c r="W471" i="1"/>
  <c r="V471" i="1"/>
  <c r="U471" i="1"/>
  <c r="T471" i="1"/>
  <c r="S471" i="1"/>
  <c r="R471" i="1"/>
  <c r="Q471" i="1"/>
  <c r="P471" i="1"/>
  <c r="O471" i="1"/>
  <c r="N471" i="1"/>
  <c r="W470" i="1"/>
  <c r="V470" i="1"/>
  <c r="U470" i="1"/>
  <c r="T470" i="1"/>
  <c r="S470" i="1"/>
  <c r="R470" i="1"/>
  <c r="Q470" i="1"/>
  <c r="P470" i="1"/>
  <c r="O470" i="1"/>
  <c r="N470" i="1"/>
  <c r="W468" i="1"/>
  <c r="V468" i="1"/>
  <c r="U468" i="1"/>
  <c r="T468" i="1"/>
  <c r="S468" i="1"/>
  <c r="R468" i="1"/>
  <c r="Q468" i="1"/>
  <c r="P468" i="1"/>
  <c r="O468" i="1"/>
  <c r="N468" i="1"/>
  <c r="W467" i="1"/>
  <c r="V467" i="1"/>
  <c r="U467" i="1"/>
  <c r="T467" i="1"/>
  <c r="S467" i="1"/>
  <c r="R467" i="1"/>
  <c r="Q467" i="1"/>
  <c r="P467" i="1"/>
  <c r="O467" i="1"/>
  <c r="N467" i="1"/>
  <c r="M467" i="1"/>
  <c r="W466" i="1"/>
  <c r="V466" i="1"/>
  <c r="U466" i="1"/>
  <c r="T466" i="1"/>
  <c r="S466" i="1"/>
  <c r="R466" i="1"/>
  <c r="Q466" i="1"/>
  <c r="P466" i="1"/>
  <c r="O466" i="1"/>
  <c r="N466" i="1"/>
  <c r="W465" i="1"/>
  <c r="V465" i="1"/>
  <c r="U465" i="1"/>
  <c r="T465" i="1"/>
  <c r="S465" i="1"/>
  <c r="R465" i="1"/>
  <c r="Q465" i="1"/>
  <c r="P465" i="1"/>
  <c r="O465" i="1"/>
  <c r="N465" i="1"/>
  <c r="W463" i="1"/>
  <c r="V463" i="1"/>
  <c r="U463" i="1"/>
  <c r="T463" i="1"/>
  <c r="S463" i="1"/>
  <c r="R463" i="1"/>
  <c r="Q463" i="1"/>
  <c r="P463" i="1"/>
  <c r="O463" i="1"/>
  <c r="N463" i="1"/>
  <c r="W462" i="1"/>
  <c r="V462" i="1"/>
  <c r="U462" i="1"/>
  <c r="T462" i="1"/>
  <c r="S462" i="1"/>
  <c r="R462" i="1"/>
  <c r="Q462" i="1"/>
  <c r="P462" i="1"/>
  <c r="O462" i="1"/>
  <c r="N462" i="1"/>
  <c r="M462" i="1"/>
  <c r="W461" i="1"/>
  <c r="V461" i="1"/>
  <c r="U461" i="1"/>
  <c r="T461" i="1"/>
  <c r="S461" i="1"/>
  <c r="R461" i="1"/>
  <c r="Q461" i="1"/>
  <c r="P461" i="1"/>
  <c r="O461" i="1"/>
  <c r="N461" i="1"/>
  <c r="W460" i="1"/>
  <c r="V460" i="1"/>
  <c r="U460" i="1"/>
  <c r="T460" i="1"/>
  <c r="S460" i="1"/>
  <c r="R460" i="1"/>
  <c r="Q460" i="1"/>
  <c r="P460" i="1"/>
  <c r="O460" i="1"/>
  <c r="N460" i="1"/>
  <c r="W458" i="1"/>
  <c r="V458" i="1"/>
  <c r="U458" i="1"/>
  <c r="T458" i="1"/>
  <c r="S458" i="1"/>
  <c r="R458" i="1"/>
  <c r="Q458" i="1"/>
  <c r="P458" i="1"/>
  <c r="O458" i="1"/>
  <c r="N458" i="1"/>
  <c r="W457" i="1"/>
  <c r="V457" i="1"/>
  <c r="U457" i="1"/>
  <c r="T457" i="1"/>
  <c r="S457" i="1"/>
  <c r="R457" i="1"/>
  <c r="Q457" i="1"/>
  <c r="P457" i="1"/>
  <c r="O457" i="1"/>
  <c r="N457" i="1"/>
  <c r="M457" i="1"/>
  <c r="W456" i="1"/>
  <c r="V456" i="1"/>
  <c r="U456" i="1"/>
  <c r="T456" i="1"/>
  <c r="S456" i="1"/>
  <c r="R456" i="1"/>
  <c r="Q456" i="1"/>
  <c r="P456" i="1"/>
  <c r="O456" i="1"/>
  <c r="N456" i="1"/>
  <c r="W455" i="1"/>
  <c r="V455" i="1"/>
  <c r="U455" i="1"/>
  <c r="T455" i="1"/>
  <c r="S455" i="1"/>
  <c r="R455" i="1"/>
  <c r="Q455" i="1"/>
  <c r="P455" i="1"/>
  <c r="O455" i="1"/>
  <c r="N455" i="1"/>
  <c r="W453" i="1"/>
  <c r="V453" i="1"/>
  <c r="U453" i="1"/>
  <c r="T453" i="1"/>
  <c r="S453" i="1"/>
  <c r="R453" i="1"/>
  <c r="Q453" i="1"/>
  <c r="P453" i="1"/>
  <c r="O453" i="1"/>
  <c r="N453" i="1"/>
  <c r="W452" i="1"/>
  <c r="V452" i="1"/>
  <c r="U452" i="1"/>
  <c r="T452" i="1"/>
  <c r="S452" i="1"/>
  <c r="R452" i="1"/>
  <c r="Q452" i="1"/>
  <c r="P452" i="1"/>
  <c r="O452" i="1"/>
  <c r="N452" i="1"/>
  <c r="M452" i="1"/>
  <c r="W451" i="1"/>
  <c r="V451" i="1"/>
  <c r="U451" i="1"/>
  <c r="T451" i="1"/>
  <c r="S451" i="1"/>
  <c r="R451" i="1"/>
  <c r="Q451" i="1"/>
  <c r="P451" i="1"/>
  <c r="O451" i="1"/>
  <c r="N451" i="1"/>
  <c r="W450" i="1"/>
  <c r="V450" i="1"/>
  <c r="U450" i="1"/>
  <c r="T450" i="1"/>
  <c r="S450" i="1"/>
  <c r="R450" i="1"/>
  <c r="Q450" i="1"/>
  <c r="P450" i="1"/>
  <c r="O450" i="1"/>
  <c r="N450" i="1"/>
  <c r="W448" i="1"/>
  <c r="V448" i="1"/>
  <c r="U448" i="1"/>
  <c r="T448" i="1"/>
  <c r="S448" i="1"/>
  <c r="R448" i="1"/>
  <c r="Q448" i="1"/>
  <c r="P448" i="1"/>
  <c r="O448" i="1"/>
  <c r="N448" i="1"/>
  <c r="W447" i="1"/>
  <c r="V447" i="1"/>
  <c r="U447" i="1"/>
  <c r="T447" i="1"/>
  <c r="S447" i="1"/>
  <c r="R447" i="1"/>
  <c r="Q447" i="1"/>
  <c r="P447" i="1"/>
  <c r="O447" i="1"/>
  <c r="N447" i="1"/>
  <c r="M447" i="1"/>
  <c r="W446" i="1"/>
  <c r="V446" i="1"/>
  <c r="U446" i="1"/>
  <c r="T446" i="1"/>
  <c r="S446" i="1"/>
  <c r="R446" i="1"/>
  <c r="Q446" i="1"/>
  <c r="P446" i="1"/>
  <c r="O446" i="1"/>
  <c r="N446" i="1"/>
  <c r="W445" i="1"/>
  <c r="V445" i="1"/>
  <c r="U445" i="1"/>
  <c r="T445" i="1"/>
  <c r="S445" i="1"/>
  <c r="R445" i="1"/>
  <c r="Q445" i="1"/>
  <c r="P445" i="1"/>
  <c r="O445" i="1"/>
  <c r="N445" i="1"/>
  <c r="W443" i="1"/>
  <c r="V443" i="1"/>
  <c r="U443" i="1"/>
  <c r="T443" i="1"/>
  <c r="S443" i="1"/>
  <c r="R443" i="1"/>
  <c r="Q443" i="1"/>
  <c r="P443" i="1"/>
  <c r="O443" i="1"/>
  <c r="N443" i="1"/>
  <c r="W442" i="1"/>
  <c r="V442" i="1"/>
  <c r="U442" i="1"/>
  <c r="T442" i="1"/>
  <c r="S442" i="1"/>
  <c r="R442" i="1"/>
  <c r="Q442" i="1"/>
  <c r="P442" i="1"/>
  <c r="O442" i="1"/>
  <c r="N442" i="1"/>
  <c r="M442" i="1"/>
  <c r="W441" i="1"/>
  <c r="V441" i="1"/>
  <c r="U441" i="1"/>
  <c r="T441" i="1"/>
  <c r="S441" i="1"/>
  <c r="R441" i="1"/>
  <c r="Q441" i="1"/>
  <c r="P441" i="1"/>
  <c r="O441" i="1"/>
  <c r="N441" i="1"/>
  <c r="W440" i="1"/>
  <c r="V440" i="1"/>
  <c r="U440" i="1"/>
  <c r="T440" i="1"/>
  <c r="S440" i="1"/>
  <c r="R440" i="1"/>
  <c r="Q440" i="1"/>
  <c r="P440" i="1"/>
  <c r="O440" i="1"/>
  <c r="N440" i="1"/>
  <c r="W438" i="1"/>
  <c r="V438" i="1"/>
  <c r="U438" i="1"/>
  <c r="T438" i="1"/>
  <c r="S438" i="1"/>
  <c r="R438" i="1"/>
  <c r="Q438" i="1"/>
  <c r="P438" i="1"/>
  <c r="O438" i="1"/>
  <c r="N438" i="1"/>
  <c r="W437" i="1"/>
  <c r="V437" i="1"/>
  <c r="U437" i="1"/>
  <c r="T437" i="1"/>
  <c r="S437" i="1"/>
  <c r="R437" i="1"/>
  <c r="Q437" i="1"/>
  <c r="P437" i="1"/>
  <c r="O437" i="1"/>
  <c r="N437" i="1"/>
  <c r="M437" i="1"/>
  <c r="W436" i="1"/>
  <c r="V436" i="1"/>
  <c r="U436" i="1"/>
  <c r="T436" i="1"/>
  <c r="S436" i="1"/>
  <c r="R436" i="1"/>
  <c r="Q436" i="1"/>
  <c r="P436" i="1"/>
  <c r="O436" i="1"/>
  <c r="N436" i="1"/>
  <c r="W435" i="1"/>
  <c r="V435" i="1"/>
  <c r="U435" i="1"/>
  <c r="T435" i="1"/>
  <c r="S435" i="1"/>
  <c r="R435" i="1"/>
  <c r="Q435" i="1"/>
  <c r="P435" i="1"/>
  <c r="O435" i="1"/>
  <c r="N435" i="1"/>
  <c r="W433" i="1"/>
  <c r="V433" i="1"/>
  <c r="U433" i="1"/>
  <c r="T433" i="1"/>
  <c r="S433" i="1"/>
  <c r="R433" i="1"/>
  <c r="Q433" i="1"/>
  <c r="P433" i="1"/>
  <c r="O433" i="1"/>
  <c r="N433" i="1"/>
  <c r="W432" i="1"/>
  <c r="V432" i="1"/>
  <c r="U432" i="1"/>
  <c r="T432" i="1"/>
  <c r="S432" i="1"/>
  <c r="R432" i="1"/>
  <c r="Q432" i="1"/>
  <c r="P432" i="1"/>
  <c r="O432" i="1"/>
  <c r="N432" i="1"/>
  <c r="M432" i="1"/>
  <c r="W431" i="1"/>
  <c r="V431" i="1"/>
  <c r="U431" i="1"/>
  <c r="T431" i="1"/>
  <c r="S431" i="1"/>
  <c r="R431" i="1"/>
  <c r="Q431" i="1"/>
  <c r="P431" i="1"/>
  <c r="O431" i="1"/>
  <c r="N431" i="1"/>
  <c r="W430" i="1"/>
  <c r="V430" i="1"/>
  <c r="U430" i="1"/>
  <c r="T430" i="1"/>
  <c r="S430" i="1"/>
  <c r="R430" i="1"/>
  <c r="Q430" i="1"/>
  <c r="P430" i="1"/>
  <c r="O430" i="1"/>
  <c r="N430" i="1"/>
  <c r="W428" i="1"/>
  <c r="V428" i="1"/>
  <c r="U428" i="1"/>
  <c r="T428" i="1"/>
  <c r="S428" i="1"/>
  <c r="R428" i="1"/>
  <c r="Q428" i="1"/>
  <c r="P428" i="1"/>
  <c r="O428" i="1"/>
  <c r="N428" i="1"/>
  <c r="W427" i="1"/>
  <c r="V427" i="1"/>
  <c r="U427" i="1"/>
  <c r="T427" i="1"/>
  <c r="S427" i="1"/>
  <c r="R427" i="1"/>
  <c r="Q427" i="1"/>
  <c r="P427" i="1"/>
  <c r="O427" i="1"/>
  <c r="N427" i="1"/>
  <c r="M427" i="1"/>
  <c r="W426" i="1"/>
  <c r="V426" i="1"/>
  <c r="U426" i="1"/>
  <c r="T426" i="1"/>
  <c r="S426" i="1"/>
  <c r="R426" i="1"/>
  <c r="Q426" i="1"/>
  <c r="P426" i="1"/>
  <c r="O426" i="1"/>
  <c r="N426" i="1"/>
  <c r="W425" i="1"/>
  <c r="V425" i="1"/>
  <c r="U425" i="1"/>
  <c r="T425" i="1"/>
  <c r="S425" i="1"/>
  <c r="R425" i="1"/>
  <c r="Q425" i="1"/>
  <c r="P425" i="1"/>
  <c r="O425" i="1"/>
  <c r="N425" i="1"/>
  <c r="W423" i="1"/>
  <c r="V423" i="1"/>
  <c r="U423" i="1"/>
  <c r="T423" i="1"/>
  <c r="S423" i="1"/>
  <c r="R423" i="1"/>
  <c r="Q423" i="1"/>
  <c r="P423" i="1"/>
  <c r="O423" i="1"/>
  <c r="N423" i="1"/>
  <c r="W422" i="1"/>
  <c r="V422" i="1"/>
  <c r="U422" i="1"/>
  <c r="T422" i="1"/>
  <c r="S422" i="1"/>
  <c r="R422" i="1"/>
  <c r="Q422" i="1"/>
  <c r="P422" i="1"/>
  <c r="O422" i="1"/>
  <c r="N422" i="1"/>
  <c r="M422" i="1"/>
  <c r="W421" i="1"/>
  <c r="V421" i="1"/>
  <c r="U421" i="1"/>
  <c r="T421" i="1"/>
  <c r="S421" i="1"/>
  <c r="R421" i="1"/>
  <c r="Q421" i="1"/>
  <c r="P421" i="1"/>
  <c r="O421" i="1"/>
  <c r="N421" i="1"/>
  <c r="W420" i="1"/>
  <c r="V420" i="1"/>
  <c r="U420" i="1"/>
  <c r="T420" i="1"/>
  <c r="S420" i="1"/>
  <c r="R420" i="1"/>
  <c r="Q420" i="1"/>
  <c r="P420" i="1"/>
  <c r="O420" i="1"/>
  <c r="N420" i="1"/>
  <c r="W418" i="1"/>
  <c r="V418" i="1"/>
  <c r="U418" i="1"/>
  <c r="T418" i="1"/>
  <c r="S418" i="1"/>
  <c r="R418" i="1"/>
  <c r="Q418" i="1"/>
  <c r="P418" i="1"/>
  <c r="O418" i="1"/>
  <c r="N418" i="1"/>
  <c r="W417" i="1"/>
  <c r="V417" i="1"/>
  <c r="U417" i="1"/>
  <c r="T417" i="1"/>
  <c r="S417" i="1"/>
  <c r="R417" i="1"/>
  <c r="Q417" i="1"/>
  <c r="P417" i="1"/>
  <c r="O417" i="1"/>
  <c r="N417" i="1"/>
  <c r="M417" i="1"/>
  <c r="W416" i="1"/>
  <c r="V416" i="1"/>
  <c r="U416" i="1"/>
  <c r="T416" i="1"/>
  <c r="S416" i="1"/>
  <c r="R416" i="1"/>
  <c r="Q416" i="1"/>
  <c r="P416" i="1"/>
  <c r="O416" i="1"/>
  <c r="N416" i="1"/>
  <c r="W415" i="1"/>
  <c r="V415" i="1"/>
  <c r="U415" i="1"/>
  <c r="T415" i="1"/>
  <c r="S415" i="1"/>
  <c r="R415" i="1"/>
  <c r="Q415" i="1"/>
  <c r="P415" i="1"/>
  <c r="O415" i="1"/>
  <c r="N415" i="1"/>
  <c r="W413" i="1"/>
  <c r="V413" i="1"/>
  <c r="U413" i="1"/>
  <c r="T413" i="1"/>
  <c r="S413" i="1"/>
  <c r="R413" i="1"/>
  <c r="Q413" i="1"/>
  <c r="P413" i="1"/>
  <c r="O413" i="1"/>
  <c r="N413" i="1"/>
  <c r="W412" i="1"/>
  <c r="V412" i="1"/>
  <c r="U412" i="1"/>
  <c r="T412" i="1"/>
  <c r="S412" i="1"/>
  <c r="R412" i="1"/>
  <c r="Q412" i="1"/>
  <c r="P412" i="1"/>
  <c r="O412" i="1"/>
  <c r="N412" i="1"/>
  <c r="M412" i="1"/>
  <c r="W411" i="1"/>
  <c r="V411" i="1"/>
  <c r="U411" i="1"/>
  <c r="T411" i="1"/>
  <c r="S411" i="1"/>
  <c r="R411" i="1"/>
  <c r="Q411" i="1"/>
  <c r="P411" i="1"/>
  <c r="O411" i="1"/>
  <c r="N411" i="1"/>
  <c r="W410" i="1"/>
  <c r="V410" i="1"/>
  <c r="U410" i="1"/>
  <c r="T410" i="1"/>
  <c r="S410" i="1"/>
  <c r="R410" i="1"/>
  <c r="Q410" i="1"/>
  <c r="P410" i="1"/>
  <c r="O410" i="1"/>
  <c r="N410" i="1"/>
  <c r="W408" i="1"/>
  <c r="V408" i="1"/>
  <c r="U408" i="1"/>
  <c r="T408" i="1"/>
  <c r="S408" i="1"/>
  <c r="R408" i="1"/>
  <c r="Q408" i="1"/>
  <c r="P408" i="1"/>
  <c r="O408" i="1"/>
  <c r="N408" i="1"/>
  <c r="W407" i="1"/>
  <c r="V407" i="1"/>
  <c r="U407" i="1"/>
  <c r="T407" i="1"/>
  <c r="S407" i="1"/>
  <c r="R407" i="1"/>
  <c r="Q407" i="1"/>
  <c r="P407" i="1"/>
  <c r="O407" i="1"/>
  <c r="N407" i="1"/>
  <c r="M407" i="1"/>
  <c r="W406" i="1"/>
  <c r="V406" i="1"/>
  <c r="U406" i="1"/>
  <c r="T406" i="1"/>
  <c r="S406" i="1"/>
  <c r="R406" i="1"/>
  <c r="Q406" i="1"/>
  <c r="P406" i="1"/>
  <c r="O406" i="1"/>
  <c r="N406" i="1"/>
  <c r="W405" i="1"/>
  <c r="V405" i="1"/>
  <c r="U405" i="1"/>
  <c r="T405" i="1"/>
  <c r="S405" i="1"/>
  <c r="R405" i="1"/>
  <c r="Q405" i="1"/>
  <c r="P405" i="1"/>
  <c r="O405" i="1"/>
  <c r="N405" i="1"/>
  <c r="W403" i="1"/>
  <c r="V403" i="1"/>
  <c r="U403" i="1"/>
  <c r="T403" i="1"/>
  <c r="S403" i="1"/>
  <c r="R403" i="1"/>
  <c r="Q403" i="1"/>
  <c r="P403" i="1"/>
  <c r="O403" i="1"/>
  <c r="N403" i="1"/>
  <c r="W402" i="1"/>
  <c r="V402" i="1"/>
  <c r="U402" i="1"/>
  <c r="T402" i="1"/>
  <c r="S402" i="1"/>
  <c r="R402" i="1"/>
  <c r="Q402" i="1"/>
  <c r="P402" i="1"/>
  <c r="O402" i="1"/>
  <c r="N402" i="1"/>
  <c r="M402" i="1"/>
  <c r="W401" i="1"/>
  <c r="V401" i="1"/>
  <c r="U401" i="1"/>
  <c r="T401" i="1"/>
  <c r="S401" i="1"/>
  <c r="R401" i="1"/>
  <c r="Q401" i="1"/>
  <c r="P401" i="1"/>
  <c r="O401" i="1"/>
  <c r="N401" i="1"/>
  <c r="W400" i="1"/>
  <c r="V400" i="1"/>
  <c r="U400" i="1"/>
  <c r="T400" i="1"/>
  <c r="S400" i="1"/>
  <c r="R400" i="1"/>
  <c r="Q400" i="1"/>
  <c r="P400" i="1"/>
  <c r="O400" i="1"/>
  <c r="N400" i="1"/>
  <c r="W398" i="1"/>
  <c r="V398" i="1"/>
  <c r="U398" i="1"/>
  <c r="T398" i="1"/>
  <c r="S398" i="1"/>
  <c r="R398" i="1"/>
  <c r="Q398" i="1"/>
  <c r="P398" i="1"/>
  <c r="O398" i="1"/>
  <c r="N398" i="1"/>
  <c r="W397" i="1"/>
  <c r="V397" i="1"/>
  <c r="U397" i="1"/>
  <c r="T397" i="1"/>
  <c r="S397" i="1"/>
  <c r="R397" i="1"/>
  <c r="Q397" i="1"/>
  <c r="P397" i="1"/>
  <c r="O397" i="1"/>
  <c r="N397" i="1"/>
  <c r="W396" i="1"/>
  <c r="V396" i="1"/>
  <c r="U396" i="1"/>
  <c r="T396" i="1"/>
  <c r="S396" i="1"/>
  <c r="R396" i="1"/>
  <c r="Q396" i="1"/>
  <c r="P396" i="1"/>
  <c r="O396" i="1"/>
  <c r="N396" i="1"/>
  <c r="W395" i="1"/>
  <c r="V395" i="1"/>
  <c r="U395" i="1"/>
  <c r="T395" i="1"/>
  <c r="S395" i="1"/>
  <c r="R395" i="1"/>
  <c r="Q395" i="1"/>
  <c r="P395" i="1"/>
  <c r="O395" i="1"/>
  <c r="N395" i="1"/>
  <c r="W183" i="1"/>
  <c r="V183" i="1"/>
  <c r="U183" i="1"/>
  <c r="T183" i="1"/>
  <c r="S183" i="1"/>
  <c r="R183" i="1"/>
  <c r="Q183" i="1"/>
  <c r="P183" i="1"/>
  <c r="O183" i="1"/>
  <c r="N183" i="1"/>
  <c r="W182" i="1"/>
  <c r="V182" i="1"/>
  <c r="U182" i="1"/>
  <c r="T182" i="1"/>
  <c r="S182" i="1"/>
  <c r="R182" i="1"/>
  <c r="Q182" i="1"/>
  <c r="P182" i="1"/>
  <c r="O182" i="1"/>
  <c r="N182" i="1"/>
  <c r="M182" i="1"/>
  <c r="W181" i="1"/>
  <c r="V181" i="1"/>
  <c r="U181" i="1"/>
  <c r="T181" i="1"/>
  <c r="S181" i="1"/>
  <c r="R181" i="1"/>
  <c r="Q181" i="1"/>
  <c r="P181" i="1"/>
  <c r="O181" i="1"/>
  <c r="N181" i="1"/>
  <c r="W180" i="1"/>
  <c r="V180" i="1"/>
  <c r="U180" i="1"/>
  <c r="T180" i="1"/>
  <c r="S180" i="1"/>
  <c r="R180" i="1"/>
  <c r="Q180" i="1"/>
  <c r="P180" i="1"/>
  <c r="O180" i="1"/>
  <c r="N180" i="1"/>
  <c r="W178" i="1"/>
  <c r="V178" i="1"/>
  <c r="U178" i="1"/>
  <c r="T178" i="1"/>
  <c r="S178" i="1"/>
  <c r="R178" i="1"/>
  <c r="Q178" i="1"/>
  <c r="P178" i="1"/>
  <c r="O178" i="1"/>
  <c r="N178" i="1"/>
  <c r="W177" i="1"/>
  <c r="V177" i="1"/>
  <c r="U177" i="1"/>
  <c r="T177" i="1"/>
  <c r="S177" i="1"/>
  <c r="R177" i="1"/>
  <c r="Q177" i="1"/>
  <c r="P177" i="1"/>
  <c r="O177" i="1"/>
  <c r="N177" i="1"/>
  <c r="W176" i="1"/>
  <c r="V176" i="1"/>
  <c r="U176" i="1"/>
  <c r="T176" i="1"/>
  <c r="S176" i="1"/>
  <c r="R176" i="1"/>
  <c r="Q176" i="1"/>
  <c r="P176" i="1"/>
  <c r="O176" i="1"/>
  <c r="N176" i="1"/>
  <c r="W175" i="1"/>
  <c r="V175" i="1"/>
  <c r="U175" i="1"/>
  <c r="T175" i="1"/>
  <c r="S175" i="1"/>
  <c r="R175" i="1"/>
  <c r="Q175" i="1"/>
  <c r="P175" i="1"/>
  <c r="O175" i="1"/>
  <c r="N175" i="1"/>
  <c r="W173" i="1"/>
  <c r="V173" i="1"/>
  <c r="U173" i="1"/>
  <c r="T173" i="1"/>
  <c r="S173" i="1"/>
  <c r="R173" i="1"/>
  <c r="Q173" i="1"/>
  <c r="P173" i="1"/>
  <c r="O173" i="1"/>
  <c r="N173" i="1"/>
  <c r="W172" i="1"/>
  <c r="V172" i="1"/>
  <c r="U172" i="1"/>
  <c r="T172" i="1"/>
  <c r="S172" i="1"/>
  <c r="R172" i="1"/>
  <c r="Q172" i="1"/>
  <c r="P172" i="1"/>
  <c r="O172" i="1"/>
  <c r="N172" i="1"/>
  <c r="W171" i="1"/>
  <c r="V171" i="1"/>
  <c r="U171" i="1"/>
  <c r="T171" i="1"/>
  <c r="S171" i="1"/>
  <c r="R171" i="1"/>
  <c r="Q171" i="1"/>
  <c r="P171" i="1"/>
  <c r="O171" i="1"/>
  <c r="N171" i="1"/>
  <c r="W170" i="1"/>
  <c r="V170" i="1"/>
  <c r="U170" i="1"/>
  <c r="T170" i="1"/>
  <c r="S170" i="1"/>
  <c r="R170" i="1"/>
  <c r="Q170" i="1"/>
  <c r="P170" i="1"/>
  <c r="O170" i="1"/>
  <c r="N170" i="1"/>
  <c r="W168" i="1"/>
  <c r="V168" i="1"/>
  <c r="U168" i="1"/>
  <c r="T168" i="1"/>
  <c r="S168" i="1"/>
  <c r="R168" i="1"/>
  <c r="Q168" i="1"/>
  <c r="P168" i="1"/>
  <c r="O168" i="1"/>
  <c r="N168" i="1"/>
  <c r="W167" i="1"/>
  <c r="V167" i="1"/>
  <c r="U167" i="1"/>
  <c r="T167" i="1"/>
  <c r="S167" i="1"/>
  <c r="R167" i="1"/>
  <c r="Q167" i="1"/>
  <c r="P167" i="1"/>
  <c r="O167" i="1"/>
  <c r="N167" i="1"/>
  <c r="W166" i="1"/>
  <c r="V166" i="1"/>
  <c r="U166" i="1"/>
  <c r="T166" i="1"/>
  <c r="S166" i="1"/>
  <c r="R166" i="1"/>
  <c r="Q166" i="1"/>
  <c r="P166" i="1"/>
  <c r="O166" i="1"/>
  <c r="N166" i="1"/>
  <c r="W165" i="1"/>
  <c r="V165" i="1"/>
  <c r="U165" i="1"/>
  <c r="T165" i="1"/>
  <c r="S165" i="1"/>
  <c r="R165" i="1"/>
  <c r="Q165" i="1"/>
  <c r="P165" i="1"/>
  <c r="O165" i="1"/>
  <c r="N165" i="1"/>
  <c r="W163" i="1"/>
  <c r="V163" i="1"/>
  <c r="U163" i="1"/>
  <c r="T163" i="1"/>
  <c r="S163" i="1"/>
  <c r="R163" i="1"/>
  <c r="Q163" i="1"/>
  <c r="P163" i="1"/>
  <c r="O163" i="1"/>
  <c r="N163" i="1"/>
  <c r="W162" i="1"/>
  <c r="V162" i="1"/>
  <c r="U162" i="1"/>
  <c r="T162" i="1"/>
  <c r="S162" i="1"/>
  <c r="R162" i="1"/>
  <c r="Q162" i="1"/>
  <c r="P162" i="1"/>
  <c r="O162" i="1"/>
  <c r="N162" i="1"/>
  <c r="W161" i="1"/>
  <c r="V161" i="1"/>
  <c r="U161" i="1"/>
  <c r="T161" i="1"/>
  <c r="S161" i="1"/>
  <c r="R161" i="1"/>
  <c r="Q161" i="1"/>
  <c r="P161" i="1"/>
  <c r="O161" i="1"/>
  <c r="N161" i="1"/>
  <c r="W160" i="1"/>
  <c r="V160" i="1"/>
  <c r="U160" i="1"/>
  <c r="T160" i="1"/>
  <c r="S160" i="1"/>
  <c r="R160" i="1"/>
  <c r="Q160" i="1"/>
  <c r="P160" i="1"/>
  <c r="O160" i="1"/>
  <c r="N160" i="1"/>
  <c r="W158" i="1"/>
  <c r="V158" i="1"/>
  <c r="U158" i="1"/>
  <c r="T158" i="1"/>
  <c r="S158" i="1"/>
  <c r="R158" i="1"/>
  <c r="Q158" i="1"/>
  <c r="P158" i="1"/>
  <c r="O158" i="1"/>
  <c r="N158" i="1"/>
  <c r="W157" i="1"/>
  <c r="V157" i="1"/>
  <c r="U157" i="1"/>
  <c r="T157" i="1"/>
  <c r="S157" i="1"/>
  <c r="R157" i="1"/>
  <c r="Q157" i="1"/>
  <c r="P157" i="1"/>
  <c r="O157" i="1"/>
  <c r="N157" i="1"/>
  <c r="M157" i="1"/>
  <c r="W156" i="1"/>
  <c r="V156" i="1"/>
  <c r="U156" i="1"/>
  <c r="T156" i="1"/>
  <c r="S156" i="1"/>
  <c r="R156" i="1"/>
  <c r="Q156" i="1"/>
  <c r="P156" i="1"/>
  <c r="O156" i="1"/>
  <c r="N156" i="1"/>
  <c r="W155" i="1"/>
  <c r="V155" i="1"/>
  <c r="U155" i="1"/>
  <c r="T155" i="1"/>
  <c r="S155" i="1"/>
  <c r="R155" i="1"/>
  <c r="Q155" i="1"/>
  <c r="P155" i="1"/>
  <c r="O155" i="1"/>
  <c r="N155" i="1"/>
  <c r="W153" i="1"/>
  <c r="V153" i="1"/>
  <c r="U153" i="1"/>
  <c r="T153" i="1"/>
  <c r="S153" i="1"/>
  <c r="R153" i="1"/>
  <c r="Q153" i="1"/>
  <c r="P153" i="1"/>
  <c r="O153" i="1"/>
  <c r="N153" i="1"/>
  <c r="W152" i="1"/>
  <c r="V152" i="1"/>
  <c r="U152" i="1"/>
  <c r="T152" i="1"/>
  <c r="S152" i="1"/>
  <c r="R152" i="1"/>
  <c r="Q152" i="1"/>
  <c r="P152" i="1"/>
  <c r="O152" i="1"/>
  <c r="N152" i="1"/>
  <c r="M152" i="1"/>
  <c r="W151" i="1"/>
  <c r="V151" i="1"/>
  <c r="U151" i="1"/>
  <c r="T151" i="1"/>
  <c r="S151" i="1"/>
  <c r="R151" i="1"/>
  <c r="Q151" i="1"/>
  <c r="P151" i="1"/>
  <c r="O151" i="1"/>
  <c r="N151" i="1"/>
  <c r="W150" i="1"/>
  <c r="V150" i="1"/>
  <c r="U150" i="1"/>
  <c r="T150" i="1"/>
  <c r="S150" i="1"/>
  <c r="R150" i="1"/>
  <c r="Q150" i="1"/>
  <c r="P150" i="1"/>
  <c r="O150" i="1"/>
  <c r="N150" i="1"/>
  <c r="W148" i="1"/>
  <c r="V148" i="1"/>
  <c r="U148" i="1"/>
  <c r="T148" i="1"/>
  <c r="S148" i="1"/>
  <c r="R148" i="1"/>
  <c r="Q148" i="1"/>
  <c r="P148" i="1"/>
  <c r="O148" i="1"/>
  <c r="N148" i="1"/>
  <c r="W147" i="1"/>
  <c r="V147" i="1"/>
  <c r="U147" i="1"/>
  <c r="T147" i="1"/>
  <c r="S147" i="1"/>
  <c r="R147" i="1"/>
  <c r="Q147" i="1"/>
  <c r="P147" i="1"/>
  <c r="O147" i="1"/>
  <c r="N147" i="1"/>
  <c r="M147" i="1"/>
  <c r="W146" i="1"/>
  <c r="V146" i="1"/>
  <c r="U146" i="1"/>
  <c r="T146" i="1"/>
  <c r="S146" i="1"/>
  <c r="R146" i="1"/>
  <c r="Q146" i="1"/>
  <c r="P146" i="1"/>
  <c r="O146" i="1"/>
  <c r="N146" i="1"/>
  <c r="W145" i="1"/>
  <c r="V145" i="1"/>
  <c r="U145" i="1"/>
  <c r="T145" i="1"/>
  <c r="S145" i="1"/>
  <c r="R145" i="1"/>
  <c r="Q145" i="1"/>
  <c r="P145" i="1"/>
  <c r="O145" i="1"/>
  <c r="N145" i="1"/>
  <c r="W143" i="1"/>
  <c r="V143" i="1"/>
  <c r="U143" i="1"/>
  <c r="T143" i="1"/>
  <c r="S143" i="1"/>
  <c r="R143" i="1"/>
  <c r="Q143" i="1"/>
  <c r="P143" i="1"/>
  <c r="O143" i="1"/>
  <c r="N143" i="1"/>
  <c r="W142" i="1"/>
  <c r="V142" i="1"/>
  <c r="U142" i="1"/>
  <c r="T142" i="1"/>
  <c r="S142" i="1"/>
  <c r="R142" i="1"/>
  <c r="Q142" i="1"/>
  <c r="P142" i="1"/>
  <c r="O142" i="1"/>
  <c r="N142" i="1"/>
  <c r="M142" i="1"/>
  <c r="W141" i="1"/>
  <c r="V141" i="1"/>
  <c r="U141" i="1"/>
  <c r="T141" i="1"/>
  <c r="S141" i="1"/>
  <c r="R141" i="1"/>
  <c r="Q141" i="1"/>
  <c r="P141" i="1"/>
  <c r="O141" i="1"/>
  <c r="N141" i="1"/>
  <c r="W140" i="1"/>
  <c r="V140" i="1"/>
  <c r="U140" i="1"/>
  <c r="T140" i="1"/>
  <c r="S140" i="1"/>
  <c r="R140" i="1"/>
  <c r="Q140" i="1"/>
  <c r="P140" i="1"/>
  <c r="O140" i="1"/>
  <c r="N140" i="1"/>
  <c r="W138" i="1"/>
  <c r="V138" i="1"/>
  <c r="U138" i="1"/>
  <c r="T138" i="1"/>
  <c r="S138" i="1"/>
  <c r="R138" i="1"/>
  <c r="Q138" i="1"/>
  <c r="P138" i="1"/>
  <c r="O138" i="1"/>
  <c r="N138" i="1"/>
  <c r="W137" i="1"/>
  <c r="V137" i="1"/>
  <c r="U137" i="1"/>
  <c r="T137" i="1"/>
  <c r="S137" i="1"/>
  <c r="R137" i="1"/>
  <c r="Q137" i="1"/>
  <c r="P137" i="1"/>
  <c r="O137" i="1"/>
  <c r="N137" i="1"/>
  <c r="M137" i="1"/>
  <c r="W136" i="1"/>
  <c r="V136" i="1"/>
  <c r="U136" i="1"/>
  <c r="T136" i="1"/>
  <c r="S136" i="1"/>
  <c r="R136" i="1"/>
  <c r="Q136" i="1"/>
  <c r="P136" i="1"/>
  <c r="O136" i="1"/>
  <c r="N136" i="1"/>
  <c r="W135" i="1"/>
  <c r="V135" i="1"/>
  <c r="U135" i="1"/>
  <c r="T135" i="1"/>
  <c r="S135" i="1"/>
  <c r="R135" i="1"/>
  <c r="Q135" i="1"/>
  <c r="P135" i="1"/>
  <c r="O135" i="1"/>
  <c r="N135" i="1"/>
  <c r="W133" i="1"/>
  <c r="V133" i="1"/>
  <c r="U133" i="1"/>
  <c r="T133" i="1"/>
  <c r="S133" i="1"/>
  <c r="R133" i="1"/>
  <c r="Q133" i="1"/>
  <c r="P133" i="1"/>
  <c r="O133" i="1"/>
  <c r="N133" i="1"/>
  <c r="W132" i="1"/>
  <c r="V132" i="1"/>
  <c r="U132" i="1"/>
  <c r="T132" i="1"/>
  <c r="S132" i="1"/>
  <c r="R132" i="1"/>
  <c r="Q132" i="1"/>
  <c r="P132" i="1"/>
  <c r="O132" i="1"/>
  <c r="N132" i="1"/>
  <c r="M132" i="1"/>
  <c r="W131" i="1"/>
  <c r="V131" i="1"/>
  <c r="U131" i="1"/>
  <c r="T131" i="1"/>
  <c r="S131" i="1"/>
  <c r="R131" i="1"/>
  <c r="Q131" i="1"/>
  <c r="P131" i="1"/>
  <c r="O131" i="1"/>
  <c r="N131" i="1"/>
  <c r="W130" i="1"/>
  <c r="V130" i="1"/>
  <c r="U130" i="1"/>
  <c r="T130" i="1"/>
  <c r="S130" i="1"/>
  <c r="R130" i="1"/>
  <c r="Q130" i="1"/>
  <c r="P130" i="1"/>
  <c r="O130" i="1"/>
  <c r="N130" i="1"/>
  <c r="W128" i="1"/>
  <c r="V128" i="1"/>
  <c r="U128" i="1"/>
  <c r="T128" i="1"/>
  <c r="S128" i="1"/>
  <c r="R128" i="1"/>
  <c r="Q128" i="1"/>
  <c r="P128" i="1"/>
  <c r="O128" i="1"/>
  <c r="N128" i="1"/>
  <c r="W127" i="1"/>
  <c r="V127" i="1"/>
  <c r="U127" i="1"/>
  <c r="T127" i="1"/>
  <c r="S127" i="1"/>
  <c r="R127" i="1"/>
  <c r="Q127" i="1"/>
  <c r="P127" i="1"/>
  <c r="O127" i="1"/>
  <c r="N127" i="1"/>
  <c r="M127" i="1"/>
  <c r="W126" i="1"/>
  <c r="V126" i="1"/>
  <c r="U126" i="1"/>
  <c r="T126" i="1"/>
  <c r="S126" i="1"/>
  <c r="R126" i="1"/>
  <c r="Q126" i="1"/>
  <c r="P126" i="1"/>
  <c r="O126" i="1"/>
  <c r="N126" i="1"/>
  <c r="W125" i="1"/>
  <c r="V125" i="1"/>
  <c r="U125" i="1"/>
  <c r="T125" i="1"/>
  <c r="S125" i="1"/>
  <c r="R125" i="1"/>
  <c r="Q125" i="1"/>
  <c r="P125" i="1"/>
  <c r="O125" i="1"/>
  <c r="N125" i="1"/>
  <c r="W123" i="1"/>
  <c r="V123" i="1"/>
  <c r="U123" i="1"/>
  <c r="T123" i="1"/>
  <c r="S123" i="1"/>
  <c r="R123" i="1"/>
  <c r="Q123" i="1"/>
  <c r="P123" i="1"/>
  <c r="O123" i="1"/>
  <c r="N123" i="1"/>
  <c r="W122" i="1"/>
  <c r="V122" i="1"/>
  <c r="U122" i="1"/>
  <c r="T122" i="1"/>
  <c r="S122" i="1"/>
  <c r="R122" i="1"/>
  <c r="Q122" i="1"/>
  <c r="P122" i="1"/>
  <c r="O122" i="1"/>
  <c r="N122" i="1"/>
  <c r="M122" i="1"/>
  <c r="W121" i="1"/>
  <c r="V121" i="1"/>
  <c r="U121" i="1"/>
  <c r="T121" i="1"/>
  <c r="S121" i="1"/>
  <c r="R121" i="1"/>
  <c r="Q121" i="1"/>
  <c r="P121" i="1"/>
  <c r="O121" i="1"/>
  <c r="N121" i="1"/>
  <c r="W120" i="1"/>
  <c r="V120" i="1"/>
  <c r="U120" i="1"/>
  <c r="T120" i="1"/>
  <c r="S120" i="1"/>
  <c r="R120" i="1"/>
  <c r="Q120" i="1"/>
  <c r="P120" i="1"/>
  <c r="O120" i="1"/>
  <c r="N120" i="1"/>
  <c r="W118" i="1"/>
  <c r="V118" i="1"/>
  <c r="U118" i="1"/>
  <c r="T118" i="1"/>
  <c r="S118" i="1"/>
  <c r="R118" i="1"/>
  <c r="Q118" i="1"/>
  <c r="P118" i="1"/>
  <c r="O118" i="1"/>
  <c r="N118" i="1"/>
  <c r="W117" i="1"/>
  <c r="V117" i="1"/>
  <c r="U117" i="1"/>
  <c r="T117" i="1"/>
  <c r="S117" i="1"/>
  <c r="R117" i="1"/>
  <c r="Q117" i="1"/>
  <c r="P117" i="1"/>
  <c r="O117" i="1"/>
  <c r="N117" i="1"/>
  <c r="M117" i="1"/>
  <c r="W116" i="1"/>
  <c r="V116" i="1"/>
  <c r="U116" i="1"/>
  <c r="T116" i="1"/>
  <c r="S116" i="1"/>
  <c r="R116" i="1"/>
  <c r="Q116" i="1"/>
  <c r="P116" i="1"/>
  <c r="O116" i="1"/>
  <c r="N116" i="1"/>
  <c r="W115" i="1"/>
  <c r="V115" i="1"/>
  <c r="U115" i="1"/>
  <c r="T115" i="1"/>
  <c r="S115" i="1"/>
  <c r="R115" i="1"/>
  <c r="Q115" i="1"/>
  <c r="P115" i="1"/>
  <c r="O115" i="1"/>
  <c r="N115" i="1"/>
  <c r="W113" i="1"/>
  <c r="V113" i="1"/>
  <c r="U113" i="1"/>
  <c r="T113" i="1"/>
  <c r="S113" i="1"/>
  <c r="R113" i="1"/>
  <c r="Q113" i="1"/>
  <c r="P113" i="1"/>
  <c r="O113" i="1"/>
  <c r="N113" i="1"/>
  <c r="W112" i="1"/>
  <c r="V112" i="1"/>
  <c r="U112" i="1"/>
  <c r="T112" i="1"/>
  <c r="S112" i="1"/>
  <c r="R112" i="1"/>
  <c r="Q112" i="1"/>
  <c r="P112" i="1"/>
  <c r="O112" i="1"/>
  <c r="N112" i="1"/>
  <c r="M112" i="1"/>
  <c r="W111" i="1"/>
  <c r="V111" i="1"/>
  <c r="U111" i="1"/>
  <c r="T111" i="1"/>
  <c r="S111" i="1"/>
  <c r="R111" i="1"/>
  <c r="Q111" i="1"/>
  <c r="P111" i="1"/>
  <c r="O111" i="1"/>
  <c r="N111" i="1"/>
  <c r="W110" i="1"/>
  <c r="V110" i="1"/>
  <c r="U110" i="1"/>
  <c r="T110" i="1"/>
  <c r="S110" i="1"/>
  <c r="R110" i="1"/>
  <c r="Q110" i="1"/>
  <c r="P110" i="1"/>
  <c r="O110" i="1"/>
  <c r="N110" i="1"/>
  <c r="W108" i="1"/>
  <c r="V108" i="1"/>
  <c r="U108" i="1"/>
  <c r="T108" i="1"/>
  <c r="S108" i="1"/>
  <c r="R108" i="1"/>
  <c r="Q108" i="1"/>
  <c r="P108" i="1"/>
  <c r="O108" i="1"/>
  <c r="N108" i="1"/>
  <c r="W107" i="1"/>
  <c r="V107" i="1"/>
  <c r="U107" i="1"/>
  <c r="T107" i="1"/>
  <c r="S107" i="1"/>
  <c r="R107" i="1"/>
  <c r="Q107" i="1"/>
  <c r="P107" i="1"/>
  <c r="O107" i="1"/>
  <c r="N107" i="1"/>
  <c r="M107" i="1"/>
  <c r="W106" i="1"/>
  <c r="V106" i="1"/>
  <c r="U106" i="1"/>
  <c r="T106" i="1"/>
  <c r="S106" i="1"/>
  <c r="R106" i="1"/>
  <c r="Q106" i="1"/>
  <c r="P106" i="1"/>
  <c r="O106" i="1"/>
  <c r="N106" i="1"/>
  <c r="W105" i="1"/>
  <c r="V105" i="1"/>
  <c r="U105" i="1"/>
  <c r="T105" i="1"/>
  <c r="S105" i="1"/>
  <c r="R105" i="1"/>
  <c r="Q105" i="1"/>
  <c r="P105" i="1"/>
  <c r="O105" i="1"/>
  <c r="N105" i="1"/>
  <c r="W103" i="1"/>
  <c r="V103" i="1"/>
  <c r="U103" i="1"/>
  <c r="T103" i="1"/>
  <c r="S103" i="1"/>
  <c r="R103" i="1"/>
  <c r="Q103" i="1"/>
  <c r="P103" i="1"/>
  <c r="O103" i="1"/>
  <c r="N103" i="1"/>
  <c r="W102" i="1"/>
  <c r="V102" i="1"/>
  <c r="U102" i="1"/>
  <c r="T102" i="1"/>
  <c r="S102" i="1"/>
  <c r="R102" i="1"/>
  <c r="Q102" i="1"/>
  <c r="P102" i="1"/>
  <c r="O102" i="1"/>
  <c r="N102" i="1"/>
  <c r="M102" i="1"/>
  <c r="W101" i="1"/>
  <c r="V101" i="1"/>
  <c r="U101" i="1"/>
  <c r="T101" i="1"/>
  <c r="S101" i="1"/>
  <c r="R101" i="1"/>
  <c r="Q101" i="1"/>
  <c r="P101" i="1"/>
  <c r="O101" i="1"/>
  <c r="N101" i="1"/>
  <c r="W100" i="1"/>
  <c r="V100" i="1"/>
  <c r="U100" i="1"/>
  <c r="T100" i="1"/>
  <c r="S100" i="1"/>
  <c r="R100" i="1"/>
  <c r="Q100" i="1"/>
  <c r="P100" i="1"/>
  <c r="O100" i="1"/>
  <c r="N100" i="1"/>
  <c r="W98" i="1"/>
  <c r="V98" i="1"/>
  <c r="U98" i="1"/>
  <c r="T98" i="1"/>
  <c r="S98" i="1"/>
  <c r="R98" i="1"/>
  <c r="Q98" i="1"/>
  <c r="P98" i="1"/>
  <c r="O98" i="1"/>
  <c r="N98" i="1"/>
  <c r="W97" i="1"/>
  <c r="V97" i="1"/>
  <c r="U97" i="1"/>
  <c r="T97" i="1"/>
  <c r="S97" i="1"/>
  <c r="R97" i="1"/>
  <c r="Q97" i="1"/>
  <c r="P97" i="1"/>
  <c r="O97" i="1"/>
  <c r="N97" i="1"/>
  <c r="M97" i="1"/>
  <c r="W96" i="1"/>
  <c r="V96" i="1"/>
  <c r="U96" i="1"/>
  <c r="T96" i="1"/>
  <c r="S96" i="1"/>
  <c r="R96" i="1"/>
  <c r="Q96" i="1"/>
  <c r="P96" i="1"/>
  <c r="O96" i="1"/>
  <c r="N96" i="1"/>
  <c r="W95" i="1"/>
  <c r="V95" i="1"/>
  <c r="U95" i="1"/>
  <c r="T95" i="1"/>
  <c r="S95" i="1"/>
  <c r="R95" i="1"/>
  <c r="Q95" i="1"/>
  <c r="P95" i="1"/>
  <c r="O95" i="1"/>
  <c r="N95" i="1"/>
  <c r="W93" i="1"/>
  <c r="V93" i="1"/>
  <c r="U93" i="1"/>
  <c r="T93" i="1"/>
  <c r="S93" i="1"/>
  <c r="R93" i="1"/>
  <c r="Q93" i="1"/>
  <c r="P93" i="1"/>
  <c r="O93" i="1"/>
  <c r="N93" i="1"/>
  <c r="W92" i="1"/>
  <c r="V92" i="1"/>
  <c r="U92" i="1"/>
  <c r="T92" i="1"/>
  <c r="S92" i="1"/>
  <c r="R92" i="1"/>
  <c r="Q92" i="1"/>
  <c r="P92" i="1"/>
  <c r="O92" i="1"/>
  <c r="N92" i="1"/>
  <c r="M92" i="1"/>
  <c r="W91" i="1"/>
  <c r="V91" i="1"/>
  <c r="U91" i="1"/>
  <c r="T91" i="1"/>
  <c r="S91" i="1"/>
  <c r="R91" i="1"/>
  <c r="Q91" i="1"/>
  <c r="P91" i="1"/>
  <c r="O91" i="1"/>
  <c r="N91" i="1"/>
  <c r="W90" i="1"/>
  <c r="V90" i="1"/>
  <c r="U90" i="1"/>
  <c r="T90" i="1"/>
  <c r="S90" i="1"/>
  <c r="R90" i="1"/>
  <c r="Q90" i="1"/>
  <c r="P90" i="1"/>
  <c r="O90" i="1"/>
  <c r="N90" i="1"/>
  <c r="W88" i="1"/>
  <c r="V88" i="1"/>
  <c r="U88" i="1"/>
  <c r="T88" i="1"/>
  <c r="S88" i="1"/>
  <c r="R88" i="1"/>
  <c r="Q88" i="1"/>
  <c r="P88" i="1"/>
  <c r="O88" i="1"/>
  <c r="N88" i="1"/>
  <c r="W87" i="1"/>
  <c r="V87" i="1"/>
  <c r="U87" i="1"/>
  <c r="T87" i="1"/>
  <c r="S87" i="1"/>
  <c r="R87" i="1"/>
  <c r="Q87" i="1"/>
  <c r="P87" i="1"/>
  <c r="O87" i="1"/>
  <c r="N87" i="1"/>
  <c r="M87" i="1"/>
  <c r="W86" i="1"/>
  <c r="V86" i="1"/>
  <c r="U86" i="1"/>
  <c r="T86" i="1"/>
  <c r="S86" i="1"/>
  <c r="R86" i="1"/>
  <c r="Q86" i="1"/>
  <c r="P86" i="1"/>
  <c r="O86" i="1"/>
  <c r="N86" i="1"/>
  <c r="W85" i="1"/>
  <c r="V85" i="1"/>
  <c r="U85" i="1"/>
  <c r="T85" i="1"/>
  <c r="S85" i="1"/>
  <c r="R85" i="1"/>
  <c r="Q85" i="1"/>
  <c r="P85" i="1"/>
  <c r="O85" i="1"/>
  <c r="N85" i="1"/>
  <c r="W83" i="1"/>
  <c r="V83" i="1"/>
  <c r="U83" i="1"/>
  <c r="T83" i="1"/>
  <c r="S83" i="1"/>
  <c r="R83" i="1"/>
  <c r="Q83" i="1"/>
  <c r="P83" i="1"/>
  <c r="O83" i="1"/>
  <c r="N83" i="1"/>
  <c r="W82" i="1"/>
  <c r="V82" i="1"/>
  <c r="U82" i="1"/>
  <c r="T82" i="1"/>
  <c r="S82" i="1"/>
  <c r="R82" i="1"/>
  <c r="Q82" i="1"/>
  <c r="P82" i="1"/>
  <c r="O82" i="1"/>
  <c r="N82" i="1"/>
  <c r="M82" i="1"/>
  <c r="W81" i="1"/>
  <c r="V81" i="1"/>
  <c r="U81" i="1"/>
  <c r="T81" i="1"/>
  <c r="S81" i="1"/>
  <c r="R81" i="1"/>
  <c r="Q81" i="1"/>
  <c r="P81" i="1"/>
  <c r="O81" i="1"/>
  <c r="N81" i="1"/>
  <c r="W80" i="1"/>
  <c r="V80" i="1"/>
  <c r="U80" i="1"/>
  <c r="T80" i="1"/>
  <c r="S80" i="1"/>
  <c r="R80" i="1"/>
  <c r="Q80" i="1"/>
  <c r="P80" i="1"/>
  <c r="O80" i="1"/>
  <c r="N80" i="1"/>
  <c r="W78" i="1"/>
  <c r="V78" i="1"/>
  <c r="U78" i="1"/>
  <c r="T78" i="1"/>
  <c r="S78" i="1"/>
  <c r="R78" i="1"/>
  <c r="Q78" i="1"/>
  <c r="P78" i="1"/>
  <c r="O78" i="1"/>
  <c r="N78" i="1"/>
  <c r="W77" i="1"/>
  <c r="V77" i="1"/>
  <c r="U77" i="1"/>
  <c r="T77" i="1"/>
  <c r="S77" i="1"/>
  <c r="R77" i="1"/>
  <c r="Q77" i="1"/>
  <c r="P77" i="1"/>
  <c r="O77" i="1"/>
  <c r="N77" i="1"/>
  <c r="W76" i="1"/>
  <c r="V76" i="1"/>
  <c r="U76" i="1"/>
  <c r="T76" i="1"/>
  <c r="S76" i="1"/>
  <c r="R76" i="1"/>
  <c r="Q76" i="1"/>
  <c r="P76" i="1"/>
  <c r="O76" i="1"/>
  <c r="N76" i="1"/>
  <c r="W75" i="1"/>
  <c r="V75" i="1"/>
  <c r="U75" i="1"/>
  <c r="T75" i="1"/>
  <c r="S75" i="1"/>
  <c r="R75" i="1"/>
  <c r="Q75" i="1"/>
  <c r="P75" i="1"/>
  <c r="O75" i="1"/>
  <c r="N75" i="1"/>
  <c r="W73" i="1"/>
  <c r="V73" i="1"/>
  <c r="U73" i="1"/>
  <c r="T73" i="1"/>
  <c r="S73" i="1"/>
  <c r="R73" i="1"/>
  <c r="Q73" i="1"/>
  <c r="P73" i="1"/>
  <c r="O73" i="1"/>
  <c r="N73" i="1"/>
  <c r="W72" i="1"/>
  <c r="V72" i="1"/>
  <c r="U72" i="1"/>
  <c r="T72" i="1"/>
  <c r="S72" i="1"/>
  <c r="R72" i="1"/>
  <c r="Q72" i="1"/>
  <c r="P72" i="1"/>
  <c r="O72" i="1"/>
  <c r="N72" i="1"/>
  <c r="W71" i="1"/>
  <c r="V71" i="1"/>
  <c r="U71" i="1"/>
  <c r="T71" i="1"/>
  <c r="S71" i="1"/>
  <c r="R71" i="1"/>
  <c r="Q71" i="1"/>
  <c r="P71" i="1"/>
  <c r="O71" i="1"/>
  <c r="N71" i="1"/>
  <c r="W70" i="1"/>
  <c r="V70" i="1"/>
  <c r="U70" i="1"/>
  <c r="T70" i="1"/>
  <c r="S70" i="1"/>
  <c r="R70" i="1"/>
  <c r="Q70" i="1"/>
  <c r="P70" i="1"/>
  <c r="O70" i="1"/>
  <c r="N70" i="1"/>
  <c r="W68" i="1"/>
  <c r="V68" i="1"/>
  <c r="U68" i="1"/>
  <c r="T68" i="1"/>
  <c r="S68" i="1"/>
  <c r="R68" i="1"/>
  <c r="Q68" i="1"/>
  <c r="P68" i="1"/>
  <c r="O68" i="1"/>
  <c r="N68" i="1"/>
  <c r="W67" i="1"/>
  <c r="V67" i="1"/>
  <c r="U67" i="1"/>
  <c r="T67" i="1"/>
  <c r="S67" i="1"/>
  <c r="R67" i="1"/>
  <c r="Q67" i="1"/>
  <c r="P67" i="1"/>
  <c r="O67" i="1"/>
  <c r="N67" i="1"/>
  <c r="W66" i="1"/>
  <c r="V66" i="1"/>
  <c r="U66" i="1"/>
  <c r="T66" i="1"/>
  <c r="S66" i="1"/>
  <c r="R66" i="1"/>
  <c r="Q66" i="1"/>
  <c r="P66" i="1"/>
  <c r="O66" i="1"/>
  <c r="N66" i="1"/>
  <c r="W65" i="1"/>
  <c r="V65" i="1"/>
  <c r="U65" i="1"/>
  <c r="T65" i="1"/>
  <c r="S65" i="1"/>
  <c r="R65" i="1"/>
  <c r="Q65" i="1"/>
  <c r="P65" i="1"/>
  <c r="O65" i="1"/>
  <c r="N65" i="1"/>
  <c r="W63" i="1"/>
  <c r="V63" i="1"/>
  <c r="U63" i="1"/>
  <c r="T63" i="1"/>
  <c r="S63" i="1"/>
  <c r="R63" i="1"/>
  <c r="Q63" i="1"/>
  <c r="P63" i="1"/>
  <c r="O63" i="1"/>
  <c r="N63" i="1"/>
  <c r="W62" i="1"/>
  <c r="V62" i="1"/>
  <c r="U62" i="1"/>
  <c r="T62" i="1"/>
  <c r="S62" i="1"/>
  <c r="R62" i="1"/>
  <c r="Q62" i="1"/>
  <c r="P62" i="1"/>
  <c r="O62" i="1"/>
  <c r="N62" i="1"/>
  <c r="W61" i="1"/>
  <c r="V61" i="1"/>
  <c r="U61" i="1"/>
  <c r="T61" i="1"/>
  <c r="S61" i="1"/>
  <c r="R61" i="1"/>
  <c r="Q61" i="1"/>
  <c r="P61" i="1"/>
  <c r="O61" i="1"/>
  <c r="N61" i="1"/>
  <c r="W60" i="1"/>
  <c r="V60" i="1"/>
  <c r="U60" i="1"/>
  <c r="T60" i="1"/>
  <c r="S60" i="1"/>
  <c r="R60" i="1"/>
  <c r="Q60" i="1"/>
  <c r="P60" i="1"/>
  <c r="O60" i="1"/>
  <c r="N60" i="1"/>
  <c r="W58" i="1"/>
  <c r="V58" i="1"/>
  <c r="U58" i="1"/>
  <c r="T58" i="1"/>
  <c r="S58" i="1"/>
  <c r="R58" i="1"/>
  <c r="Q58" i="1"/>
  <c r="P58" i="1"/>
  <c r="O58" i="1"/>
  <c r="N58" i="1"/>
  <c r="W57" i="1"/>
  <c r="V57" i="1"/>
  <c r="U57" i="1"/>
  <c r="T57" i="1"/>
  <c r="S57" i="1"/>
  <c r="R57" i="1"/>
  <c r="Q57" i="1"/>
  <c r="P57" i="1"/>
  <c r="O57" i="1"/>
  <c r="N57" i="1"/>
  <c r="W56" i="1"/>
  <c r="V56" i="1"/>
  <c r="U56" i="1"/>
  <c r="T56" i="1"/>
  <c r="S56" i="1"/>
  <c r="R56" i="1"/>
  <c r="Q56" i="1"/>
  <c r="P56" i="1"/>
  <c r="O56" i="1"/>
  <c r="N56" i="1"/>
  <c r="W55" i="1"/>
  <c r="V55" i="1"/>
  <c r="U55" i="1"/>
  <c r="T55" i="1"/>
  <c r="S55" i="1"/>
  <c r="R55" i="1"/>
  <c r="Q55" i="1"/>
  <c r="P55" i="1"/>
  <c r="O55" i="1"/>
  <c r="N55" i="1"/>
  <c r="W53" i="1"/>
  <c r="V53" i="1"/>
  <c r="U53" i="1"/>
  <c r="T53" i="1"/>
  <c r="S53" i="1"/>
  <c r="R53" i="1"/>
  <c r="Q53" i="1"/>
  <c r="P53" i="1"/>
  <c r="O53" i="1"/>
  <c r="N53" i="1"/>
  <c r="W52" i="1"/>
  <c r="V52" i="1"/>
  <c r="U52" i="1"/>
  <c r="T52" i="1"/>
  <c r="S52" i="1"/>
  <c r="R52" i="1"/>
  <c r="Q52" i="1"/>
  <c r="P52" i="1"/>
  <c r="O52" i="1"/>
  <c r="N52" i="1"/>
  <c r="W51" i="1"/>
  <c r="V51" i="1"/>
  <c r="U51" i="1"/>
  <c r="T51" i="1"/>
  <c r="S51" i="1"/>
  <c r="R51" i="1"/>
  <c r="Q51" i="1"/>
  <c r="P51" i="1"/>
  <c r="O51" i="1"/>
  <c r="N51" i="1"/>
  <c r="W50" i="1"/>
  <c r="V50" i="1"/>
  <c r="U50" i="1"/>
  <c r="T50" i="1"/>
  <c r="S50" i="1"/>
  <c r="R50" i="1"/>
  <c r="Q50" i="1"/>
  <c r="P50" i="1"/>
  <c r="O50" i="1"/>
  <c r="N50" i="1"/>
  <c r="W48" i="1"/>
  <c r="V48" i="1"/>
  <c r="U48" i="1"/>
  <c r="T48" i="1"/>
  <c r="S48" i="1"/>
  <c r="R48" i="1"/>
  <c r="Q48" i="1"/>
  <c r="P48" i="1"/>
  <c r="O48" i="1"/>
  <c r="N48" i="1"/>
  <c r="W47" i="1"/>
  <c r="V47" i="1"/>
  <c r="U47" i="1"/>
  <c r="T47" i="1"/>
  <c r="S47" i="1"/>
  <c r="R47" i="1"/>
  <c r="Q47" i="1"/>
  <c r="P47" i="1"/>
  <c r="O47" i="1"/>
  <c r="N47" i="1"/>
  <c r="W46" i="1"/>
  <c r="V46" i="1"/>
  <c r="U46" i="1"/>
  <c r="T46" i="1"/>
  <c r="S46" i="1"/>
  <c r="R46" i="1"/>
  <c r="Q46" i="1"/>
  <c r="P46" i="1"/>
  <c r="O46" i="1"/>
  <c r="N46" i="1"/>
  <c r="W45" i="1"/>
  <c r="V45" i="1"/>
  <c r="U45" i="1"/>
  <c r="T45" i="1"/>
  <c r="S45" i="1"/>
  <c r="R45" i="1"/>
  <c r="Q45" i="1"/>
  <c r="P45" i="1"/>
  <c r="O45" i="1"/>
  <c r="N45" i="1"/>
  <c r="W43" i="1"/>
  <c r="V43" i="1"/>
  <c r="U43" i="1"/>
  <c r="T43" i="1"/>
  <c r="S43" i="1"/>
  <c r="R43" i="1"/>
  <c r="Q43" i="1"/>
  <c r="P43" i="1"/>
  <c r="O43" i="1"/>
  <c r="N43" i="1"/>
  <c r="W42" i="1"/>
  <c r="V42" i="1"/>
  <c r="U42" i="1"/>
  <c r="T42" i="1"/>
  <c r="S42" i="1"/>
  <c r="R42" i="1"/>
  <c r="Q42" i="1"/>
  <c r="P42" i="1"/>
  <c r="O42" i="1"/>
  <c r="N42" i="1"/>
  <c r="W41" i="1"/>
  <c r="V41" i="1"/>
  <c r="U41" i="1"/>
  <c r="T41" i="1"/>
  <c r="S41" i="1"/>
  <c r="R41" i="1"/>
  <c r="Q41" i="1"/>
  <c r="P41" i="1"/>
  <c r="O41" i="1"/>
  <c r="N41" i="1"/>
  <c r="W40" i="1"/>
  <c r="V40" i="1"/>
  <c r="U40" i="1"/>
  <c r="T40" i="1"/>
  <c r="S40" i="1"/>
  <c r="R40" i="1"/>
  <c r="Q40" i="1"/>
  <c r="P40" i="1"/>
  <c r="O40" i="1"/>
  <c r="N40" i="1"/>
  <c r="W38" i="1"/>
  <c r="V38" i="1"/>
  <c r="U38" i="1"/>
  <c r="T38" i="1"/>
  <c r="S38" i="1"/>
  <c r="R38" i="1"/>
  <c r="Q38" i="1"/>
  <c r="P38" i="1"/>
  <c r="O38" i="1"/>
  <c r="N38" i="1"/>
  <c r="W37" i="1"/>
  <c r="V37" i="1"/>
  <c r="U37" i="1"/>
  <c r="T37" i="1"/>
  <c r="S37" i="1"/>
  <c r="R37" i="1"/>
  <c r="Q37" i="1"/>
  <c r="P37" i="1"/>
  <c r="O37" i="1"/>
  <c r="N37" i="1"/>
  <c r="W36" i="1"/>
  <c r="V36" i="1"/>
  <c r="U36" i="1"/>
  <c r="T36" i="1"/>
  <c r="S36" i="1"/>
  <c r="R36" i="1"/>
  <c r="Q36" i="1"/>
  <c r="P36" i="1"/>
  <c r="O36" i="1"/>
  <c r="N36" i="1"/>
  <c r="W35" i="1"/>
  <c r="V35" i="1"/>
  <c r="U35" i="1"/>
  <c r="T35" i="1"/>
  <c r="S35" i="1"/>
  <c r="R35" i="1"/>
  <c r="Q35" i="1"/>
  <c r="P35" i="1"/>
  <c r="O35" i="1"/>
  <c r="N35" i="1"/>
  <c r="W33" i="1"/>
  <c r="V33" i="1"/>
  <c r="U33" i="1"/>
  <c r="T33" i="1"/>
  <c r="S33" i="1"/>
  <c r="R33" i="1"/>
  <c r="Q33" i="1"/>
  <c r="P33" i="1"/>
  <c r="O33" i="1"/>
  <c r="N33" i="1"/>
  <c r="W32" i="1"/>
  <c r="V32" i="1"/>
  <c r="U32" i="1"/>
  <c r="T32" i="1"/>
  <c r="S32" i="1"/>
  <c r="R32" i="1"/>
  <c r="Q32" i="1"/>
  <c r="P32" i="1"/>
  <c r="O32" i="1"/>
  <c r="N32" i="1"/>
  <c r="W31" i="1"/>
  <c r="V31" i="1"/>
  <c r="U31" i="1"/>
  <c r="T31" i="1"/>
  <c r="S31" i="1"/>
  <c r="R31" i="1"/>
  <c r="Q31" i="1"/>
  <c r="P31" i="1"/>
  <c r="O31" i="1"/>
  <c r="N31" i="1"/>
  <c r="W30" i="1"/>
  <c r="V30" i="1"/>
  <c r="U30" i="1"/>
  <c r="T30" i="1"/>
  <c r="S30" i="1"/>
  <c r="R30" i="1"/>
  <c r="Q30" i="1"/>
  <c r="P30" i="1"/>
  <c r="O30" i="1"/>
  <c r="N30" i="1"/>
  <c r="W28" i="1"/>
  <c r="V28" i="1"/>
  <c r="U28" i="1"/>
  <c r="T28" i="1"/>
  <c r="S28" i="1"/>
  <c r="R28" i="1"/>
  <c r="Q28" i="1"/>
  <c r="P28" i="1"/>
  <c r="O28" i="1"/>
  <c r="N28" i="1"/>
  <c r="W27" i="1"/>
  <c r="V27" i="1"/>
  <c r="U27" i="1"/>
  <c r="T27" i="1"/>
  <c r="S27" i="1"/>
  <c r="R27" i="1"/>
  <c r="Q27" i="1"/>
  <c r="P27" i="1"/>
  <c r="O27" i="1"/>
  <c r="N27" i="1"/>
  <c r="W26" i="1"/>
  <c r="V26" i="1"/>
  <c r="U26" i="1"/>
  <c r="T26" i="1"/>
  <c r="S26" i="1"/>
  <c r="R26" i="1"/>
  <c r="Q26" i="1"/>
  <c r="P26" i="1"/>
  <c r="O26" i="1"/>
  <c r="N26" i="1"/>
  <c r="W25" i="1"/>
  <c r="V25" i="1"/>
  <c r="U25" i="1"/>
  <c r="T25" i="1"/>
  <c r="S25" i="1"/>
  <c r="R25" i="1"/>
  <c r="Q25" i="1"/>
  <c r="P25" i="1"/>
  <c r="O25" i="1"/>
  <c r="N25" i="1"/>
  <c r="W23" i="1"/>
  <c r="V23" i="1"/>
  <c r="U23" i="1"/>
  <c r="T23" i="1"/>
  <c r="S23" i="1"/>
  <c r="R23" i="1"/>
  <c r="Q23" i="1"/>
  <c r="P23" i="1"/>
  <c r="O23" i="1"/>
  <c r="N23" i="1"/>
  <c r="W22" i="1"/>
  <c r="V22" i="1"/>
  <c r="U22" i="1"/>
  <c r="T22" i="1"/>
  <c r="S22" i="1"/>
  <c r="R22" i="1"/>
  <c r="Q22" i="1"/>
  <c r="P22" i="1"/>
  <c r="O22" i="1"/>
  <c r="N22" i="1"/>
  <c r="W21" i="1"/>
  <c r="V21" i="1"/>
  <c r="U21" i="1"/>
  <c r="T21" i="1"/>
  <c r="S21" i="1"/>
  <c r="R21" i="1"/>
  <c r="Q21" i="1"/>
  <c r="P21" i="1"/>
  <c r="O21" i="1"/>
  <c r="N21" i="1"/>
  <c r="W20" i="1"/>
  <c r="V20" i="1"/>
  <c r="U20" i="1"/>
  <c r="T20" i="1"/>
  <c r="S20" i="1"/>
  <c r="R20" i="1"/>
  <c r="Q20" i="1"/>
  <c r="P20" i="1"/>
  <c r="O20" i="1"/>
  <c r="N20" i="1"/>
  <c r="W18" i="1"/>
  <c r="V18" i="1"/>
  <c r="U18" i="1"/>
  <c r="T18" i="1"/>
  <c r="S18" i="1"/>
  <c r="R18" i="1"/>
  <c r="Q18" i="1"/>
  <c r="P18" i="1"/>
  <c r="O18" i="1"/>
  <c r="N18" i="1"/>
  <c r="W17" i="1"/>
  <c r="V17" i="1"/>
  <c r="U17" i="1"/>
  <c r="T17" i="1"/>
  <c r="S17" i="1"/>
  <c r="R17" i="1"/>
  <c r="Q17" i="1"/>
  <c r="P17" i="1"/>
  <c r="O17" i="1"/>
  <c r="N17" i="1"/>
  <c r="W16" i="1"/>
  <c r="V16" i="1"/>
  <c r="U16" i="1"/>
  <c r="T16" i="1"/>
  <c r="S16" i="1"/>
  <c r="R16" i="1"/>
  <c r="Q16" i="1"/>
  <c r="P16" i="1"/>
  <c r="O16" i="1"/>
  <c r="N16" i="1"/>
  <c r="W15" i="1"/>
  <c r="V15" i="1"/>
  <c r="U15" i="1"/>
  <c r="T15" i="1"/>
  <c r="S15" i="1"/>
  <c r="R15" i="1"/>
  <c r="Q15" i="1"/>
  <c r="P15" i="1"/>
  <c r="O15" i="1"/>
  <c r="N15" i="1"/>
</calcChain>
</file>

<file path=xl/sharedStrings.xml><?xml version="1.0" encoding="utf-8"?>
<sst xmlns="http://schemas.openxmlformats.org/spreadsheetml/2006/main" count="4328" uniqueCount="201">
  <si>
    <t>&lt;-- Navigate by typing to search</t>
  </si>
  <si>
    <t>Branch</t>
  </si>
  <si>
    <t>Type</t>
  </si>
  <si>
    <t>Region</t>
  </si>
  <si>
    <t>Sector</t>
  </si>
  <si>
    <t>Service</t>
  </si>
  <si>
    <t>Technology</t>
  </si>
  <si>
    <t>Parameter</t>
  </si>
  <si>
    <t>Context</t>
  </si>
  <si>
    <t>Sub_Context</t>
  </si>
  <si>
    <t>Target</t>
  </si>
  <si>
    <t>Source</t>
  </si>
  <si>
    <t>Unit</t>
  </si>
  <si>
    <t>Comments</t>
  </si>
  <si>
    <t>CIMS.CAN.BC.Transportation Personal.Mode.Intercity Air</t>
  </si>
  <si>
    <t>BC</t>
  </si>
  <si>
    <t>Transportation Personal</t>
  </si>
  <si>
    <t>Intercity Air</t>
  </si>
  <si>
    <t>multiplier_load_factor</t>
  </si>
  <si>
    <t>Air Canada</t>
  </si>
  <si>
    <t>person/vehicle</t>
  </si>
  <si>
    <t>CIMS.CAN.BC.Transportation Personal.Transit.Public Bus</t>
  </si>
  <si>
    <t>Public Bus</t>
  </si>
  <si>
    <t>CIMS</t>
  </si>
  <si>
    <t>CIMS.CAN.BC.Transportation Personal.Transit.Rapid Transit</t>
  </si>
  <si>
    <t>Rapid Transit</t>
  </si>
  <si>
    <t>Translink</t>
  </si>
  <si>
    <t>CIMS.CAN.BC.Transportation Personal.Intercity Bus</t>
  </si>
  <si>
    <t>Intercity Bus</t>
  </si>
  <si>
    <t>CIMS.CAN.BC.Transportation Personal.Intercity Rail</t>
  </si>
  <si>
    <t>Intercity Rail</t>
  </si>
  <si>
    <t>CIMS.CAN.BC.Transportation Freight.Freight.Land.Light Medium</t>
  </si>
  <si>
    <t>Transportation Freight</t>
  </si>
  <si>
    <t>Light Medium</t>
  </si>
  <si>
    <t>tonne/vehicle</t>
  </si>
  <si>
    <t>CIMS.CAN.BC.Transportation Freight.Freight.Land.Heavy.Trucks</t>
  </si>
  <si>
    <t>Trucks</t>
  </si>
  <si>
    <t>CIMS.CAN.BC.Transportation Freight.Freight.Land.Heavy.Rail</t>
  </si>
  <si>
    <t>Rail</t>
  </si>
  <si>
    <t>Rail Assoc Canada</t>
  </si>
  <si>
    <t>CIMS.CAN.BC.Transportation Freight.Freight.Marine</t>
  </si>
  <si>
    <t>Marine</t>
  </si>
  <si>
    <t>Wikipedia</t>
  </si>
  <si>
    <t>CIMS.CAN.BC.Transportation Freight.Freight.Air</t>
  </si>
  <si>
    <t>Air</t>
  </si>
  <si>
    <t>CIMS.CAN.BC.Transportation Freight.Off Road</t>
  </si>
  <si>
    <t>Off Road</t>
  </si>
  <si>
    <t>Guess</t>
  </si>
  <si>
    <t>CIMS.CAN.BC.Electricity.Utility Generation.Base Load</t>
  </si>
  <si>
    <t>Electricity</t>
  </si>
  <si>
    <t>Base Load</t>
  </si>
  <si>
    <t>Solar PV</t>
  </si>
  <si>
    <t>dcc_class</t>
  </si>
  <si>
    <t>dcc_limit</t>
  </si>
  <si>
    <t>%</t>
  </si>
  <si>
    <t>dcc_learning_min</t>
  </si>
  <si>
    <t>dcc_capacity_1</t>
  </si>
  <si>
    <t>MWh</t>
  </si>
  <si>
    <t>dcc_progress_ratio_1</t>
  </si>
  <si>
    <t>Wind Onshore</t>
  </si>
  <si>
    <t>Wind</t>
  </si>
  <si>
    <t>Wind Offshore</t>
  </si>
  <si>
    <t>Nuclear SMR</t>
  </si>
  <si>
    <t>SMR</t>
  </si>
  <si>
    <t>Solar PV + Battery</t>
  </si>
  <si>
    <t>Wind + Battery</t>
  </si>
  <si>
    <t>Wind + Seasonal</t>
  </si>
  <si>
    <t>CIMS.CAN.BC.Electricity.Utility Generation.Shoulder Load</t>
  </si>
  <si>
    <t>Shoulder Load</t>
  </si>
  <si>
    <t>CIMS.CAN.BC.Electricity.Utility Generation.Peak Load</t>
  </si>
  <si>
    <t>Peak Load</t>
  </si>
  <si>
    <t>CIMS.CAN.BC.Electricity.Storage.Battery</t>
  </si>
  <si>
    <t>Battery</t>
  </si>
  <si>
    <t>CIMS.CAN.BC.Electricity.Storage.Seasonal</t>
  </si>
  <si>
    <t>Seasonal</t>
  </si>
  <si>
    <t>CIMS.CAN.BC.Electricity.CCS.CCS_Coal</t>
  </si>
  <si>
    <t>CCS_Coal</t>
  </si>
  <si>
    <t>CCS</t>
  </si>
  <si>
    <t>tCO2</t>
  </si>
  <si>
    <t>CIMS.CAN.BC.Electricity.CCS.CCS_Biomass</t>
  </si>
  <si>
    <t>CCS_Biomass</t>
  </si>
  <si>
    <t>CIMS.CAN.BC.Electricity.CCS.CCS_Natural Gas</t>
  </si>
  <si>
    <t>CCS_Natural Gas</t>
  </si>
  <si>
    <t>CIMS.CAN.BC.Ethanol.Production.Cellulosic</t>
  </si>
  <si>
    <t>Ethanol</t>
  </si>
  <si>
    <t>Cellulosic</t>
  </si>
  <si>
    <t>Cellulosic ethanol</t>
  </si>
  <si>
    <t>GJ</t>
  </si>
  <si>
    <t>CIMS.CAN.BC.Hydrogen.Production</t>
  </si>
  <si>
    <t>Hydrogen</t>
  </si>
  <si>
    <t>Production</t>
  </si>
  <si>
    <t>Coal gasification_centralised_CCS</t>
  </si>
  <si>
    <t>Gasification</t>
  </si>
  <si>
    <t>NREL H2A</t>
  </si>
  <si>
    <t>kg</t>
  </si>
  <si>
    <t>Steam methane reforming_centralised</t>
  </si>
  <si>
    <t>Steam methane reforming</t>
  </si>
  <si>
    <t>Steam methane reforming_centralised_CCS</t>
  </si>
  <si>
    <t>Biomass gasification_centralised</t>
  </si>
  <si>
    <t>Biomass gasification_centralised_CCS</t>
  </si>
  <si>
    <t>Electrolysis_centralised</t>
  </si>
  <si>
    <t>Electrolysis</t>
  </si>
  <si>
    <t>Steam methane reforming_distributed</t>
  </si>
  <si>
    <t>Ethanol_distributed</t>
  </si>
  <si>
    <t>Electrolysis_distributed</t>
  </si>
  <si>
    <t>CIMS.CAN.BC.Hydrogen.Infrastructure</t>
  </si>
  <si>
    <t>Infrastructure</t>
  </si>
  <si>
    <t>H2 pipeline</t>
  </si>
  <si>
    <t>EMRG assumption</t>
  </si>
  <si>
    <t>CIMS.CAN.BC.Hydrogen.CCS</t>
  </si>
  <si>
    <t>CIMS.CAN.BC.Petroleum Refining.CCS</t>
  </si>
  <si>
    <t>Petroleum Refining</t>
  </si>
  <si>
    <t>CIMS.CAN.BC.Industrial Minerals.Products.Cement.Portland cement.Clinker.Dry process rotary kiln</t>
  </si>
  <si>
    <t>Industrial Minerals</t>
  </si>
  <si>
    <t>Dry process rotary kiln</t>
  </si>
  <si>
    <t>Std process with calcium minerals</t>
  </si>
  <si>
    <t>Cement calcium</t>
  </si>
  <si>
    <t>tonne</t>
  </si>
  <si>
    <t>Electrochemical synthesis</t>
  </si>
  <si>
    <t>Cement electrolysis</t>
  </si>
  <si>
    <t>CIMS.CAN.BC.Industrial Minerals.Products.Lime.Kilns</t>
  </si>
  <si>
    <t>Kilns</t>
  </si>
  <si>
    <t>CIMS.CAN.BC.Industrial Minerals.CCS</t>
  </si>
  <si>
    <t>CIMS.CAN.BC.Residential.Dwellings.Building Type.High Density.Vintage.&lt;1960 Bldg Code.Heating (Marine)</t>
  </si>
  <si>
    <t>Residential</t>
  </si>
  <si>
    <t>Heating (Marine)</t>
  </si>
  <si>
    <t>Electric - ASHP</t>
  </si>
  <si>
    <t>Heat pump</t>
  </si>
  <si>
    <t>CIMS.CAN.BC.Residential.Dwellings.Building Type.High Density.Vintage.&lt;1960 Bldg Code.Heating (Cold)</t>
  </si>
  <si>
    <t>Heating (Cold)</t>
  </si>
  <si>
    <t>Electric - ASHP / NG - backup</t>
  </si>
  <si>
    <t>Electric - ASHP / Electric - backup</t>
  </si>
  <si>
    <t>CIMS.CAN.BC.Residential.Dwellings.Building Type.High Density.Vintage.1961-1980 Bldg Code.Heating (Marine)</t>
  </si>
  <si>
    <t>CIMS.CAN.BC.Residential.Dwellings.Building Type.High Density.Vintage.1961-1980 Bldg Code.Heating (Cold)</t>
  </si>
  <si>
    <t>CIMS.CAN.BC.Residential.Dwellings.Building Type.High Density.Vintage.1981-2000 Bldg Code.Heating (Marine)</t>
  </si>
  <si>
    <t>CIMS.CAN.BC.Residential.Dwellings.Building Type.High Density.Vintage.1981-2000 Bldg Code.Heating (Cold)</t>
  </si>
  <si>
    <t>CIMS.CAN.BC.Residential.Dwellings.Building Type.High Density.Vintage.2001-2020 Bldg Code.Heating (Marine)</t>
  </si>
  <si>
    <t>Electric - GSHP</t>
  </si>
  <si>
    <t>CIMS.CAN.BC.Residential.Dwellings.Building Type.High Density.Vintage.2001-2020 Bldg Code.Heating (Cold)</t>
  </si>
  <si>
    <t>CIMS.CAN.BC.Residential.Dwellings.Building Type.High Density.Vintage.2021-2035 Bldg Code.Heating (Marine)</t>
  </si>
  <si>
    <t>CIMS.CAN.BC.Residential.Dwellings.Building Type.High Density.Vintage.2021-2035 Bldg Code.Heating (Cold)</t>
  </si>
  <si>
    <t>CIMS.CAN.BC.Residential.Dwellings.Building Type.High Density.Vintage.&gt;2035 Bldg Code.Heating (Marine)</t>
  </si>
  <si>
    <t>CIMS.CAN.BC.Residential.Dwellings.Building Type.High Density.Vintage.&gt;2035 Bldg Code.Heating (Cold)</t>
  </si>
  <si>
    <t>CIMS.CAN.BC.Residential.Dwellings.Building Type.LowMed Density.Vintage.&lt;1960 Bldg Code.Heating (Marine)</t>
  </si>
  <si>
    <t>CIMS.CAN.BC.Residential.Dwellings.Building Type.LowMed Density.Vintage.&lt;1960 Bldg Code.Heating (Cold)</t>
  </si>
  <si>
    <t>CIMS.CAN.BC.Residential.Dwellings.Building Type.LowMed Density.Vintage.1961-1980 Bldg Code.Heating (Marine)</t>
  </si>
  <si>
    <t>CIMS.CAN.BC.Residential.Dwellings.Building Type.LowMed Density.Vintage.1961-1980 Bldg Code.Heating (Cold)</t>
  </si>
  <si>
    <t>CIMS.CAN.BC.Residential.Dwellings.Building Type.LowMed Density.Vintage.1981-2000 Bldg Code.Heating (Marine)</t>
  </si>
  <si>
    <t>CIMS.CAN.BC.Residential.Dwellings.Building Type.LowMed Density.Vintage.1981-2000 Bldg Code.Heating (Cold)</t>
  </si>
  <si>
    <t>CIMS.CAN.BC.Residential.Dwellings.Building Type.LowMed Density.Vintage.2001-2020 Bldg Code.Heating (Marine)</t>
  </si>
  <si>
    <t>CIMS.CAN.BC.Residential.Dwellings.Building Type.LowMed Density.Vintage.2001-2020 Bldg Code.Heating (Cold)</t>
  </si>
  <si>
    <t>CIMS.CAN.BC.Residential.Dwellings.Building Type.LowMed Density.Vintage.2021-2035 Bldg Code.Heating (Marine)</t>
  </si>
  <si>
    <t>CIMS.CAN.BC.Residential.Dwellings.Building Type.LowMed Density.Vintage.2021-2035 Bldg Code.Heating (Cold)</t>
  </si>
  <si>
    <t>CIMS.CAN.BC.Residential.Dwellings.Building Type.LowMed Density.Vintage.&gt;2035 Bldg Code.Heating (Marine)</t>
  </si>
  <si>
    <t>CIMS.CAN.BC.Residential.Dwellings.Building Type.LowMed Density.Vintage.&gt;2035 Bldg Code.Heating (Cold)</t>
  </si>
  <si>
    <t>Bus Intercity Hybrid</t>
  </si>
  <si>
    <t>Electric motor</t>
  </si>
  <si>
    <t>Copied from Hybrid Diesel Motor</t>
  </si>
  <si>
    <t>k*pkm</t>
  </si>
  <si>
    <t>800,000 km service life * 1000 buses manufacutred per year per plant</t>
  </si>
  <si>
    <t>Bus Intercity Hybrid Biodiesel</t>
  </si>
  <si>
    <t>Note that this used to have a separate class called Biofuel Motor.  No need for a separate biofuel class. They are all electric motors.</t>
  </si>
  <si>
    <t>Bus Intercity Hydrogen</t>
  </si>
  <si>
    <t>Hydrogen fuel cell</t>
  </si>
  <si>
    <t>Copied from Fuel Cell 300</t>
  </si>
  <si>
    <t>Rail Intercity Electric</t>
  </si>
  <si>
    <t>80,000,000 pkm annual * 25 yr lifetime * 100 trains</t>
  </si>
  <si>
    <t>Rail Intercity Hydrogen</t>
  </si>
  <si>
    <t>Bus Urban Hybrid Biodiesel</t>
  </si>
  <si>
    <t>Bus Urban Hybrid</t>
  </si>
  <si>
    <t>Bus Urban Hydrogen</t>
  </si>
  <si>
    <t>Bus Urban Electric</t>
  </si>
  <si>
    <t>Copied from BEV 300 Motors</t>
  </si>
  <si>
    <t>CIMS.CAN.BC.Transportation Personal.Passenger Vehicle Motors</t>
  </si>
  <si>
    <t>Passenger Vehicle Motors</t>
  </si>
  <si>
    <t>Hybrid</t>
  </si>
  <si>
    <t>50% reduction to 2050 full innovation FCC target</t>
  </si>
  <si>
    <t>100 vkm (avg car eq)</t>
  </si>
  <si>
    <t>320,000 km service life * 700 cars manufacutred per year per plant (first year tesla tales)</t>
  </si>
  <si>
    <t>Calibrated to achieve DCC limit in 10 doublings or sustained 1/3 market share penetration of 30 years to 2050</t>
  </si>
  <si>
    <t>BEV 500</t>
  </si>
  <si>
    <t>BEV 800</t>
  </si>
  <si>
    <t>Fuel Cell 650</t>
  </si>
  <si>
    <t>Plug-in Hybrid</t>
  </si>
  <si>
    <t>Diesel Efficient</t>
  </si>
  <si>
    <t>Fossil fuel motor</t>
  </si>
  <si>
    <t>k*tkm</t>
  </si>
  <si>
    <t>86358000 tkm annual * 16 yr lifetime * 1000 per plant (guess)</t>
  </si>
  <si>
    <t>Gasoline Efficient</t>
  </si>
  <si>
    <t>Biodiesel</t>
  </si>
  <si>
    <t>Biofuel motor</t>
  </si>
  <si>
    <t>Electric</t>
  </si>
  <si>
    <t>Natural Gas</t>
  </si>
  <si>
    <t>CNG</t>
  </si>
  <si>
    <t>Catenary</t>
  </si>
  <si>
    <t>80,000,000 tkm annual * 25 yr lifetime * 100 trains</t>
  </si>
  <si>
    <t>800,000,000 tkm annual * 35 yr lifetime * 100 ships</t>
  </si>
  <si>
    <t>CIMS.CAN.BC.Agriculture.Tractors</t>
  </si>
  <si>
    <t>Agriculture</t>
  </si>
  <si>
    <t>Tractors</t>
  </si>
  <si>
    <t>vkm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</si>
</sst>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0620B-5C3C-4157-A4C4-B03EEE0AD3AA}">
  <dimension ref="A1:X553"/>
  <sheetViews>
    <sheetView tabSelected="1" workbookViewId="0">
      <selection sqref="A1:X553"/>
    </sheetView>
  </sheetViews>
  <sheetFormatPr defaultRowHeight="14.4" x14ac:dyDescent="0.3"/>
  <sheetData>
    <row r="1" spans="1:24" x14ac:dyDescent="0.3">
      <c r="B1" t="s">
        <v>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>
        <v>2000</v>
      </c>
      <c r="N2">
        <v>2005</v>
      </c>
      <c r="O2">
        <v>2010</v>
      </c>
      <c r="P2">
        <v>2015</v>
      </c>
      <c r="Q2">
        <v>2020</v>
      </c>
      <c r="R2">
        <v>2025</v>
      </c>
      <c r="S2">
        <v>2030</v>
      </c>
      <c r="T2">
        <v>2035</v>
      </c>
      <c r="U2">
        <v>2040</v>
      </c>
      <c r="V2">
        <v>2045</v>
      </c>
      <c r="W2">
        <v>2050</v>
      </c>
      <c r="X2" t="s">
        <v>13</v>
      </c>
    </row>
    <row r="3" spans="1:24" x14ac:dyDescent="0.3">
      <c r="A3" t="s">
        <v>14</v>
      </c>
      <c r="B3" t="s">
        <v>5</v>
      </c>
      <c r="C3" t="s">
        <v>15</v>
      </c>
      <c r="D3" t="s">
        <v>16</v>
      </c>
      <c r="E3" t="s">
        <v>17</v>
      </c>
      <c r="G3" t="s">
        <v>18</v>
      </c>
      <c r="K3" t="s">
        <v>19</v>
      </c>
      <c r="L3" t="s">
        <v>20</v>
      </c>
      <c r="M3">
        <v>200</v>
      </c>
      <c r="N3">
        <v>200</v>
      </c>
      <c r="O3">
        <v>200</v>
      </c>
      <c r="P3">
        <v>200</v>
      </c>
      <c r="Q3">
        <v>200</v>
      </c>
      <c r="R3">
        <v>200</v>
      </c>
      <c r="S3">
        <v>200</v>
      </c>
      <c r="T3">
        <v>200</v>
      </c>
      <c r="U3">
        <v>200</v>
      </c>
      <c r="V3">
        <v>200</v>
      </c>
      <c r="W3">
        <v>200</v>
      </c>
    </row>
    <row r="4" spans="1:24" x14ac:dyDescent="0.3">
      <c r="A4" t="s">
        <v>21</v>
      </c>
      <c r="B4" t="s">
        <v>5</v>
      </c>
      <c r="C4" t="s">
        <v>15</v>
      </c>
      <c r="D4" t="s">
        <v>16</v>
      </c>
      <c r="E4" t="s">
        <v>22</v>
      </c>
      <c r="G4" t="s">
        <v>18</v>
      </c>
      <c r="K4" t="s">
        <v>23</v>
      </c>
      <c r="L4" t="s">
        <v>20</v>
      </c>
      <c r="M4">
        <v>10.6</v>
      </c>
      <c r="N4">
        <v>10.6</v>
      </c>
      <c r="O4">
        <v>10.6</v>
      </c>
      <c r="P4">
        <v>10.6</v>
      </c>
      <c r="Q4">
        <v>10.6</v>
      </c>
      <c r="R4">
        <v>10.6</v>
      </c>
      <c r="S4">
        <v>10.6</v>
      </c>
      <c r="T4">
        <v>10.6</v>
      </c>
      <c r="U4">
        <v>10.6</v>
      </c>
      <c r="V4">
        <v>10.6</v>
      </c>
      <c r="W4">
        <v>10.6</v>
      </c>
    </row>
    <row r="5" spans="1:24" x14ac:dyDescent="0.3">
      <c r="A5" t="s">
        <v>24</v>
      </c>
      <c r="B5" t="s">
        <v>5</v>
      </c>
      <c r="C5" t="s">
        <v>15</v>
      </c>
      <c r="D5" t="s">
        <v>16</v>
      </c>
      <c r="E5" t="s">
        <v>25</v>
      </c>
      <c r="G5" t="s">
        <v>18</v>
      </c>
      <c r="K5" t="s">
        <v>26</v>
      </c>
      <c r="L5" t="s">
        <v>20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</row>
    <row r="6" spans="1:24" x14ac:dyDescent="0.3">
      <c r="A6" t="s">
        <v>27</v>
      </c>
      <c r="B6" t="s">
        <v>5</v>
      </c>
      <c r="C6" t="s">
        <v>15</v>
      </c>
      <c r="D6" t="s">
        <v>16</v>
      </c>
      <c r="E6" t="s">
        <v>28</v>
      </c>
      <c r="G6" t="s">
        <v>18</v>
      </c>
      <c r="K6" t="s">
        <v>23</v>
      </c>
      <c r="L6" t="s">
        <v>20</v>
      </c>
      <c r="M6">
        <v>18.2</v>
      </c>
      <c r="N6">
        <v>18.2</v>
      </c>
      <c r="O6">
        <v>18.2</v>
      </c>
      <c r="P6">
        <v>18.2</v>
      </c>
      <c r="Q6">
        <v>18.2</v>
      </c>
      <c r="R6">
        <v>18.2</v>
      </c>
      <c r="S6">
        <v>18.2</v>
      </c>
      <c r="T6">
        <v>18.2</v>
      </c>
      <c r="U6">
        <v>18.2</v>
      </c>
      <c r="V6">
        <v>18.2</v>
      </c>
      <c r="W6">
        <v>18.2</v>
      </c>
    </row>
    <row r="7" spans="1:24" x14ac:dyDescent="0.3">
      <c r="A7" t="s">
        <v>29</v>
      </c>
      <c r="B7" t="s">
        <v>5</v>
      </c>
      <c r="C7" t="s">
        <v>15</v>
      </c>
      <c r="D7" t="s">
        <v>16</v>
      </c>
      <c r="E7" t="s">
        <v>30</v>
      </c>
      <c r="G7" t="s">
        <v>18</v>
      </c>
      <c r="K7" t="s">
        <v>26</v>
      </c>
      <c r="L7" t="s">
        <v>20</v>
      </c>
      <c r="M7">
        <v>120</v>
      </c>
      <c r="N7">
        <v>120</v>
      </c>
      <c r="O7">
        <v>120</v>
      </c>
      <c r="P7">
        <v>120</v>
      </c>
      <c r="Q7">
        <v>120</v>
      </c>
      <c r="R7">
        <v>120</v>
      </c>
      <c r="S7">
        <v>120</v>
      </c>
      <c r="T7">
        <v>120</v>
      </c>
      <c r="U7">
        <v>120</v>
      </c>
      <c r="V7">
        <v>120</v>
      </c>
      <c r="W7">
        <v>120</v>
      </c>
    </row>
    <row r="8" spans="1:24" x14ac:dyDescent="0.3">
      <c r="A8" t="s">
        <v>31</v>
      </c>
      <c r="B8" t="s">
        <v>5</v>
      </c>
      <c r="C8" t="s">
        <v>15</v>
      </c>
      <c r="D8" t="s">
        <v>32</v>
      </c>
      <c r="E8" t="s">
        <v>33</v>
      </c>
      <c r="G8" t="s">
        <v>18</v>
      </c>
      <c r="K8" t="s">
        <v>23</v>
      </c>
      <c r="L8" t="s">
        <v>34</v>
      </c>
      <c r="M8">
        <v>3.62</v>
      </c>
      <c r="N8">
        <v>3.62</v>
      </c>
      <c r="O8">
        <v>3.62</v>
      </c>
      <c r="P8">
        <v>3.62</v>
      </c>
      <c r="Q8">
        <v>3.62</v>
      </c>
      <c r="R8">
        <v>3.62</v>
      </c>
      <c r="S8">
        <v>3.62</v>
      </c>
      <c r="T8">
        <v>3.62</v>
      </c>
      <c r="U8">
        <v>3.62</v>
      </c>
      <c r="V8">
        <v>3.62</v>
      </c>
      <c r="W8">
        <v>3.62</v>
      </c>
    </row>
    <row r="9" spans="1:24" x14ac:dyDescent="0.3">
      <c r="A9" t="s">
        <v>35</v>
      </c>
      <c r="B9" t="s">
        <v>5</v>
      </c>
      <c r="C9" t="s">
        <v>15</v>
      </c>
      <c r="D9" t="s">
        <v>32</v>
      </c>
      <c r="E9" t="s">
        <v>36</v>
      </c>
      <c r="G9" t="s">
        <v>18</v>
      </c>
      <c r="K9" t="s">
        <v>23</v>
      </c>
      <c r="L9" t="s">
        <v>34</v>
      </c>
      <c r="M9">
        <v>17.009699999999999</v>
      </c>
      <c r="N9">
        <v>17.009699999999999</v>
      </c>
      <c r="O9">
        <v>17.009699999999999</v>
      </c>
      <c r="P9">
        <v>17.009699999999999</v>
      </c>
      <c r="Q9">
        <v>17.009699999999999</v>
      </c>
      <c r="R9">
        <v>17.009699999999999</v>
      </c>
      <c r="S9">
        <v>17.009699999999999</v>
      </c>
      <c r="T9">
        <v>17.009699999999999</v>
      </c>
      <c r="U9">
        <v>17.009699999999999</v>
      </c>
      <c r="V9">
        <v>17.009699999999999</v>
      </c>
      <c r="W9">
        <v>17.009699999999999</v>
      </c>
    </row>
    <row r="10" spans="1:24" x14ac:dyDescent="0.3">
      <c r="A10" t="s">
        <v>37</v>
      </c>
      <c r="B10" t="s">
        <v>5</v>
      </c>
      <c r="C10" t="s">
        <v>15</v>
      </c>
      <c r="D10" t="s">
        <v>32</v>
      </c>
      <c r="E10" t="s">
        <v>38</v>
      </c>
      <c r="G10" t="s">
        <v>18</v>
      </c>
      <c r="K10" t="s">
        <v>39</v>
      </c>
      <c r="L10" t="s">
        <v>34</v>
      </c>
      <c r="M10">
        <v>6840</v>
      </c>
      <c r="N10">
        <v>6840</v>
      </c>
      <c r="O10">
        <v>6840</v>
      </c>
      <c r="P10">
        <v>6840</v>
      </c>
      <c r="Q10">
        <v>6840</v>
      </c>
      <c r="R10">
        <v>6840</v>
      </c>
      <c r="S10">
        <v>6840</v>
      </c>
      <c r="T10">
        <v>6840</v>
      </c>
      <c r="U10">
        <v>6840</v>
      </c>
      <c r="V10">
        <v>6840</v>
      </c>
      <c r="W10">
        <v>6840</v>
      </c>
    </row>
    <row r="11" spans="1:24" x14ac:dyDescent="0.3">
      <c r="A11" t="s">
        <v>40</v>
      </c>
      <c r="B11" t="s">
        <v>5</v>
      </c>
      <c r="C11" t="s">
        <v>15</v>
      </c>
      <c r="D11" t="s">
        <v>32</v>
      </c>
      <c r="E11" t="s">
        <v>41</v>
      </c>
      <c r="G11" t="s">
        <v>18</v>
      </c>
      <c r="K11" t="s">
        <v>42</v>
      </c>
      <c r="L11" t="s">
        <v>34</v>
      </c>
      <c r="M11">
        <v>25000</v>
      </c>
      <c r="N11">
        <v>25000</v>
      </c>
      <c r="O11">
        <v>25000</v>
      </c>
      <c r="P11">
        <v>25000</v>
      </c>
      <c r="Q11">
        <v>25000</v>
      </c>
      <c r="R11">
        <v>25000</v>
      </c>
      <c r="S11">
        <v>25000</v>
      </c>
      <c r="T11">
        <v>25000</v>
      </c>
      <c r="U11">
        <v>25000</v>
      </c>
      <c r="V11">
        <v>25000</v>
      </c>
      <c r="W11">
        <v>25000</v>
      </c>
    </row>
    <row r="12" spans="1:24" x14ac:dyDescent="0.3">
      <c r="A12" t="s">
        <v>43</v>
      </c>
      <c r="B12" t="s">
        <v>5</v>
      </c>
      <c r="C12" t="s">
        <v>15</v>
      </c>
      <c r="D12" t="s">
        <v>32</v>
      </c>
      <c r="E12" t="s">
        <v>44</v>
      </c>
      <c r="G12" t="s">
        <v>18</v>
      </c>
      <c r="K12" t="s">
        <v>42</v>
      </c>
      <c r="L12" t="s">
        <v>34</v>
      </c>
      <c r="M12">
        <v>50</v>
      </c>
      <c r="N12">
        <v>50</v>
      </c>
      <c r="O12">
        <v>50</v>
      </c>
      <c r="P12">
        <v>50</v>
      </c>
      <c r="Q12">
        <v>50</v>
      </c>
      <c r="R12">
        <v>50</v>
      </c>
      <c r="S12">
        <v>50</v>
      </c>
      <c r="T12">
        <v>50</v>
      </c>
      <c r="U12">
        <v>50</v>
      </c>
      <c r="V12">
        <v>50</v>
      </c>
      <c r="W12">
        <v>50</v>
      </c>
    </row>
    <row r="13" spans="1:24" x14ac:dyDescent="0.3">
      <c r="A13" t="s">
        <v>45</v>
      </c>
      <c r="B13" t="s">
        <v>5</v>
      </c>
      <c r="C13" t="s">
        <v>15</v>
      </c>
      <c r="D13" t="s">
        <v>32</v>
      </c>
      <c r="E13" t="s">
        <v>46</v>
      </c>
      <c r="G13" t="s">
        <v>18</v>
      </c>
      <c r="K13" t="s">
        <v>47</v>
      </c>
      <c r="L13" t="s">
        <v>34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</row>
    <row r="14" spans="1:24" x14ac:dyDescent="0.3">
      <c r="A14" t="s">
        <v>48</v>
      </c>
      <c r="B14" t="s">
        <v>5</v>
      </c>
      <c r="C14" t="s">
        <v>15</v>
      </c>
      <c r="D14" t="s">
        <v>49</v>
      </c>
      <c r="E14" t="s">
        <v>50</v>
      </c>
      <c r="F14" t="s">
        <v>51</v>
      </c>
      <c r="G14" t="s">
        <v>52</v>
      </c>
      <c r="H14" t="s">
        <v>51</v>
      </c>
    </row>
    <row r="15" spans="1:24" x14ac:dyDescent="0.3">
      <c r="A15" t="s">
        <v>48</v>
      </c>
      <c r="B15" t="s">
        <v>5</v>
      </c>
      <c r="C15" t="s">
        <v>15</v>
      </c>
      <c r="D15" t="s">
        <v>49</v>
      </c>
      <c r="E15" t="s">
        <v>50</v>
      </c>
      <c r="F15" t="s">
        <v>51</v>
      </c>
      <c r="G15" t="s">
        <v>53</v>
      </c>
      <c r="L15" t="s">
        <v>54</v>
      </c>
      <c r="M15">
        <v>0.4</v>
      </c>
      <c r="N15">
        <f t="shared" ref="N15:W18" ca="1" si="0">M15</f>
        <v>0.4</v>
      </c>
      <c r="O15">
        <f t="shared" ca="1" si="0"/>
        <v>0.4</v>
      </c>
      <c r="P15">
        <f t="shared" ca="1" si="0"/>
        <v>0.4</v>
      </c>
      <c r="Q15">
        <f t="shared" ca="1" si="0"/>
        <v>0.4</v>
      </c>
      <c r="R15">
        <f t="shared" ca="1" si="0"/>
        <v>0.4</v>
      </c>
      <c r="S15">
        <f t="shared" ca="1" si="0"/>
        <v>0.4</v>
      </c>
      <c r="T15">
        <f t="shared" ca="1" si="0"/>
        <v>0.4</v>
      </c>
      <c r="U15">
        <f t="shared" ca="1" si="0"/>
        <v>0.4</v>
      </c>
      <c r="V15">
        <f t="shared" ca="1" si="0"/>
        <v>0.4</v>
      </c>
      <c r="W15">
        <f t="shared" ca="1" si="0"/>
        <v>0.4</v>
      </c>
    </row>
    <row r="16" spans="1:24" x14ac:dyDescent="0.3">
      <c r="A16" t="s">
        <v>48</v>
      </c>
      <c r="B16" t="s">
        <v>5</v>
      </c>
      <c r="C16" t="s">
        <v>15</v>
      </c>
      <c r="D16" t="s">
        <v>49</v>
      </c>
      <c r="E16" t="s">
        <v>50</v>
      </c>
      <c r="F16" t="s">
        <v>51</v>
      </c>
      <c r="G16" t="s">
        <v>55</v>
      </c>
      <c r="L16" t="s">
        <v>54</v>
      </c>
      <c r="M16">
        <v>1.4999999999999999E-2</v>
      </c>
      <c r="N16">
        <f t="shared" ca="1" si="0"/>
        <v>1.4999999999999999E-2</v>
      </c>
      <c r="O16">
        <f t="shared" ca="1" si="0"/>
        <v>1.4999999999999999E-2</v>
      </c>
      <c r="P16">
        <f t="shared" ca="1" si="0"/>
        <v>1.4999999999999999E-2</v>
      </c>
      <c r="Q16">
        <f t="shared" ca="1" si="0"/>
        <v>1.4999999999999999E-2</v>
      </c>
      <c r="R16">
        <f t="shared" ca="1" si="0"/>
        <v>1.4999999999999999E-2</v>
      </c>
      <c r="S16">
        <f t="shared" ca="1" si="0"/>
        <v>1.4999999999999999E-2</v>
      </c>
      <c r="T16">
        <f t="shared" ca="1" si="0"/>
        <v>1.4999999999999999E-2</v>
      </c>
      <c r="U16">
        <f t="shared" ca="1" si="0"/>
        <v>1.4999999999999999E-2</v>
      </c>
      <c r="V16">
        <f t="shared" ca="1" si="0"/>
        <v>1.4999999999999999E-2</v>
      </c>
      <c r="W16">
        <f t="shared" ca="1" si="0"/>
        <v>1.4999999999999999E-2</v>
      </c>
    </row>
    <row r="17" spans="1:23" x14ac:dyDescent="0.3">
      <c r="A17" t="s">
        <v>48</v>
      </c>
      <c r="B17" t="s">
        <v>5</v>
      </c>
      <c r="C17" t="s">
        <v>15</v>
      </c>
      <c r="D17" t="s">
        <v>49</v>
      </c>
      <c r="E17" t="s">
        <v>50</v>
      </c>
      <c r="F17" t="s">
        <v>51</v>
      </c>
      <c r="G17" t="s">
        <v>56</v>
      </c>
      <c r="L17" t="s">
        <v>57</v>
      </c>
      <c r="M17">
        <v>54000000</v>
      </c>
      <c r="N17">
        <f t="shared" ca="1" si="0"/>
        <v>54000000</v>
      </c>
      <c r="O17">
        <f t="shared" ca="1" si="0"/>
        <v>54000000</v>
      </c>
      <c r="P17">
        <f t="shared" ca="1" si="0"/>
        <v>54000000</v>
      </c>
      <c r="Q17">
        <f t="shared" ca="1" si="0"/>
        <v>54000000</v>
      </c>
      <c r="R17">
        <f t="shared" ca="1" si="0"/>
        <v>54000000</v>
      </c>
      <c r="S17">
        <f t="shared" ca="1" si="0"/>
        <v>54000000</v>
      </c>
      <c r="T17">
        <f t="shared" ca="1" si="0"/>
        <v>54000000</v>
      </c>
      <c r="U17">
        <f t="shared" ca="1" si="0"/>
        <v>54000000</v>
      </c>
      <c r="V17">
        <f t="shared" ca="1" si="0"/>
        <v>54000000</v>
      </c>
      <c r="W17">
        <f t="shared" ca="1" si="0"/>
        <v>54000000</v>
      </c>
    </row>
    <row r="18" spans="1:23" x14ac:dyDescent="0.3">
      <c r="A18" t="s">
        <v>48</v>
      </c>
      <c r="B18" t="s">
        <v>5</v>
      </c>
      <c r="C18" t="s">
        <v>15</v>
      </c>
      <c r="D18" t="s">
        <v>49</v>
      </c>
      <c r="E18" t="s">
        <v>50</v>
      </c>
      <c r="F18" t="s">
        <v>51</v>
      </c>
      <c r="G18" t="s">
        <v>58</v>
      </c>
      <c r="L18" t="s">
        <v>54</v>
      </c>
      <c r="M18">
        <v>0.8</v>
      </c>
      <c r="N18">
        <f t="shared" ca="1" si="0"/>
        <v>0.8</v>
      </c>
      <c r="O18">
        <f t="shared" ca="1" si="0"/>
        <v>0.8</v>
      </c>
      <c r="P18">
        <f t="shared" ca="1" si="0"/>
        <v>0.8</v>
      </c>
      <c r="Q18">
        <f t="shared" ca="1" si="0"/>
        <v>0.8</v>
      </c>
      <c r="R18">
        <f t="shared" ca="1" si="0"/>
        <v>0.8</v>
      </c>
      <c r="S18">
        <f t="shared" ca="1" si="0"/>
        <v>0.8</v>
      </c>
      <c r="T18">
        <f t="shared" ca="1" si="0"/>
        <v>0.8</v>
      </c>
      <c r="U18">
        <f t="shared" ca="1" si="0"/>
        <v>0.8</v>
      </c>
      <c r="V18">
        <f t="shared" ca="1" si="0"/>
        <v>0.8</v>
      </c>
      <c r="W18">
        <f t="shared" ca="1" si="0"/>
        <v>0.8</v>
      </c>
    </row>
    <row r="19" spans="1:23" x14ac:dyDescent="0.3">
      <c r="A19" t="s">
        <v>48</v>
      </c>
      <c r="B19" t="s">
        <v>5</v>
      </c>
      <c r="C19" t="s">
        <v>15</v>
      </c>
      <c r="D19" t="s">
        <v>49</v>
      </c>
      <c r="E19" t="s">
        <v>50</v>
      </c>
      <c r="F19" t="s">
        <v>59</v>
      </c>
      <c r="G19" t="s">
        <v>52</v>
      </c>
      <c r="H19" t="s">
        <v>60</v>
      </c>
    </row>
    <row r="20" spans="1:23" x14ac:dyDescent="0.3">
      <c r="A20" t="s">
        <v>48</v>
      </c>
      <c r="B20" t="s">
        <v>5</v>
      </c>
      <c r="C20" t="s">
        <v>15</v>
      </c>
      <c r="D20" t="s">
        <v>49</v>
      </c>
      <c r="E20" t="s">
        <v>50</v>
      </c>
      <c r="F20" t="s">
        <v>59</v>
      </c>
      <c r="G20" t="s">
        <v>53</v>
      </c>
      <c r="L20" t="s">
        <v>54</v>
      </c>
      <c r="M20">
        <v>0.4</v>
      </c>
      <c r="N20">
        <f t="shared" ref="N20:W23" ca="1" si="1">M20</f>
        <v>0.4</v>
      </c>
      <c r="O20">
        <f t="shared" ca="1" si="1"/>
        <v>0.4</v>
      </c>
      <c r="P20">
        <f t="shared" ca="1" si="1"/>
        <v>0.4</v>
      </c>
      <c r="Q20">
        <f t="shared" ca="1" si="1"/>
        <v>0.4</v>
      </c>
      <c r="R20">
        <f t="shared" ca="1" si="1"/>
        <v>0.4</v>
      </c>
      <c r="S20">
        <f t="shared" ca="1" si="1"/>
        <v>0.4</v>
      </c>
      <c r="T20">
        <f t="shared" ca="1" si="1"/>
        <v>0.4</v>
      </c>
      <c r="U20">
        <f t="shared" ca="1" si="1"/>
        <v>0.4</v>
      </c>
      <c r="V20">
        <f t="shared" ca="1" si="1"/>
        <v>0.4</v>
      </c>
      <c r="W20">
        <f t="shared" ca="1" si="1"/>
        <v>0.4</v>
      </c>
    </row>
    <row r="21" spans="1:23" x14ac:dyDescent="0.3">
      <c r="A21" t="s">
        <v>48</v>
      </c>
      <c r="B21" t="s">
        <v>5</v>
      </c>
      <c r="C21" t="s">
        <v>15</v>
      </c>
      <c r="D21" t="s">
        <v>49</v>
      </c>
      <c r="E21" t="s">
        <v>50</v>
      </c>
      <c r="F21" t="s">
        <v>59</v>
      </c>
      <c r="G21" t="s">
        <v>55</v>
      </c>
      <c r="L21" t="s">
        <v>54</v>
      </c>
      <c r="M21">
        <v>0.01</v>
      </c>
      <c r="N21">
        <f t="shared" ca="1" si="1"/>
        <v>0.01</v>
      </c>
      <c r="O21">
        <f t="shared" ca="1" si="1"/>
        <v>0.01</v>
      </c>
      <c r="P21">
        <f t="shared" ca="1" si="1"/>
        <v>0.01</v>
      </c>
      <c r="Q21">
        <f t="shared" ca="1" si="1"/>
        <v>0.01</v>
      </c>
      <c r="R21">
        <f t="shared" ca="1" si="1"/>
        <v>0.01</v>
      </c>
      <c r="S21">
        <f t="shared" ca="1" si="1"/>
        <v>0.01</v>
      </c>
      <c r="T21">
        <f t="shared" ca="1" si="1"/>
        <v>0.01</v>
      </c>
      <c r="U21">
        <f t="shared" ca="1" si="1"/>
        <v>0.01</v>
      </c>
      <c r="V21">
        <f t="shared" ca="1" si="1"/>
        <v>0.01</v>
      </c>
      <c r="W21">
        <f t="shared" ca="1" si="1"/>
        <v>0.01</v>
      </c>
    </row>
    <row r="22" spans="1:23" x14ac:dyDescent="0.3">
      <c r="A22" t="s">
        <v>48</v>
      </c>
      <c r="B22" t="s">
        <v>5</v>
      </c>
      <c r="C22" t="s">
        <v>15</v>
      </c>
      <c r="D22" t="s">
        <v>49</v>
      </c>
      <c r="E22" t="s">
        <v>50</v>
      </c>
      <c r="F22" t="s">
        <v>59</v>
      </c>
      <c r="G22" t="s">
        <v>56</v>
      </c>
      <c r="L22" t="s">
        <v>57</v>
      </c>
      <c r="M22">
        <v>54000000</v>
      </c>
      <c r="N22">
        <f t="shared" ca="1" si="1"/>
        <v>54000000</v>
      </c>
      <c r="O22">
        <f t="shared" ca="1" si="1"/>
        <v>54000000</v>
      </c>
      <c r="P22">
        <f t="shared" ca="1" si="1"/>
        <v>54000000</v>
      </c>
      <c r="Q22">
        <f t="shared" ca="1" si="1"/>
        <v>54000000</v>
      </c>
      <c r="R22">
        <f t="shared" ca="1" si="1"/>
        <v>54000000</v>
      </c>
      <c r="S22">
        <f t="shared" ca="1" si="1"/>
        <v>54000000</v>
      </c>
      <c r="T22">
        <f t="shared" ca="1" si="1"/>
        <v>54000000</v>
      </c>
      <c r="U22">
        <f t="shared" ca="1" si="1"/>
        <v>54000000</v>
      </c>
      <c r="V22">
        <f t="shared" ca="1" si="1"/>
        <v>54000000</v>
      </c>
      <c r="W22">
        <f t="shared" ca="1" si="1"/>
        <v>54000000</v>
      </c>
    </row>
    <row r="23" spans="1:23" x14ac:dyDescent="0.3">
      <c r="A23" t="s">
        <v>48</v>
      </c>
      <c r="B23" t="s">
        <v>5</v>
      </c>
      <c r="C23" t="s">
        <v>15</v>
      </c>
      <c r="D23" t="s">
        <v>49</v>
      </c>
      <c r="E23" t="s">
        <v>50</v>
      </c>
      <c r="F23" t="s">
        <v>59</v>
      </c>
      <c r="G23" t="s">
        <v>58</v>
      </c>
      <c r="L23" t="s">
        <v>54</v>
      </c>
      <c r="M23">
        <v>0.9</v>
      </c>
      <c r="N23">
        <f t="shared" ca="1" si="1"/>
        <v>0.9</v>
      </c>
      <c r="O23">
        <f t="shared" ca="1" si="1"/>
        <v>0.9</v>
      </c>
      <c r="P23">
        <f t="shared" ca="1" si="1"/>
        <v>0.9</v>
      </c>
      <c r="Q23">
        <f t="shared" ca="1" si="1"/>
        <v>0.9</v>
      </c>
      <c r="R23">
        <f t="shared" ca="1" si="1"/>
        <v>0.9</v>
      </c>
      <c r="S23">
        <f t="shared" ca="1" si="1"/>
        <v>0.9</v>
      </c>
      <c r="T23">
        <f t="shared" ca="1" si="1"/>
        <v>0.9</v>
      </c>
      <c r="U23">
        <f t="shared" ca="1" si="1"/>
        <v>0.9</v>
      </c>
      <c r="V23">
        <f t="shared" ca="1" si="1"/>
        <v>0.9</v>
      </c>
      <c r="W23">
        <f t="shared" ca="1" si="1"/>
        <v>0.9</v>
      </c>
    </row>
    <row r="24" spans="1:23" x14ac:dyDescent="0.3">
      <c r="A24" t="s">
        <v>48</v>
      </c>
      <c r="B24" t="s">
        <v>5</v>
      </c>
      <c r="C24" t="s">
        <v>15</v>
      </c>
      <c r="D24" t="s">
        <v>49</v>
      </c>
      <c r="E24" t="s">
        <v>50</v>
      </c>
      <c r="F24" t="s">
        <v>61</v>
      </c>
      <c r="G24" t="s">
        <v>52</v>
      </c>
      <c r="H24" t="s">
        <v>60</v>
      </c>
    </row>
    <row r="25" spans="1:23" x14ac:dyDescent="0.3">
      <c r="A25" t="s">
        <v>48</v>
      </c>
      <c r="B25" t="s">
        <v>5</v>
      </c>
      <c r="C25" t="s">
        <v>15</v>
      </c>
      <c r="D25" t="s">
        <v>49</v>
      </c>
      <c r="E25" t="s">
        <v>50</v>
      </c>
      <c r="F25" t="s">
        <v>61</v>
      </c>
      <c r="G25" t="s">
        <v>53</v>
      </c>
      <c r="L25" t="s">
        <v>54</v>
      </c>
      <c r="M25">
        <v>0.4</v>
      </c>
      <c r="N25">
        <f t="shared" ref="N25:W28" ca="1" si="2">M25</f>
        <v>0.4</v>
      </c>
      <c r="O25">
        <f t="shared" ca="1" si="2"/>
        <v>0.4</v>
      </c>
      <c r="P25">
        <f t="shared" ca="1" si="2"/>
        <v>0.4</v>
      </c>
      <c r="Q25">
        <f t="shared" ca="1" si="2"/>
        <v>0.4</v>
      </c>
      <c r="R25">
        <f t="shared" ca="1" si="2"/>
        <v>0.4</v>
      </c>
      <c r="S25">
        <f t="shared" ca="1" si="2"/>
        <v>0.4</v>
      </c>
      <c r="T25">
        <f t="shared" ca="1" si="2"/>
        <v>0.4</v>
      </c>
      <c r="U25">
        <f t="shared" ca="1" si="2"/>
        <v>0.4</v>
      </c>
      <c r="V25">
        <f t="shared" ca="1" si="2"/>
        <v>0.4</v>
      </c>
      <c r="W25">
        <f t="shared" ca="1" si="2"/>
        <v>0.4</v>
      </c>
    </row>
    <row r="26" spans="1:23" x14ac:dyDescent="0.3">
      <c r="A26" t="s">
        <v>48</v>
      </c>
      <c r="B26" t="s">
        <v>5</v>
      </c>
      <c r="C26" t="s">
        <v>15</v>
      </c>
      <c r="D26" t="s">
        <v>49</v>
      </c>
      <c r="E26" t="s">
        <v>50</v>
      </c>
      <c r="F26" t="s">
        <v>61</v>
      </c>
      <c r="G26" t="s">
        <v>55</v>
      </c>
      <c r="L26" t="s">
        <v>54</v>
      </c>
      <c r="M26">
        <v>0.01</v>
      </c>
      <c r="N26">
        <f t="shared" ca="1" si="2"/>
        <v>0.01</v>
      </c>
      <c r="O26">
        <f t="shared" ca="1" si="2"/>
        <v>0.01</v>
      </c>
      <c r="P26">
        <f t="shared" ca="1" si="2"/>
        <v>0.01</v>
      </c>
      <c r="Q26">
        <f t="shared" ca="1" si="2"/>
        <v>0.01</v>
      </c>
      <c r="R26">
        <f t="shared" ca="1" si="2"/>
        <v>0.01</v>
      </c>
      <c r="S26">
        <f t="shared" ca="1" si="2"/>
        <v>0.01</v>
      </c>
      <c r="T26">
        <f t="shared" ca="1" si="2"/>
        <v>0.01</v>
      </c>
      <c r="U26">
        <f t="shared" ca="1" si="2"/>
        <v>0.01</v>
      </c>
      <c r="V26">
        <f t="shared" ca="1" si="2"/>
        <v>0.01</v>
      </c>
      <c r="W26">
        <f t="shared" ca="1" si="2"/>
        <v>0.01</v>
      </c>
    </row>
    <row r="27" spans="1:23" x14ac:dyDescent="0.3">
      <c r="A27" t="s">
        <v>48</v>
      </c>
      <c r="B27" t="s">
        <v>5</v>
      </c>
      <c r="C27" t="s">
        <v>15</v>
      </c>
      <c r="D27" t="s">
        <v>49</v>
      </c>
      <c r="E27" t="s">
        <v>50</v>
      </c>
      <c r="F27" t="s">
        <v>61</v>
      </c>
      <c r="G27" t="s">
        <v>56</v>
      </c>
      <c r="L27" t="s">
        <v>57</v>
      </c>
      <c r="M27">
        <v>54000000</v>
      </c>
      <c r="N27">
        <f t="shared" ca="1" si="2"/>
        <v>54000000</v>
      </c>
      <c r="O27">
        <f t="shared" ca="1" si="2"/>
        <v>54000000</v>
      </c>
      <c r="P27">
        <f t="shared" ca="1" si="2"/>
        <v>54000000</v>
      </c>
      <c r="Q27">
        <f t="shared" ca="1" si="2"/>
        <v>54000000</v>
      </c>
      <c r="R27">
        <f t="shared" ca="1" si="2"/>
        <v>54000000</v>
      </c>
      <c r="S27">
        <f t="shared" ca="1" si="2"/>
        <v>54000000</v>
      </c>
      <c r="T27">
        <f t="shared" ca="1" si="2"/>
        <v>54000000</v>
      </c>
      <c r="U27">
        <f t="shared" ca="1" si="2"/>
        <v>54000000</v>
      </c>
      <c r="V27">
        <f t="shared" ca="1" si="2"/>
        <v>54000000</v>
      </c>
      <c r="W27">
        <f t="shared" ca="1" si="2"/>
        <v>54000000</v>
      </c>
    </row>
    <row r="28" spans="1:23" x14ac:dyDescent="0.3">
      <c r="A28" t="s">
        <v>48</v>
      </c>
      <c r="B28" t="s">
        <v>5</v>
      </c>
      <c r="C28" t="s">
        <v>15</v>
      </c>
      <c r="D28" t="s">
        <v>49</v>
      </c>
      <c r="E28" t="s">
        <v>50</v>
      </c>
      <c r="F28" t="s">
        <v>61</v>
      </c>
      <c r="G28" t="s">
        <v>58</v>
      </c>
      <c r="L28" t="s">
        <v>54</v>
      </c>
      <c r="M28">
        <v>0.9</v>
      </c>
      <c r="N28">
        <f t="shared" ca="1" si="2"/>
        <v>0.9</v>
      </c>
      <c r="O28">
        <f t="shared" ca="1" si="2"/>
        <v>0.9</v>
      </c>
      <c r="P28">
        <f t="shared" ca="1" si="2"/>
        <v>0.9</v>
      </c>
      <c r="Q28">
        <f t="shared" ca="1" si="2"/>
        <v>0.9</v>
      </c>
      <c r="R28">
        <f t="shared" ca="1" si="2"/>
        <v>0.9</v>
      </c>
      <c r="S28">
        <f t="shared" ca="1" si="2"/>
        <v>0.9</v>
      </c>
      <c r="T28">
        <f t="shared" ca="1" si="2"/>
        <v>0.9</v>
      </c>
      <c r="U28">
        <f t="shared" ca="1" si="2"/>
        <v>0.9</v>
      </c>
      <c r="V28">
        <f t="shared" ca="1" si="2"/>
        <v>0.9</v>
      </c>
      <c r="W28">
        <f t="shared" ca="1" si="2"/>
        <v>0.9</v>
      </c>
    </row>
    <row r="29" spans="1:23" x14ac:dyDescent="0.3">
      <c r="A29" t="s">
        <v>48</v>
      </c>
      <c r="B29" t="s">
        <v>5</v>
      </c>
      <c r="C29" t="s">
        <v>15</v>
      </c>
      <c r="D29" t="s">
        <v>49</v>
      </c>
      <c r="E29" t="s">
        <v>50</v>
      </c>
      <c r="F29" t="s">
        <v>62</v>
      </c>
      <c r="G29" t="s">
        <v>52</v>
      </c>
      <c r="H29" t="s">
        <v>63</v>
      </c>
    </row>
    <row r="30" spans="1:23" x14ac:dyDescent="0.3">
      <c r="A30" t="s">
        <v>48</v>
      </c>
      <c r="B30" t="s">
        <v>5</v>
      </c>
      <c r="C30" t="s">
        <v>15</v>
      </c>
      <c r="D30" t="s">
        <v>49</v>
      </c>
      <c r="E30" t="s">
        <v>50</v>
      </c>
      <c r="F30" t="s">
        <v>62</v>
      </c>
      <c r="G30" t="s">
        <v>53</v>
      </c>
      <c r="L30" t="s">
        <v>54</v>
      </c>
      <c r="M30">
        <v>0.4</v>
      </c>
      <c r="N30">
        <f t="shared" ref="N30:W33" ca="1" si="3">M30</f>
        <v>0.4</v>
      </c>
      <c r="O30">
        <f t="shared" ca="1" si="3"/>
        <v>0.4</v>
      </c>
      <c r="P30">
        <f t="shared" ca="1" si="3"/>
        <v>0.4</v>
      </c>
      <c r="Q30">
        <f t="shared" ca="1" si="3"/>
        <v>0.4</v>
      </c>
      <c r="R30">
        <f t="shared" ca="1" si="3"/>
        <v>0.4</v>
      </c>
      <c r="S30">
        <f t="shared" ca="1" si="3"/>
        <v>0.4</v>
      </c>
      <c r="T30">
        <f t="shared" ca="1" si="3"/>
        <v>0.4</v>
      </c>
      <c r="U30">
        <f t="shared" ca="1" si="3"/>
        <v>0.4</v>
      </c>
      <c r="V30">
        <f t="shared" ca="1" si="3"/>
        <v>0.4</v>
      </c>
      <c r="W30">
        <f t="shared" ca="1" si="3"/>
        <v>0.4</v>
      </c>
    </row>
    <row r="31" spans="1:23" x14ac:dyDescent="0.3">
      <c r="A31" t="s">
        <v>48</v>
      </c>
      <c r="B31" t="s">
        <v>5</v>
      </c>
      <c r="C31" t="s">
        <v>15</v>
      </c>
      <c r="D31" t="s">
        <v>49</v>
      </c>
      <c r="E31" t="s">
        <v>50</v>
      </c>
      <c r="F31" t="s">
        <v>62</v>
      </c>
      <c r="G31" t="s">
        <v>55</v>
      </c>
      <c r="L31" t="s">
        <v>54</v>
      </c>
      <c r="M31">
        <v>0.01</v>
      </c>
      <c r="N31">
        <f t="shared" ca="1" si="3"/>
        <v>0.01</v>
      </c>
      <c r="O31">
        <f t="shared" ca="1" si="3"/>
        <v>0.01</v>
      </c>
      <c r="P31">
        <f t="shared" ca="1" si="3"/>
        <v>0.01</v>
      </c>
      <c r="Q31">
        <f t="shared" ca="1" si="3"/>
        <v>0.01</v>
      </c>
      <c r="R31">
        <f t="shared" ca="1" si="3"/>
        <v>0.01</v>
      </c>
      <c r="S31">
        <f t="shared" ca="1" si="3"/>
        <v>0.01</v>
      </c>
      <c r="T31">
        <f t="shared" ca="1" si="3"/>
        <v>0.01</v>
      </c>
      <c r="U31">
        <f t="shared" ca="1" si="3"/>
        <v>0.01</v>
      </c>
      <c r="V31">
        <f t="shared" ca="1" si="3"/>
        <v>0.01</v>
      </c>
      <c r="W31">
        <f t="shared" ca="1" si="3"/>
        <v>0.01</v>
      </c>
    </row>
    <row r="32" spans="1:23" x14ac:dyDescent="0.3">
      <c r="A32" t="s">
        <v>48</v>
      </c>
      <c r="B32" t="s">
        <v>5</v>
      </c>
      <c r="C32" t="s">
        <v>15</v>
      </c>
      <c r="D32" t="s">
        <v>49</v>
      </c>
      <c r="E32" t="s">
        <v>50</v>
      </c>
      <c r="F32" t="s">
        <v>62</v>
      </c>
      <c r="G32" t="s">
        <v>56</v>
      </c>
      <c r="L32" t="s">
        <v>57</v>
      </c>
      <c r="M32">
        <v>54000000</v>
      </c>
      <c r="N32">
        <f t="shared" ca="1" si="3"/>
        <v>54000000</v>
      </c>
      <c r="O32">
        <f t="shared" ca="1" si="3"/>
        <v>54000000</v>
      </c>
      <c r="P32">
        <f t="shared" ca="1" si="3"/>
        <v>54000000</v>
      </c>
      <c r="Q32">
        <f t="shared" ca="1" si="3"/>
        <v>54000000</v>
      </c>
      <c r="R32">
        <f t="shared" ca="1" si="3"/>
        <v>54000000</v>
      </c>
      <c r="S32">
        <f t="shared" ca="1" si="3"/>
        <v>54000000</v>
      </c>
      <c r="T32">
        <f t="shared" ca="1" si="3"/>
        <v>54000000</v>
      </c>
      <c r="U32">
        <f t="shared" ca="1" si="3"/>
        <v>54000000</v>
      </c>
      <c r="V32">
        <f t="shared" ca="1" si="3"/>
        <v>54000000</v>
      </c>
      <c r="W32">
        <f t="shared" ca="1" si="3"/>
        <v>54000000</v>
      </c>
    </row>
    <row r="33" spans="1:23" x14ac:dyDescent="0.3">
      <c r="A33" t="s">
        <v>48</v>
      </c>
      <c r="B33" t="s">
        <v>5</v>
      </c>
      <c r="C33" t="s">
        <v>15</v>
      </c>
      <c r="D33" t="s">
        <v>49</v>
      </c>
      <c r="E33" t="s">
        <v>50</v>
      </c>
      <c r="F33" t="s">
        <v>62</v>
      </c>
      <c r="G33" t="s">
        <v>58</v>
      </c>
      <c r="L33" t="s">
        <v>54</v>
      </c>
      <c r="M33">
        <v>0.9</v>
      </c>
      <c r="N33">
        <f t="shared" ca="1" si="3"/>
        <v>0.9</v>
      </c>
      <c r="O33">
        <f t="shared" ca="1" si="3"/>
        <v>0.9</v>
      </c>
      <c r="P33">
        <f t="shared" ca="1" si="3"/>
        <v>0.9</v>
      </c>
      <c r="Q33">
        <f t="shared" ca="1" si="3"/>
        <v>0.9</v>
      </c>
      <c r="R33">
        <f t="shared" ca="1" si="3"/>
        <v>0.9</v>
      </c>
      <c r="S33">
        <f t="shared" ca="1" si="3"/>
        <v>0.9</v>
      </c>
      <c r="T33">
        <f t="shared" ca="1" si="3"/>
        <v>0.9</v>
      </c>
      <c r="U33">
        <f t="shared" ca="1" si="3"/>
        <v>0.9</v>
      </c>
      <c r="V33">
        <f t="shared" ca="1" si="3"/>
        <v>0.9</v>
      </c>
      <c r="W33">
        <f t="shared" ca="1" si="3"/>
        <v>0.9</v>
      </c>
    </row>
    <row r="34" spans="1:23" x14ac:dyDescent="0.3">
      <c r="A34" t="s">
        <v>48</v>
      </c>
      <c r="B34" t="s">
        <v>5</v>
      </c>
      <c r="C34" t="s">
        <v>15</v>
      </c>
      <c r="D34" t="s">
        <v>49</v>
      </c>
      <c r="E34" t="s">
        <v>50</v>
      </c>
      <c r="F34" t="s">
        <v>64</v>
      </c>
      <c r="G34" t="s">
        <v>52</v>
      </c>
      <c r="H34" t="s">
        <v>51</v>
      </c>
    </row>
    <row r="35" spans="1:23" x14ac:dyDescent="0.3">
      <c r="A35" t="s">
        <v>48</v>
      </c>
      <c r="B35" t="s">
        <v>5</v>
      </c>
      <c r="C35" t="s">
        <v>15</v>
      </c>
      <c r="D35" t="s">
        <v>49</v>
      </c>
      <c r="E35" t="s">
        <v>50</v>
      </c>
      <c r="F35" t="s">
        <v>64</v>
      </c>
      <c r="G35" t="s">
        <v>53</v>
      </c>
      <c r="L35" t="s">
        <v>54</v>
      </c>
      <c r="M35">
        <v>0.4</v>
      </c>
      <c r="N35">
        <f t="shared" ref="N35:W38" ca="1" si="4">M35</f>
        <v>0.4</v>
      </c>
      <c r="O35">
        <f t="shared" ca="1" si="4"/>
        <v>0.4</v>
      </c>
      <c r="P35">
        <f t="shared" ca="1" si="4"/>
        <v>0.4</v>
      </c>
      <c r="Q35">
        <f t="shared" ca="1" si="4"/>
        <v>0.4</v>
      </c>
      <c r="R35">
        <f t="shared" ca="1" si="4"/>
        <v>0.4</v>
      </c>
      <c r="S35">
        <f t="shared" ca="1" si="4"/>
        <v>0.4</v>
      </c>
      <c r="T35">
        <f t="shared" ca="1" si="4"/>
        <v>0.4</v>
      </c>
      <c r="U35">
        <f t="shared" ca="1" si="4"/>
        <v>0.4</v>
      </c>
      <c r="V35">
        <f t="shared" ca="1" si="4"/>
        <v>0.4</v>
      </c>
      <c r="W35">
        <f t="shared" ca="1" si="4"/>
        <v>0.4</v>
      </c>
    </row>
    <row r="36" spans="1:23" x14ac:dyDescent="0.3">
      <c r="A36" t="s">
        <v>48</v>
      </c>
      <c r="B36" t="s">
        <v>5</v>
      </c>
      <c r="C36" t="s">
        <v>15</v>
      </c>
      <c r="D36" t="s">
        <v>49</v>
      </c>
      <c r="E36" t="s">
        <v>50</v>
      </c>
      <c r="F36" t="s">
        <v>64</v>
      </c>
      <c r="G36" t="s">
        <v>55</v>
      </c>
      <c r="L36" t="s">
        <v>54</v>
      </c>
      <c r="M36">
        <v>1.4999999999999999E-2</v>
      </c>
      <c r="N36">
        <f t="shared" ca="1" si="4"/>
        <v>1.4999999999999999E-2</v>
      </c>
      <c r="O36">
        <f t="shared" ca="1" si="4"/>
        <v>1.4999999999999999E-2</v>
      </c>
      <c r="P36">
        <f t="shared" ca="1" si="4"/>
        <v>1.4999999999999999E-2</v>
      </c>
      <c r="Q36">
        <f t="shared" ca="1" si="4"/>
        <v>1.4999999999999999E-2</v>
      </c>
      <c r="R36">
        <f t="shared" ca="1" si="4"/>
        <v>1.4999999999999999E-2</v>
      </c>
      <c r="S36">
        <f t="shared" ca="1" si="4"/>
        <v>1.4999999999999999E-2</v>
      </c>
      <c r="T36">
        <f t="shared" ca="1" si="4"/>
        <v>1.4999999999999999E-2</v>
      </c>
      <c r="U36">
        <f t="shared" ca="1" si="4"/>
        <v>1.4999999999999999E-2</v>
      </c>
      <c r="V36">
        <f t="shared" ca="1" si="4"/>
        <v>1.4999999999999999E-2</v>
      </c>
      <c r="W36">
        <f t="shared" ca="1" si="4"/>
        <v>1.4999999999999999E-2</v>
      </c>
    </row>
    <row r="37" spans="1:23" x14ac:dyDescent="0.3">
      <c r="A37" t="s">
        <v>48</v>
      </c>
      <c r="B37" t="s">
        <v>5</v>
      </c>
      <c r="C37" t="s">
        <v>15</v>
      </c>
      <c r="D37" t="s">
        <v>49</v>
      </c>
      <c r="E37" t="s">
        <v>50</v>
      </c>
      <c r="F37" t="s">
        <v>64</v>
      </c>
      <c r="G37" t="s">
        <v>56</v>
      </c>
      <c r="L37" t="s">
        <v>57</v>
      </c>
      <c r="M37">
        <v>54000000</v>
      </c>
      <c r="N37">
        <f t="shared" ca="1" si="4"/>
        <v>54000000</v>
      </c>
      <c r="O37">
        <f t="shared" ca="1" si="4"/>
        <v>54000000</v>
      </c>
      <c r="P37">
        <f t="shared" ca="1" si="4"/>
        <v>54000000</v>
      </c>
      <c r="Q37">
        <f t="shared" ca="1" si="4"/>
        <v>54000000</v>
      </c>
      <c r="R37">
        <f t="shared" ca="1" si="4"/>
        <v>54000000</v>
      </c>
      <c r="S37">
        <f t="shared" ca="1" si="4"/>
        <v>54000000</v>
      </c>
      <c r="T37">
        <f t="shared" ca="1" si="4"/>
        <v>54000000</v>
      </c>
      <c r="U37">
        <f t="shared" ca="1" si="4"/>
        <v>54000000</v>
      </c>
      <c r="V37">
        <f t="shared" ca="1" si="4"/>
        <v>54000000</v>
      </c>
      <c r="W37">
        <f t="shared" ca="1" si="4"/>
        <v>54000000</v>
      </c>
    </row>
    <row r="38" spans="1:23" x14ac:dyDescent="0.3">
      <c r="A38" t="s">
        <v>48</v>
      </c>
      <c r="B38" t="s">
        <v>5</v>
      </c>
      <c r="C38" t="s">
        <v>15</v>
      </c>
      <c r="D38" t="s">
        <v>49</v>
      </c>
      <c r="E38" t="s">
        <v>50</v>
      </c>
      <c r="F38" t="s">
        <v>64</v>
      </c>
      <c r="G38" t="s">
        <v>58</v>
      </c>
      <c r="L38" t="s">
        <v>54</v>
      </c>
      <c r="M38">
        <v>0.8</v>
      </c>
      <c r="N38">
        <f t="shared" ca="1" si="4"/>
        <v>0.8</v>
      </c>
      <c r="O38">
        <f t="shared" ca="1" si="4"/>
        <v>0.8</v>
      </c>
      <c r="P38">
        <f t="shared" ca="1" si="4"/>
        <v>0.8</v>
      </c>
      <c r="Q38">
        <f t="shared" ca="1" si="4"/>
        <v>0.8</v>
      </c>
      <c r="R38">
        <f t="shared" ca="1" si="4"/>
        <v>0.8</v>
      </c>
      <c r="S38">
        <f t="shared" ca="1" si="4"/>
        <v>0.8</v>
      </c>
      <c r="T38">
        <f t="shared" ca="1" si="4"/>
        <v>0.8</v>
      </c>
      <c r="U38">
        <f t="shared" ca="1" si="4"/>
        <v>0.8</v>
      </c>
      <c r="V38">
        <f t="shared" ca="1" si="4"/>
        <v>0.8</v>
      </c>
      <c r="W38">
        <f t="shared" ca="1" si="4"/>
        <v>0.8</v>
      </c>
    </row>
    <row r="39" spans="1:23" x14ac:dyDescent="0.3">
      <c r="A39" t="s">
        <v>48</v>
      </c>
      <c r="B39" t="s">
        <v>5</v>
      </c>
      <c r="C39" t="s">
        <v>15</v>
      </c>
      <c r="D39" t="s">
        <v>49</v>
      </c>
      <c r="E39" t="s">
        <v>50</v>
      </c>
      <c r="F39" t="s">
        <v>65</v>
      </c>
      <c r="G39" t="s">
        <v>52</v>
      </c>
      <c r="H39" t="s">
        <v>60</v>
      </c>
    </row>
    <row r="40" spans="1:23" x14ac:dyDescent="0.3">
      <c r="A40" t="s">
        <v>48</v>
      </c>
      <c r="B40" t="s">
        <v>5</v>
      </c>
      <c r="C40" t="s">
        <v>15</v>
      </c>
      <c r="D40" t="s">
        <v>49</v>
      </c>
      <c r="E40" t="s">
        <v>50</v>
      </c>
      <c r="F40" t="s">
        <v>65</v>
      </c>
      <c r="G40" t="s">
        <v>53</v>
      </c>
      <c r="L40" t="s">
        <v>54</v>
      </c>
      <c r="M40">
        <v>0.4</v>
      </c>
      <c r="N40">
        <f t="shared" ref="N40:W43" ca="1" si="5">M40</f>
        <v>0.4</v>
      </c>
      <c r="O40">
        <f t="shared" ca="1" si="5"/>
        <v>0.4</v>
      </c>
      <c r="P40">
        <f t="shared" ca="1" si="5"/>
        <v>0.4</v>
      </c>
      <c r="Q40">
        <f t="shared" ca="1" si="5"/>
        <v>0.4</v>
      </c>
      <c r="R40">
        <f t="shared" ca="1" si="5"/>
        <v>0.4</v>
      </c>
      <c r="S40">
        <f t="shared" ca="1" si="5"/>
        <v>0.4</v>
      </c>
      <c r="T40">
        <f t="shared" ca="1" si="5"/>
        <v>0.4</v>
      </c>
      <c r="U40">
        <f t="shared" ca="1" si="5"/>
        <v>0.4</v>
      </c>
      <c r="V40">
        <f t="shared" ca="1" si="5"/>
        <v>0.4</v>
      </c>
      <c r="W40">
        <f t="shared" ca="1" si="5"/>
        <v>0.4</v>
      </c>
    </row>
    <row r="41" spans="1:23" x14ac:dyDescent="0.3">
      <c r="A41" t="s">
        <v>48</v>
      </c>
      <c r="B41" t="s">
        <v>5</v>
      </c>
      <c r="C41" t="s">
        <v>15</v>
      </c>
      <c r="D41" t="s">
        <v>49</v>
      </c>
      <c r="E41" t="s">
        <v>50</v>
      </c>
      <c r="F41" t="s">
        <v>65</v>
      </c>
      <c r="G41" t="s">
        <v>55</v>
      </c>
      <c r="L41" t="s">
        <v>54</v>
      </c>
      <c r="M41">
        <v>0.01</v>
      </c>
      <c r="N41">
        <f t="shared" ca="1" si="5"/>
        <v>0.01</v>
      </c>
      <c r="O41">
        <f t="shared" ca="1" si="5"/>
        <v>0.01</v>
      </c>
      <c r="P41">
        <f t="shared" ca="1" si="5"/>
        <v>0.01</v>
      </c>
      <c r="Q41">
        <f t="shared" ca="1" si="5"/>
        <v>0.01</v>
      </c>
      <c r="R41">
        <f t="shared" ca="1" si="5"/>
        <v>0.01</v>
      </c>
      <c r="S41">
        <f t="shared" ca="1" si="5"/>
        <v>0.01</v>
      </c>
      <c r="T41">
        <f t="shared" ca="1" si="5"/>
        <v>0.01</v>
      </c>
      <c r="U41">
        <f t="shared" ca="1" si="5"/>
        <v>0.01</v>
      </c>
      <c r="V41">
        <f t="shared" ca="1" si="5"/>
        <v>0.01</v>
      </c>
      <c r="W41">
        <f t="shared" ca="1" si="5"/>
        <v>0.01</v>
      </c>
    </row>
    <row r="42" spans="1:23" x14ac:dyDescent="0.3">
      <c r="A42" t="s">
        <v>48</v>
      </c>
      <c r="B42" t="s">
        <v>5</v>
      </c>
      <c r="C42" t="s">
        <v>15</v>
      </c>
      <c r="D42" t="s">
        <v>49</v>
      </c>
      <c r="E42" t="s">
        <v>50</v>
      </c>
      <c r="F42" t="s">
        <v>65</v>
      </c>
      <c r="G42" t="s">
        <v>56</v>
      </c>
      <c r="L42" t="s">
        <v>57</v>
      </c>
      <c r="M42">
        <v>54000000</v>
      </c>
      <c r="N42">
        <f t="shared" ca="1" si="5"/>
        <v>54000000</v>
      </c>
      <c r="O42">
        <f t="shared" ca="1" si="5"/>
        <v>54000000</v>
      </c>
      <c r="P42">
        <f t="shared" ca="1" si="5"/>
        <v>54000000</v>
      </c>
      <c r="Q42">
        <f t="shared" ca="1" si="5"/>
        <v>54000000</v>
      </c>
      <c r="R42">
        <f t="shared" ca="1" si="5"/>
        <v>54000000</v>
      </c>
      <c r="S42">
        <f t="shared" ca="1" si="5"/>
        <v>54000000</v>
      </c>
      <c r="T42">
        <f t="shared" ca="1" si="5"/>
        <v>54000000</v>
      </c>
      <c r="U42">
        <f t="shared" ca="1" si="5"/>
        <v>54000000</v>
      </c>
      <c r="V42">
        <f t="shared" ca="1" si="5"/>
        <v>54000000</v>
      </c>
      <c r="W42">
        <f t="shared" ca="1" si="5"/>
        <v>54000000</v>
      </c>
    </row>
    <row r="43" spans="1:23" x14ac:dyDescent="0.3">
      <c r="A43" t="s">
        <v>48</v>
      </c>
      <c r="B43" t="s">
        <v>5</v>
      </c>
      <c r="C43" t="s">
        <v>15</v>
      </c>
      <c r="D43" t="s">
        <v>49</v>
      </c>
      <c r="E43" t="s">
        <v>50</v>
      </c>
      <c r="F43" t="s">
        <v>65</v>
      </c>
      <c r="G43" t="s">
        <v>58</v>
      </c>
      <c r="L43" t="s">
        <v>54</v>
      </c>
      <c r="M43">
        <v>0.9</v>
      </c>
      <c r="N43">
        <f t="shared" ca="1" si="5"/>
        <v>0.9</v>
      </c>
      <c r="O43">
        <f t="shared" ca="1" si="5"/>
        <v>0.9</v>
      </c>
      <c r="P43">
        <f t="shared" ca="1" si="5"/>
        <v>0.9</v>
      </c>
      <c r="Q43">
        <f t="shared" ca="1" si="5"/>
        <v>0.9</v>
      </c>
      <c r="R43">
        <f t="shared" ca="1" si="5"/>
        <v>0.9</v>
      </c>
      <c r="S43">
        <f t="shared" ca="1" si="5"/>
        <v>0.9</v>
      </c>
      <c r="T43">
        <f t="shared" ca="1" si="5"/>
        <v>0.9</v>
      </c>
      <c r="U43">
        <f t="shared" ca="1" si="5"/>
        <v>0.9</v>
      </c>
      <c r="V43">
        <f t="shared" ca="1" si="5"/>
        <v>0.9</v>
      </c>
      <c r="W43">
        <f t="shared" ca="1" si="5"/>
        <v>0.9</v>
      </c>
    </row>
    <row r="44" spans="1:23" x14ac:dyDescent="0.3">
      <c r="A44" t="s">
        <v>48</v>
      </c>
      <c r="B44" t="s">
        <v>5</v>
      </c>
      <c r="C44" t="s">
        <v>15</v>
      </c>
      <c r="D44" t="s">
        <v>49</v>
      </c>
      <c r="E44" t="s">
        <v>50</v>
      </c>
      <c r="F44" t="s">
        <v>66</v>
      </c>
      <c r="G44" t="s">
        <v>52</v>
      </c>
      <c r="H44" t="s">
        <v>60</v>
      </c>
    </row>
    <row r="45" spans="1:23" x14ac:dyDescent="0.3">
      <c r="A45" t="s">
        <v>48</v>
      </c>
      <c r="B45" t="s">
        <v>5</v>
      </c>
      <c r="C45" t="s">
        <v>15</v>
      </c>
      <c r="D45" t="s">
        <v>49</v>
      </c>
      <c r="E45" t="s">
        <v>50</v>
      </c>
      <c r="F45" t="s">
        <v>66</v>
      </c>
      <c r="G45" t="s">
        <v>53</v>
      </c>
      <c r="L45" t="s">
        <v>54</v>
      </c>
      <c r="M45">
        <v>0.4</v>
      </c>
      <c r="N45">
        <f t="shared" ref="N45:W48" ca="1" si="6">M45</f>
        <v>0.4</v>
      </c>
      <c r="O45">
        <f t="shared" ca="1" si="6"/>
        <v>0.4</v>
      </c>
      <c r="P45">
        <f t="shared" ca="1" si="6"/>
        <v>0.4</v>
      </c>
      <c r="Q45">
        <f t="shared" ca="1" si="6"/>
        <v>0.4</v>
      </c>
      <c r="R45">
        <f t="shared" ca="1" si="6"/>
        <v>0.4</v>
      </c>
      <c r="S45">
        <f t="shared" ca="1" si="6"/>
        <v>0.4</v>
      </c>
      <c r="T45">
        <f t="shared" ca="1" si="6"/>
        <v>0.4</v>
      </c>
      <c r="U45">
        <f t="shared" ca="1" si="6"/>
        <v>0.4</v>
      </c>
      <c r="V45">
        <f t="shared" ca="1" si="6"/>
        <v>0.4</v>
      </c>
      <c r="W45">
        <f t="shared" ca="1" si="6"/>
        <v>0.4</v>
      </c>
    </row>
    <row r="46" spans="1:23" x14ac:dyDescent="0.3">
      <c r="A46" t="s">
        <v>48</v>
      </c>
      <c r="B46" t="s">
        <v>5</v>
      </c>
      <c r="C46" t="s">
        <v>15</v>
      </c>
      <c r="D46" t="s">
        <v>49</v>
      </c>
      <c r="E46" t="s">
        <v>50</v>
      </c>
      <c r="F46" t="s">
        <v>66</v>
      </c>
      <c r="G46" t="s">
        <v>55</v>
      </c>
      <c r="L46" t="s">
        <v>54</v>
      </c>
      <c r="M46">
        <v>0.01</v>
      </c>
      <c r="N46">
        <f t="shared" ca="1" si="6"/>
        <v>0.01</v>
      </c>
      <c r="O46">
        <f t="shared" ca="1" si="6"/>
        <v>0.01</v>
      </c>
      <c r="P46">
        <f t="shared" ca="1" si="6"/>
        <v>0.01</v>
      </c>
      <c r="Q46">
        <f t="shared" ca="1" si="6"/>
        <v>0.01</v>
      </c>
      <c r="R46">
        <f t="shared" ca="1" si="6"/>
        <v>0.01</v>
      </c>
      <c r="S46">
        <f t="shared" ca="1" si="6"/>
        <v>0.01</v>
      </c>
      <c r="T46">
        <f t="shared" ca="1" si="6"/>
        <v>0.01</v>
      </c>
      <c r="U46">
        <f t="shared" ca="1" si="6"/>
        <v>0.01</v>
      </c>
      <c r="V46">
        <f t="shared" ca="1" si="6"/>
        <v>0.01</v>
      </c>
      <c r="W46">
        <f t="shared" ca="1" si="6"/>
        <v>0.01</v>
      </c>
    </row>
    <row r="47" spans="1:23" x14ac:dyDescent="0.3">
      <c r="A47" t="s">
        <v>48</v>
      </c>
      <c r="B47" t="s">
        <v>5</v>
      </c>
      <c r="C47" t="s">
        <v>15</v>
      </c>
      <c r="D47" t="s">
        <v>49</v>
      </c>
      <c r="E47" t="s">
        <v>50</v>
      </c>
      <c r="F47" t="s">
        <v>66</v>
      </c>
      <c r="G47" t="s">
        <v>56</v>
      </c>
      <c r="L47" t="s">
        <v>57</v>
      </c>
      <c r="M47">
        <v>54000000</v>
      </c>
      <c r="N47">
        <f t="shared" ca="1" si="6"/>
        <v>54000000</v>
      </c>
      <c r="O47">
        <f t="shared" ca="1" si="6"/>
        <v>54000000</v>
      </c>
      <c r="P47">
        <f t="shared" ca="1" si="6"/>
        <v>54000000</v>
      </c>
      <c r="Q47">
        <f t="shared" ca="1" si="6"/>
        <v>54000000</v>
      </c>
      <c r="R47">
        <f t="shared" ca="1" si="6"/>
        <v>54000000</v>
      </c>
      <c r="S47">
        <f t="shared" ca="1" si="6"/>
        <v>54000000</v>
      </c>
      <c r="T47">
        <f t="shared" ca="1" si="6"/>
        <v>54000000</v>
      </c>
      <c r="U47">
        <f t="shared" ca="1" si="6"/>
        <v>54000000</v>
      </c>
      <c r="V47">
        <f t="shared" ca="1" si="6"/>
        <v>54000000</v>
      </c>
      <c r="W47">
        <f t="shared" ca="1" si="6"/>
        <v>54000000</v>
      </c>
    </row>
    <row r="48" spans="1:23" x14ac:dyDescent="0.3">
      <c r="A48" t="s">
        <v>48</v>
      </c>
      <c r="B48" t="s">
        <v>5</v>
      </c>
      <c r="C48" t="s">
        <v>15</v>
      </c>
      <c r="D48" t="s">
        <v>49</v>
      </c>
      <c r="E48" t="s">
        <v>50</v>
      </c>
      <c r="F48" t="s">
        <v>66</v>
      </c>
      <c r="G48" t="s">
        <v>58</v>
      </c>
      <c r="L48" t="s">
        <v>54</v>
      </c>
      <c r="M48">
        <v>0.9</v>
      </c>
      <c r="N48">
        <f t="shared" ca="1" si="6"/>
        <v>0.9</v>
      </c>
      <c r="O48">
        <f t="shared" ca="1" si="6"/>
        <v>0.9</v>
      </c>
      <c r="P48">
        <f t="shared" ca="1" si="6"/>
        <v>0.9</v>
      </c>
      <c r="Q48">
        <f t="shared" ca="1" si="6"/>
        <v>0.9</v>
      </c>
      <c r="R48">
        <f t="shared" ca="1" si="6"/>
        <v>0.9</v>
      </c>
      <c r="S48">
        <f t="shared" ca="1" si="6"/>
        <v>0.9</v>
      </c>
      <c r="T48">
        <f t="shared" ca="1" si="6"/>
        <v>0.9</v>
      </c>
      <c r="U48">
        <f t="shared" ca="1" si="6"/>
        <v>0.9</v>
      </c>
      <c r="V48">
        <f t="shared" ca="1" si="6"/>
        <v>0.9</v>
      </c>
      <c r="W48">
        <f t="shared" ca="1" si="6"/>
        <v>0.9</v>
      </c>
    </row>
    <row r="49" spans="1:23" x14ac:dyDescent="0.3">
      <c r="A49" t="s">
        <v>67</v>
      </c>
      <c r="B49" t="s">
        <v>5</v>
      </c>
      <c r="C49" t="s">
        <v>15</v>
      </c>
      <c r="D49" t="s">
        <v>49</v>
      </c>
      <c r="E49" t="s">
        <v>68</v>
      </c>
      <c r="F49" t="s">
        <v>64</v>
      </c>
      <c r="G49" t="s">
        <v>52</v>
      </c>
      <c r="H49" t="s">
        <v>51</v>
      </c>
    </row>
    <row r="50" spans="1:23" x14ac:dyDescent="0.3">
      <c r="A50" t="s">
        <v>67</v>
      </c>
      <c r="B50" t="s">
        <v>5</v>
      </c>
      <c r="C50" t="s">
        <v>15</v>
      </c>
      <c r="D50" t="s">
        <v>49</v>
      </c>
      <c r="E50" t="s">
        <v>68</v>
      </c>
      <c r="F50" t="s">
        <v>64</v>
      </c>
      <c r="G50" t="s">
        <v>53</v>
      </c>
      <c r="L50" t="s">
        <v>54</v>
      </c>
      <c r="M50">
        <v>0.4</v>
      </c>
      <c r="N50">
        <f t="shared" ref="N50:W53" ca="1" si="7">M50</f>
        <v>0.4</v>
      </c>
      <c r="O50">
        <f t="shared" ca="1" si="7"/>
        <v>0.4</v>
      </c>
      <c r="P50">
        <f t="shared" ca="1" si="7"/>
        <v>0.4</v>
      </c>
      <c r="Q50">
        <f t="shared" ca="1" si="7"/>
        <v>0.4</v>
      </c>
      <c r="R50">
        <f t="shared" ca="1" si="7"/>
        <v>0.4</v>
      </c>
      <c r="S50">
        <f t="shared" ca="1" si="7"/>
        <v>0.4</v>
      </c>
      <c r="T50">
        <f t="shared" ca="1" si="7"/>
        <v>0.4</v>
      </c>
      <c r="U50">
        <f t="shared" ca="1" si="7"/>
        <v>0.4</v>
      </c>
      <c r="V50">
        <f t="shared" ca="1" si="7"/>
        <v>0.4</v>
      </c>
      <c r="W50">
        <f t="shared" ca="1" si="7"/>
        <v>0.4</v>
      </c>
    </row>
    <row r="51" spans="1:23" x14ac:dyDescent="0.3">
      <c r="A51" t="s">
        <v>67</v>
      </c>
      <c r="B51" t="s">
        <v>5</v>
      </c>
      <c r="C51" t="s">
        <v>15</v>
      </c>
      <c r="D51" t="s">
        <v>49</v>
      </c>
      <c r="E51" t="s">
        <v>68</v>
      </c>
      <c r="F51" t="s">
        <v>64</v>
      </c>
      <c r="G51" t="s">
        <v>55</v>
      </c>
      <c r="L51" t="s">
        <v>54</v>
      </c>
      <c r="M51">
        <v>1.4999999999999999E-2</v>
      </c>
      <c r="N51">
        <f t="shared" ca="1" si="7"/>
        <v>1.4999999999999999E-2</v>
      </c>
      <c r="O51">
        <f t="shared" ca="1" si="7"/>
        <v>1.4999999999999999E-2</v>
      </c>
      <c r="P51">
        <f t="shared" ca="1" si="7"/>
        <v>1.4999999999999999E-2</v>
      </c>
      <c r="Q51">
        <f t="shared" ca="1" si="7"/>
        <v>1.4999999999999999E-2</v>
      </c>
      <c r="R51">
        <f t="shared" ca="1" si="7"/>
        <v>1.4999999999999999E-2</v>
      </c>
      <c r="S51">
        <f t="shared" ca="1" si="7"/>
        <v>1.4999999999999999E-2</v>
      </c>
      <c r="T51">
        <f t="shared" ca="1" si="7"/>
        <v>1.4999999999999999E-2</v>
      </c>
      <c r="U51">
        <f t="shared" ca="1" si="7"/>
        <v>1.4999999999999999E-2</v>
      </c>
      <c r="V51">
        <f t="shared" ca="1" si="7"/>
        <v>1.4999999999999999E-2</v>
      </c>
      <c r="W51">
        <f t="shared" ca="1" si="7"/>
        <v>1.4999999999999999E-2</v>
      </c>
    </row>
    <row r="52" spans="1:23" x14ac:dyDescent="0.3">
      <c r="A52" t="s">
        <v>67</v>
      </c>
      <c r="B52" t="s">
        <v>5</v>
      </c>
      <c r="C52" t="s">
        <v>15</v>
      </c>
      <c r="D52" t="s">
        <v>49</v>
      </c>
      <c r="E52" t="s">
        <v>68</v>
      </c>
      <c r="F52" t="s">
        <v>64</v>
      </c>
      <c r="G52" t="s">
        <v>56</v>
      </c>
      <c r="L52" t="s">
        <v>57</v>
      </c>
      <c r="M52">
        <v>54000000</v>
      </c>
      <c r="N52">
        <f t="shared" ca="1" si="7"/>
        <v>54000000</v>
      </c>
      <c r="O52">
        <f t="shared" ca="1" si="7"/>
        <v>54000000</v>
      </c>
      <c r="P52">
        <f t="shared" ca="1" si="7"/>
        <v>54000000</v>
      </c>
      <c r="Q52">
        <f t="shared" ca="1" si="7"/>
        <v>54000000</v>
      </c>
      <c r="R52">
        <f t="shared" ca="1" si="7"/>
        <v>54000000</v>
      </c>
      <c r="S52">
        <f t="shared" ca="1" si="7"/>
        <v>54000000</v>
      </c>
      <c r="T52">
        <f t="shared" ca="1" si="7"/>
        <v>54000000</v>
      </c>
      <c r="U52">
        <f t="shared" ca="1" si="7"/>
        <v>54000000</v>
      </c>
      <c r="V52">
        <f t="shared" ca="1" si="7"/>
        <v>54000000</v>
      </c>
      <c r="W52">
        <f t="shared" ca="1" si="7"/>
        <v>54000000</v>
      </c>
    </row>
    <row r="53" spans="1:23" x14ac:dyDescent="0.3">
      <c r="A53" t="s">
        <v>67</v>
      </c>
      <c r="B53" t="s">
        <v>5</v>
      </c>
      <c r="C53" t="s">
        <v>15</v>
      </c>
      <c r="D53" t="s">
        <v>49</v>
      </c>
      <c r="E53" t="s">
        <v>68</v>
      </c>
      <c r="F53" t="s">
        <v>64</v>
      </c>
      <c r="G53" t="s">
        <v>58</v>
      </c>
      <c r="L53" t="s">
        <v>54</v>
      </c>
      <c r="M53">
        <v>0.8</v>
      </c>
      <c r="N53">
        <f t="shared" ca="1" si="7"/>
        <v>0.8</v>
      </c>
      <c r="O53">
        <f t="shared" ca="1" si="7"/>
        <v>0.8</v>
      </c>
      <c r="P53">
        <f t="shared" ca="1" si="7"/>
        <v>0.8</v>
      </c>
      <c r="Q53">
        <f t="shared" ca="1" si="7"/>
        <v>0.8</v>
      </c>
      <c r="R53">
        <f t="shared" ca="1" si="7"/>
        <v>0.8</v>
      </c>
      <c r="S53">
        <f t="shared" ca="1" si="7"/>
        <v>0.8</v>
      </c>
      <c r="T53">
        <f t="shared" ca="1" si="7"/>
        <v>0.8</v>
      </c>
      <c r="U53">
        <f t="shared" ca="1" si="7"/>
        <v>0.8</v>
      </c>
      <c r="V53">
        <f t="shared" ca="1" si="7"/>
        <v>0.8</v>
      </c>
      <c r="W53">
        <f t="shared" ca="1" si="7"/>
        <v>0.8</v>
      </c>
    </row>
    <row r="54" spans="1:23" x14ac:dyDescent="0.3">
      <c r="A54" t="s">
        <v>67</v>
      </c>
      <c r="B54" t="s">
        <v>5</v>
      </c>
      <c r="C54" t="s">
        <v>15</v>
      </c>
      <c r="D54" t="s">
        <v>49</v>
      </c>
      <c r="E54" t="s">
        <v>68</v>
      </c>
      <c r="F54" t="s">
        <v>65</v>
      </c>
      <c r="G54" t="s">
        <v>52</v>
      </c>
      <c r="H54" t="s">
        <v>60</v>
      </c>
    </row>
    <row r="55" spans="1:23" x14ac:dyDescent="0.3">
      <c r="A55" t="s">
        <v>67</v>
      </c>
      <c r="B55" t="s">
        <v>5</v>
      </c>
      <c r="C55" t="s">
        <v>15</v>
      </c>
      <c r="D55" t="s">
        <v>49</v>
      </c>
      <c r="E55" t="s">
        <v>68</v>
      </c>
      <c r="F55" t="s">
        <v>65</v>
      </c>
      <c r="G55" t="s">
        <v>53</v>
      </c>
      <c r="L55" t="s">
        <v>54</v>
      </c>
      <c r="M55">
        <v>0.4</v>
      </c>
      <c r="N55">
        <f t="shared" ref="N55:W58" ca="1" si="8">M55</f>
        <v>0.4</v>
      </c>
      <c r="O55">
        <f t="shared" ca="1" si="8"/>
        <v>0.4</v>
      </c>
      <c r="P55">
        <f t="shared" ca="1" si="8"/>
        <v>0.4</v>
      </c>
      <c r="Q55">
        <f t="shared" ca="1" si="8"/>
        <v>0.4</v>
      </c>
      <c r="R55">
        <f t="shared" ca="1" si="8"/>
        <v>0.4</v>
      </c>
      <c r="S55">
        <f t="shared" ca="1" si="8"/>
        <v>0.4</v>
      </c>
      <c r="T55">
        <f t="shared" ca="1" si="8"/>
        <v>0.4</v>
      </c>
      <c r="U55">
        <f t="shared" ca="1" si="8"/>
        <v>0.4</v>
      </c>
      <c r="V55">
        <f t="shared" ca="1" si="8"/>
        <v>0.4</v>
      </c>
      <c r="W55">
        <f t="shared" ca="1" si="8"/>
        <v>0.4</v>
      </c>
    </row>
    <row r="56" spans="1:23" x14ac:dyDescent="0.3">
      <c r="A56" t="s">
        <v>67</v>
      </c>
      <c r="B56" t="s">
        <v>5</v>
      </c>
      <c r="C56" t="s">
        <v>15</v>
      </c>
      <c r="D56" t="s">
        <v>49</v>
      </c>
      <c r="E56" t="s">
        <v>68</v>
      </c>
      <c r="F56" t="s">
        <v>65</v>
      </c>
      <c r="G56" t="s">
        <v>55</v>
      </c>
      <c r="L56" t="s">
        <v>54</v>
      </c>
      <c r="M56">
        <v>0.01</v>
      </c>
      <c r="N56">
        <f t="shared" ca="1" si="8"/>
        <v>0.01</v>
      </c>
      <c r="O56">
        <f t="shared" ca="1" si="8"/>
        <v>0.01</v>
      </c>
      <c r="P56">
        <f t="shared" ca="1" si="8"/>
        <v>0.01</v>
      </c>
      <c r="Q56">
        <f t="shared" ca="1" si="8"/>
        <v>0.01</v>
      </c>
      <c r="R56">
        <f t="shared" ca="1" si="8"/>
        <v>0.01</v>
      </c>
      <c r="S56">
        <f t="shared" ca="1" si="8"/>
        <v>0.01</v>
      </c>
      <c r="T56">
        <f t="shared" ca="1" si="8"/>
        <v>0.01</v>
      </c>
      <c r="U56">
        <f t="shared" ca="1" si="8"/>
        <v>0.01</v>
      </c>
      <c r="V56">
        <f t="shared" ca="1" si="8"/>
        <v>0.01</v>
      </c>
      <c r="W56">
        <f t="shared" ca="1" si="8"/>
        <v>0.01</v>
      </c>
    </row>
    <row r="57" spans="1:23" x14ac:dyDescent="0.3">
      <c r="A57" t="s">
        <v>67</v>
      </c>
      <c r="B57" t="s">
        <v>5</v>
      </c>
      <c r="C57" t="s">
        <v>15</v>
      </c>
      <c r="D57" t="s">
        <v>49</v>
      </c>
      <c r="E57" t="s">
        <v>68</v>
      </c>
      <c r="F57" t="s">
        <v>65</v>
      </c>
      <c r="G57" t="s">
        <v>56</v>
      </c>
      <c r="L57" t="s">
        <v>57</v>
      </c>
      <c r="M57">
        <v>54000000</v>
      </c>
      <c r="N57">
        <f t="shared" ca="1" si="8"/>
        <v>54000000</v>
      </c>
      <c r="O57">
        <f t="shared" ca="1" si="8"/>
        <v>54000000</v>
      </c>
      <c r="P57">
        <f t="shared" ca="1" si="8"/>
        <v>54000000</v>
      </c>
      <c r="Q57">
        <f t="shared" ca="1" si="8"/>
        <v>54000000</v>
      </c>
      <c r="R57">
        <f t="shared" ca="1" si="8"/>
        <v>54000000</v>
      </c>
      <c r="S57">
        <f t="shared" ca="1" si="8"/>
        <v>54000000</v>
      </c>
      <c r="T57">
        <f t="shared" ca="1" si="8"/>
        <v>54000000</v>
      </c>
      <c r="U57">
        <f t="shared" ca="1" si="8"/>
        <v>54000000</v>
      </c>
      <c r="V57">
        <f t="shared" ca="1" si="8"/>
        <v>54000000</v>
      </c>
      <c r="W57">
        <f t="shared" ca="1" si="8"/>
        <v>54000000</v>
      </c>
    </row>
    <row r="58" spans="1:23" x14ac:dyDescent="0.3">
      <c r="A58" t="s">
        <v>67</v>
      </c>
      <c r="B58" t="s">
        <v>5</v>
      </c>
      <c r="C58" t="s">
        <v>15</v>
      </c>
      <c r="D58" t="s">
        <v>49</v>
      </c>
      <c r="E58" t="s">
        <v>68</v>
      </c>
      <c r="F58" t="s">
        <v>65</v>
      </c>
      <c r="G58" t="s">
        <v>58</v>
      </c>
      <c r="L58" t="s">
        <v>54</v>
      </c>
      <c r="M58">
        <v>0.9</v>
      </c>
      <c r="N58">
        <f t="shared" ca="1" si="8"/>
        <v>0.9</v>
      </c>
      <c r="O58">
        <f t="shared" ca="1" si="8"/>
        <v>0.9</v>
      </c>
      <c r="P58">
        <f t="shared" ca="1" si="8"/>
        <v>0.9</v>
      </c>
      <c r="Q58">
        <f t="shared" ca="1" si="8"/>
        <v>0.9</v>
      </c>
      <c r="R58">
        <f t="shared" ca="1" si="8"/>
        <v>0.9</v>
      </c>
      <c r="S58">
        <f t="shared" ca="1" si="8"/>
        <v>0.9</v>
      </c>
      <c r="T58">
        <f t="shared" ca="1" si="8"/>
        <v>0.9</v>
      </c>
      <c r="U58">
        <f t="shared" ca="1" si="8"/>
        <v>0.9</v>
      </c>
      <c r="V58">
        <f t="shared" ca="1" si="8"/>
        <v>0.9</v>
      </c>
      <c r="W58">
        <f t="shared" ca="1" si="8"/>
        <v>0.9</v>
      </c>
    </row>
    <row r="59" spans="1:23" x14ac:dyDescent="0.3">
      <c r="A59" t="s">
        <v>67</v>
      </c>
      <c r="B59" t="s">
        <v>5</v>
      </c>
      <c r="C59" t="s">
        <v>15</v>
      </c>
      <c r="D59" t="s">
        <v>49</v>
      </c>
      <c r="E59" t="s">
        <v>68</v>
      </c>
      <c r="F59" t="s">
        <v>66</v>
      </c>
      <c r="G59" t="s">
        <v>52</v>
      </c>
      <c r="H59" t="s">
        <v>60</v>
      </c>
    </row>
    <row r="60" spans="1:23" x14ac:dyDescent="0.3">
      <c r="A60" t="s">
        <v>67</v>
      </c>
      <c r="B60" t="s">
        <v>5</v>
      </c>
      <c r="C60" t="s">
        <v>15</v>
      </c>
      <c r="D60" t="s">
        <v>49</v>
      </c>
      <c r="E60" t="s">
        <v>68</v>
      </c>
      <c r="F60" t="s">
        <v>66</v>
      </c>
      <c r="G60" t="s">
        <v>53</v>
      </c>
      <c r="L60" t="s">
        <v>54</v>
      </c>
      <c r="M60">
        <v>0.4</v>
      </c>
      <c r="N60">
        <f t="shared" ref="N60:W63" ca="1" si="9">M60</f>
        <v>0.4</v>
      </c>
      <c r="O60">
        <f t="shared" ca="1" si="9"/>
        <v>0.4</v>
      </c>
      <c r="P60">
        <f t="shared" ca="1" si="9"/>
        <v>0.4</v>
      </c>
      <c r="Q60">
        <f t="shared" ca="1" si="9"/>
        <v>0.4</v>
      </c>
      <c r="R60">
        <f t="shared" ca="1" si="9"/>
        <v>0.4</v>
      </c>
      <c r="S60">
        <f t="shared" ca="1" si="9"/>
        <v>0.4</v>
      </c>
      <c r="T60">
        <f t="shared" ca="1" si="9"/>
        <v>0.4</v>
      </c>
      <c r="U60">
        <f t="shared" ca="1" si="9"/>
        <v>0.4</v>
      </c>
      <c r="V60">
        <f t="shared" ca="1" si="9"/>
        <v>0.4</v>
      </c>
      <c r="W60">
        <f t="shared" ca="1" si="9"/>
        <v>0.4</v>
      </c>
    </row>
    <row r="61" spans="1:23" x14ac:dyDescent="0.3">
      <c r="A61" t="s">
        <v>67</v>
      </c>
      <c r="B61" t="s">
        <v>5</v>
      </c>
      <c r="C61" t="s">
        <v>15</v>
      </c>
      <c r="D61" t="s">
        <v>49</v>
      </c>
      <c r="E61" t="s">
        <v>68</v>
      </c>
      <c r="F61" t="s">
        <v>66</v>
      </c>
      <c r="G61" t="s">
        <v>55</v>
      </c>
      <c r="L61" t="s">
        <v>54</v>
      </c>
      <c r="M61">
        <v>0.01</v>
      </c>
      <c r="N61">
        <f t="shared" ca="1" si="9"/>
        <v>0.01</v>
      </c>
      <c r="O61">
        <f t="shared" ca="1" si="9"/>
        <v>0.01</v>
      </c>
      <c r="P61">
        <f t="shared" ca="1" si="9"/>
        <v>0.01</v>
      </c>
      <c r="Q61">
        <f t="shared" ca="1" si="9"/>
        <v>0.01</v>
      </c>
      <c r="R61">
        <f t="shared" ca="1" si="9"/>
        <v>0.01</v>
      </c>
      <c r="S61">
        <f t="shared" ca="1" si="9"/>
        <v>0.01</v>
      </c>
      <c r="T61">
        <f t="shared" ca="1" si="9"/>
        <v>0.01</v>
      </c>
      <c r="U61">
        <f t="shared" ca="1" si="9"/>
        <v>0.01</v>
      </c>
      <c r="V61">
        <f t="shared" ca="1" si="9"/>
        <v>0.01</v>
      </c>
      <c r="W61">
        <f t="shared" ca="1" si="9"/>
        <v>0.01</v>
      </c>
    </row>
    <row r="62" spans="1:23" x14ac:dyDescent="0.3">
      <c r="A62" t="s">
        <v>67</v>
      </c>
      <c r="B62" t="s">
        <v>5</v>
      </c>
      <c r="C62" t="s">
        <v>15</v>
      </c>
      <c r="D62" t="s">
        <v>49</v>
      </c>
      <c r="E62" t="s">
        <v>68</v>
      </c>
      <c r="F62" t="s">
        <v>66</v>
      </c>
      <c r="G62" t="s">
        <v>56</v>
      </c>
      <c r="L62" t="s">
        <v>57</v>
      </c>
      <c r="M62">
        <v>54000000</v>
      </c>
      <c r="N62">
        <f t="shared" ca="1" si="9"/>
        <v>54000000</v>
      </c>
      <c r="O62">
        <f t="shared" ca="1" si="9"/>
        <v>54000000</v>
      </c>
      <c r="P62">
        <f t="shared" ca="1" si="9"/>
        <v>54000000</v>
      </c>
      <c r="Q62">
        <f t="shared" ca="1" si="9"/>
        <v>54000000</v>
      </c>
      <c r="R62">
        <f t="shared" ca="1" si="9"/>
        <v>54000000</v>
      </c>
      <c r="S62">
        <f t="shared" ca="1" si="9"/>
        <v>54000000</v>
      </c>
      <c r="T62">
        <f t="shared" ca="1" si="9"/>
        <v>54000000</v>
      </c>
      <c r="U62">
        <f t="shared" ca="1" si="9"/>
        <v>54000000</v>
      </c>
      <c r="V62">
        <f t="shared" ca="1" si="9"/>
        <v>54000000</v>
      </c>
      <c r="W62">
        <f t="shared" ca="1" si="9"/>
        <v>54000000</v>
      </c>
    </row>
    <row r="63" spans="1:23" x14ac:dyDescent="0.3">
      <c r="A63" t="s">
        <v>67</v>
      </c>
      <c r="B63" t="s">
        <v>5</v>
      </c>
      <c r="C63" t="s">
        <v>15</v>
      </c>
      <c r="D63" t="s">
        <v>49</v>
      </c>
      <c r="E63" t="s">
        <v>68</v>
      </c>
      <c r="F63" t="s">
        <v>66</v>
      </c>
      <c r="G63" t="s">
        <v>58</v>
      </c>
      <c r="L63" t="s">
        <v>54</v>
      </c>
      <c r="M63">
        <v>0.9</v>
      </c>
      <c r="N63">
        <f t="shared" ca="1" si="9"/>
        <v>0.9</v>
      </c>
      <c r="O63">
        <f t="shared" ca="1" si="9"/>
        <v>0.9</v>
      </c>
      <c r="P63">
        <f t="shared" ca="1" si="9"/>
        <v>0.9</v>
      </c>
      <c r="Q63">
        <f t="shared" ca="1" si="9"/>
        <v>0.9</v>
      </c>
      <c r="R63">
        <f t="shared" ca="1" si="9"/>
        <v>0.9</v>
      </c>
      <c r="S63">
        <f t="shared" ca="1" si="9"/>
        <v>0.9</v>
      </c>
      <c r="T63">
        <f t="shared" ca="1" si="9"/>
        <v>0.9</v>
      </c>
      <c r="U63">
        <f t="shared" ca="1" si="9"/>
        <v>0.9</v>
      </c>
      <c r="V63">
        <f t="shared" ca="1" si="9"/>
        <v>0.9</v>
      </c>
      <c r="W63">
        <f t="shared" ca="1" si="9"/>
        <v>0.9</v>
      </c>
    </row>
    <row r="64" spans="1:23" x14ac:dyDescent="0.3">
      <c r="A64" t="s">
        <v>69</v>
      </c>
      <c r="B64" t="s">
        <v>5</v>
      </c>
      <c r="C64" t="s">
        <v>15</v>
      </c>
      <c r="D64" t="s">
        <v>49</v>
      </c>
      <c r="E64" t="s">
        <v>70</v>
      </c>
      <c r="F64" t="s">
        <v>66</v>
      </c>
      <c r="G64" t="s">
        <v>52</v>
      </c>
      <c r="H64" t="s">
        <v>60</v>
      </c>
    </row>
    <row r="65" spans="1:23" x14ac:dyDescent="0.3">
      <c r="A65" t="s">
        <v>69</v>
      </c>
      <c r="B65" t="s">
        <v>5</v>
      </c>
      <c r="C65" t="s">
        <v>15</v>
      </c>
      <c r="D65" t="s">
        <v>49</v>
      </c>
      <c r="E65" t="s">
        <v>70</v>
      </c>
      <c r="F65" t="s">
        <v>66</v>
      </c>
      <c r="G65" t="s">
        <v>53</v>
      </c>
      <c r="L65" t="s">
        <v>54</v>
      </c>
      <c r="M65">
        <v>0.4</v>
      </c>
      <c r="N65">
        <f t="shared" ref="N65:W68" ca="1" si="10">M65</f>
        <v>0.4</v>
      </c>
      <c r="O65">
        <f t="shared" ca="1" si="10"/>
        <v>0.4</v>
      </c>
      <c r="P65">
        <f t="shared" ca="1" si="10"/>
        <v>0.4</v>
      </c>
      <c r="Q65">
        <f t="shared" ca="1" si="10"/>
        <v>0.4</v>
      </c>
      <c r="R65">
        <f t="shared" ca="1" si="10"/>
        <v>0.4</v>
      </c>
      <c r="S65">
        <f t="shared" ca="1" si="10"/>
        <v>0.4</v>
      </c>
      <c r="T65">
        <f t="shared" ca="1" si="10"/>
        <v>0.4</v>
      </c>
      <c r="U65">
        <f t="shared" ca="1" si="10"/>
        <v>0.4</v>
      </c>
      <c r="V65">
        <f t="shared" ca="1" si="10"/>
        <v>0.4</v>
      </c>
      <c r="W65">
        <f t="shared" ca="1" si="10"/>
        <v>0.4</v>
      </c>
    </row>
    <row r="66" spans="1:23" x14ac:dyDescent="0.3">
      <c r="A66" t="s">
        <v>69</v>
      </c>
      <c r="B66" t="s">
        <v>5</v>
      </c>
      <c r="C66" t="s">
        <v>15</v>
      </c>
      <c r="D66" t="s">
        <v>49</v>
      </c>
      <c r="E66" t="s">
        <v>70</v>
      </c>
      <c r="F66" t="s">
        <v>66</v>
      </c>
      <c r="G66" t="s">
        <v>55</v>
      </c>
      <c r="L66" t="s">
        <v>54</v>
      </c>
      <c r="M66">
        <v>0.01</v>
      </c>
      <c r="N66">
        <f t="shared" ca="1" si="10"/>
        <v>0.01</v>
      </c>
      <c r="O66">
        <f t="shared" ca="1" si="10"/>
        <v>0.01</v>
      </c>
      <c r="P66">
        <f t="shared" ca="1" si="10"/>
        <v>0.01</v>
      </c>
      <c r="Q66">
        <f t="shared" ca="1" si="10"/>
        <v>0.01</v>
      </c>
      <c r="R66">
        <f t="shared" ca="1" si="10"/>
        <v>0.01</v>
      </c>
      <c r="S66">
        <f t="shared" ca="1" si="10"/>
        <v>0.01</v>
      </c>
      <c r="T66">
        <f t="shared" ca="1" si="10"/>
        <v>0.01</v>
      </c>
      <c r="U66">
        <f t="shared" ca="1" si="10"/>
        <v>0.01</v>
      </c>
      <c r="V66">
        <f t="shared" ca="1" si="10"/>
        <v>0.01</v>
      </c>
      <c r="W66">
        <f t="shared" ca="1" si="10"/>
        <v>0.01</v>
      </c>
    </row>
    <row r="67" spans="1:23" x14ac:dyDescent="0.3">
      <c r="A67" t="s">
        <v>69</v>
      </c>
      <c r="B67" t="s">
        <v>5</v>
      </c>
      <c r="C67" t="s">
        <v>15</v>
      </c>
      <c r="D67" t="s">
        <v>49</v>
      </c>
      <c r="E67" t="s">
        <v>70</v>
      </c>
      <c r="F67" t="s">
        <v>66</v>
      </c>
      <c r="G67" t="s">
        <v>56</v>
      </c>
      <c r="L67" t="s">
        <v>57</v>
      </c>
      <c r="M67">
        <v>54000000</v>
      </c>
      <c r="N67">
        <f t="shared" ca="1" si="10"/>
        <v>54000000</v>
      </c>
      <c r="O67">
        <f t="shared" ca="1" si="10"/>
        <v>54000000</v>
      </c>
      <c r="P67">
        <f t="shared" ca="1" si="10"/>
        <v>54000000</v>
      </c>
      <c r="Q67">
        <f t="shared" ca="1" si="10"/>
        <v>54000000</v>
      </c>
      <c r="R67">
        <f t="shared" ca="1" si="10"/>
        <v>54000000</v>
      </c>
      <c r="S67">
        <f t="shared" ca="1" si="10"/>
        <v>54000000</v>
      </c>
      <c r="T67">
        <f t="shared" ca="1" si="10"/>
        <v>54000000</v>
      </c>
      <c r="U67">
        <f t="shared" ca="1" si="10"/>
        <v>54000000</v>
      </c>
      <c r="V67">
        <f t="shared" ca="1" si="10"/>
        <v>54000000</v>
      </c>
      <c r="W67">
        <f t="shared" ca="1" si="10"/>
        <v>54000000</v>
      </c>
    </row>
    <row r="68" spans="1:23" x14ac:dyDescent="0.3">
      <c r="A68" t="s">
        <v>69</v>
      </c>
      <c r="B68" t="s">
        <v>5</v>
      </c>
      <c r="C68" t="s">
        <v>15</v>
      </c>
      <c r="D68" t="s">
        <v>49</v>
      </c>
      <c r="E68" t="s">
        <v>70</v>
      </c>
      <c r="F68" t="s">
        <v>66</v>
      </c>
      <c r="G68" t="s">
        <v>58</v>
      </c>
      <c r="L68" t="s">
        <v>54</v>
      </c>
      <c r="M68">
        <v>0.9</v>
      </c>
      <c r="N68">
        <f t="shared" ca="1" si="10"/>
        <v>0.9</v>
      </c>
      <c r="O68">
        <f t="shared" ca="1" si="10"/>
        <v>0.9</v>
      </c>
      <c r="P68">
        <f t="shared" ca="1" si="10"/>
        <v>0.9</v>
      </c>
      <c r="Q68">
        <f t="shared" ca="1" si="10"/>
        <v>0.9</v>
      </c>
      <c r="R68">
        <f t="shared" ca="1" si="10"/>
        <v>0.9</v>
      </c>
      <c r="S68">
        <f t="shared" ca="1" si="10"/>
        <v>0.9</v>
      </c>
      <c r="T68">
        <f t="shared" ca="1" si="10"/>
        <v>0.9</v>
      </c>
      <c r="U68">
        <f t="shared" ca="1" si="10"/>
        <v>0.9</v>
      </c>
      <c r="V68">
        <f t="shared" ca="1" si="10"/>
        <v>0.9</v>
      </c>
      <c r="W68">
        <f t="shared" ca="1" si="10"/>
        <v>0.9</v>
      </c>
    </row>
    <row r="69" spans="1:23" x14ac:dyDescent="0.3">
      <c r="A69" t="s">
        <v>71</v>
      </c>
      <c r="B69" t="s">
        <v>5</v>
      </c>
      <c r="C69" t="s">
        <v>15</v>
      </c>
      <c r="D69" t="s">
        <v>49</v>
      </c>
      <c r="E69" t="s">
        <v>72</v>
      </c>
      <c r="F69" t="s">
        <v>72</v>
      </c>
      <c r="G69" t="s">
        <v>52</v>
      </c>
      <c r="H69" t="s">
        <v>72</v>
      </c>
    </row>
    <row r="70" spans="1:23" x14ac:dyDescent="0.3">
      <c r="A70" t="s">
        <v>71</v>
      </c>
      <c r="B70" t="s">
        <v>5</v>
      </c>
      <c r="C70" t="s">
        <v>15</v>
      </c>
      <c r="D70" t="s">
        <v>49</v>
      </c>
      <c r="E70" t="s">
        <v>72</v>
      </c>
      <c r="F70" t="s">
        <v>72</v>
      </c>
      <c r="G70" t="s">
        <v>53</v>
      </c>
      <c r="L70" t="s">
        <v>54</v>
      </c>
      <c r="M70">
        <v>0.4</v>
      </c>
      <c r="N70">
        <f t="shared" ref="N70:W73" ca="1" si="11">M70</f>
        <v>0.4</v>
      </c>
      <c r="O70">
        <f t="shared" ca="1" si="11"/>
        <v>0.4</v>
      </c>
      <c r="P70">
        <f t="shared" ca="1" si="11"/>
        <v>0.4</v>
      </c>
      <c r="Q70">
        <f t="shared" ca="1" si="11"/>
        <v>0.4</v>
      </c>
      <c r="R70">
        <f t="shared" ca="1" si="11"/>
        <v>0.4</v>
      </c>
      <c r="S70">
        <f t="shared" ca="1" si="11"/>
        <v>0.4</v>
      </c>
      <c r="T70">
        <f t="shared" ca="1" si="11"/>
        <v>0.4</v>
      </c>
      <c r="U70">
        <f t="shared" ca="1" si="11"/>
        <v>0.4</v>
      </c>
      <c r="V70">
        <f t="shared" ca="1" si="11"/>
        <v>0.4</v>
      </c>
      <c r="W70">
        <f t="shared" ca="1" si="11"/>
        <v>0.4</v>
      </c>
    </row>
    <row r="71" spans="1:23" x14ac:dyDescent="0.3">
      <c r="A71" t="s">
        <v>71</v>
      </c>
      <c r="B71" t="s">
        <v>5</v>
      </c>
      <c r="C71" t="s">
        <v>15</v>
      </c>
      <c r="D71" t="s">
        <v>49</v>
      </c>
      <c r="E71" t="s">
        <v>72</v>
      </c>
      <c r="F71" t="s">
        <v>72</v>
      </c>
      <c r="G71" t="s">
        <v>55</v>
      </c>
      <c r="L71" t="s">
        <v>54</v>
      </c>
      <c r="M71">
        <v>0.01</v>
      </c>
      <c r="N71">
        <f t="shared" ca="1" si="11"/>
        <v>0.01</v>
      </c>
      <c r="O71">
        <f t="shared" ca="1" si="11"/>
        <v>0.01</v>
      </c>
      <c r="P71">
        <f t="shared" ca="1" si="11"/>
        <v>0.01</v>
      </c>
      <c r="Q71">
        <f t="shared" ca="1" si="11"/>
        <v>0.01</v>
      </c>
      <c r="R71">
        <f t="shared" ca="1" si="11"/>
        <v>0.01</v>
      </c>
      <c r="S71">
        <f t="shared" ca="1" si="11"/>
        <v>0.01</v>
      </c>
      <c r="T71">
        <f t="shared" ca="1" si="11"/>
        <v>0.01</v>
      </c>
      <c r="U71">
        <f t="shared" ca="1" si="11"/>
        <v>0.01</v>
      </c>
      <c r="V71">
        <f t="shared" ca="1" si="11"/>
        <v>0.01</v>
      </c>
      <c r="W71">
        <f t="shared" ca="1" si="11"/>
        <v>0.01</v>
      </c>
    </row>
    <row r="72" spans="1:23" x14ac:dyDescent="0.3">
      <c r="A72" t="s">
        <v>71</v>
      </c>
      <c r="B72" t="s">
        <v>5</v>
      </c>
      <c r="C72" t="s">
        <v>15</v>
      </c>
      <c r="D72" t="s">
        <v>49</v>
      </c>
      <c r="E72" t="s">
        <v>72</v>
      </c>
      <c r="F72" t="s">
        <v>72</v>
      </c>
      <c r="G72" t="s">
        <v>56</v>
      </c>
      <c r="L72" t="s">
        <v>57</v>
      </c>
      <c r="M72">
        <v>54000000</v>
      </c>
      <c r="N72">
        <f t="shared" ca="1" si="11"/>
        <v>54000000</v>
      </c>
      <c r="O72">
        <f t="shared" ca="1" si="11"/>
        <v>54000000</v>
      </c>
      <c r="P72">
        <f t="shared" ca="1" si="11"/>
        <v>54000000</v>
      </c>
      <c r="Q72">
        <f t="shared" ca="1" si="11"/>
        <v>54000000</v>
      </c>
      <c r="R72">
        <f t="shared" ca="1" si="11"/>
        <v>54000000</v>
      </c>
      <c r="S72">
        <f t="shared" ca="1" si="11"/>
        <v>54000000</v>
      </c>
      <c r="T72">
        <f t="shared" ca="1" si="11"/>
        <v>54000000</v>
      </c>
      <c r="U72">
        <f t="shared" ca="1" si="11"/>
        <v>54000000</v>
      </c>
      <c r="V72">
        <f t="shared" ca="1" si="11"/>
        <v>54000000</v>
      </c>
      <c r="W72">
        <f t="shared" ca="1" si="11"/>
        <v>54000000</v>
      </c>
    </row>
    <row r="73" spans="1:23" x14ac:dyDescent="0.3">
      <c r="A73" t="s">
        <v>71</v>
      </c>
      <c r="B73" t="s">
        <v>5</v>
      </c>
      <c r="C73" t="s">
        <v>15</v>
      </c>
      <c r="D73" t="s">
        <v>49</v>
      </c>
      <c r="E73" t="s">
        <v>72</v>
      </c>
      <c r="F73" t="s">
        <v>72</v>
      </c>
      <c r="G73" t="s">
        <v>58</v>
      </c>
      <c r="L73" t="s">
        <v>54</v>
      </c>
      <c r="M73">
        <v>0.9</v>
      </c>
      <c r="N73">
        <f t="shared" ca="1" si="11"/>
        <v>0.9</v>
      </c>
      <c r="O73">
        <f t="shared" ca="1" si="11"/>
        <v>0.9</v>
      </c>
      <c r="P73">
        <f t="shared" ca="1" si="11"/>
        <v>0.9</v>
      </c>
      <c r="Q73">
        <f t="shared" ca="1" si="11"/>
        <v>0.9</v>
      </c>
      <c r="R73">
        <f t="shared" ca="1" si="11"/>
        <v>0.9</v>
      </c>
      <c r="S73">
        <f t="shared" ca="1" si="11"/>
        <v>0.9</v>
      </c>
      <c r="T73">
        <f t="shared" ca="1" si="11"/>
        <v>0.9</v>
      </c>
      <c r="U73">
        <f t="shared" ca="1" si="11"/>
        <v>0.9</v>
      </c>
      <c r="V73">
        <f t="shared" ca="1" si="11"/>
        <v>0.9</v>
      </c>
      <c r="W73">
        <f t="shared" ca="1" si="11"/>
        <v>0.9</v>
      </c>
    </row>
    <row r="74" spans="1:23" x14ac:dyDescent="0.3">
      <c r="A74" t="s">
        <v>73</v>
      </c>
      <c r="B74" t="s">
        <v>5</v>
      </c>
      <c r="C74" t="s">
        <v>15</v>
      </c>
      <c r="D74" t="s">
        <v>49</v>
      </c>
      <c r="E74" t="s">
        <v>74</v>
      </c>
      <c r="F74" t="s">
        <v>74</v>
      </c>
      <c r="G74" t="s">
        <v>52</v>
      </c>
      <c r="H74" t="s">
        <v>74</v>
      </c>
    </row>
    <row r="75" spans="1:23" x14ac:dyDescent="0.3">
      <c r="A75" t="s">
        <v>73</v>
      </c>
      <c r="B75" t="s">
        <v>5</v>
      </c>
      <c r="C75" t="s">
        <v>15</v>
      </c>
      <c r="D75" t="s">
        <v>49</v>
      </c>
      <c r="E75" t="s">
        <v>74</v>
      </c>
      <c r="F75" t="s">
        <v>74</v>
      </c>
      <c r="G75" t="s">
        <v>53</v>
      </c>
      <c r="L75" t="s">
        <v>54</v>
      </c>
      <c r="M75">
        <v>0.4</v>
      </c>
      <c r="N75">
        <f t="shared" ref="N75:W78" ca="1" si="12">M75</f>
        <v>0.4</v>
      </c>
      <c r="O75">
        <f t="shared" ca="1" si="12"/>
        <v>0.4</v>
      </c>
      <c r="P75">
        <f t="shared" ca="1" si="12"/>
        <v>0.4</v>
      </c>
      <c r="Q75">
        <f t="shared" ca="1" si="12"/>
        <v>0.4</v>
      </c>
      <c r="R75">
        <f t="shared" ca="1" si="12"/>
        <v>0.4</v>
      </c>
      <c r="S75">
        <f t="shared" ca="1" si="12"/>
        <v>0.4</v>
      </c>
      <c r="T75">
        <f t="shared" ca="1" si="12"/>
        <v>0.4</v>
      </c>
      <c r="U75">
        <f t="shared" ca="1" si="12"/>
        <v>0.4</v>
      </c>
      <c r="V75">
        <f t="shared" ca="1" si="12"/>
        <v>0.4</v>
      </c>
      <c r="W75">
        <f t="shared" ca="1" si="12"/>
        <v>0.4</v>
      </c>
    </row>
    <row r="76" spans="1:23" x14ac:dyDescent="0.3">
      <c r="A76" t="s">
        <v>73</v>
      </c>
      <c r="B76" t="s">
        <v>5</v>
      </c>
      <c r="C76" t="s">
        <v>15</v>
      </c>
      <c r="D76" t="s">
        <v>49</v>
      </c>
      <c r="E76" t="s">
        <v>74</v>
      </c>
      <c r="F76" t="s">
        <v>74</v>
      </c>
      <c r="G76" t="s">
        <v>55</v>
      </c>
      <c r="L76" t="s">
        <v>54</v>
      </c>
      <c r="M76">
        <v>0.01</v>
      </c>
      <c r="N76">
        <f t="shared" ca="1" si="12"/>
        <v>0.01</v>
      </c>
      <c r="O76">
        <f t="shared" ca="1" si="12"/>
        <v>0.01</v>
      </c>
      <c r="P76">
        <f t="shared" ca="1" si="12"/>
        <v>0.01</v>
      </c>
      <c r="Q76">
        <f t="shared" ca="1" si="12"/>
        <v>0.01</v>
      </c>
      <c r="R76">
        <f t="shared" ca="1" si="12"/>
        <v>0.01</v>
      </c>
      <c r="S76">
        <f t="shared" ca="1" si="12"/>
        <v>0.01</v>
      </c>
      <c r="T76">
        <f t="shared" ca="1" si="12"/>
        <v>0.01</v>
      </c>
      <c r="U76">
        <f t="shared" ca="1" si="12"/>
        <v>0.01</v>
      </c>
      <c r="V76">
        <f t="shared" ca="1" si="12"/>
        <v>0.01</v>
      </c>
      <c r="W76">
        <f t="shared" ca="1" si="12"/>
        <v>0.01</v>
      </c>
    </row>
    <row r="77" spans="1:23" x14ac:dyDescent="0.3">
      <c r="A77" t="s">
        <v>73</v>
      </c>
      <c r="B77" t="s">
        <v>5</v>
      </c>
      <c r="C77" t="s">
        <v>15</v>
      </c>
      <c r="D77" t="s">
        <v>49</v>
      </c>
      <c r="E77" t="s">
        <v>74</v>
      </c>
      <c r="F77" t="s">
        <v>74</v>
      </c>
      <c r="G77" t="s">
        <v>56</v>
      </c>
      <c r="L77" t="s">
        <v>57</v>
      </c>
      <c r="M77">
        <v>54000000</v>
      </c>
      <c r="N77">
        <f t="shared" ca="1" si="12"/>
        <v>54000000</v>
      </c>
      <c r="O77">
        <f t="shared" ca="1" si="12"/>
        <v>54000000</v>
      </c>
      <c r="P77">
        <f t="shared" ca="1" si="12"/>
        <v>54000000</v>
      </c>
      <c r="Q77">
        <f t="shared" ca="1" si="12"/>
        <v>54000000</v>
      </c>
      <c r="R77">
        <f t="shared" ca="1" si="12"/>
        <v>54000000</v>
      </c>
      <c r="S77">
        <f t="shared" ca="1" si="12"/>
        <v>54000000</v>
      </c>
      <c r="T77">
        <f t="shared" ca="1" si="12"/>
        <v>54000000</v>
      </c>
      <c r="U77">
        <f t="shared" ca="1" si="12"/>
        <v>54000000</v>
      </c>
      <c r="V77">
        <f t="shared" ca="1" si="12"/>
        <v>54000000</v>
      </c>
      <c r="W77">
        <f t="shared" ca="1" si="12"/>
        <v>54000000</v>
      </c>
    </row>
    <row r="78" spans="1:23" x14ac:dyDescent="0.3">
      <c r="A78" t="s">
        <v>73</v>
      </c>
      <c r="B78" t="s">
        <v>5</v>
      </c>
      <c r="C78" t="s">
        <v>15</v>
      </c>
      <c r="D78" t="s">
        <v>49</v>
      </c>
      <c r="E78" t="s">
        <v>74</v>
      </c>
      <c r="F78" t="s">
        <v>74</v>
      </c>
      <c r="G78" t="s">
        <v>58</v>
      </c>
      <c r="L78" t="s">
        <v>54</v>
      </c>
      <c r="M78">
        <v>0.9</v>
      </c>
      <c r="N78">
        <f t="shared" ca="1" si="12"/>
        <v>0.9</v>
      </c>
      <c r="O78">
        <f t="shared" ca="1" si="12"/>
        <v>0.9</v>
      </c>
      <c r="P78">
        <f t="shared" ca="1" si="12"/>
        <v>0.9</v>
      </c>
      <c r="Q78">
        <f t="shared" ca="1" si="12"/>
        <v>0.9</v>
      </c>
      <c r="R78">
        <f t="shared" ca="1" si="12"/>
        <v>0.9</v>
      </c>
      <c r="S78">
        <f t="shared" ca="1" si="12"/>
        <v>0.9</v>
      </c>
      <c r="T78">
        <f t="shared" ca="1" si="12"/>
        <v>0.9</v>
      </c>
      <c r="U78">
        <f t="shared" ca="1" si="12"/>
        <v>0.9</v>
      </c>
      <c r="V78">
        <f t="shared" ca="1" si="12"/>
        <v>0.9</v>
      </c>
      <c r="W78">
        <f t="shared" ca="1" si="12"/>
        <v>0.9</v>
      </c>
    </row>
    <row r="79" spans="1:23" x14ac:dyDescent="0.3">
      <c r="A79" t="s">
        <v>75</v>
      </c>
      <c r="B79" t="s">
        <v>5</v>
      </c>
      <c r="C79" t="s">
        <v>15</v>
      </c>
      <c r="D79" t="s">
        <v>49</v>
      </c>
      <c r="E79" t="s">
        <v>76</v>
      </c>
      <c r="F79" t="s">
        <v>77</v>
      </c>
      <c r="G79" t="s">
        <v>52</v>
      </c>
      <c r="H79" t="s">
        <v>77</v>
      </c>
    </row>
    <row r="80" spans="1:23" x14ac:dyDescent="0.3">
      <c r="A80" t="s">
        <v>75</v>
      </c>
      <c r="B80" t="s">
        <v>5</v>
      </c>
      <c r="C80" t="s">
        <v>15</v>
      </c>
      <c r="D80" t="s">
        <v>49</v>
      </c>
      <c r="E80" t="s">
        <v>76</v>
      </c>
      <c r="F80" t="s">
        <v>77</v>
      </c>
      <c r="G80" t="s">
        <v>53</v>
      </c>
      <c r="L80" t="s">
        <v>54</v>
      </c>
      <c r="M80">
        <v>0.85</v>
      </c>
      <c r="N80">
        <f t="shared" ref="N80:W83" ca="1" si="13">M80</f>
        <v>0.85</v>
      </c>
      <c r="O80">
        <f t="shared" ca="1" si="13"/>
        <v>0.85</v>
      </c>
      <c r="P80">
        <f t="shared" ca="1" si="13"/>
        <v>0.85</v>
      </c>
      <c r="Q80">
        <f t="shared" ca="1" si="13"/>
        <v>0.85</v>
      </c>
      <c r="R80">
        <f t="shared" ca="1" si="13"/>
        <v>0.85</v>
      </c>
      <c r="S80">
        <f t="shared" ca="1" si="13"/>
        <v>0.85</v>
      </c>
      <c r="T80">
        <f t="shared" ca="1" si="13"/>
        <v>0.85</v>
      </c>
      <c r="U80">
        <f t="shared" ca="1" si="13"/>
        <v>0.85</v>
      </c>
      <c r="V80">
        <f t="shared" ca="1" si="13"/>
        <v>0.85</v>
      </c>
      <c r="W80">
        <f t="shared" ca="1" si="13"/>
        <v>0.85</v>
      </c>
    </row>
    <row r="81" spans="1:23" x14ac:dyDescent="0.3">
      <c r="A81" t="s">
        <v>75</v>
      </c>
      <c r="B81" t="s">
        <v>5</v>
      </c>
      <c r="C81" t="s">
        <v>15</v>
      </c>
      <c r="D81" t="s">
        <v>49</v>
      </c>
      <c r="E81" t="s">
        <v>76</v>
      </c>
      <c r="F81" t="s">
        <v>77</v>
      </c>
      <c r="G81" t="s">
        <v>55</v>
      </c>
      <c r="L81" t="s">
        <v>54</v>
      </c>
      <c r="M81">
        <v>2.5000000000000001E-3</v>
      </c>
      <c r="N81">
        <f t="shared" ca="1" si="13"/>
        <v>2.5000000000000001E-3</v>
      </c>
      <c r="O81">
        <f t="shared" ca="1" si="13"/>
        <v>2.5000000000000001E-3</v>
      </c>
      <c r="P81">
        <f t="shared" ca="1" si="13"/>
        <v>2.5000000000000001E-3</v>
      </c>
      <c r="Q81">
        <f t="shared" ca="1" si="13"/>
        <v>2.5000000000000001E-3</v>
      </c>
      <c r="R81">
        <f t="shared" ca="1" si="13"/>
        <v>2.5000000000000001E-3</v>
      </c>
      <c r="S81">
        <f t="shared" ca="1" si="13"/>
        <v>2.5000000000000001E-3</v>
      </c>
      <c r="T81">
        <f t="shared" ca="1" si="13"/>
        <v>2.5000000000000001E-3</v>
      </c>
      <c r="U81">
        <f t="shared" ca="1" si="13"/>
        <v>2.5000000000000001E-3</v>
      </c>
      <c r="V81">
        <f t="shared" ca="1" si="13"/>
        <v>2.5000000000000001E-3</v>
      </c>
      <c r="W81">
        <f t="shared" ca="1" si="13"/>
        <v>2.5000000000000001E-3</v>
      </c>
    </row>
    <row r="82" spans="1:23" x14ac:dyDescent="0.3">
      <c r="A82" t="s">
        <v>75</v>
      </c>
      <c r="B82" t="s">
        <v>5</v>
      </c>
      <c r="C82" t="s">
        <v>15</v>
      </c>
      <c r="D82" t="s">
        <v>49</v>
      </c>
      <c r="E82" t="s">
        <v>76</v>
      </c>
      <c r="F82" t="s">
        <v>77</v>
      </c>
      <c r="G82" t="s">
        <v>56</v>
      </c>
      <c r="L82" t="s">
        <v>78</v>
      </c>
      <c r="M82">
        <f ca="1">2861100</f>
        <v>2861100</v>
      </c>
      <c r="N82">
        <f t="shared" ca="1" si="13"/>
        <v>2861100</v>
      </c>
      <c r="O82">
        <f t="shared" ca="1" si="13"/>
        <v>2861100</v>
      </c>
      <c r="P82">
        <f t="shared" ca="1" si="13"/>
        <v>2861100</v>
      </c>
      <c r="Q82">
        <f t="shared" ca="1" si="13"/>
        <v>2861100</v>
      </c>
      <c r="R82">
        <f t="shared" ca="1" si="13"/>
        <v>2861100</v>
      </c>
      <c r="S82">
        <f t="shared" ca="1" si="13"/>
        <v>2861100</v>
      </c>
      <c r="T82">
        <f t="shared" ca="1" si="13"/>
        <v>2861100</v>
      </c>
      <c r="U82">
        <f t="shared" ca="1" si="13"/>
        <v>2861100</v>
      </c>
      <c r="V82">
        <f t="shared" ca="1" si="13"/>
        <v>2861100</v>
      </c>
      <c r="W82">
        <f t="shared" ca="1" si="13"/>
        <v>2861100</v>
      </c>
    </row>
    <row r="83" spans="1:23" x14ac:dyDescent="0.3">
      <c r="A83" t="s">
        <v>75</v>
      </c>
      <c r="B83" t="s">
        <v>5</v>
      </c>
      <c r="C83" t="s">
        <v>15</v>
      </c>
      <c r="D83" t="s">
        <v>49</v>
      </c>
      <c r="E83" t="s">
        <v>76</v>
      </c>
      <c r="F83" t="s">
        <v>77</v>
      </c>
      <c r="G83" t="s">
        <v>58</v>
      </c>
      <c r="L83" t="s">
        <v>54</v>
      </c>
      <c r="M83">
        <v>0.95</v>
      </c>
      <c r="N83">
        <f t="shared" ca="1" si="13"/>
        <v>0.95</v>
      </c>
      <c r="O83">
        <f t="shared" ca="1" si="13"/>
        <v>0.95</v>
      </c>
      <c r="P83">
        <f t="shared" ca="1" si="13"/>
        <v>0.95</v>
      </c>
      <c r="Q83">
        <f t="shared" ca="1" si="13"/>
        <v>0.95</v>
      </c>
      <c r="R83">
        <f t="shared" ca="1" si="13"/>
        <v>0.95</v>
      </c>
      <c r="S83">
        <f t="shared" ca="1" si="13"/>
        <v>0.95</v>
      </c>
      <c r="T83">
        <f t="shared" ca="1" si="13"/>
        <v>0.95</v>
      </c>
      <c r="U83">
        <f t="shared" ca="1" si="13"/>
        <v>0.95</v>
      </c>
      <c r="V83">
        <f t="shared" ca="1" si="13"/>
        <v>0.95</v>
      </c>
      <c r="W83">
        <f t="shared" ca="1" si="13"/>
        <v>0.95</v>
      </c>
    </row>
    <row r="84" spans="1:23" x14ac:dyDescent="0.3">
      <c r="A84" t="s">
        <v>79</v>
      </c>
      <c r="B84" t="s">
        <v>5</v>
      </c>
      <c r="C84" t="s">
        <v>15</v>
      </c>
      <c r="D84" t="s">
        <v>49</v>
      </c>
      <c r="E84" t="s">
        <v>80</v>
      </c>
      <c r="F84" t="s">
        <v>77</v>
      </c>
      <c r="G84" t="s">
        <v>52</v>
      </c>
      <c r="H84" t="s">
        <v>77</v>
      </c>
    </row>
    <row r="85" spans="1:23" x14ac:dyDescent="0.3">
      <c r="A85" t="s">
        <v>79</v>
      </c>
      <c r="B85" t="s">
        <v>5</v>
      </c>
      <c r="C85" t="s">
        <v>15</v>
      </c>
      <c r="D85" t="s">
        <v>49</v>
      </c>
      <c r="E85" t="s">
        <v>80</v>
      </c>
      <c r="F85" t="s">
        <v>77</v>
      </c>
      <c r="G85" t="s">
        <v>53</v>
      </c>
      <c r="L85" t="s">
        <v>54</v>
      </c>
      <c r="M85">
        <v>0.85</v>
      </c>
      <c r="N85">
        <f t="shared" ref="N85:W88" ca="1" si="14">M85</f>
        <v>0.85</v>
      </c>
      <c r="O85">
        <f t="shared" ca="1" si="14"/>
        <v>0.85</v>
      </c>
      <c r="P85">
        <f t="shared" ca="1" si="14"/>
        <v>0.85</v>
      </c>
      <c r="Q85">
        <f t="shared" ca="1" si="14"/>
        <v>0.85</v>
      </c>
      <c r="R85">
        <f t="shared" ca="1" si="14"/>
        <v>0.85</v>
      </c>
      <c r="S85">
        <f t="shared" ca="1" si="14"/>
        <v>0.85</v>
      </c>
      <c r="T85">
        <f t="shared" ca="1" si="14"/>
        <v>0.85</v>
      </c>
      <c r="U85">
        <f t="shared" ca="1" si="14"/>
        <v>0.85</v>
      </c>
      <c r="V85">
        <f t="shared" ca="1" si="14"/>
        <v>0.85</v>
      </c>
      <c r="W85">
        <f t="shared" ca="1" si="14"/>
        <v>0.85</v>
      </c>
    </row>
    <row r="86" spans="1:23" x14ac:dyDescent="0.3">
      <c r="A86" t="s">
        <v>79</v>
      </c>
      <c r="B86" t="s">
        <v>5</v>
      </c>
      <c r="C86" t="s">
        <v>15</v>
      </c>
      <c r="D86" t="s">
        <v>49</v>
      </c>
      <c r="E86" t="s">
        <v>80</v>
      </c>
      <c r="F86" t="s">
        <v>77</v>
      </c>
      <c r="G86" t="s">
        <v>55</v>
      </c>
      <c r="L86" t="s">
        <v>54</v>
      </c>
      <c r="M86">
        <v>2.5000000000000001E-3</v>
      </c>
      <c r="N86">
        <f t="shared" ca="1" si="14"/>
        <v>2.5000000000000001E-3</v>
      </c>
      <c r="O86">
        <f t="shared" ca="1" si="14"/>
        <v>2.5000000000000001E-3</v>
      </c>
      <c r="P86">
        <f t="shared" ca="1" si="14"/>
        <v>2.5000000000000001E-3</v>
      </c>
      <c r="Q86">
        <f t="shared" ca="1" si="14"/>
        <v>2.5000000000000001E-3</v>
      </c>
      <c r="R86">
        <f t="shared" ca="1" si="14"/>
        <v>2.5000000000000001E-3</v>
      </c>
      <c r="S86">
        <f t="shared" ca="1" si="14"/>
        <v>2.5000000000000001E-3</v>
      </c>
      <c r="T86">
        <f t="shared" ca="1" si="14"/>
        <v>2.5000000000000001E-3</v>
      </c>
      <c r="U86">
        <f t="shared" ca="1" si="14"/>
        <v>2.5000000000000001E-3</v>
      </c>
      <c r="V86">
        <f t="shared" ca="1" si="14"/>
        <v>2.5000000000000001E-3</v>
      </c>
      <c r="W86">
        <f t="shared" ca="1" si="14"/>
        <v>2.5000000000000001E-3</v>
      </c>
    </row>
    <row r="87" spans="1:23" x14ac:dyDescent="0.3">
      <c r="A87" t="s">
        <v>79</v>
      </c>
      <c r="B87" t="s">
        <v>5</v>
      </c>
      <c r="C87" t="s">
        <v>15</v>
      </c>
      <c r="D87" t="s">
        <v>49</v>
      </c>
      <c r="E87" t="s">
        <v>80</v>
      </c>
      <c r="F87" t="s">
        <v>77</v>
      </c>
      <c r="G87" t="s">
        <v>56</v>
      </c>
      <c r="L87" t="s">
        <v>78</v>
      </c>
      <c r="M87">
        <f ca="1">2861100</f>
        <v>2861100</v>
      </c>
      <c r="N87">
        <f t="shared" ca="1" si="14"/>
        <v>2861100</v>
      </c>
      <c r="O87">
        <f t="shared" ca="1" si="14"/>
        <v>2861100</v>
      </c>
      <c r="P87">
        <f t="shared" ca="1" si="14"/>
        <v>2861100</v>
      </c>
      <c r="Q87">
        <f t="shared" ca="1" si="14"/>
        <v>2861100</v>
      </c>
      <c r="R87">
        <f t="shared" ca="1" si="14"/>
        <v>2861100</v>
      </c>
      <c r="S87">
        <f t="shared" ca="1" si="14"/>
        <v>2861100</v>
      </c>
      <c r="T87">
        <f t="shared" ca="1" si="14"/>
        <v>2861100</v>
      </c>
      <c r="U87">
        <f t="shared" ca="1" si="14"/>
        <v>2861100</v>
      </c>
      <c r="V87">
        <f t="shared" ca="1" si="14"/>
        <v>2861100</v>
      </c>
      <c r="W87">
        <f t="shared" ca="1" si="14"/>
        <v>2861100</v>
      </c>
    </row>
    <row r="88" spans="1:23" x14ac:dyDescent="0.3">
      <c r="A88" t="s">
        <v>79</v>
      </c>
      <c r="B88" t="s">
        <v>5</v>
      </c>
      <c r="C88" t="s">
        <v>15</v>
      </c>
      <c r="D88" t="s">
        <v>49</v>
      </c>
      <c r="E88" t="s">
        <v>80</v>
      </c>
      <c r="F88" t="s">
        <v>77</v>
      </c>
      <c r="G88" t="s">
        <v>58</v>
      </c>
      <c r="L88" t="s">
        <v>54</v>
      </c>
      <c r="M88">
        <v>0.95</v>
      </c>
      <c r="N88">
        <f t="shared" ca="1" si="14"/>
        <v>0.95</v>
      </c>
      <c r="O88">
        <f t="shared" ca="1" si="14"/>
        <v>0.95</v>
      </c>
      <c r="P88">
        <f t="shared" ca="1" si="14"/>
        <v>0.95</v>
      </c>
      <c r="Q88">
        <f t="shared" ca="1" si="14"/>
        <v>0.95</v>
      </c>
      <c r="R88">
        <f t="shared" ca="1" si="14"/>
        <v>0.95</v>
      </c>
      <c r="S88">
        <f t="shared" ca="1" si="14"/>
        <v>0.95</v>
      </c>
      <c r="T88">
        <f t="shared" ca="1" si="14"/>
        <v>0.95</v>
      </c>
      <c r="U88">
        <f t="shared" ca="1" si="14"/>
        <v>0.95</v>
      </c>
      <c r="V88">
        <f t="shared" ca="1" si="14"/>
        <v>0.95</v>
      </c>
      <c r="W88">
        <f t="shared" ca="1" si="14"/>
        <v>0.95</v>
      </c>
    </row>
    <row r="89" spans="1:23" x14ac:dyDescent="0.3">
      <c r="A89" t="s">
        <v>81</v>
      </c>
      <c r="B89" t="s">
        <v>5</v>
      </c>
      <c r="C89" t="s">
        <v>15</v>
      </c>
      <c r="D89" t="s">
        <v>49</v>
      </c>
      <c r="E89" t="s">
        <v>82</v>
      </c>
      <c r="F89" t="s">
        <v>77</v>
      </c>
      <c r="G89" t="s">
        <v>52</v>
      </c>
      <c r="H89" t="s">
        <v>77</v>
      </c>
    </row>
    <row r="90" spans="1:23" x14ac:dyDescent="0.3">
      <c r="A90" t="s">
        <v>81</v>
      </c>
      <c r="B90" t="s">
        <v>5</v>
      </c>
      <c r="C90" t="s">
        <v>15</v>
      </c>
      <c r="D90" t="s">
        <v>49</v>
      </c>
      <c r="E90" t="s">
        <v>82</v>
      </c>
      <c r="F90" t="s">
        <v>77</v>
      </c>
      <c r="G90" t="s">
        <v>53</v>
      </c>
      <c r="L90" t="s">
        <v>54</v>
      </c>
      <c r="M90">
        <v>0.85</v>
      </c>
      <c r="N90">
        <f t="shared" ref="N90:W93" ca="1" si="15">M90</f>
        <v>0.85</v>
      </c>
      <c r="O90">
        <f t="shared" ca="1" si="15"/>
        <v>0.85</v>
      </c>
      <c r="P90">
        <f t="shared" ca="1" si="15"/>
        <v>0.85</v>
      </c>
      <c r="Q90">
        <f t="shared" ca="1" si="15"/>
        <v>0.85</v>
      </c>
      <c r="R90">
        <f t="shared" ca="1" si="15"/>
        <v>0.85</v>
      </c>
      <c r="S90">
        <f t="shared" ca="1" si="15"/>
        <v>0.85</v>
      </c>
      <c r="T90">
        <f t="shared" ca="1" si="15"/>
        <v>0.85</v>
      </c>
      <c r="U90">
        <f t="shared" ca="1" si="15"/>
        <v>0.85</v>
      </c>
      <c r="V90">
        <f t="shared" ca="1" si="15"/>
        <v>0.85</v>
      </c>
      <c r="W90">
        <f t="shared" ca="1" si="15"/>
        <v>0.85</v>
      </c>
    </row>
    <row r="91" spans="1:23" x14ac:dyDescent="0.3">
      <c r="A91" t="s">
        <v>81</v>
      </c>
      <c r="B91" t="s">
        <v>5</v>
      </c>
      <c r="C91" t="s">
        <v>15</v>
      </c>
      <c r="D91" t="s">
        <v>49</v>
      </c>
      <c r="E91" t="s">
        <v>82</v>
      </c>
      <c r="F91" t="s">
        <v>77</v>
      </c>
      <c r="G91" t="s">
        <v>55</v>
      </c>
      <c r="L91" t="s">
        <v>54</v>
      </c>
      <c r="M91">
        <v>2.5000000000000001E-3</v>
      </c>
      <c r="N91">
        <f t="shared" ca="1" si="15"/>
        <v>2.5000000000000001E-3</v>
      </c>
      <c r="O91">
        <f t="shared" ca="1" si="15"/>
        <v>2.5000000000000001E-3</v>
      </c>
      <c r="P91">
        <f t="shared" ca="1" si="15"/>
        <v>2.5000000000000001E-3</v>
      </c>
      <c r="Q91">
        <f t="shared" ca="1" si="15"/>
        <v>2.5000000000000001E-3</v>
      </c>
      <c r="R91">
        <f t="shared" ca="1" si="15"/>
        <v>2.5000000000000001E-3</v>
      </c>
      <c r="S91">
        <f t="shared" ca="1" si="15"/>
        <v>2.5000000000000001E-3</v>
      </c>
      <c r="T91">
        <f t="shared" ca="1" si="15"/>
        <v>2.5000000000000001E-3</v>
      </c>
      <c r="U91">
        <f t="shared" ca="1" si="15"/>
        <v>2.5000000000000001E-3</v>
      </c>
      <c r="V91">
        <f t="shared" ca="1" si="15"/>
        <v>2.5000000000000001E-3</v>
      </c>
      <c r="W91">
        <f t="shared" ca="1" si="15"/>
        <v>2.5000000000000001E-3</v>
      </c>
    </row>
    <row r="92" spans="1:23" x14ac:dyDescent="0.3">
      <c r="A92" t="s">
        <v>81</v>
      </c>
      <c r="B92" t="s">
        <v>5</v>
      </c>
      <c r="C92" t="s">
        <v>15</v>
      </c>
      <c r="D92" t="s">
        <v>49</v>
      </c>
      <c r="E92" t="s">
        <v>82</v>
      </c>
      <c r="F92" t="s">
        <v>77</v>
      </c>
      <c r="G92" t="s">
        <v>56</v>
      </c>
      <c r="L92" t="s">
        <v>78</v>
      </c>
      <c r="M92">
        <f ca="1">2861100</f>
        <v>2861100</v>
      </c>
      <c r="N92">
        <f t="shared" ca="1" si="15"/>
        <v>2861100</v>
      </c>
      <c r="O92">
        <f t="shared" ca="1" si="15"/>
        <v>2861100</v>
      </c>
      <c r="P92">
        <f t="shared" ca="1" si="15"/>
        <v>2861100</v>
      </c>
      <c r="Q92">
        <f t="shared" ca="1" si="15"/>
        <v>2861100</v>
      </c>
      <c r="R92">
        <f t="shared" ca="1" si="15"/>
        <v>2861100</v>
      </c>
      <c r="S92">
        <f t="shared" ca="1" si="15"/>
        <v>2861100</v>
      </c>
      <c r="T92">
        <f t="shared" ca="1" si="15"/>
        <v>2861100</v>
      </c>
      <c r="U92">
        <f t="shared" ca="1" si="15"/>
        <v>2861100</v>
      </c>
      <c r="V92">
        <f t="shared" ca="1" si="15"/>
        <v>2861100</v>
      </c>
      <c r="W92">
        <f t="shared" ca="1" si="15"/>
        <v>2861100</v>
      </c>
    </row>
    <row r="93" spans="1:23" x14ac:dyDescent="0.3">
      <c r="A93" t="s">
        <v>81</v>
      </c>
      <c r="B93" t="s">
        <v>5</v>
      </c>
      <c r="C93" t="s">
        <v>15</v>
      </c>
      <c r="D93" t="s">
        <v>49</v>
      </c>
      <c r="E93" t="s">
        <v>82</v>
      </c>
      <c r="F93" t="s">
        <v>77</v>
      </c>
      <c r="G93" t="s">
        <v>58</v>
      </c>
      <c r="L93" t="s">
        <v>54</v>
      </c>
      <c r="M93">
        <v>0.95</v>
      </c>
      <c r="N93">
        <f t="shared" ca="1" si="15"/>
        <v>0.95</v>
      </c>
      <c r="O93">
        <f t="shared" ca="1" si="15"/>
        <v>0.95</v>
      </c>
      <c r="P93">
        <f t="shared" ca="1" si="15"/>
        <v>0.95</v>
      </c>
      <c r="Q93">
        <f t="shared" ca="1" si="15"/>
        <v>0.95</v>
      </c>
      <c r="R93">
        <f t="shared" ca="1" si="15"/>
        <v>0.95</v>
      </c>
      <c r="S93">
        <f t="shared" ca="1" si="15"/>
        <v>0.95</v>
      </c>
      <c r="T93">
        <f t="shared" ca="1" si="15"/>
        <v>0.95</v>
      </c>
      <c r="U93">
        <f t="shared" ca="1" si="15"/>
        <v>0.95</v>
      </c>
      <c r="V93">
        <f t="shared" ca="1" si="15"/>
        <v>0.95</v>
      </c>
      <c r="W93">
        <f t="shared" ca="1" si="15"/>
        <v>0.95</v>
      </c>
    </row>
    <row r="94" spans="1:23" x14ac:dyDescent="0.3">
      <c r="A94" t="s">
        <v>83</v>
      </c>
      <c r="B94" t="s">
        <v>5</v>
      </c>
      <c r="C94" t="s">
        <v>15</v>
      </c>
      <c r="D94" t="s">
        <v>84</v>
      </c>
      <c r="E94" t="s">
        <v>85</v>
      </c>
      <c r="F94" t="s">
        <v>85</v>
      </c>
      <c r="G94" t="s">
        <v>52</v>
      </c>
      <c r="H94" t="s">
        <v>86</v>
      </c>
    </row>
    <row r="95" spans="1:23" x14ac:dyDescent="0.3">
      <c r="A95" t="s">
        <v>83</v>
      </c>
      <c r="B95" t="s">
        <v>5</v>
      </c>
      <c r="C95" t="s">
        <v>15</v>
      </c>
      <c r="D95" t="s">
        <v>84</v>
      </c>
      <c r="E95" t="s">
        <v>85</v>
      </c>
      <c r="F95" t="s">
        <v>85</v>
      </c>
      <c r="G95" t="s">
        <v>53</v>
      </c>
      <c r="L95" t="s">
        <v>54</v>
      </c>
      <c r="M95">
        <v>0.56000000000000005</v>
      </c>
      <c r="N95">
        <f t="shared" ref="N95:W98" ca="1" si="16">M95</f>
        <v>0.56000000000000005</v>
      </c>
      <c r="O95">
        <f t="shared" ca="1" si="16"/>
        <v>0.56000000000000005</v>
      </c>
      <c r="P95">
        <f t="shared" ca="1" si="16"/>
        <v>0.56000000000000005</v>
      </c>
      <c r="Q95">
        <f t="shared" ca="1" si="16"/>
        <v>0.56000000000000005</v>
      </c>
      <c r="R95">
        <f t="shared" ca="1" si="16"/>
        <v>0.56000000000000005</v>
      </c>
      <c r="S95">
        <f t="shared" ca="1" si="16"/>
        <v>0.56000000000000005</v>
      </c>
      <c r="T95">
        <f t="shared" ca="1" si="16"/>
        <v>0.56000000000000005</v>
      </c>
      <c r="U95">
        <f t="shared" ca="1" si="16"/>
        <v>0.56000000000000005</v>
      </c>
      <c r="V95">
        <f t="shared" ca="1" si="16"/>
        <v>0.56000000000000005</v>
      </c>
      <c r="W95">
        <f t="shared" ca="1" si="16"/>
        <v>0.56000000000000005</v>
      </c>
    </row>
    <row r="96" spans="1:23" x14ac:dyDescent="0.3">
      <c r="A96" t="s">
        <v>83</v>
      </c>
      <c r="B96" t="s">
        <v>5</v>
      </c>
      <c r="C96" t="s">
        <v>15</v>
      </c>
      <c r="D96" t="s">
        <v>84</v>
      </c>
      <c r="E96" t="s">
        <v>85</v>
      </c>
      <c r="F96" t="s">
        <v>85</v>
      </c>
      <c r="G96" t="s">
        <v>55</v>
      </c>
      <c r="L96" t="s">
        <v>54</v>
      </c>
      <c r="M96">
        <v>0.01</v>
      </c>
      <c r="N96">
        <f t="shared" ca="1" si="16"/>
        <v>0.01</v>
      </c>
      <c r="O96">
        <f t="shared" ca="1" si="16"/>
        <v>0.01</v>
      </c>
      <c r="P96">
        <f t="shared" ca="1" si="16"/>
        <v>0.01</v>
      </c>
      <c r="Q96">
        <f t="shared" ca="1" si="16"/>
        <v>0.01</v>
      </c>
      <c r="R96">
        <f t="shared" ca="1" si="16"/>
        <v>0.01</v>
      </c>
      <c r="S96">
        <f t="shared" ca="1" si="16"/>
        <v>0.01</v>
      </c>
      <c r="T96">
        <f t="shared" ca="1" si="16"/>
        <v>0.01</v>
      </c>
      <c r="U96">
        <f t="shared" ca="1" si="16"/>
        <v>0.01</v>
      </c>
      <c r="V96">
        <f t="shared" ca="1" si="16"/>
        <v>0.01</v>
      </c>
      <c r="W96">
        <f t="shared" ca="1" si="16"/>
        <v>0.01</v>
      </c>
    </row>
    <row r="97" spans="1:23" x14ac:dyDescent="0.3">
      <c r="A97" t="s">
        <v>83</v>
      </c>
      <c r="B97" t="s">
        <v>5</v>
      </c>
      <c r="C97" t="s">
        <v>15</v>
      </c>
      <c r="D97" t="s">
        <v>84</v>
      </c>
      <c r="E97" t="s">
        <v>85</v>
      </c>
      <c r="F97" t="s">
        <v>85</v>
      </c>
      <c r="G97" t="s">
        <v>56</v>
      </c>
      <c r="L97" t="s">
        <v>87</v>
      </c>
      <c r="M97">
        <f ca="1">7668000</f>
        <v>7668000</v>
      </c>
      <c r="N97">
        <f t="shared" ca="1" si="16"/>
        <v>7668000</v>
      </c>
      <c r="O97">
        <f t="shared" ca="1" si="16"/>
        <v>7668000</v>
      </c>
      <c r="P97">
        <f t="shared" ca="1" si="16"/>
        <v>7668000</v>
      </c>
      <c r="Q97">
        <f t="shared" ca="1" si="16"/>
        <v>7668000</v>
      </c>
      <c r="R97">
        <f t="shared" ca="1" si="16"/>
        <v>7668000</v>
      </c>
      <c r="S97">
        <f t="shared" ca="1" si="16"/>
        <v>7668000</v>
      </c>
      <c r="T97">
        <f t="shared" ca="1" si="16"/>
        <v>7668000</v>
      </c>
      <c r="U97">
        <f t="shared" ca="1" si="16"/>
        <v>7668000</v>
      </c>
      <c r="V97">
        <f t="shared" ca="1" si="16"/>
        <v>7668000</v>
      </c>
      <c r="W97">
        <f t="shared" ca="1" si="16"/>
        <v>7668000</v>
      </c>
    </row>
    <row r="98" spans="1:23" x14ac:dyDescent="0.3">
      <c r="A98" t="s">
        <v>83</v>
      </c>
      <c r="B98" t="s">
        <v>5</v>
      </c>
      <c r="C98" t="s">
        <v>15</v>
      </c>
      <c r="D98" t="s">
        <v>84</v>
      </c>
      <c r="E98" t="s">
        <v>85</v>
      </c>
      <c r="F98" t="s">
        <v>85</v>
      </c>
      <c r="G98" t="s">
        <v>58</v>
      </c>
      <c r="L98" t="s">
        <v>54</v>
      </c>
      <c r="M98">
        <v>0.85</v>
      </c>
      <c r="N98">
        <f t="shared" ca="1" si="16"/>
        <v>0.85</v>
      </c>
      <c r="O98">
        <f t="shared" ca="1" si="16"/>
        <v>0.85</v>
      </c>
      <c r="P98">
        <f t="shared" ca="1" si="16"/>
        <v>0.85</v>
      </c>
      <c r="Q98">
        <f t="shared" ca="1" si="16"/>
        <v>0.85</v>
      </c>
      <c r="R98">
        <f t="shared" ca="1" si="16"/>
        <v>0.85</v>
      </c>
      <c r="S98">
        <f t="shared" ca="1" si="16"/>
        <v>0.85</v>
      </c>
      <c r="T98">
        <f t="shared" ca="1" si="16"/>
        <v>0.85</v>
      </c>
      <c r="U98">
        <f t="shared" ca="1" si="16"/>
        <v>0.85</v>
      </c>
      <c r="V98">
        <f t="shared" ca="1" si="16"/>
        <v>0.85</v>
      </c>
      <c r="W98">
        <f t="shared" ca="1" si="16"/>
        <v>0.85</v>
      </c>
    </row>
    <row r="99" spans="1:23" x14ac:dyDescent="0.3">
      <c r="A99" t="s">
        <v>88</v>
      </c>
      <c r="B99" t="s">
        <v>5</v>
      </c>
      <c r="C99" t="s">
        <v>15</v>
      </c>
      <c r="D99" t="s">
        <v>89</v>
      </c>
      <c r="E99" t="s">
        <v>90</v>
      </c>
      <c r="F99" t="s">
        <v>91</v>
      </c>
      <c r="G99" t="s">
        <v>52</v>
      </c>
      <c r="H99" t="s">
        <v>92</v>
      </c>
    </row>
    <row r="100" spans="1:23" x14ac:dyDescent="0.3">
      <c r="A100" t="s">
        <v>88</v>
      </c>
      <c r="B100" t="s">
        <v>5</v>
      </c>
      <c r="C100" t="s">
        <v>15</v>
      </c>
      <c r="D100" t="s">
        <v>89</v>
      </c>
      <c r="E100" t="s">
        <v>90</v>
      </c>
      <c r="F100" t="s">
        <v>91</v>
      </c>
      <c r="G100" t="s">
        <v>53</v>
      </c>
      <c r="L100" t="s">
        <v>54</v>
      </c>
      <c r="M100">
        <v>0.9</v>
      </c>
      <c r="N100">
        <f t="shared" ref="N100:W103" ca="1" si="17">M100</f>
        <v>0.9</v>
      </c>
      <c r="O100">
        <f t="shared" ca="1" si="17"/>
        <v>0.9</v>
      </c>
      <c r="P100">
        <f t="shared" ca="1" si="17"/>
        <v>0.9</v>
      </c>
      <c r="Q100">
        <f t="shared" ca="1" si="17"/>
        <v>0.9</v>
      </c>
      <c r="R100">
        <f t="shared" ca="1" si="17"/>
        <v>0.9</v>
      </c>
      <c r="S100">
        <f t="shared" ca="1" si="17"/>
        <v>0.9</v>
      </c>
      <c r="T100">
        <f t="shared" ca="1" si="17"/>
        <v>0.9</v>
      </c>
      <c r="U100">
        <f t="shared" ca="1" si="17"/>
        <v>0.9</v>
      </c>
      <c r="V100">
        <f t="shared" ca="1" si="17"/>
        <v>0.9</v>
      </c>
      <c r="W100">
        <f t="shared" ca="1" si="17"/>
        <v>0.9</v>
      </c>
    </row>
    <row r="101" spans="1:23" x14ac:dyDescent="0.3">
      <c r="A101" t="s">
        <v>88</v>
      </c>
      <c r="B101" t="s">
        <v>5</v>
      </c>
      <c r="C101" t="s">
        <v>15</v>
      </c>
      <c r="D101" t="s">
        <v>89</v>
      </c>
      <c r="E101" t="s">
        <v>90</v>
      </c>
      <c r="F101" t="s">
        <v>91</v>
      </c>
      <c r="G101" t="s">
        <v>55</v>
      </c>
      <c r="L101" t="s">
        <v>54</v>
      </c>
      <c r="M101">
        <v>0.01</v>
      </c>
      <c r="N101">
        <f t="shared" ca="1" si="17"/>
        <v>0.01</v>
      </c>
      <c r="O101">
        <f t="shared" ca="1" si="17"/>
        <v>0.01</v>
      </c>
      <c r="P101">
        <f t="shared" ca="1" si="17"/>
        <v>0.01</v>
      </c>
      <c r="Q101">
        <f t="shared" ca="1" si="17"/>
        <v>0.01</v>
      </c>
      <c r="R101">
        <f t="shared" ca="1" si="17"/>
        <v>0.01</v>
      </c>
      <c r="S101">
        <f t="shared" ca="1" si="17"/>
        <v>0.01</v>
      </c>
      <c r="T101">
        <f t="shared" ca="1" si="17"/>
        <v>0.01</v>
      </c>
      <c r="U101">
        <f t="shared" ca="1" si="17"/>
        <v>0.01</v>
      </c>
      <c r="V101">
        <f t="shared" ca="1" si="17"/>
        <v>0.01</v>
      </c>
      <c r="W101">
        <f t="shared" ca="1" si="17"/>
        <v>0.01</v>
      </c>
    </row>
    <row r="102" spans="1:23" x14ac:dyDescent="0.3">
      <c r="A102" t="s">
        <v>88</v>
      </c>
      <c r="B102" t="s">
        <v>5</v>
      </c>
      <c r="C102" t="s">
        <v>15</v>
      </c>
      <c r="D102" t="s">
        <v>89</v>
      </c>
      <c r="E102" t="s">
        <v>90</v>
      </c>
      <c r="F102" t="s">
        <v>91</v>
      </c>
      <c r="G102" t="s">
        <v>56</v>
      </c>
      <c r="K102" t="s">
        <v>93</v>
      </c>
      <c r="L102" t="s">
        <v>94</v>
      </c>
      <c r="M102">
        <f ca="1">50000000</f>
        <v>50000000</v>
      </c>
      <c r="N102">
        <f t="shared" ca="1" si="17"/>
        <v>50000000</v>
      </c>
      <c r="O102">
        <f t="shared" ca="1" si="17"/>
        <v>50000000</v>
      </c>
      <c r="P102">
        <f t="shared" ca="1" si="17"/>
        <v>50000000</v>
      </c>
      <c r="Q102">
        <f t="shared" ca="1" si="17"/>
        <v>50000000</v>
      </c>
      <c r="R102">
        <f t="shared" ca="1" si="17"/>
        <v>50000000</v>
      </c>
      <c r="S102">
        <f t="shared" ca="1" si="17"/>
        <v>50000000</v>
      </c>
      <c r="T102">
        <f t="shared" ca="1" si="17"/>
        <v>50000000</v>
      </c>
      <c r="U102">
        <f t="shared" ca="1" si="17"/>
        <v>50000000</v>
      </c>
      <c r="V102">
        <f t="shared" ca="1" si="17"/>
        <v>50000000</v>
      </c>
      <c r="W102">
        <f t="shared" ca="1" si="17"/>
        <v>50000000</v>
      </c>
    </row>
    <row r="103" spans="1:23" x14ac:dyDescent="0.3">
      <c r="A103" t="s">
        <v>88</v>
      </c>
      <c r="B103" t="s">
        <v>5</v>
      </c>
      <c r="C103" t="s">
        <v>15</v>
      </c>
      <c r="D103" t="s">
        <v>89</v>
      </c>
      <c r="E103" t="s">
        <v>90</v>
      </c>
      <c r="F103" t="s">
        <v>91</v>
      </c>
      <c r="G103" t="s">
        <v>58</v>
      </c>
      <c r="L103" t="s">
        <v>54</v>
      </c>
      <c r="M103">
        <v>0.98</v>
      </c>
      <c r="N103">
        <f t="shared" ca="1" si="17"/>
        <v>0.98</v>
      </c>
      <c r="O103">
        <f t="shared" ca="1" si="17"/>
        <v>0.98</v>
      </c>
      <c r="P103">
        <f t="shared" ca="1" si="17"/>
        <v>0.98</v>
      </c>
      <c r="Q103">
        <f t="shared" ca="1" si="17"/>
        <v>0.98</v>
      </c>
      <c r="R103">
        <f t="shared" ca="1" si="17"/>
        <v>0.98</v>
      </c>
      <c r="S103">
        <f t="shared" ca="1" si="17"/>
        <v>0.98</v>
      </c>
      <c r="T103">
        <f t="shared" ca="1" si="17"/>
        <v>0.98</v>
      </c>
      <c r="U103">
        <f t="shared" ca="1" si="17"/>
        <v>0.98</v>
      </c>
      <c r="V103">
        <f t="shared" ca="1" si="17"/>
        <v>0.98</v>
      </c>
      <c r="W103">
        <f t="shared" ca="1" si="17"/>
        <v>0.98</v>
      </c>
    </row>
    <row r="104" spans="1:23" x14ac:dyDescent="0.3">
      <c r="A104" t="s">
        <v>88</v>
      </c>
      <c r="B104" t="s">
        <v>5</v>
      </c>
      <c r="C104" t="s">
        <v>15</v>
      </c>
      <c r="D104" t="s">
        <v>89</v>
      </c>
      <c r="E104" t="s">
        <v>90</v>
      </c>
      <c r="F104" t="s">
        <v>95</v>
      </c>
      <c r="G104" t="s">
        <v>52</v>
      </c>
      <c r="H104" t="s">
        <v>96</v>
      </c>
    </row>
    <row r="105" spans="1:23" x14ac:dyDescent="0.3">
      <c r="A105" t="s">
        <v>88</v>
      </c>
      <c r="B105" t="s">
        <v>5</v>
      </c>
      <c r="C105" t="s">
        <v>15</v>
      </c>
      <c r="D105" t="s">
        <v>89</v>
      </c>
      <c r="E105" t="s">
        <v>90</v>
      </c>
      <c r="F105" t="s">
        <v>95</v>
      </c>
      <c r="G105" t="s">
        <v>53</v>
      </c>
      <c r="L105" t="s">
        <v>54</v>
      </c>
      <c r="M105">
        <v>0.9</v>
      </c>
      <c r="N105">
        <f t="shared" ref="N105:W108" ca="1" si="18">M105</f>
        <v>0.9</v>
      </c>
      <c r="O105">
        <f t="shared" ca="1" si="18"/>
        <v>0.9</v>
      </c>
      <c r="P105">
        <f t="shared" ca="1" si="18"/>
        <v>0.9</v>
      </c>
      <c r="Q105">
        <f t="shared" ca="1" si="18"/>
        <v>0.9</v>
      </c>
      <c r="R105">
        <f t="shared" ca="1" si="18"/>
        <v>0.9</v>
      </c>
      <c r="S105">
        <f t="shared" ca="1" si="18"/>
        <v>0.9</v>
      </c>
      <c r="T105">
        <f t="shared" ca="1" si="18"/>
        <v>0.9</v>
      </c>
      <c r="U105">
        <f t="shared" ca="1" si="18"/>
        <v>0.9</v>
      </c>
      <c r="V105">
        <f t="shared" ca="1" si="18"/>
        <v>0.9</v>
      </c>
      <c r="W105">
        <f t="shared" ca="1" si="18"/>
        <v>0.9</v>
      </c>
    </row>
    <row r="106" spans="1:23" x14ac:dyDescent="0.3">
      <c r="A106" t="s">
        <v>88</v>
      </c>
      <c r="B106" t="s">
        <v>5</v>
      </c>
      <c r="C106" t="s">
        <v>15</v>
      </c>
      <c r="D106" t="s">
        <v>89</v>
      </c>
      <c r="E106" t="s">
        <v>90</v>
      </c>
      <c r="F106" t="s">
        <v>95</v>
      </c>
      <c r="G106" t="s">
        <v>55</v>
      </c>
      <c r="L106" t="s">
        <v>54</v>
      </c>
      <c r="M106">
        <v>0.01</v>
      </c>
      <c r="N106">
        <f t="shared" ca="1" si="18"/>
        <v>0.01</v>
      </c>
      <c r="O106">
        <f t="shared" ca="1" si="18"/>
        <v>0.01</v>
      </c>
      <c r="P106">
        <f t="shared" ca="1" si="18"/>
        <v>0.01</v>
      </c>
      <c r="Q106">
        <f t="shared" ca="1" si="18"/>
        <v>0.01</v>
      </c>
      <c r="R106">
        <f t="shared" ca="1" si="18"/>
        <v>0.01</v>
      </c>
      <c r="S106">
        <f t="shared" ca="1" si="18"/>
        <v>0.01</v>
      </c>
      <c r="T106">
        <f t="shared" ca="1" si="18"/>
        <v>0.01</v>
      </c>
      <c r="U106">
        <f t="shared" ca="1" si="18"/>
        <v>0.01</v>
      </c>
      <c r="V106">
        <f t="shared" ca="1" si="18"/>
        <v>0.01</v>
      </c>
      <c r="W106">
        <f t="shared" ca="1" si="18"/>
        <v>0.01</v>
      </c>
    </row>
    <row r="107" spans="1:23" x14ac:dyDescent="0.3">
      <c r="A107" t="s">
        <v>88</v>
      </c>
      <c r="B107" t="s">
        <v>5</v>
      </c>
      <c r="C107" t="s">
        <v>15</v>
      </c>
      <c r="D107" t="s">
        <v>89</v>
      </c>
      <c r="E107" t="s">
        <v>90</v>
      </c>
      <c r="F107" t="s">
        <v>95</v>
      </c>
      <c r="G107" t="s">
        <v>56</v>
      </c>
      <c r="K107" t="s">
        <v>93</v>
      </c>
      <c r="L107" t="s">
        <v>94</v>
      </c>
      <c r="M107">
        <f ca="1">125000000</f>
        <v>125000000</v>
      </c>
      <c r="N107">
        <f t="shared" ca="1" si="18"/>
        <v>125000000</v>
      </c>
      <c r="O107">
        <f t="shared" ca="1" si="18"/>
        <v>125000000</v>
      </c>
      <c r="P107">
        <f t="shared" ca="1" si="18"/>
        <v>125000000</v>
      </c>
      <c r="Q107">
        <f t="shared" ca="1" si="18"/>
        <v>125000000</v>
      </c>
      <c r="R107">
        <f t="shared" ca="1" si="18"/>
        <v>125000000</v>
      </c>
      <c r="S107">
        <f t="shared" ca="1" si="18"/>
        <v>125000000</v>
      </c>
      <c r="T107">
        <f t="shared" ca="1" si="18"/>
        <v>125000000</v>
      </c>
      <c r="U107">
        <f t="shared" ca="1" si="18"/>
        <v>125000000</v>
      </c>
      <c r="V107">
        <f t="shared" ca="1" si="18"/>
        <v>125000000</v>
      </c>
      <c r="W107">
        <f t="shared" ca="1" si="18"/>
        <v>125000000</v>
      </c>
    </row>
    <row r="108" spans="1:23" x14ac:dyDescent="0.3">
      <c r="A108" t="s">
        <v>88</v>
      </c>
      <c r="B108" t="s">
        <v>5</v>
      </c>
      <c r="C108" t="s">
        <v>15</v>
      </c>
      <c r="D108" t="s">
        <v>89</v>
      </c>
      <c r="E108" t="s">
        <v>90</v>
      </c>
      <c r="F108" t="s">
        <v>95</v>
      </c>
      <c r="G108" t="s">
        <v>58</v>
      </c>
      <c r="L108" t="s">
        <v>54</v>
      </c>
      <c r="M108">
        <v>0.98</v>
      </c>
      <c r="N108">
        <f t="shared" ca="1" si="18"/>
        <v>0.98</v>
      </c>
      <c r="O108">
        <f t="shared" ca="1" si="18"/>
        <v>0.98</v>
      </c>
      <c r="P108">
        <f t="shared" ca="1" si="18"/>
        <v>0.98</v>
      </c>
      <c r="Q108">
        <f t="shared" ca="1" si="18"/>
        <v>0.98</v>
      </c>
      <c r="R108">
        <f t="shared" ca="1" si="18"/>
        <v>0.98</v>
      </c>
      <c r="S108">
        <f t="shared" ca="1" si="18"/>
        <v>0.98</v>
      </c>
      <c r="T108">
        <f t="shared" ca="1" si="18"/>
        <v>0.98</v>
      </c>
      <c r="U108">
        <f t="shared" ca="1" si="18"/>
        <v>0.98</v>
      </c>
      <c r="V108">
        <f t="shared" ca="1" si="18"/>
        <v>0.98</v>
      </c>
      <c r="W108">
        <f t="shared" ca="1" si="18"/>
        <v>0.98</v>
      </c>
    </row>
    <row r="109" spans="1:23" x14ac:dyDescent="0.3">
      <c r="A109" t="s">
        <v>88</v>
      </c>
      <c r="B109" t="s">
        <v>5</v>
      </c>
      <c r="C109" t="s">
        <v>15</v>
      </c>
      <c r="D109" t="s">
        <v>89</v>
      </c>
      <c r="E109" t="s">
        <v>90</v>
      </c>
      <c r="F109" t="s">
        <v>97</v>
      </c>
      <c r="G109" t="s">
        <v>52</v>
      </c>
      <c r="H109" t="s">
        <v>96</v>
      </c>
    </row>
    <row r="110" spans="1:23" x14ac:dyDescent="0.3">
      <c r="A110" t="s">
        <v>88</v>
      </c>
      <c r="B110" t="s">
        <v>5</v>
      </c>
      <c r="C110" t="s">
        <v>15</v>
      </c>
      <c r="D110" t="s">
        <v>89</v>
      </c>
      <c r="E110" t="s">
        <v>90</v>
      </c>
      <c r="F110" t="s">
        <v>97</v>
      </c>
      <c r="G110" t="s">
        <v>53</v>
      </c>
      <c r="L110" t="s">
        <v>54</v>
      </c>
      <c r="M110">
        <v>0.9</v>
      </c>
      <c r="N110">
        <f t="shared" ref="N110:W113" ca="1" si="19">M110</f>
        <v>0.9</v>
      </c>
      <c r="O110">
        <f t="shared" ca="1" si="19"/>
        <v>0.9</v>
      </c>
      <c r="P110">
        <f t="shared" ca="1" si="19"/>
        <v>0.9</v>
      </c>
      <c r="Q110">
        <f t="shared" ca="1" si="19"/>
        <v>0.9</v>
      </c>
      <c r="R110">
        <f t="shared" ca="1" si="19"/>
        <v>0.9</v>
      </c>
      <c r="S110">
        <f t="shared" ca="1" si="19"/>
        <v>0.9</v>
      </c>
      <c r="T110">
        <f t="shared" ca="1" si="19"/>
        <v>0.9</v>
      </c>
      <c r="U110">
        <f t="shared" ca="1" si="19"/>
        <v>0.9</v>
      </c>
      <c r="V110">
        <f t="shared" ca="1" si="19"/>
        <v>0.9</v>
      </c>
      <c r="W110">
        <f t="shared" ca="1" si="19"/>
        <v>0.9</v>
      </c>
    </row>
    <row r="111" spans="1:23" x14ac:dyDescent="0.3">
      <c r="A111" t="s">
        <v>88</v>
      </c>
      <c r="B111" t="s">
        <v>5</v>
      </c>
      <c r="C111" t="s">
        <v>15</v>
      </c>
      <c r="D111" t="s">
        <v>89</v>
      </c>
      <c r="E111" t="s">
        <v>90</v>
      </c>
      <c r="F111" t="s">
        <v>97</v>
      </c>
      <c r="G111" t="s">
        <v>55</v>
      </c>
      <c r="L111" t="s">
        <v>54</v>
      </c>
      <c r="M111">
        <v>0.01</v>
      </c>
      <c r="N111">
        <f t="shared" ca="1" si="19"/>
        <v>0.01</v>
      </c>
      <c r="O111">
        <f t="shared" ca="1" si="19"/>
        <v>0.01</v>
      </c>
      <c r="P111">
        <f t="shared" ca="1" si="19"/>
        <v>0.01</v>
      </c>
      <c r="Q111">
        <f t="shared" ca="1" si="19"/>
        <v>0.01</v>
      </c>
      <c r="R111">
        <f t="shared" ca="1" si="19"/>
        <v>0.01</v>
      </c>
      <c r="S111">
        <f t="shared" ca="1" si="19"/>
        <v>0.01</v>
      </c>
      <c r="T111">
        <f t="shared" ca="1" si="19"/>
        <v>0.01</v>
      </c>
      <c r="U111">
        <f t="shared" ca="1" si="19"/>
        <v>0.01</v>
      </c>
      <c r="V111">
        <f t="shared" ca="1" si="19"/>
        <v>0.01</v>
      </c>
      <c r="W111">
        <f t="shared" ca="1" si="19"/>
        <v>0.01</v>
      </c>
    </row>
    <row r="112" spans="1:23" x14ac:dyDescent="0.3">
      <c r="A112" t="s">
        <v>88</v>
      </c>
      <c r="B112" t="s">
        <v>5</v>
      </c>
      <c r="C112" t="s">
        <v>15</v>
      </c>
      <c r="D112" t="s">
        <v>89</v>
      </c>
      <c r="E112" t="s">
        <v>90</v>
      </c>
      <c r="F112" t="s">
        <v>97</v>
      </c>
      <c r="G112" t="s">
        <v>56</v>
      </c>
      <c r="K112" t="s">
        <v>93</v>
      </c>
      <c r="L112" t="s">
        <v>94</v>
      </c>
      <c r="M112">
        <f ca="1">125000000</f>
        <v>125000000</v>
      </c>
      <c r="N112">
        <f t="shared" ca="1" si="19"/>
        <v>125000000</v>
      </c>
      <c r="O112">
        <f t="shared" ca="1" si="19"/>
        <v>125000000</v>
      </c>
      <c r="P112">
        <f t="shared" ca="1" si="19"/>
        <v>125000000</v>
      </c>
      <c r="Q112">
        <f t="shared" ca="1" si="19"/>
        <v>125000000</v>
      </c>
      <c r="R112">
        <f t="shared" ca="1" si="19"/>
        <v>125000000</v>
      </c>
      <c r="S112">
        <f t="shared" ca="1" si="19"/>
        <v>125000000</v>
      </c>
      <c r="T112">
        <f t="shared" ca="1" si="19"/>
        <v>125000000</v>
      </c>
      <c r="U112">
        <f t="shared" ca="1" si="19"/>
        <v>125000000</v>
      </c>
      <c r="V112">
        <f t="shared" ca="1" si="19"/>
        <v>125000000</v>
      </c>
      <c r="W112">
        <f t="shared" ca="1" si="19"/>
        <v>125000000</v>
      </c>
    </row>
    <row r="113" spans="1:23" x14ac:dyDescent="0.3">
      <c r="A113" t="s">
        <v>88</v>
      </c>
      <c r="B113" t="s">
        <v>5</v>
      </c>
      <c r="C113" t="s">
        <v>15</v>
      </c>
      <c r="D113" t="s">
        <v>89</v>
      </c>
      <c r="E113" t="s">
        <v>90</v>
      </c>
      <c r="F113" t="s">
        <v>97</v>
      </c>
      <c r="G113" t="s">
        <v>58</v>
      </c>
      <c r="L113" t="s">
        <v>54</v>
      </c>
      <c r="M113">
        <v>0.98</v>
      </c>
      <c r="N113">
        <f t="shared" ca="1" si="19"/>
        <v>0.98</v>
      </c>
      <c r="O113">
        <f t="shared" ca="1" si="19"/>
        <v>0.98</v>
      </c>
      <c r="P113">
        <f t="shared" ca="1" si="19"/>
        <v>0.98</v>
      </c>
      <c r="Q113">
        <f t="shared" ca="1" si="19"/>
        <v>0.98</v>
      </c>
      <c r="R113">
        <f t="shared" ca="1" si="19"/>
        <v>0.98</v>
      </c>
      <c r="S113">
        <f t="shared" ca="1" si="19"/>
        <v>0.98</v>
      </c>
      <c r="T113">
        <f t="shared" ca="1" si="19"/>
        <v>0.98</v>
      </c>
      <c r="U113">
        <f t="shared" ca="1" si="19"/>
        <v>0.98</v>
      </c>
      <c r="V113">
        <f t="shared" ca="1" si="19"/>
        <v>0.98</v>
      </c>
      <c r="W113">
        <f t="shared" ca="1" si="19"/>
        <v>0.98</v>
      </c>
    </row>
    <row r="114" spans="1:23" x14ac:dyDescent="0.3">
      <c r="A114" t="s">
        <v>88</v>
      </c>
      <c r="B114" t="s">
        <v>5</v>
      </c>
      <c r="C114" t="s">
        <v>15</v>
      </c>
      <c r="D114" t="s">
        <v>89</v>
      </c>
      <c r="E114" t="s">
        <v>90</v>
      </c>
      <c r="F114" t="s">
        <v>98</v>
      </c>
      <c r="G114" t="s">
        <v>52</v>
      </c>
      <c r="H114" t="s">
        <v>92</v>
      </c>
    </row>
    <row r="115" spans="1:23" x14ac:dyDescent="0.3">
      <c r="A115" t="s">
        <v>88</v>
      </c>
      <c r="B115" t="s">
        <v>5</v>
      </c>
      <c r="C115" t="s">
        <v>15</v>
      </c>
      <c r="D115" t="s">
        <v>89</v>
      </c>
      <c r="E115" t="s">
        <v>90</v>
      </c>
      <c r="F115" t="s">
        <v>98</v>
      </c>
      <c r="G115" t="s">
        <v>53</v>
      </c>
      <c r="L115" t="s">
        <v>54</v>
      </c>
      <c r="M115">
        <v>0.9</v>
      </c>
      <c r="N115">
        <f t="shared" ref="N115:W118" ca="1" si="20">M115</f>
        <v>0.9</v>
      </c>
      <c r="O115">
        <f t="shared" ca="1" si="20"/>
        <v>0.9</v>
      </c>
      <c r="P115">
        <f t="shared" ca="1" si="20"/>
        <v>0.9</v>
      </c>
      <c r="Q115">
        <f t="shared" ca="1" si="20"/>
        <v>0.9</v>
      </c>
      <c r="R115">
        <f t="shared" ca="1" si="20"/>
        <v>0.9</v>
      </c>
      <c r="S115">
        <f t="shared" ca="1" si="20"/>
        <v>0.9</v>
      </c>
      <c r="T115">
        <f t="shared" ca="1" si="20"/>
        <v>0.9</v>
      </c>
      <c r="U115">
        <f t="shared" ca="1" si="20"/>
        <v>0.9</v>
      </c>
      <c r="V115">
        <f t="shared" ca="1" si="20"/>
        <v>0.9</v>
      </c>
      <c r="W115">
        <f t="shared" ca="1" si="20"/>
        <v>0.9</v>
      </c>
    </row>
    <row r="116" spans="1:23" x14ac:dyDescent="0.3">
      <c r="A116" t="s">
        <v>88</v>
      </c>
      <c r="B116" t="s">
        <v>5</v>
      </c>
      <c r="C116" t="s">
        <v>15</v>
      </c>
      <c r="D116" t="s">
        <v>89</v>
      </c>
      <c r="E116" t="s">
        <v>90</v>
      </c>
      <c r="F116" t="s">
        <v>98</v>
      </c>
      <c r="G116" t="s">
        <v>55</v>
      </c>
      <c r="L116" t="s">
        <v>54</v>
      </c>
      <c r="M116">
        <v>0.01</v>
      </c>
      <c r="N116">
        <f t="shared" ca="1" si="20"/>
        <v>0.01</v>
      </c>
      <c r="O116">
        <f t="shared" ca="1" si="20"/>
        <v>0.01</v>
      </c>
      <c r="P116">
        <f t="shared" ca="1" si="20"/>
        <v>0.01</v>
      </c>
      <c r="Q116">
        <f t="shared" ca="1" si="20"/>
        <v>0.01</v>
      </c>
      <c r="R116">
        <f t="shared" ca="1" si="20"/>
        <v>0.01</v>
      </c>
      <c r="S116">
        <f t="shared" ca="1" si="20"/>
        <v>0.01</v>
      </c>
      <c r="T116">
        <f t="shared" ca="1" si="20"/>
        <v>0.01</v>
      </c>
      <c r="U116">
        <f t="shared" ca="1" si="20"/>
        <v>0.01</v>
      </c>
      <c r="V116">
        <f t="shared" ca="1" si="20"/>
        <v>0.01</v>
      </c>
      <c r="W116">
        <f t="shared" ca="1" si="20"/>
        <v>0.01</v>
      </c>
    </row>
    <row r="117" spans="1:23" x14ac:dyDescent="0.3">
      <c r="A117" t="s">
        <v>88</v>
      </c>
      <c r="B117" t="s">
        <v>5</v>
      </c>
      <c r="C117" t="s">
        <v>15</v>
      </c>
      <c r="D117" t="s">
        <v>89</v>
      </c>
      <c r="E117" t="s">
        <v>90</v>
      </c>
      <c r="F117" t="s">
        <v>98</v>
      </c>
      <c r="G117" t="s">
        <v>56</v>
      </c>
      <c r="K117" t="s">
        <v>93</v>
      </c>
      <c r="L117" t="s">
        <v>94</v>
      </c>
      <c r="M117">
        <f ca="1">50000000</f>
        <v>50000000</v>
      </c>
      <c r="N117">
        <f t="shared" ca="1" si="20"/>
        <v>50000000</v>
      </c>
      <c r="O117">
        <f t="shared" ca="1" si="20"/>
        <v>50000000</v>
      </c>
      <c r="P117">
        <f t="shared" ca="1" si="20"/>
        <v>50000000</v>
      </c>
      <c r="Q117">
        <f t="shared" ca="1" si="20"/>
        <v>50000000</v>
      </c>
      <c r="R117">
        <f t="shared" ca="1" si="20"/>
        <v>50000000</v>
      </c>
      <c r="S117">
        <f t="shared" ca="1" si="20"/>
        <v>50000000</v>
      </c>
      <c r="T117">
        <f t="shared" ca="1" si="20"/>
        <v>50000000</v>
      </c>
      <c r="U117">
        <f t="shared" ca="1" si="20"/>
        <v>50000000</v>
      </c>
      <c r="V117">
        <f t="shared" ca="1" si="20"/>
        <v>50000000</v>
      </c>
      <c r="W117">
        <f t="shared" ca="1" si="20"/>
        <v>50000000</v>
      </c>
    </row>
    <row r="118" spans="1:23" x14ac:dyDescent="0.3">
      <c r="A118" t="s">
        <v>88</v>
      </c>
      <c r="B118" t="s">
        <v>5</v>
      </c>
      <c r="C118" t="s">
        <v>15</v>
      </c>
      <c r="D118" t="s">
        <v>89</v>
      </c>
      <c r="E118" t="s">
        <v>90</v>
      </c>
      <c r="F118" t="s">
        <v>98</v>
      </c>
      <c r="G118" t="s">
        <v>58</v>
      </c>
      <c r="L118" t="s">
        <v>54</v>
      </c>
      <c r="M118">
        <v>0.98</v>
      </c>
      <c r="N118">
        <f t="shared" ca="1" si="20"/>
        <v>0.98</v>
      </c>
      <c r="O118">
        <f t="shared" ca="1" si="20"/>
        <v>0.98</v>
      </c>
      <c r="P118">
        <f t="shared" ca="1" si="20"/>
        <v>0.98</v>
      </c>
      <c r="Q118">
        <f t="shared" ca="1" si="20"/>
        <v>0.98</v>
      </c>
      <c r="R118">
        <f t="shared" ca="1" si="20"/>
        <v>0.98</v>
      </c>
      <c r="S118">
        <f t="shared" ca="1" si="20"/>
        <v>0.98</v>
      </c>
      <c r="T118">
        <f t="shared" ca="1" si="20"/>
        <v>0.98</v>
      </c>
      <c r="U118">
        <f t="shared" ca="1" si="20"/>
        <v>0.98</v>
      </c>
      <c r="V118">
        <f t="shared" ca="1" si="20"/>
        <v>0.98</v>
      </c>
      <c r="W118">
        <f t="shared" ca="1" si="20"/>
        <v>0.98</v>
      </c>
    </row>
    <row r="119" spans="1:23" x14ac:dyDescent="0.3">
      <c r="A119" t="s">
        <v>88</v>
      </c>
      <c r="B119" t="s">
        <v>5</v>
      </c>
      <c r="C119" t="s">
        <v>15</v>
      </c>
      <c r="D119" t="s">
        <v>89</v>
      </c>
      <c r="E119" t="s">
        <v>90</v>
      </c>
      <c r="F119" t="s">
        <v>99</v>
      </c>
      <c r="G119" t="s">
        <v>52</v>
      </c>
      <c r="H119" t="s">
        <v>92</v>
      </c>
    </row>
    <row r="120" spans="1:23" x14ac:dyDescent="0.3">
      <c r="A120" t="s">
        <v>88</v>
      </c>
      <c r="B120" t="s">
        <v>5</v>
      </c>
      <c r="C120" t="s">
        <v>15</v>
      </c>
      <c r="D120" t="s">
        <v>89</v>
      </c>
      <c r="E120" t="s">
        <v>90</v>
      </c>
      <c r="F120" t="s">
        <v>99</v>
      </c>
      <c r="G120" t="s">
        <v>53</v>
      </c>
      <c r="L120" t="s">
        <v>54</v>
      </c>
      <c r="M120">
        <v>0.9</v>
      </c>
      <c r="N120">
        <f t="shared" ref="N120:W123" ca="1" si="21">M120</f>
        <v>0.9</v>
      </c>
      <c r="O120">
        <f t="shared" ca="1" si="21"/>
        <v>0.9</v>
      </c>
      <c r="P120">
        <f t="shared" ca="1" si="21"/>
        <v>0.9</v>
      </c>
      <c r="Q120">
        <f t="shared" ca="1" si="21"/>
        <v>0.9</v>
      </c>
      <c r="R120">
        <f t="shared" ca="1" si="21"/>
        <v>0.9</v>
      </c>
      <c r="S120">
        <f t="shared" ca="1" si="21"/>
        <v>0.9</v>
      </c>
      <c r="T120">
        <f t="shared" ca="1" si="21"/>
        <v>0.9</v>
      </c>
      <c r="U120">
        <f t="shared" ca="1" si="21"/>
        <v>0.9</v>
      </c>
      <c r="V120">
        <f t="shared" ca="1" si="21"/>
        <v>0.9</v>
      </c>
      <c r="W120">
        <f t="shared" ca="1" si="21"/>
        <v>0.9</v>
      </c>
    </row>
    <row r="121" spans="1:23" x14ac:dyDescent="0.3">
      <c r="A121" t="s">
        <v>88</v>
      </c>
      <c r="B121" t="s">
        <v>5</v>
      </c>
      <c r="C121" t="s">
        <v>15</v>
      </c>
      <c r="D121" t="s">
        <v>89</v>
      </c>
      <c r="E121" t="s">
        <v>90</v>
      </c>
      <c r="F121" t="s">
        <v>99</v>
      </c>
      <c r="G121" t="s">
        <v>55</v>
      </c>
      <c r="L121" t="s">
        <v>54</v>
      </c>
      <c r="M121">
        <v>0.01</v>
      </c>
      <c r="N121">
        <f t="shared" ca="1" si="21"/>
        <v>0.01</v>
      </c>
      <c r="O121">
        <f t="shared" ca="1" si="21"/>
        <v>0.01</v>
      </c>
      <c r="P121">
        <f t="shared" ca="1" si="21"/>
        <v>0.01</v>
      </c>
      <c r="Q121">
        <f t="shared" ca="1" si="21"/>
        <v>0.01</v>
      </c>
      <c r="R121">
        <f t="shared" ca="1" si="21"/>
        <v>0.01</v>
      </c>
      <c r="S121">
        <f t="shared" ca="1" si="21"/>
        <v>0.01</v>
      </c>
      <c r="T121">
        <f t="shared" ca="1" si="21"/>
        <v>0.01</v>
      </c>
      <c r="U121">
        <f t="shared" ca="1" si="21"/>
        <v>0.01</v>
      </c>
      <c r="V121">
        <f t="shared" ca="1" si="21"/>
        <v>0.01</v>
      </c>
      <c r="W121">
        <f t="shared" ca="1" si="21"/>
        <v>0.01</v>
      </c>
    </row>
    <row r="122" spans="1:23" x14ac:dyDescent="0.3">
      <c r="A122" t="s">
        <v>88</v>
      </c>
      <c r="B122" t="s">
        <v>5</v>
      </c>
      <c r="C122" t="s">
        <v>15</v>
      </c>
      <c r="D122" t="s">
        <v>89</v>
      </c>
      <c r="E122" t="s">
        <v>90</v>
      </c>
      <c r="F122" t="s">
        <v>99</v>
      </c>
      <c r="G122" t="s">
        <v>56</v>
      </c>
      <c r="K122" t="s">
        <v>93</v>
      </c>
      <c r="L122" t="s">
        <v>94</v>
      </c>
      <c r="M122">
        <f ca="1">50000000</f>
        <v>50000000</v>
      </c>
      <c r="N122">
        <f t="shared" ca="1" si="21"/>
        <v>50000000</v>
      </c>
      <c r="O122">
        <f t="shared" ca="1" si="21"/>
        <v>50000000</v>
      </c>
      <c r="P122">
        <f t="shared" ca="1" si="21"/>
        <v>50000000</v>
      </c>
      <c r="Q122">
        <f t="shared" ca="1" si="21"/>
        <v>50000000</v>
      </c>
      <c r="R122">
        <f t="shared" ca="1" si="21"/>
        <v>50000000</v>
      </c>
      <c r="S122">
        <f t="shared" ca="1" si="21"/>
        <v>50000000</v>
      </c>
      <c r="T122">
        <f t="shared" ca="1" si="21"/>
        <v>50000000</v>
      </c>
      <c r="U122">
        <f t="shared" ca="1" si="21"/>
        <v>50000000</v>
      </c>
      <c r="V122">
        <f t="shared" ca="1" si="21"/>
        <v>50000000</v>
      </c>
      <c r="W122">
        <f t="shared" ca="1" si="21"/>
        <v>50000000</v>
      </c>
    </row>
    <row r="123" spans="1:23" x14ac:dyDescent="0.3">
      <c r="A123" t="s">
        <v>88</v>
      </c>
      <c r="B123" t="s">
        <v>5</v>
      </c>
      <c r="C123" t="s">
        <v>15</v>
      </c>
      <c r="D123" t="s">
        <v>89</v>
      </c>
      <c r="E123" t="s">
        <v>90</v>
      </c>
      <c r="F123" t="s">
        <v>99</v>
      </c>
      <c r="G123" t="s">
        <v>58</v>
      </c>
      <c r="L123" t="s">
        <v>54</v>
      </c>
      <c r="M123">
        <v>0.98</v>
      </c>
      <c r="N123">
        <f t="shared" ca="1" si="21"/>
        <v>0.98</v>
      </c>
      <c r="O123">
        <f t="shared" ca="1" si="21"/>
        <v>0.98</v>
      </c>
      <c r="P123">
        <f t="shared" ca="1" si="21"/>
        <v>0.98</v>
      </c>
      <c r="Q123">
        <f t="shared" ca="1" si="21"/>
        <v>0.98</v>
      </c>
      <c r="R123">
        <f t="shared" ca="1" si="21"/>
        <v>0.98</v>
      </c>
      <c r="S123">
        <f t="shared" ca="1" si="21"/>
        <v>0.98</v>
      </c>
      <c r="T123">
        <f t="shared" ca="1" si="21"/>
        <v>0.98</v>
      </c>
      <c r="U123">
        <f t="shared" ca="1" si="21"/>
        <v>0.98</v>
      </c>
      <c r="V123">
        <f t="shared" ca="1" si="21"/>
        <v>0.98</v>
      </c>
      <c r="W123">
        <f t="shared" ca="1" si="21"/>
        <v>0.98</v>
      </c>
    </row>
    <row r="124" spans="1:23" x14ac:dyDescent="0.3">
      <c r="A124" t="s">
        <v>88</v>
      </c>
      <c r="B124" t="s">
        <v>5</v>
      </c>
      <c r="C124" t="s">
        <v>15</v>
      </c>
      <c r="D124" t="s">
        <v>89</v>
      </c>
      <c r="E124" t="s">
        <v>90</v>
      </c>
      <c r="F124" t="s">
        <v>100</v>
      </c>
      <c r="G124" t="s">
        <v>52</v>
      </c>
      <c r="H124" t="s">
        <v>101</v>
      </c>
    </row>
    <row r="125" spans="1:23" x14ac:dyDescent="0.3">
      <c r="A125" t="s">
        <v>88</v>
      </c>
      <c r="B125" t="s">
        <v>5</v>
      </c>
      <c r="C125" t="s">
        <v>15</v>
      </c>
      <c r="D125" t="s">
        <v>89</v>
      </c>
      <c r="E125" t="s">
        <v>90</v>
      </c>
      <c r="F125" t="s">
        <v>100</v>
      </c>
      <c r="G125" t="s">
        <v>53</v>
      </c>
      <c r="L125" t="s">
        <v>54</v>
      </c>
      <c r="M125">
        <v>0.34</v>
      </c>
      <c r="N125">
        <f t="shared" ref="N125:W128" ca="1" si="22">M125</f>
        <v>0.34</v>
      </c>
      <c r="O125">
        <f t="shared" ca="1" si="22"/>
        <v>0.34</v>
      </c>
      <c r="P125">
        <f t="shared" ca="1" si="22"/>
        <v>0.34</v>
      </c>
      <c r="Q125">
        <f t="shared" ca="1" si="22"/>
        <v>0.34</v>
      </c>
      <c r="R125">
        <f t="shared" ca="1" si="22"/>
        <v>0.34</v>
      </c>
      <c r="S125">
        <f t="shared" ca="1" si="22"/>
        <v>0.34</v>
      </c>
      <c r="T125">
        <f t="shared" ca="1" si="22"/>
        <v>0.34</v>
      </c>
      <c r="U125">
        <f t="shared" ca="1" si="22"/>
        <v>0.34</v>
      </c>
      <c r="V125">
        <f t="shared" ca="1" si="22"/>
        <v>0.34</v>
      </c>
      <c r="W125">
        <f t="shared" ca="1" si="22"/>
        <v>0.34</v>
      </c>
    </row>
    <row r="126" spans="1:23" x14ac:dyDescent="0.3">
      <c r="A126" t="s">
        <v>88</v>
      </c>
      <c r="B126" t="s">
        <v>5</v>
      </c>
      <c r="C126" t="s">
        <v>15</v>
      </c>
      <c r="D126" t="s">
        <v>89</v>
      </c>
      <c r="E126" t="s">
        <v>90</v>
      </c>
      <c r="F126" t="s">
        <v>100</v>
      </c>
      <c r="G126" t="s">
        <v>55</v>
      </c>
      <c r="L126" t="s">
        <v>54</v>
      </c>
      <c r="M126">
        <v>0.01</v>
      </c>
      <c r="N126">
        <f t="shared" ca="1" si="22"/>
        <v>0.01</v>
      </c>
      <c r="O126">
        <f t="shared" ca="1" si="22"/>
        <v>0.01</v>
      </c>
      <c r="P126">
        <f t="shared" ca="1" si="22"/>
        <v>0.01</v>
      </c>
      <c r="Q126">
        <f t="shared" ca="1" si="22"/>
        <v>0.01</v>
      </c>
      <c r="R126">
        <f t="shared" ca="1" si="22"/>
        <v>0.01</v>
      </c>
      <c r="S126">
        <f t="shared" ca="1" si="22"/>
        <v>0.01</v>
      </c>
      <c r="T126">
        <f t="shared" ca="1" si="22"/>
        <v>0.01</v>
      </c>
      <c r="U126">
        <f t="shared" ca="1" si="22"/>
        <v>0.01</v>
      </c>
      <c r="V126">
        <f t="shared" ca="1" si="22"/>
        <v>0.01</v>
      </c>
      <c r="W126">
        <f t="shared" ca="1" si="22"/>
        <v>0.01</v>
      </c>
    </row>
    <row r="127" spans="1:23" x14ac:dyDescent="0.3">
      <c r="A127" t="s">
        <v>88</v>
      </c>
      <c r="B127" t="s">
        <v>5</v>
      </c>
      <c r="C127" t="s">
        <v>15</v>
      </c>
      <c r="D127" t="s">
        <v>89</v>
      </c>
      <c r="E127" t="s">
        <v>90</v>
      </c>
      <c r="F127" t="s">
        <v>100</v>
      </c>
      <c r="G127" t="s">
        <v>56</v>
      </c>
      <c r="K127" t="s">
        <v>93</v>
      </c>
      <c r="L127" t="s">
        <v>94</v>
      </c>
      <c r="M127">
        <f ca="1">20000000</f>
        <v>20000000</v>
      </c>
      <c r="N127">
        <f t="shared" ca="1" si="22"/>
        <v>20000000</v>
      </c>
      <c r="O127">
        <f t="shared" ca="1" si="22"/>
        <v>20000000</v>
      </c>
      <c r="P127">
        <f t="shared" ca="1" si="22"/>
        <v>20000000</v>
      </c>
      <c r="Q127">
        <f t="shared" ca="1" si="22"/>
        <v>20000000</v>
      </c>
      <c r="R127">
        <f t="shared" ca="1" si="22"/>
        <v>20000000</v>
      </c>
      <c r="S127">
        <f t="shared" ca="1" si="22"/>
        <v>20000000</v>
      </c>
      <c r="T127">
        <f t="shared" ca="1" si="22"/>
        <v>20000000</v>
      </c>
      <c r="U127">
        <f t="shared" ca="1" si="22"/>
        <v>20000000</v>
      </c>
      <c r="V127">
        <f t="shared" ca="1" si="22"/>
        <v>20000000</v>
      </c>
      <c r="W127">
        <f t="shared" ca="1" si="22"/>
        <v>20000000</v>
      </c>
    </row>
    <row r="128" spans="1:23" x14ac:dyDescent="0.3">
      <c r="A128" t="s">
        <v>88</v>
      </c>
      <c r="B128" t="s">
        <v>5</v>
      </c>
      <c r="C128" t="s">
        <v>15</v>
      </c>
      <c r="D128" t="s">
        <v>89</v>
      </c>
      <c r="E128" t="s">
        <v>90</v>
      </c>
      <c r="F128" t="s">
        <v>100</v>
      </c>
      <c r="G128" t="s">
        <v>58</v>
      </c>
      <c r="L128" t="s">
        <v>54</v>
      </c>
      <c r="M128">
        <v>0.85</v>
      </c>
      <c r="N128">
        <f t="shared" ca="1" si="22"/>
        <v>0.85</v>
      </c>
      <c r="O128">
        <f t="shared" ca="1" si="22"/>
        <v>0.85</v>
      </c>
      <c r="P128">
        <f t="shared" ca="1" si="22"/>
        <v>0.85</v>
      </c>
      <c r="Q128">
        <f t="shared" ca="1" si="22"/>
        <v>0.85</v>
      </c>
      <c r="R128">
        <f t="shared" ca="1" si="22"/>
        <v>0.85</v>
      </c>
      <c r="S128">
        <f t="shared" ca="1" si="22"/>
        <v>0.85</v>
      </c>
      <c r="T128">
        <f t="shared" ca="1" si="22"/>
        <v>0.85</v>
      </c>
      <c r="U128">
        <f t="shared" ca="1" si="22"/>
        <v>0.85</v>
      </c>
      <c r="V128">
        <f t="shared" ca="1" si="22"/>
        <v>0.85</v>
      </c>
      <c r="W128">
        <f t="shared" ca="1" si="22"/>
        <v>0.85</v>
      </c>
    </row>
    <row r="129" spans="1:23" x14ac:dyDescent="0.3">
      <c r="A129" t="s">
        <v>88</v>
      </c>
      <c r="B129" t="s">
        <v>5</v>
      </c>
      <c r="C129" t="s">
        <v>15</v>
      </c>
      <c r="D129" t="s">
        <v>89</v>
      </c>
      <c r="E129" t="s">
        <v>90</v>
      </c>
      <c r="F129" t="s">
        <v>102</v>
      </c>
      <c r="G129" t="s">
        <v>52</v>
      </c>
      <c r="H129" t="s">
        <v>96</v>
      </c>
    </row>
    <row r="130" spans="1:23" x14ac:dyDescent="0.3">
      <c r="A130" t="s">
        <v>88</v>
      </c>
      <c r="B130" t="s">
        <v>5</v>
      </c>
      <c r="C130" t="s">
        <v>15</v>
      </c>
      <c r="D130" t="s">
        <v>89</v>
      </c>
      <c r="E130" t="s">
        <v>90</v>
      </c>
      <c r="F130" t="s">
        <v>102</v>
      </c>
      <c r="G130" t="s">
        <v>53</v>
      </c>
      <c r="L130" t="s">
        <v>54</v>
      </c>
      <c r="M130">
        <v>0.9</v>
      </c>
      <c r="N130">
        <f t="shared" ref="N130:W133" ca="1" si="23">M130</f>
        <v>0.9</v>
      </c>
      <c r="O130">
        <f t="shared" ca="1" si="23"/>
        <v>0.9</v>
      </c>
      <c r="P130">
        <f t="shared" ca="1" si="23"/>
        <v>0.9</v>
      </c>
      <c r="Q130">
        <f t="shared" ca="1" si="23"/>
        <v>0.9</v>
      </c>
      <c r="R130">
        <f t="shared" ca="1" si="23"/>
        <v>0.9</v>
      </c>
      <c r="S130">
        <f t="shared" ca="1" si="23"/>
        <v>0.9</v>
      </c>
      <c r="T130">
        <f t="shared" ca="1" si="23"/>
        <v>0.9</v>
      </c>
      <c r="U130">
        <f t="shared" ca="1" si="23"/>
        <v>0.9</v>
      </c>
      <c r="V130">
        <f t="shared" ca="1" si="23"/>
        <v>0.9</v>
      </c>
      <c r="W130">
        <f t="shared" ca="1" si="23"/>
        <v>0.9</v>
      </c>
    </row>
    <row r="131" spans="1:23" x14ac:dyDescent="0.3">
      <c r="A131" t="s">
        <v>88</v>
      </c>
      <c r="B131" t="s">
        <v>5</v>
      </c>
      <c r="C131" t="s">
        <v>15</v>
      </c>
      <c r="D131" t="s">
        <v>89</v>
      </c>
      <c r="E131" t="s">
        <v>90</v>
      </c>
      <c r="F131" t="s">
        <v>102</v>
      </c>
      <c r="G131" t="s">
        <v>55</v>
      </c>
      <c r="L131" t="s">
        <v>54</v>
      </c>
      <c r="M131">
        <v>0.01</v>
      </c>
      <c r="N131">
        <f t="shared" ca="1" si="23"/>
        <v>0.01</v>
      </c>
      <c r="O131">
        <f t="shared" ca="1" si="23"/>
        <v>0.01</v>
      </c>
      <c r="P131">
        <f t="shared" ca="1" si="23"/>
        <v>0.01</v>
      </c>
      <c r="Q131">
        <f t="shared" ca="1" si="23"/>
        <v>0.01</v>
      </c>
      <c r="R131">
        <f t="shared" ca="1" si="23"/>
        <v>0.01</v>
      </c>
      <c r="S131">
        <f t="shared" ca="1" si="23"/>
        <v>0.01</v>
      </c>
      <c r="T131">
        <f t="shared" ca="1" si="23"/>
        <v>0.01</v>
      </c>
      <c r="U131">
        <f t="shared" ca="1" si="23"/>
        <v>0.01</v>
      </c>
      <c r="V131">
        <f t="shared" ca="1" si="23"/>
        <v>0.01</v>
      </c>
      <c r="W131">
        <f t="shared" ca="1" si="23"/>
        <v>0.01</v>
      </c>
    </row>
    <row r="132" spans="1:23" x14ac:dyDescent="0.3">
      <c r="A132" t="s">
        <v>88</v>
      </c>
      <c r="B132" t="s">
        <v>5</v>
      </c>
      <c r="C132" t="s">
        <v>15</v>
      </c>
      <c r="D132" t="s">
        <v>89</v>
      </c>
      <c r="E132" t="s">
        <v>90</v>
      </c>
      <c r="F132" t="s">
        <v>102</v>
      </c>
      <c r="G132" t="s">
        <v>56</v>
      </c>
      <c r="K132" t="s">
        <v>93</v>
      </c>
      <c r="L132" t="s">
        <v>94</v>
      </c>
      <c r="M132">
        <f ca="1">125000000</f>
        <v>125000000</v>
      </c>
      <c r="N132">
        <f t="shared" ca="1" si="23"/>
        <v>125000000</v>
      </c>
      <c r="O132">
        <f t="shared" ca="1" si="23"/>
        <v>125000000</v>
      </c>
      <c r="P132">
        <f t="shared" ca="1" si="23"/>
        <v>125000000</v>
      </c>
      <c r="Q132">
        <f t="shared" ca="1" si="23"/>
        <v>125000000</v>
      </c>
      <c r="R132">
        <f t="shared" ca="1" si="23"/>
        <v>125000000</v>
      </c>
      <c r="S132">
        <f t="shared" ca="1" si="23"/>
        <v>125000000</v>
      </c>
      <c r="T132">
        <f t="shared" ca="1" si="23"/>
        <v>125000000</v>
      </c>
      <c r="U132">
        <f t="shared" ca="1" si="23"/>
        <v>125000000</v>
      </c>
      <c r="V132">
        <f t="shared" ca="1" si="23"/>
        <v>125000000</v>
      </c>
      <c r="W132">
        <f t="shared" ca="1" si="23"/>
        <v>125000000</v>
      </c>
    </row>
    <row r="133" spans="1:23" x14ac:dyDescent="0.3">
      <c r="A133" t="s">
        <v>88</v>
      </c>
      <c r="B133" t="s">
        <v>5</v>
      </c>
      <c r="C133" t="s">
        <v>15</v>
      </c>
      <c r="D133" t="s">
        <v>89</v>
      </c>
      <c r="E133" t="s">
        <v>90</v>
      </c>
      <c r="F133" t="s">
        <v>102</v>
      </c>
      <c r="G133" t="s">
        <v>58</v>
      </c>
      <c r="L133" t="s">
        <v>54</v>
      </c>
      <c r="M133">
        <v>0.98</v>
      </c>
      <c r="N133">
        <f t="shared" ca="1" si="23"/>
        <v>0.98</v>
      </c>
      <c r="O133">
        <f t="shared" ca="1" si="23"/>
        <v>0.98</v>
      </c>
      <c r="P133">
        <f t="shared" ca="1" si="23"/>
        <v>0.98</v>
      </c>
      <c r="Q133">
        <f t="shared" ca="1" si="23"/>
        <v>0.98</v>
      </c>
      <c r="R133">
        <f t="shared" ca="1" si="23"/>
        <v>0.98</v>
      </c>
      <c r="S133">
        <f t="shared" ca="1" si="23"/>
        <v>0.98</v>
      </c>
      <c r="T133">
        <f t="shared" ca="1" si="23"/>
        <v>0.98</v>
      </c>
      <c r="U133">
        <f t="shared" ca="1" si="23"/>
        <v>0.98</v>
      </c>
      <c r="V133">
        <f t="shared" ca="1" si="23"/>
        <v>0.98</v>
      </c>
      <c r="W133">
        <f t="shared" ca="1" si="23"/>
        <v>0.98</v>
      </c>
    </row>
    <row r="134" spans="1:23" x14ac:dyDescent="0.3">
      <c r="A134" t="s">
        <v>88</v>
      </c>
      <c r="B134" t="s">
        <v>5</v>
      </c>
      <c r="C134" t="s">
        <v>15</v>
      </c>
      <c r="D134" t="s">
        <v>89</v>
      </c>
      <c r="E134" t="s">
        <v>90</v>
      </c>
      <c r="F134" t="s">
        <v>103</v>
      </c>
      <c r="G134" t="s">
        <v>52</v>
      </c>
      <c r="H134" t="s">
        <v>96</v>
      </c>
    </row>
    <row r="135" spans="1:23" x14ac:dyDescent="0.3">
      <c r="A135" t="s">
        <v>88</v>
      </c>
      <c r="B135" t="s">
        <v>5</v>
      </c>
      <c r="C135" t="s">
        <v>15</v>
      </c>
      <c r="D135" t="s">
        <v>89</v>
      </c>
      <c r="E135" t="s">
        <v>90</v>
      </c>
      <c r="F135" t="s">
        <v>103</v>
      </c>
      <c r="G135" t="s">
        <v>53</v>
      </c>
      <c r="L135" t="s">
        <v>54</v>
      </c>
      <c r="M135">
        <v>0.9</v>
      </c>
      <c r="N135">
        <f t="shared" ref="N135:W138" ca="1" si="24">M135</f>
        <v>0.9</v>
      </c>
      <c r="O135">
        <f t="shared" ca="1" si="24"/>
        <v>0.9</v>
      </c>
      <c r="P135">
        <f t="shared" ca="1" si="24"/>
        <v>0.9</v>
      </c>
      <c r="Q135">
        <f t="shared" ca="1" si="24"/>
        <v>0.9</v>
      </c>
      <c r="R135">
        <f t="shared" ca="1" si="24"/>
        <v>0.9</v>
      </c>
      <c r="S135">
        <f t="shared" ca="1" si="24"/>
        <v>0.9</v>
      </c>
      <c r="T135">
        <f t="shared" ca="1" si="24"/>
        <v>0.9</v>
      </c>
      <c r="U135">
        <f t="shared" ca="1" si="24"/>
        <v>0.9</v>
      </c>
      <c r="V135">
        <f t="shared" ca="1" si="24"/>
        <v>0.9</v>
      </c>
      <c r="W135">
        <f t="shared" ca="1" si="24"/>
        <v>0.9</v>
      </c>
    </row>
    <row r="136" spans="1:23" x14ac:dyDescent="0.3">
      <c r="A136" t="s">
        <v>88</v>
      </c>
      <c r="B136" t="s">
        <v>5</v>
      </c>
      <c r="C136" t="s">
        <v>15</v>
      </c>
      <c r="D136" t="s">
        <v>89</v>
      </c>
      <c r="E136" t="s">
        <v>90</v>
      </c>
      <c r="F136" t="s">
        <v>103</v>
      </c>
      <c r="G136" t="s">
        <v>55</v>
      </c>
      <c r="L136" t="s">
        <v>54</v>
      </c>
      <c r="M136">
        <v>0.01</v>
      </c>
      <c r="N136">
        <f t="shared" ca="1" si="24"/>
        <v>0.01</v>
      </c>
      <c r="O136">
        <f t="shared" ca="1" si="24"/>
        <v>0.01</v>
      </c>
      <c r="P136">
        <f t="shared" ca="1" si="24"/>
        <v>0.01</v>
      </c>
      <c r="Q136">
        <f t="shared" ca="1" si="24"/>
        <v>0.01</v>
      </c>
      <c r="R136">
        <f t="shared" ca="1" si="24"/>
        <v>0.01</v>
      </c>
      <c r="S136">
        <f t="shared" ca="1" si="24"/>
        <v>0.01</v>
      </c>
      <c r="T136">
        <f t="shared" ca="1" si="24"/>
        <v>0.01</v>
      </c>
      <c r="U136">
        <f t="shared" ca="1" si="24"/>
        <v>0.01</v>
      </c>
      <c r="V136">
        <f t="shared" ca="1" si="24"/>
        <v>0.01</v>
      </c>
      <c r="W136">
        <f t="shared" ca="1" si="24"/>
        <v>0.01</v>
      </c>
    </row>
    <row r="137" spans="1:23" x14ac:dyDescent="0.3">
      <c r="A137" t="s">
        <v>88</v>
      </c>
      <c r="B137" t="s">
        <v>5</v>
      </c>
      <c r="C137" t="s">
        <v>15</v>
      </c>
      <c r="D137" t="s">
        <v>89</v>
      </c>
      <c r="E137" t="s">
        <v>90</v>
      </c>
      <c r="F137" t="s">
        <v>103</v>
      </c>
      <c r="G137" t="s">
        <v>56</v>
      </c>
      <c r="K137" t="s">
        <v>93</v>
      </c>
      <c r="L137" t="s">
        <v>94</v>
      </c>
      <c r="M137">
        <f ca="1">50000000</f>
        <v>50000000</v>
      </c>
      <c r="N137">
        <f t="shared" ca="1" si="24"/>
        <v>50000000</v>
      </c>
      <c r="O137">
        <f t="shared" ca="1" si="24"/>
        <v>50000000</v>
      </c>
      <c r="P137">
        <f t="shared" ca="1" si="24"/>
        <v>50000000</v>
      </c>
      <c r="Q137">
        <f t="shared" ca="1" si="24"/>
        <v>50000000</v>
      </c>
      <c r="R137">
        <f t="shared" ca="1" si="24"/>
        <v>50000000</v>
      </c>
      <c r="S137">
        <f t="shared" ca="1" si="24"/>
        <v>50000000</v>
      </c>
      <c r="T137">
        <f t="shared" ca="1" si="24"/>
        <v>50000000</v>
      </c>
      <c r="U137">
        <f t="shared" ca="1" si="24"/>
        <v>50000000</v>
      </c>
      <c r="V137">
        <f t="shared" ca="1" si="24"/>
        <v>50000000</v>
      </c>
      <c r="W137">
        <f t="shared" ca="1" si="24"/>
        <v>50000000</v>
      </c>
    </row>
    <row r="138" spans="1:23" x14ac:dyDescent="0.3">
      <c r="A138" t="s">
        <v>88</v>
      </c>
      <c r="B138" t="s">
        <v>5</v>
      </c>
      <c r="C138" t="s">
        <v>15</v>
      </c>
      <c r="D138" t="s">
        <v>89</v>
      </c>
      <c r="E138" t="s">
        <v>90</v>
      </c>
      <c r="F138" t="s">
        <v>103</v>
      </c>
      <c r="G138" t="s">
        <v>58</v>
      </c>
      <c r="L138" t="s">
        <v>54</v>
      </c>
      <c r="M138">
        <v>0.98</v>
      </c>
      <c r="N138">
        <f t="shared" ca="1" si="24"/>
        <v>0.98</v>
      </c>
      <c r="O138">
        <f t="shared" ca="1" si="24"/>
        <v>0.98</v>
      </c>
      <c r="P138">
        <f t="shared" ca="1" si="24"/>
        <v>0.98</v>
      </c>
      <c r="Q138">
        <f t="shared" ca="1" si="24"/>
        <v>0.98</v>
      </c>
      <c r="R138">
        <f t="shared" ca="1" si="24"/>
        <v>0.98</v>
      </c>
      <c r="S138">
        <f t="shared" ca="1" si="24"/>
        <v>0.98</v>
      </c>
      <c r="T138">
        <f t="shared" ca="1" si="24"/>
        <v>0.98</v>
      </c>
      <c r="U138">
        <f t="shared" ca="1" si="24"/>
        <v>0.98</v>
      </c>
      <c r="V138">
        <f t="shared" ca="1" si="24"/>
        <v>0.98</v>
      </c>
      <c r="W138">
        <f t="shared" ca="1" si="24"/>
        <v>0.98</v>
      </c>
    </row>
    <row r="139" spans="1:23" x14ac:dyDescent="0.3">
      <c r="A139" t="s">
        <v>88</v>
      </c>
      <c r="B139" t="s">
        <v>5</v>
      </c>
      <c r="C139" t="s">
        <v>15</v>
      </c>
      <c r="D139" t="s">
        <v>89</v>
      </c>
      <c r="E139" t="s">
        <v>90</v>
      </c>
      <c r="F139" t="s">
        <v>104</v>
      </c>
      <c r="G139" t="s">
        <v>52</v>
      </c>
      <c r="H139" t="s">
        <v>101</v>
      </c>
    </row>
    <row r="140" spans="1:23" x14ac:dyDescent="0.3">
      <c r="A140" t="s">
        <v>88</v>
      </c>
      <c r="B140" t="s">
        <v>5</v>
      </c>
      <c r="C140" t="s">
        <v>15</v>
      </c>
      <c r="D140" t="s">
        <v>89</v>
      </c>
      <c r="E140" t="s">
        <v>90</v>
      </c>
      <c r="F140" t="s">
        <v>104</v>
      </c>
      <c r="G140" t="s">
        <v>53</v>
      </c>
      <c r="L140" t="s">
        <v>54</v>
      </c>
      <c r="M140">
        <v>0.34</v>
      </c>
      <c r="N140">
        <f t="shared" ref="N140:W143" ca="1" si="25">M140</f>
        <v>0.34</v>
      </c>
      <c r="O140">
        <f t="shared" ca="1" si="25"/>
        <v>0.34</v>
      </c>
      <c r="P140">
        <f t="shared" ca="1" si="25"/>
        <v>0.34</v>
      </c>
      <c r="Q140">
        <f t="shared" ca="1" si="25"/>
        <v>0.34</v>
      </c>
      <c r="R140">
        <f t="shared" ca="1" si="25"/>
        <v>0.34</v>
      </c>
      <c r="S140">
        <f t="shared" ca="1" si="25"/>
        <v>0.34</v>
      </c>
      <c r="T140">
        <f t="shared" ca="1" si="25"/>
        <v>0.34</v>
      </c>
      <c r="U140">
        <f t="shared" ca="1" si="25"/>
        <v>0.34</v>
      </c>
      <c r="V140">
        <f t="shared" ca="1" si="25"/>
        <v>0.34</v>
      </c>
      <c r="W140">
        <f t="shared" ca="1" si="25"/>
        <v>0.34</v>
      </c>
    </row>
    <row r="141" spans="1:23" x14ac:dyDescent="0.3">
      <c r="A141" t="s">
        <v>88</v>
      </c>
      <c r="B141" t="s">
        <v>5</v>
      </c>
      <c r="C141" t="s">
        <v>15</v>
      </c>
      <c r="D141" t="s">
        <v>89</v>
      </c>
      <c r="E141" t="s">
        <v>90</v>
      </c>
      <c r="F141" t="s">
        <v>104</v>
      </c>
      <c r="G141" t="s">
        <v>55</v>
      </c>
      <c r="L141" t="s">
        <v>54</v>
      </c>
      <c r="M141">
        <v>0.01</v>
      </c>
      <c r="N141">
        <f t="shared" ca="1" si="25"/>
        <v>0.01</v>
      </c>
      <c r="O141">
        <f t="shared" ca="1" si="25"/>
        <v>0.01</v>
      </c>
      <c r="P141">
        <f t="shared" ca="1" si="25"/>
        <v>0.01</v>
      </c>
      <c r="Q141">
        <f t="shared" ca="1" si="25"/>
        <v>0.01</v>
      </c>
      <c r="R141">
        <f t="shared" ca="1" si="25"/>
        <v>0.01</v>
      </c>
      <c r="S141">
        <f t="shared" ca="1" si="25"/>
        <v>0.01</v>
      </c>
      <c r="T141">
        <f t="shared" ca="1" si="25"/>
        <v>0.01</v>
      </c>
      <c r="U141">
        <f t="shared" ca="1" si="25"/>
        <v>0.01</v>
      </c>
      <c r="V141">
        <f t="shared" ca="1" si="25"/>
        <v>0.01</v>
      </c>
      <c r="W141">
        <f t="shared" ca="1" si="25"/>
        <v>0.01</v>
      </c>
    </row>
    <row r="142" spans="1:23" x14ac:dyDescent="0.3">
      <c r="A142" t="s">
        <v>88</v>
      </c>
      <c r="B142" t="s">
        <v>5</v>
      </c>
      <c r="C142" t="s">
        <v>15</v>
      </c>
      <c r="D142" t="s">
        <v>89</v>
      </c>
      <c r="E142" t="s">
        <v>90</v>
      </c>
      <c r="F142" t="s">
        <v>104</v>
      </c>
      <c r="G142" t="s">
        <v>56</v>
      </c>
      <c r="K142" t="s">
        <v>93</v>
      </c>
      <c r="L142" t="s">
        <v>94</v>
      </c>
      <c r="M142">
        <f ca="1">20000000</f>
        <v>20000000</v>
      </c>
      <c r="N142">
        <f t="shared" ca="1" si="25"/>
        <v>20000000</v>
      </c>
      <c r="O142">
        <f t="shared" ca="1" si="25"/>
        <v>20000000</v>
      </c>
      <c r="P142">
        <f t="shared" ca="1" si="25"/>
        <v>20000000</v>
      </c>
      <c r="Q142">
        <f t="shared" ca="1" si="25"/>
        <v>20000000</v>
      </c>
      <c r="R142">
        <f t="shared" ca="1" si="25"/>
        <v>20000000</v>
      </c>
      <c r="S142">
        <f t="shared" ca="1" si="25"/>
        <v>20000000</v>
      </c>
      <c r="T142">
        <f t="shared" ca="1" si="25"/>
        <v>20000000</v>
      </c>
      <c r="U142">
        <f t="shared" ca="1" si="25"/>
        <v>20000000</v>
      </c>
      <c r="V142">
        <f t="shared" ca="1" si="25"/>
        <v>20000000</v>
      </c>
      <c r="W142">
        <f t="shared" ca="1" si="25"/>
        <v>20000000</v>
      </c>
    </row>
    <row r="143" spans="1:23" x14ac:dyDescent="0.3">
      <c r="A143" t="s">
        <v>88</v>
      </c>
      <c r="B143" t="s">
        <v>5</v>
      </c>
      <c r="C143" t="s">
        <v>15</v>
      </c>
      <c r="D143" t="s">
        <v>89</v>
      </c>
      <c r="E143" t="s">
        <v>90</v>
      </c>
      <c r="F143" t="s">
        <v>104</v>
      </c>
      <c r="G143" t="s">
        <v>58</v>
      </c>
      <c r="L143" t="s">
        <v>54</v>
      </c>
      <c r="M143">
        <v>0.85</v>
      </c>
      <c r="N143">
        <f t="shared" ca="1" si="25"/>
        <v>0.85</v>
      </c>
      <c r="O143">
        <f t="shared" ca="1" si="25"/>
        <v>0.85</v>
      </c>
      <c r="P143">
        <f t="shared" ca="1" si="25"/>
        <v>0.85</v>
      </c>
      <c r="Q143">
        <f t="shared" ca="1" si="25"/>
        <v>0.85</v>
      </c>
      <c r="R143">
        <f t="shared" ca="1" si="25"/>
        <v>0.85</v>
      </c>
      <c r="S143">
        <f t="shared" ca="1" si="25"/>
        <v>0.85</v>
      </c>
      <c r="T143">
        <f t="shared" ca="1" si="25"/>
        <v>0.85</v>
      </c>
      <c r="U143">
        <f t="shared" ca="1" si="25"/>
        <v>0.85</v>
      </c>
      <c r="V143">
        <f t="shared" ca="1" si="25"/>
        <v>0.85</v>
      </c>
      <c r="W143">
        <f t="shared" ca="1" si="25"/>
        <v>0.85</v>
      </c>
    </row>
    <row r="144" spans="1:23" x14ac:dyDescent="0.3">
      <c r="A144" t="s">
        <v>105</v>
      </c>
      <c r="B144" t="s">
        <v>5</v>
      </c>
      <c r="C144" t="s">
        <v>15</v>
      </c>
      <c r="D144" t="s">
        <v>89</v>
      </c>
      <c r="E144" t="s">
        <v>106</v>
      </c>
      <c r="F144" t="s">
        <v>106</v>
      </c>
      <c r="G144" t="s">
        <v>52</v>
      </c>
      <c r="H144" t="s">
        <v>107</v>
      </c>
    </row>
    <row r="145" spans="1:23" x14ac:dyDescent="0.3">
      <c r="A145" t="s">
        <v>105</v>
      </c>
      <c r="B145" t="s">
        <v>5</v>
      </c>
      <c r="C145" t="s">
        <v>15</v>
      </c>
      <c r="D145" t="s">
        <v>89</v>
      </c>
      <c r="E145" t="s">
        <v>106</v>
      </c>
      <c r="F145" t="s">
        <v>106</v>
      </c>
      <c r="G145" t="s">
        <v>53</v>
      </c>
      <c r="L145" t="s">
        <v>54</v>
      </c>
      <c r="M145">
        <v>0.05</v>
      </c>
      <c r="N145">
        <f t="shared" ref="N145:W148" ca="1" si="26">M145</f>
        <v>0.05</v>
      </c>
      <c r="O145">
        <f t="shared" ca="1" si="26"/>
        <v>0.05</v>
      </c>
      <c r="P145">
        <f t="shared" ca="1" si="26"/>
        <v>0.05</v>
      </c>
      <c r="Q145">
        <f t="shared" ca="1" si="26"/>
        <v>0.05</v>
      </c>
      <c r="R145">
        <f t="shared" ca="1" si="26"/>
        <v>0.05</v>
      </c>
      <c r="S145">
        <f t="shared" ca="1" si="26"/>
        <v>0.05</v>
      </c>
      <c r="T145">
        <f t="shared" ca="1" si="26"/>
        <v>0.05</v>
      </c>
      <c r="U145">
        <f t="shared" ca="1" si="26"/>
        <v>0.05</v>
      </c>
      <c r="V145">
        <f t="shared" ca="1" si="26"/>
        <v>0.05</v>
      </c>
      <c r="W145">
        <f t="shared" ca="1" si="26"/>
        <v>0.05</v>
      </c>
    </row>
    <row r="146" spans="1:23" x14ac:dyDescent="0.3">
      <c r="A146" t="s">
        <v>105</v>
      </c>
      <c r="B146" t="s">
        <v>5</v>
      </c>
      <c r="C146" t="s">
        <v>15</v>
      </c>
      <c r="D146" t="s">
        <v>89</v>
      </c>
      <c r="E146" t="s">
        <v>106</v>
      </c>
      <c r="F146" t="s">
        <v>106</v>
      </c>
      <c r="G146" t="s">
        <v>55</v>
      </c>
      <c r="L146" t="s">
        <v>54</v>
      </c>
      <c r="M146">
        <v>0.01</v>
      </c>
      <c r="N146">
        <f t="shared" ca="1" si="26"/>
        <v>0.01</v>
      </c>
      <c r="O146">
        <f t="shared" ca="1" si="26"/>
        <v>0.01</v>
      </c>
      <c r="P146">
        <f t="shared" ca="1" si="26"/>
        <v>0.01</v>
      </c>
      <c r="Q146">
        <f t="shared" ca="1" si="26"/>
        <v>0.01</v>
      </c>
      <c r="R146">
        <f t="shared" ca="1" si="26"/>
        <v>0.01</v>
      </c>
      <c r="S146">
        <f t="shared" ca="1" si="26"/>
        <v>0.01</v>
      </c>
      <c r="T146">
        <f t="shared" ca="1" si="26"/>
        <v>0.01</v>
      </c>
      <c r="U146">
        <f t="shared" ca="1" si="26"/>
        <v>0.01</v>
      </c>
      <c r="V146">
        <f t="shared" ca="1" si="26"/>
        <v>0.01</v>
      </c>
      <c r="W146">
        <f t="shared" ca="1" si="26"/>
        <v>0.01</v>
      </c>
    </row>
    <row r="147" spans="1:23" x14ac:dyDescent="0.3">
      <c r="A147" t="s">
        <v>105</v>
      </c>
      <c r="B147" t="s">
        <v>5</v>
      </c>
      <c r="C147" t="s">
        <v>15</v>
      </c>
      <c r="D147" t="s">
        <v>89</v>
      </c>
      <c r="E147" t="s">
        <v>106</v>
      </c>
      <c r="F147" t="s">
        <v>106</v>
      </c>
      <c r="G147" t="s">
        <v>56</v>
      </c>
      <c r="K147" t="s">
        <v>108</v>
      </c>
      <c r="L147" t="s">
        <v>94</v>
      </c>
      <c r="M147">
        <f ca="1">200000000</f>
        <v>200000000</v>
      </c>
      <c r="N147">
        <f t="shared" ca="1" si="26"/>
        <v>200000000</v>
      </c>
      <c r="O147">
        <f t="shared" ca="1" si="26"/>
        <v>200000000</v>
      </c>
      <c r="P147">
        <f t="shared" ca="1" si="26"/>
        <v>200000000</v>
      </c>
      <c r="Q147">
        <f t="shared" ca="1" si="26"/>
        <v>200000000</v>
      </c>
      <c r="R147">
        <f t="shared" ca="1" si="26"/>
        <v>200000000</v>
      </c>
      <c r="S147">
        <f t="shared" ca="1" si="26"/>
        <v>200000000</v>
      </c>
      <c r="T147">
        <f t="shared" ca="1" si="26"/>
        <v>200000000</v>
      </c>
      <c r="U147">
        <f t="shared" ca="1" si="26"/>
        <v>200000000</v>
      </c>
      <c r="V147">
        <f t="shared" ca="1" si="26"/>
        <v>200000000</v>
      </c>
      <c r="W147">
        <f t="shared" ca="1" si="26"/>
        <v>200000000</v>
      </c>
    </row>
    <row r="148" spans="1:23" x14ac:dyDescent="0.3">
      <c r="A148" t="s">
        <v>105</v>
      </c>
      <c r="B148" t="s">
        <v>5</v>
      </c>
      <c r="C148" t="s">
        <v>15</v>
      </c>
      <c r="D148" t="s">
        <v>89</v>
      </c>
      <c r="E148" t="s">
        <v>106</v>
      </c>
      <c r="F148" t="s">
        <v>106</v>
      </c>
      <c r="G148" t="s">
        <v>58</v>
      </c>
      <c r="L148" t="s">
        <v>54</v>
      </c>
      <c r="M148">
        <v>0.9</v>
      </c>
      <c r="N148">
        <f t="shared" ca="1" si="26"/>
        <v>0.9</v>
      </c>
      <c r="O148">
        <f t="shared" ca="1" si="26"/>
        <v>0.9</v>
      </c>
      <c r="P148">
        <f t="shared" ca="1" si="26"/>
        <v>0.9</v>
      </c>
      <c r="Q148">
        <f t="shared" ca="1" si="26"/>
        <v>0.9</v>
      </c>
      <c r="R148">
        <f t="shared" ca="1" si="26"/>
        <v>0.9</v>
      </c>
      <c r="S148">
        <f t="shared" ca="1" si="26"/>
        <v>0.9</v>
      </c>
      <c r="T148">
        <f t="shared" ca="1" si="26"/>
        <v>0.9</v>
      </c>
      <c r="U148">
        <f t="shared" ca="1" si="26"/>
        <v>0.9</v>
      </c>
      <c r="V148">
        <f t="shared" ca="1" si="26"/>
        <v>0.9</v>
      </c>
      <c r="W148">
        <f t="shared" ca="1" si="26"/>
        <v>0.9</v>
      </c>
    </row>
    <row r="149" spans="1:23" x14ac:dyDescent="0.3">
      <c r="A149" t="s">
        <v>109</v>
      </c>
      <c r="B149" t="s">
        <v>5</v>
      </c>
      <c r="C149" t="s">
        <v>15</v>
      </c>
      <c r="D149" t="s">
        <v>89</v>
      </c>
      <c r="E149" t="s">
        <v>77</v>
      </c>
      <c r="F149" t="s">
        <v>77</v>
      </c>
      <c r="G149" t="s">
        <v>52</v>
      </c>
      <c r="H149" t="s">
        <v>77</v>
      </c>
    </row>
    <row r="150" spans="1:23" x14ac:dyDescent="0.3">
      <c r="A150" t="s">
        <v>109</v>
      </c>
      <c r="B150" t="s">
        <v>5</v>
      </c>
      <c r="C150" t="s">
        <v>15</v>
      </c>
      <c r="D150" t="s">
        <v>89</v>
      </c>
      <c r="E150" t="s">
        <v>77</v>
      </c>
      <c r="F150" t="s">
        <v>77</v>
      </c>
      <c r="G150" t="s">
        <v>53</v>
      </c>
      <c r="L150" t="s">
        <v>54</v>
      </c>
      <c r="M150">
        <v>0.85</v>
      </c>
      <c r="N150">
        <f t="shared" ref="N150:W153" ca="1" si="27">M150</f>
        <v>0.85</v>
      </c>
      <c r="O150">
        <f t="shared" ca="1" si="27"/>
        <v>0.85</v>
      </c>
      <c r="P150">
        <f t="shared" ca="1" si="27"/>
        <v>0.85</v>
      </c>
      <c r="Q150">
        <f t="shared" ca="1" si="27"/>
        <v>0.85</v>
      </c>
      <c r="R150">
        <f t="shared" ca="1" si="27"/>
        <v>0.85</v>
      </c>
      <c r="S150">
        <f t="shared" ca="1" si="27"/>
        <v>0.85</v>
      </c>
      <c r="T150">
        <f t="shared" ca="1" si="27"/>
        <v>0.85</v>
      </c>
      <c r="U150">
        <f t="shared" ca="1" si="27"/>
        <v>0.85</v>
      </c>
      <c r="V150">
        <f t="shared" ca="1" si="27"/>
        <v>0.85</v>
      </c>
      <c r="W150">
        <f t="shared" ca="1" si="27"/>
        <v>0.85</v>
      </c>
    </row>
    <row r="151" spans="1:23" x14ac:dyDescent="0.3">
      <c r="A151" t="s">
        <v>109</v>
      </c>
      <c r="B151" t="s">
        <v>5</v>
      </c>
      <c r="C151" t="s">
        <v>15</v>
      </c>
      <c r="D151" t="s">
        <v>89</v>
      </c>
      <c r="E151" t="s">
        <v>77</v>
      </c>
      <c r="F151" t="s">
        <v>77</v>
      </c>
      <c r="G151" t="s">
        <v>55</v>
      </c>
      <c r="L151" t="s">
        <v>54</v>
      </c>
      <c r="M151">
        <v>2.5000000000000001E-3</v>
      </c>
      <c r="N151">
        <f t="shared" ca="1" si="27"/>
        <v>2.5000000000000001E-3</v>
      </c>
      <c r="O151">
        <f t="shared" ca="1" si="27"/>
        <v>2.5000000000000001E-3</v>
      </c>
      <c r="P151">
        <f t="shared" ca="1" si="27"/>
        <v>2.5000000000000001E-3</v>
      </c>
      <c r="Q151">
        <f t="shared" ca="1" si="27"/>
        <v>2.5000000000000001E-3</v>
      </c>
      <c r="R151">
        <f t="shared" ca="1" si="27"/>
        <v>2.5000000000000001E-3</v>
      </c>
      <c r="S151">
        <f t="shared" ca="1" si="27"/>
        <v>2.5000000000000001E-3</v>
      </c>
      <c r="T151">
        <f t="shared" ca="1" si="27"/>
        <v>2.5000000000000001E-3</v>
      </c>
      <c r="U151">
        <f t="shared" ca="1" si="27"/>
        <v>2.5000000000000001E-3</v>
      </c>
      <c r="V151">
        <f t="shared" ca="1" si="27"/>
        <v>2.5000000000000001E-3</v>
      </c>
      <c r="W151">
        <f t="shared" ca="1" si="27"/>
        <v>2.5000000000000001E-3</v>
      </c>
    </row>
    <row r="152" spans="1:23" x14ac:dyDescent="0.3">
      <c r="A152" t="s">
        <v>109</v>
      </c>
      <c r="B152" t="s">
        <v>5</v>
      </c>
      <c r="C152" t="s">
        <v>15</v>
      </c>
      <c r="D152" t="s">
        <v>89</v>
      </c>
      <c r="E152" t="s">
        <v>77</v>
      </c>
      <c r="F152" t="s">
        <v>77</v>
      </c>
      <c r="G152" t="s">
        <v>56</v>
      </c>
      <c r="L152" t="s">
        <v>78</v>
      </c>
      <c r="M152">
        <f ca="1">2861100</f>
        <v>2861100</v>
      </c>
      <c r="N152">
        <f t="shared" ca="1" si="27"/>
        <v>2861100</v>
      </c>
      <c r="O152">
        <f t="shared" ca="1" si="27"/>
        <v>2861100</v>
      </c>
      <c r="P152">
        <f t="shared" ca="1" si="27"/>
        <v>2861100</v>
      </c>
      <c r="Q152">
        <f t="shared" ca="1" si="27"/>
        <v>2861100</v>
      </c>
      <c r="R152">
        <f t="shared" ca="1" si="27"/>
        <v>2861100</v>
      </c>
      <c r="S152">
        <f t="shared" ca="1" si="27"/>
        <v>2861100</v>
      </c>
      <c r="T152">
        <f t="shared" ca="1" si="27"/>
        <v>2861100</v>
      </c>
      <c r="U152">
        <f t="shared" ca="1" si="27"/>
        <v>2861100</v>
      </c>
      <c r="V152">
        <f t="shared" ca="1" si="27"/>
        <v>2861100</v>
      </c>
      <c r="W152">
        <f t="shared" ca="1" si="27"/>
        <v>2861100</v>
      </c>
    </row>
    <row r="153" spans="1:23" x14ac:dyDescent="0.3">
      <c r="A153" t="s">
        <v>109</v>
      </c>
      <c r="B153" t="s">
        <v>5</v>
      </c>
      <c r="C153" t="s">
        <v>15</v>
      </c>
      <c r="D153" t="s">
        <v>89</v>
      </c>
      <c r="E153" t="s">
        <v>77</v>
      </c>
      <c r="F153" t="s">
        <v>77</v>
      </c>
      <c r="G153" t="s">
        <v>58</v>
      </c>
      <c r="L153" t="s">
        <v>54</v>
      </c>
      <c r="M153">
        <v>0.95</v>
      </c>
      <c r="N153">
        <f t="shared" ca="1" si="27"/>
        <v>0.95</v>
      </c>
      <c r="O153">
        <f t="shared" ca="1" si="27"/>
        <v>0.95</v>
      </c>
      <c r="P153">
        <f t="shared" ca="1" si="27"/>
        <v>0.95</v>
      </c>
      <c r="Q153">
        <f t="shared" ca="1" si="27"/>
        <v>0.95</v>
      </c>
      <c r="R153">
        <f t="shared" ca="1" si="27"/>
        <v>0.95</v>
      </c>
      <c r="S153">
        <f t="shared" ca="1" si="27"/>
        <v>0.95</v>
      </c>
      <c r="T153">
        <f t="shared" ca="1" si="27"/>
        <v>0.95</v>
      </c>
      <c r="U153">
        <f t="shared" ca="1" si="27"/>
        <v>0.95</v>
      </c>
      <c r="V153">
        <f t="shared" ca="1" si="27"/>
        <v>0.95</v>
      </c>
      <c r="W153">
        <f t="shared" ca="1" si="27"/>
        <v>0.95</v>
      </c>
    </row>
    <row r="154" spans="1:23" x14ac:dyDescent="0.3">
      <c r="A154" t="s">
        <v>110</v>
      </c>
      <c r="B154" t="s">
        <v>5</v>
      </c>
      <c r="C154" t="s">
        <v>15</v>
      </c>
      <c r="D154" t="s">
        <v>111</v>
      </c>
      <c r="E154" t="s">
        <v>77</v>
      </c>
      <c r="F154" t="s">
        <v>77</v>
      </c>
      <c r="G154" t="s">
        <v>52</v>
      </c>
      <c r="H154" t="s">
        <v>77</v>
      </c>
    </row>
    <row r="155" spans="1:23" x14ac:dyDescent="0.3">
      <c r="A155" t="s">
        <v>110</v>
      </c>
      <c r="B155" t="s">
        <v>5</v>
      </c>
      <c r="C155" t="s">
        <v>15</v>
      </c>
      <c r="D155" t="s">
        <v>111</v>
      </c>
      <c r="E155" t="s">
        <v>77</v>
      </c>
      <c r="F155" t="s">
        <v>77</v>
      </c>
      <c r="G155" t="s">
        <v>53</v>
      </c>
      <c r="L155" t="s">
        <v>54</v>
      </c>
      <c r="M155">
        <v>0.85</v>
      </c>
      <c r="N155">
        <f t="shared" ref="N155:W158" ca="1" si="28">M155</f>
        <v>0.85</v>
      </c>
      <c r="O155">
        <f t="shared" ca="1" si="28"/>
        <v>0.85</v>
      </c>
      <c r="P155">
        <f t="shared" ca="1" si="28"/>
        <v>0.85</v>
      </c>
      <c r="Q155">
        <f t="shared" ca="1" si="28"/>
        <v>0.85</v>
      </c>
      <c r="R155">
        <f t="shared" ca="1" si="28"/>
        <v>0.85</v>
      </c>
      <c r="S155">
        <f t="shared" ca="1" si="28"/>
        <v>0.85</v>
      </c>
      <c r="T155">
        <f t="shared" ca="1" si="28"/>
        <v>0.85</v>
      </c>
      <c r="U155">
        <f t="shared" ca="1" si="28"/>
        <v>0.85</v>
      </c>
      <c r="V155">
        <f t="shared" ca="1" si="28"/>
        <v>0.85</v>
      </c>
      <c r="W155">
        <f t="shared" ca="1" si="28"/>
        <v>0.85</v>
      </c>
    </row>
    <row r="156" spans="1:23" x14ac:dyDescent="0.3">
      <c r="A156" t="s">
        <v>110</v>
      </c>
      <c r="B156" t="s">
        <v>5</v>
      </c>
      <c r="C156" t="s">
        <v>15</v>
      </c>
      <c r="D156" t="s">
        <v>111</v>
      </c>
      <c r="E156" t="s">
        <v>77</v>
      </c>
      <c r="F156" t="s">
        <v>77</v>
      </c>
      <c r="G156" t="s">
        <v>55</v>
      </c>
      <c r="L156" t="s">
        <v>54</v>
      </c>
      <c r="M156">
        <v>2.5000000000000001E-3</v>
      </c>
      <c r="N156">
        <f t="shared" ca="1" si="28"/>
        <v>2.5000000000000001E-3</v>
      </c>
      <c r="O156">
        <f t="shared" ca="1" si="28"/>
        <v>2.5000000000000001E-3</v>
      </c>
      <c r="P156">
        <f t="shared" ca="1" si="28"/>
        <v>2.5000000000000001E-3</v>
      </c>
      <c r="Q156">
        <f t="shared" ca="1" si="28"/>
        <v>2.5000000000000001E-3</v>
      </c>
      <c r="R156">
        <f t="shared" ca="1" si="28"/>
        <v>2.5000000000000001E-3</v>
      </c>
      <c r="S156">
        <f t="shared" ca="1" si="28"/>
        <v>2.5000000000000001E-3</v>
      </c>
      <c r="T156">
        <f t="shared" ca="1" si="28"/>
        <v>2.5000000000000001E-3</v>
      </c>
      <c r="U156">
        <f t="shared" ca="1" si="28"/>
        <v>2.5000000000000001E-3</v>
      </c>
      <c r="V156">
        <f t="shared" ca="1" si="28"/>
        <v>2.5000000000000001E-3</v>
      </c>
      <c r="W156">
        <f t="shared" ca="1" si="28"/>
        <v>2.5000000000000001E-3</v>
      </c>
    </row>
    <row r="157" spans="1:23" x14ac:dyDescent="0.3">
      <c r="A157" t="s">
        <v>110</v>
      </c>
      <c r="B157" t="s">
        <v>5</v>
      </c>
      <c r="C157" t="s">
        <v>15</v>
      </c>
      <c r="D157" t="s">
        <v>111</v>
      </c>
      <c r="E157" t="s">
        <v>77</v>
      </c>
      <c r="F157" t="s">
        <v>77</v>
      </c>
      <c r="G157" t="s">
        <v>56</v>
      </c>
      <c r="L157" t="s">
        <v>78</v>
      </c>
      <c r="M157">
        <f ca="1">2861100</f>
        <v>2861100</v>
      </c>
      <c r="N157">
        <f t="shared" ca="1" si="28"/>
        <v>2861100</v>
      </c>
      <c r="O157">
        <f t="shared" ca="1" si="28"/>
        <v>2861100</v>
      </c>
      <c r="P157">
        <f t="shared" ca="1" si="28"/>
        <v>2861100</v>
      </c>
      <c r="Q157">
        <f t="shared" ca="1" si="28"/>
        <v>2861100</v>
      </c>
      <c r="R157">
        <f t="shared" ca="1" si="28"/>
        <v>2861100</v>
      </c>
      <c r="S157">
        <f t="shared" ca="1" si="28"/>
        <v>2861100</v>
      </c>
      <c r="T157">
        <f t="shared" ca="1" si="28"/>
        <v>2861100</v>
      </c>
      <c r="U157">
        <f t="shared" ca="1" si="28"/>
        <v>2861100</v>
      </c>
      <c r="V157">
        <f t="shared" ca="1" si="28"/>
        <v>2861100</v>
      </c>
      <c r="W157">
        <f t="shared" ca="1" si="28"/>
        <v>2861100</v>
      </c>
    </row>
    <row r="158" spans="1:23" x14ac:dyDescent="0.3">
      <c r="A158" t="s">
        <v>110</v>
      </c>
      <c r="B158" t="s">
        <v>5</v>
      </c>
      <c r="C158" t="s">
        <v>15</v>
      </c>
      <c r="D158" t="s">
        <v>111</v>
      </c>
      <c r="E158" t="s">
        <v>77</v>
      </c>
      <c r="F158" t="s">
        <v>77</v>
      </c>
      <c r="G158" t="s">
        <v>58</v>
      </c>
      <c r="L158" t="s">
        <v>54</v>
      </c>
      <c r="M158">
        <v>0.95</v>
      </c>
      <c r="N158">
        <f t="shared" ca="1" si="28"/>
        <v>0.95</v>
      </c>
      <c r="O158">
        <f t="shared" ca="1" si="28"/>
        <v>0.95</v>
      </c>
      <c r="P158">
        <f t="shared" ca="1" si="28"/>
        <v>0.95</v>
      </c>
      <c r="Q158">
        <f t="shared" ca="1" si="28"/>
        <v>0.95</v>
      </c>
      <c r="R158">
        <f t="shared" ca="1" si="28"/>
        <v>0.95</v>
      </c>
      <c r="S158">
        <f t="shared" ca="1" si="28"/>
        <v>0.95</v>
      </c>
      <c r="T158">
        <f t="shared" ca="1" si="28"/>
        <v>0.95</v>
      </c>
      <c r="U158">
        <f t="shared" ca="1" si="28"/>
        <v>0.95</v>
      </c>
      <c r="V158">
        <f t="shared" ca="1" si="28"/>
        <v>0.95</v>
      </c>
      <c r="W158">
        <f t="shared" ca="1" si="28"/>
        <v>0.95</v>
      </c>
    </row>
    <row r="159" spans="1:23" x14ac:dyDescent="0.3">
      <c r="A159" t="s">
        <v>112</v>
      </c>
      <c r="B159" t="s">
        <v>5</v>
      </c>
      <c r="C159" t="s">
        <v>15</v>
      </c>
      <c r="D159" t="s">
        <v>113</v>
      </c>
      <c r="E159" t="s">
        <v>114</v>
      </c>
      <c r="F159" t="s">
        <v>115</v>
      </c>
      <c r="G159" t="s">
        <v>52</v>
      </c>
      <c r="H159" t="s">
        <v>116</v>
      </c>
    </row>
    <row r="160" spans="1:23" x14ac:dyDescent="0.3">
      <c r="A160" t="s">
        <v>112</v>
      </c>
      <c r="B160" t="s">
        <v>5</v>
      </c>
      <c r="C160" t="s">
        <v>15</v>
      </c>
      <c r="D160" t="s">
        <v>113</v>
      </c>
      <c r="E160" t="s">
        <v>114</v>
      </c>
      <c r="F160" t="s">
        <v>115</v>
      </c>
      <c r="G160" t="s">
        <v>53</v>
      </c>
      <c r="L160" t="s">
        <v>54</v>
      </c>
      <c r="M160">
        <v>0.34</v>
      </c>
      <c r="N160">
        <f t="shared" ref="N160:W163" ca="1" si="29">M160</f>
        <v>0.34</v>
      </c>
      <c r="O160">
        <f t="shared" ca="1" si="29"/>
        <v>0.34</v>
      </c>
      <c r="P160">
        <f t="shared" ca="1" si="29"/>
        <v>0.34</v>
      </c>
      <c r="Q160">
        <f t="shared" ca="1" si="29"/>
        <v>0.34</v>
      </c>
      <c r="R160">
        <f t="shared" ca="1" si="29"/>
        <v>0.34</v>
      </c>
      <c r="S160">
        <f t="shared" ca="1" si="29"/>
        <v>0.34</v>
      </c>
      <c r="T160">
        <f t="shared" ca="1" si="29"/>
        <v>0.34</v>
      </c>
      <c r="U160">
        <f t="shared" ca="1" si="29"/>
        <v>0.34</v>
      </c>
      <c r="V160">
        <f t="shared" ca="1" si="29"/>
        <v>0.34</v>
      </c>
      <c r="W160">
        <f t="shared" ca="1" si="29"/>
        <v>0.34</v>
      </c>
    </row>
    <row r="161" spans="1:23" x14ac:dyDescent="0.3">
      <c r="A161" t="s">
        <v>112</v>
      </c>
      <c r="B161" t="s">
        <v>5</v>
      </c>
      <c r="C161" t="s">
        <v>15</v>
      </c>
      <c r="D161" t="s">
        <v>113</v>
      </c>
      <c r="E161" t="s">
        <v>114</v>
      </c>
      <c r="F161" t="s">
        <v>115</v>
      </c>
      <c r="G161" t="s">
        <v>55</v>
      </c>
      <c r="L161" t="s">
        <v>54</v>
      </c>
      <c r="M161">
        <v>0.01</v>
      </c>
      <c r="N161">
        <f t="shared" ca="1" si="29"/>
        <v>0.01</v>
      </c>
      <c r="O161">
        <f t="shared" ca="1" si="29"/>
        <v>0.01</v>
      </c>
      <c r="P161">
        <f t="shared" ca="1" si="29"/>
        <v>0.01</v>
      </c>
      <c r="Q161">
        <f t="shared" ca="1" si="29"/>
        <v>0.01</v>
      </c>
      <c r="R161">
        <f t="shared" ca="1" si="29"/>
        <v>0.01</v>
      </c>
      <c r="S161">
        <f t="shared" ca="1" si="29"/>
        <v>0.01</v>
      </c>
      <c r="T161">
        <f t="shared" ca="1" si="29"/>
        <v>0.01</v>
      </c>
      <c r="U161">
        <f t="shared" ca="1" si="29"/>
        <v>0.01</v>
      </c>
      <c r="V161">
        <f t="shared" ca="1" si="29"/>
        <v>0.01</v>
      </c>
      <c r="W161">
        <f t="shared" ca="1" si="29"/>
        <v>0.01</v>
      </c>
    </row>
    <row r="162" spans="1:23" x14ac:dyDescent="0.3">
      <c r="A162" t="s">
        <v>112</v>
      </c>
      <c r="B162" t="s">
        <v>5</v>
      </c>
      <c r="C162" t="s">
        <v>15</v>
      </c>
      <c r="D162" t="s">
        <v>113</v>
      </c>
      <c r="E162" t="s">
        <v>114</v>
      </c>
      <c r="F162" t="s">
        <v>115</v>
      </c>
      <c r="G162" t="s">
        <v>56</v>
      </c>
      <c r="L162" t="s">
        <v>117</v>
      </c>
      <c r="M162">
        <v>40000</v>
      </c>
      <c r="N162">
        <f t="shared" ca="1" si="29"/>
        <v>40000</v>
      </c>
      <c r="O162">
        <f t="shared" ca="1" si="29"/>
        <v>40000</v>
      </c>
      <c r="P162">
        <f t="shared" ca="1" si="29"/>
        <v>40000</v>
      </c>
      <c r="Q162">
        <f t="shared" ca="1" si="29"/>
        <v>40000</v>
      </c>
      <c r="R162">
        <f t="shared" ca="1" si="29"/>
        <v>40000</v>
      </c>
      <c r="S162">
        <f t="shared" ca="1" si="29"/>
        <v>40000</v>
      </c>
      <c r="T162">
        <f t="shared" ca="1" si="29"/>
        <v>40000</v>
      </c>
      <c r="U162">
        <f t="shared" ca="1" si="29"/>
        <v>40000</v>
      </c>
      <c r="V162">
        <f t="shared" ca="1" si="29"/>
        <v>40000</v>
      </c>
      <c r="W162">
        <f t="shared" ca="1" si="29"/>
        <v>40000</v>
      </c>
    </row>
    <row r="163" spans="1:23" x14ac:dyDescent="0.3">
      <c r="A163" t="s">
        <v>112</v>
      </c>
      <c r="B163" t="s">
        <v>5</v>
      </c>
      <c r="C163" t="s">
        <v>15</v>
      </c>
      <c r="D163" t="s">
        <v>113</v>
      </c>
      <c r="E163" t="s">
        <v>114</v>
      </c>
      <c r="F163" t="s">
        <v>115</v>
      </c>
      <c r="G163" t="s">
        <v>58</v>
      </c>
      <c r="L163" t="s">
        <v>54</v>
      </c>
      <c r="M163">
        <v>0.85</v>
      </c>
      <c r="N163">
        <f t="shared" ca="1" si="29"/>
        <v>0.85</v>
      </c>
      <c r="O163">
        <f t="shared" ca="1" si="29"/>
        <v>0.85</v>
      </c>
      <c r="P163">
        <f t="shared" ca="1" si="29"/>
        <v>0.85</v>
      </c>
      <c r="Q163">
        <f t="shared" ca="1" si="29"/>
        <v>0.85</v>
      </c>
      <c r="R163">
        <f t="shared" ca="1" si="29"/>
        <v>0.85</v>
      </c>
      <c r="S163">
        <f t="shared" ca="1" si="29"/>
        <v>0.85</v>
      </c>
      <c r="T163">
        <f t="shared" ca="1" si="29"/>
        <v>0.85</v>
      </c>
      <c r="U163">
        <f t="shared" ca="1" si="29"/>
        <v>0.85</v>
      </c>
      <c r="V163">
        <f t="shared" ca="1" si="29"/>
        <v>0.85</v>
      </c>
      <c r="W163">
        <f t="shared" ca="1" si="29"/>
        <v>0.85</v>
      </c>
    </row>
    <row r="164" spans="1:23" x14ac:dyDescent="0.3">
      <c r="A164" t="s">
        <v>112</v>
      </c>
      <c r="B164" t="s">
        <v>5</v>
      </c>
      <c r="C164" t="s">
        <v>15</v>
      </c>
      <c r="D164" t="s">
        <v>113</v>
      </c>
      <c r="E164" t="s">
        <v>114</v>
      </c>
      <c r="F164" t="s">
        <v>118</v>
      </c>
      <c r="G164" t="s">
        <v>52</v>
      </c>
      <c r="H164" t="s">
        <v>119</v>
      </c>
    </row>
    <row r="165" spans="1:23" x14ac:dyDescent="0.3">
      <c r="A165" t="s">
        <v>112</v>
      </c>
      <c r="B165" t="s">
        <v>5</v>
      </c>
      <c r="C165" t="s">
        <v>15</v>
      </c>
      <c r="D165" t="s">
        <v>113</v>
      </c>
      <c r="E165" t="s">
        <v>114</v>
      </c>
      <c r="F165" t="s">
        <v>118</v>
      </c>
      <c r="G165" t="s">
        <v>53</v>
      </c>
      <c r="L165" t="s">
        <v>54</v>
      </c>
      <c r="M165">
        <v>0.34</v>
      </c>
      <c r="N165">
        <f t="shared" ref="N165:W168" ca="1" si="30">M165</f>
        <v>0.34</v>
      </c>
      <c r="O165">
        <f t="shared" ca="1" si="30"/>
        <v>0.34</v>
      </c>
      <c r="P165">
        <f t="shared" ca="1" si="30"/>
        <v>0.34</v>
      </c>
      <c r="Q165">
        <f t="shared" ca="1" si="30"/>
        <v>0.34</v>
      </c>
      <c r="R165">
        <f t="shared" ca="1" si="30"/>
        <v>0.34</v>
      </c>
      <c r="S165">
        <f t="shared" ca="1" si="30"/>
        <v>0.34</v>
      </c>
      <c r="T165">
        <f t="shared" ca="1" si="30"/>
        <v>0.34</v>
      </c>
      <c r="U165">
        <f t="shared" ca="1" si="30"/>
        <v>0.34</v>
      </c>
      <c r="V165">
        <f t="shared" ca="1" si="30"/>
        <v>0.34</v>
      </c>
      <c r="W165">
        <f t="shared" ca="1" si="30"/>
        <v>0.34</v>
      </c>
    </row>
    <row r="166" spans="1:23" x14ac:dyDescent="0.3">
      <c r="A166" t="s">
        <v>112</v>
      </c>
      <c r="B166" t="s">
        <v>5</v>
      </c>
      <c r="C166" t="s">
        <v>15</v>
      </c>
      <c r="D166" t="s">
        <v>113</v>
      </c>
      <c r="E166" t="s">
        <v>114</v>
      </c>
      <c r="F166" t="s">
        <v>118</v>
      </c>
      <c r="G166" t="s">
        <v>55</v>
      </c>
      <c r="L166" t="s">
        <v>54</v>
      </c>
      <c r="M166">
        <v>0.01</v>
      </c>
      <c r="N166">
        <f t="shared" ca="1" si="30"/>
        <v>0.01</v>
      </c>
      <c r="O166">
        <f t="shared" ca="1" si="30"/>
        <v>0.01</v>
      </c>
      <c r="P166">
        <f t="shared" ca="1" si="30"/>
        <v>0.01</v>
      </c>
      <c r="Q166">
        <f t="shared" ca="1" si="30"/>
        <v>0.01</v>
      </c>
      <c r="R166">
        <f t="shared" ca="1" si="30"/>
        <v>0.01</v>
      </c>
      <c r="S166">
        <f t="shared" ca="1" si="30"/>
        <v>0.01</v>
      </c>
      <c r="T166">
        <f t="shared" ca="1" si="30"/>
        <v>0.01</v>
      </c>
      <c r="U166">
        <f t="shared" ca="1" si="30"/>
        <v>0.01</v>
      </c>
      <c r="V166">
        <f t="shared" ca="1" si="30"/>
        <v>0.01</v>
      </c>
      <c r="W166">
        <f t="shared" ca="1" si="30"/>
        <v>0.01</v>
      </c>
    </row>
    <row r="167" spans="1:23" x14ac:dyDescent="0.3">
      <c r="A167" t="s">
        <v>112</v>
      </c>
      <c r="B167" t="s">
        <v>5</v>
      </c>
      <c r="C167" t="s">
        <v>15</v>
      </c>
      <c r="D167" t="s">
        <v>113</v>
      </c>
      <c r="E167" t="s">
        <v>114</v>
      </c>
      <c r="F167" t="s">
        <v>118</v>
      </c>
      <c r="G167" t="s">
        <v>56</v>
      </c>
      <c r="L167" t="s">
        <v>117</v>
      </c>
      <c r="M167">
        <v>40000</v>
      </c>
      <c r="N167">
        <f t="shared" ca="1" si="30"/>
        <v>40000</v>
      </c>
      <c r="O167">
        <f t="shared" ca="1" si="30"/>
        <v>40000</v>
      </c>
      <c r="P167">
        <f t="shared" ca="1" si="30"/>
        <v>40000</v>
      </c>
      <c r="Q167">
        <f t="shared" ca="1" si="30"/>
        <v>40000</v>
      </c>
      <c r="R167">
        <f t="shared" ca="1" si="30"/>
        <v>40000</v>
      </c>
      <c r="S167">
        <f t="shared" ca="1" si="30"/>
        <v>40000</v>
      </c>
      <c r="T167">
        <f t="shared" ca="1" si="30"/>
        <v>40000</v>
      </c>
      <c r="U167">
        <f t="shared" ca="1" si="30"/>
        <v>40000</v>
      </c>
      <c r="V167">
        <f t="shared" ca="1" si="30"/>
        <v>40000</v>
      </c>
      <c r="W167">
        <f t="shared" ca="1" si="30"/>
        <v>40000</v>
      </c>
    </row>
    <row r="168" spans="1:23" x14ac:dyDescent="0.3">
      <c r="A168" t="s">
        <v>112</v>
      </c>
      <c r="B168" t="s">
        <v>5</v>
      </c>
      <c r="C168" t="s">
        <v>15</v>
      </c>
      <c r="D168" t="s">
        <v>113</v>
      </c>
      <c r="E168" t="s">
        <v>114</v>
      </c>
      <c r="F168" t="s">
        <v>118</v>
      </c>
      <c r="G168" t="s">
        <v>58</v>
      </c>
      <c r="L168" t="s">
        <v>54</v>
      </c>
      <c r="M168">
        <v>0.85</v>
      </c>
      <c r="N168">
        <f t="shared" ca="1" si="30"/>
        <v>0.85</v>
      </c>
      <c r="O168">
        <f t="shared" ca="1" si="30"/>
        <v>0.85</v>
      </c>
      <c r="P168">
        <f t="shared" ca="1" si="30"/>
        <v>0.85</v>
      </c>
      <c r="Q168">
        <f t="shared" ca="1" si="30"/>
        <v>0.85</v>
      </c>
      <c r="R168">
        <f t="shared" ca="1" si="30"/>
        <v>0.85</v>
      </c>
      <c r="S168">
        <f t="shared" ca="1" si="30"/>
        <v>0.85</v>
      </c>
      <c r="T168">
        <f t="shared" ca="1" si="30"/>
        <v>0.85</v>
      </c>
      <c r="U168">
        <f t="shared" ca="1" si="30"/>
        <v>0.85</v>
      </c>
      <c r="V168">
        <f t="shared" ca="1" si="30"/>
        <v>0.85</v>
      </c>
      <c r="W168">
        <f t="shared" ca="1" si="30"/>
        <v>0.85</v>
      </c>
    </row>
    <row r="169" spans="1:23" x14ac:dyDescent="0.3">
      <c r="A169" t="s">
        <v>120</v>
      </c>
      <c r="B169" t="s">
        <v>5</v>
      </c>
      <c r="C169" t="s">
        <v>15</v>
      </c>
      <c r="D169" t="s">
        <v>113</v>
      </c>
      <c r="E169" t="s">
        <v>121</v>
      </c>
      <c r="F169" t="s">
        <v>115</v>
      </c>
      <c r="G169" t="s">
        <v>52</v>
      </c>
      <c r="H169" t="s">
        <v>116</v>
      </c>
    </row>
    <row r="170" spans="1:23" x14ac:dyDescent="0.3">
      <c r="A170" t="s">
        <v>120</v>
      </c>
      <c r="B170" t="s">
        <v>5</v>
      </c>
      <c r="C170" t="s">
        <v>15</v>
      </c>
      <c r="D170" t="s">
        <v>113</v>
      </c>
      <c r="E170" t="s">
        <v>121</v>
      </c>
      <c r="F170" t="s">
        <v>115</v>
      </c>
      <c r="G170" t="s">
        <v>53</v>
      </c>
      <c r="L170" t="s">
        <v>54</v>
      </c>
      <c r="M170">
        <v>0.34</v>
      </c>
      <c r="N170">
        <f t="shared" ref="N170:W173" ca="1" si="31">M170</f>
        <v>0.34</v>
      </c>
      <c r="O170">
        <f t="shared" ca="1" si="31"/>
        <v>0.34</v>
      </c>
      <c r="P170">
        <f t="shared" ca="1" si="31"/>
        <v>0.34</v>
      </c>
      <c r="Q170">
        <f t="shared" ca="1" si="31"/>
        <v>0.34</v>
      </c>
      <c r="R170">
        <f t="shared" ca="1" si="31"/>
        <v>0.34</v>
      </c>
      <c r="S170">
        <f t="shared" ca="1" si="31"/>
        <v>0.34</v>
      </c>
      <c r="T170">
        <f t="shared" ca="1" si="31"/>
        <v>0.34</v>
      </c>
      <c r="U170">
        <f t="shared" ca="1" si="31"/>
        <v>0.34</v>
      </c>
      <c r="V170">
        <f t="shared" ca="1" si="31"/>
        <v>0.34</v>
      </c>
      <c r="W170">
        <f t="shared" ca="1" si="31"/>
        <v>0.34</v>
      </c>
    </row>
    <row r="171" spans="1:23" x14ac:dyDescent="0.3">
      <c r="A171" t="s">
        <v>120</v>
      </c>
      <c r="B171" t="s">
        <v>5</v>
      </c>
      <c r="C171" t="s">
        <v>15</v>
      </c>
      <c r="D171" t="s">
        <v>113</v>
      </c>
      <c r="E171" t="s">
        <v>121</v>
      </c>
      <c r="F171" t="s">
        <v>115</v>
      </c>
      <c r="G171" t="s">
        <v>55</v>
      </c>
      <c r="L171" t="s">
        <v>54</v>
      </c>
      <c r="M171">
        <v>0.01</v>
      </c>
      <c r="N171">
        <f t="shared" ca="1" si="31"/>
        <v>0.01</v>
      </c>
      <c r="O171">
        <f t="shared" ca="1" si="31"/>
        <v>0.01</v>
      </c>
      <c r="P171">
        <f t="shared" ca="1" si="31"/>
        <v>0.01</v>
      </c>
      <c r="Q171">
        <f t="shared" ca="1" si="31"/>
        <v>0.01</v>
      </c>
      <c r="R171">
        <f t="shared" ca="1" si="31"/>
        <v>0.01</v>
      </c>
      <c r="S171">
        <f t="shared" ca="1" si="31"/>
        <v>0.01</v>
      </c>
      <c r="T171">
        <f t="shared" ca="1" si="31"/>
        <v>0.01</v>
      </c>
      <c r="U171">
        <f t="shared" ca="1" si="31"/>
        <v>0.01</v>
      </c>
      <c r="V171">
        <f t="shared" ca="1" si="31"/>
        <v>0.01</v>
      </c>
      <c r="W171">
        <f t="shared" ca="1" si="31"/>
        <v>0.01</v>
      </c>
    </row>
    <row r="172" spans="1:23" x14ac:dyDescent="0.3">
      <c r="A172" t="s">
        <v>120</v>
      </c>
      <c r="B172" t="s">
        <v>5</v>
      </c>
      <c r="C172" t="s">
        <v>15</v>
      </c>
      <c r="D172" t="s">
        <v>113</v>
      </c>
      <c r="E172" t="s">
        <v>121</v>
      </c>
      <c r="F172" t="s">
        <v>115</v>
      </c>
      <c r="G172" t="s">
        <v>56</v>
      </c>
      <c r="L172" t="s">
        <v>117</v>
      </c>
      <c r="M172">
        <v>40000</v>
      </c>
      <c r="N172">
        <f t="shared" ca="1" si="31"/>
        <v>40000</v>
      </c>
      <c r="O172">
        <f t="shared" ca="1" si="31"/>
        <v>40000</v>
      </c>
      <c r="P172">
        <f t="shared" ca="1" si="31"/>
        <v>40000</v>
      </c>
      <c r="Q172">
        <f t="shared" ca="1" si="31"/>
        <v>40000</v>
      </c>
      <c r="R172">
        <f t="shared" ca="1" si="31"/>
        <v>40000</v>
      </c>
      <c r="S172">
        <f t="shared" ca="1" si="31"/>
        <v>40000</v>
      </c>
      <c r="T172">
        <f t="shared" ca="1" si="31"/>
        <v>40000</v>
      </c>
      <c r="U172">
        <f t="shared" ca="1" si="31"/>
        <v>40000</v>
      </c>
      <c r="V172">
        <f t="shared" ca="1" si="31"/>
        <v>40000</v>
      </c>
      <c r="W172">
        <f t="shared" ca="1" si="31"/>
        <v>40000</v>
      </c>
    </row>
    <row r="173" spans="1:23" x14ac:dyDescent="0.3">
      <c r="A173" t="s">
        <v>120</v>
      </c>
      <c r="B173" t="s">
        <v>5</v>
      </c>
      <c r="C173" t="s">
        <v>15</v>
      </c>
      <c r="D173" t="s">
        <v>113</v>
      </c>
      <c r="E173" t="s">
        <v>121</v>
      </c>
      <c r="F173" t="s">
        <v>115</v>
      </c>
      <c r="G173" t="s">
        <v>58</v>
      </c>
      <c r="L173" t="s">
        <v>54</v>
      </c>
      <c r="M173">
        <v>0.85</v>
      </c>
      <c r="N173">
        <f t="shared" ca="1" si="31"/>
        <v>0.85</v>
      </c>
      <c r="O173">
        <f t="shared" ca="1" si="31"/>
        <v>0.85</v>
      </c>
      <c r="P173">
        <f t="shared" ca="1" si="31"/>
        <v>0.85</v>
      </c>
      <c r="Q173">
        <f t="shared" ca="1" si="31"/>
        <v>0.85</v>
      </c>
      <c r="R173">
        <f t="shared" ca="1" si="31"/>
        <v>0.85</v>
      </c>
      <c r="S173">
        <f t="shared" ca="1" si="31"/>
        <v>0.85</v>
      </c>
      <c r="T173">
        <f t="shared" ca="1" si="31"/>
        <v>0.85</v>
      </c>
      <c r="U173">
        <f t="shared" ca="1" si="31"/>
        <v>0.85</v>
      </c>
      <c r="V173">
        <f t="shared" ca="1" si="31"/>
        <v>0.85</v>
      </c>
      <c r="W173">
        <f t="shared" ca="1" si="31"/>
        <v>0.85</v>
      </c>
    </row>
    <row r="174" spans="1:23" x14ac:dyDescent="0.3">
      <c r="A174" t="s">
        <v>120</v>
      </c>
      <c r="B174" t="s">
        <v>5</v>
      </c>
      <c r="C174" t="s">
        <v>15</v>
      </c>
      <c r="D174" t="s">
        <v>113</v>
      </c>
      <c r="E174" t="s">
        <v>121</v>
      </c>
      <c r="F174" t="s">
        <v>118</v>
      </c>
      <c r="G174" t="s">
        <v>52</v>
      </c>
      <c r="H174" t="s">
        <v>119</v>
      </c>
    </row>
    <row r="175" spans="1:23" x14ac:dyDescent="0.3">
      <c r="A175" t="s">
        <v>120</v>
      </c>
      <c r="B175" t="s">
        <v>5</v>
      </c>
      <c r="C175" t="s">
        <v>15</v>
      </c>
      <c r="D175" t="s">
        <v>113</v>
      </c>
      <c r="E175" t="s">
        <v>121</v>
      </c>
      <c r="F175" t="s">
        <v>118</v>
      </c>
      <c r="G175" t="s">
        <v>53</v>
      </c>
      <c r="L175" t="s">
        <v>54</v>
      </c>
      <c r="M175">
        <v>0.34</v>
      </c>
      <c r="N175">
        <f t="shared" ref="N175:W178" ca="1" si="32">M175</f>
        <v>0.34</v>
      </c>
      <c r="O175">
        <f t="shared" ca="1" si="32"/>
        <v>0.34</v>
      </c>
      <c r="P175">
        <f t="shared" ca="1" si="32"/>
        <v>0.34</v>
      </c>
      <c r="Q175">
        <f t="shared" ca="1" si="32"/>
        <v>0.34</v>
      </c>
      <c r="R175">
        <f t="shared" ca="1" si="32"/>
        <v>0.34</v>
      </c>
      <c r="S175">
        <f t="shared" ca="1" si="32"/>
        <v>0.34</v>
      </c>
      <c r="T175">
        <f t="shared" ca="1" si="32"/>
        <v>0.34</v>
      </c>
      <c r="U175">
        <f t="shared" ca="1" si="32"/>
        <v>0.34</v>
      </c>
      <c r="V175">
        <f t="shared" ca="1" si="32"/>
        <v>0.34</v>
      </c>
      <c r="W175">
        <f t="shared" ca="1" si="32"/>
        <v>0.34</v>
      </c>
    </row>
    <row r="176" spans="1:23" x14ac:dyDescent="0.3">
      <c r="A176" t="s">
        <v>120</v>
      </c>
      <c r="B176" t="s">
        <v>5</v>
      </c>
      <c r="C176" t="s">
        <v>15</v>
      </c>
      <c r="D176" t="s">
        <v>113</v>
      </c>
      <c r="E176" t="s">
        <v>121</v>
      </c>
      <c r="F176" t="s">
        <v>118</v>
      </c>
      <c r="G176" t="s">
        <v>55</v>
      </c>
      <c r="L176" t="s">
        <v>54</v>
      </c>
      <c r="M176">
        <v>0.01</v>
      </c>
      <c r="N176">
        <f t="shared" ca="1" si="32"/>
        <v>0.01</v>
      </c>
      <c r="O176">
        <f t="shared" ca="1" si="32"/>
        <v>0.01</v>
      </c>
      <c r="P176">
        <f t="shared" ca="1" si="32"/>
        <v>0.01</v>
      </c>
      <c r="Q176">
        <f t="shared" ca="1" si="32"/>
        <v>0.01</v>
      </c>
      <c r="R176">
        <f t="shared" ca="1" si="32"/>
        <v>0.01</v>
      </c>
      <c r="S176">
        <f t="shared" ca="1" si="32"/>
        <v>0.01</v>
      </c>
      <c r="T176">
        <f t="shared" ca="1" si="32"/>
        <v>0.01</v>
      </c>
      <c r="U176">
        <f t="shared" ca="1" si="32"/>
        <v>0.01</v>
      </c>
      <c r="V176">
        <f t="shared" ca="1" si="32"/>
        <v>0.01</v>
      </c>
      <c r="W176">
        <f t="shared" ca="1" si="32"/>
        <v>0.01</v>
      </c>
    </row>
    <row r="177" spans="1:23" x14ac:dyDescent="0.3">
      <c r="A177" t="s">
        <v>120</v>
      </c>
      <c r="B177" t="s">
        <v>5</v>
      </c>
      <c r="C177" t="s">
        <v>15</v>
      </c>
      <c r="D177" t="s">
        <v>113</v>
      </c>
      <c r="E177" t="s">
        <v>121</v>
      </c>
      <c r="F177" t="s">
        <v>118</v>
      </c>
      <c r="G177" t="s">
        <v>56</v>
      </c>
      <c r="L177" t="s">
        <v>117</v>
      </c>
      <c r="M177">
        <v>40000</v>
      </c>
      <c r="N177">
        <f t="shared" ca="1" si="32"/>
        <v>40000</v>
      </c>
      <c r="O177">
        <f t="shared" ca="1" si="32"/>
        <v>40000</v>
      </c>
      <c r="P177">
        <f t="shared" ca="1" si="32"/>
        <v>40000</v>
      </c>
      <c r="Q177">
        <f t="shared" ca="1" si="32"/>
        <v>40000</v>
      </c>
      <c r="R177">
        <f t="shared" ca="1" si="32"/>
        <v>40000</v>
      </c>
      <c r="S177">
        <f t="shared" ca="1" si="32"/>
        <v>40000</v>
      </c>
      <c r="T177">
        <f t="shared" ca="1" si="32"/>
        <v>40000</v>
      </c>
      <c r="U177">
        <f t="shared" ca="1" si="32"/>
        <v>40000</v>
      </c>
      <c r="V177">
        <f t="shared" ca="1" si="32"/>
        <v>40000</v>
      </c>
      <c r="W177">
        <f t="shared" ca="1" si="32"/>
        <v>40000</v>
      </c>
    </row>
    <row r="178" spans="1:23" x14ac:dyDescent="0.3">
      <c r="A178" t="s">
        <v>120</v>
      </c>
      <c r="B178" t="s">
        <v>5</v>
      </c>
      <c r="C178" t="s">
        <v>15</v>
      </c>
      <c r="D178" t="s">
        <v>113</v>
      </c>
      <c r="E178" t="s">
        <v>121</v>
      </c>
      <c r="F178" t="s">
        <v>118</v>
      </c>
      <c r="G178" t="s">
        <v>58</v>
      </c>
      <c r="L178" t="s">
        <v>54</v>
      </c>
      <c r="M178">
        <v>0.85</v>
      </c>
      <c r="N178">
        <f t="shared" ca="1" si="32"/>
        <v>0.85</v>
      </c>
      <c r="O178">
        <f t="shared" ca="1" si="32"/>
        <v>0.85</v>
      </c>
      <c r="P178">
        <f t="shared" ca="1" si="32"/>
        <v>0.85</v>
      </c>
      <c r="Q178">
        <f t="shared" ca="1" si="32"/>
        <v>0.85</v>
      </c>
      <c r="R178">
        <f t="shared" ca="1" si="32"/>
        <v>0.85</v>
      </c>
      <c r="S178">
        <f t="shared" ca="1" si="32"/>
        <v>0.85</v>
      </c>
      <c r="T178">
        <f t="shared" ca="1" si="32"/>
        <v>0.85</v>
      </c>
      <c r="U178">
        <f t="shared" ca="1" si="32"/>
        <v>0.85</v>
      </c>
      <c r="V178">
        <f t="shared" ca="1" si="32"/>
        <v>0.85</v>
      </c>
      <c r="W178">
        <f t="shared" ca="1" si="32"/>
        <v>0.85</v>
      </c>
    </row>
    <row r="179" spans="1:23" x14ac:dyDescent="0.3">
      <c r="A179" t="s">
        <v>122</v>
      </c>
      <c r="B179" t="s">
        <v>5</v>
      </c>
      <c r="C179" t="s">
        <v>15</v>
      </c>
      <c r="D179" t="s">
        <v>113</v>
      </c>
      <c r="E179" t="s">
        <v>77</v>
      </c>
      <c r="F179" t="s">
        <v>77</v>
      </c>
      <c r="G179" t="s">
        <v>52</v>
      </c>
      <c r="H179" t="s">
        <v>77</v>
      </c>
    </row>
    <row r="180" spans="1:23" x14ac:dyDescent="0.3">
      <c r="A180" t="s">
        <v>122</v>
      </c>
      <c r="B180" t="s">
        <v>5</v>
      </c>
      <c r="C180" t="s">
        <v>15</v>
      </c>
      <c r="D180" t="s">
        <v>113</v>
      </c>
      <c r="E180" t="s">
        <v>77</v>
      </c>
      <c r="F180" t="s">
        <v>77</v>
      </c>
      <c r="G180" t="s">
        <v>53</v>
      </c>
      <c r="L180" t="s">
        <v>54</v>
      </c>
      <c r="M180">
        <v>0.85</v>
      </c>
      <c r="N180">
        <f t="shared" ref="N180:W183" ca="1" si="33">M180</f>
        <v>0.85</v>
      </c>
      <c r="O180">
        <f t="shared" ca="1" si="33"/>
        <v>0.85</v>
      </c>
      <c r="P180">
        <f t="shared" ca="1" si="33"/>
        <v>0.85</v>
      </c>
      <c r="Q180">
        <f t="shared" ca="1" si="33"/>
        <v>0.85</v>
      </c>
      <c r="R180">
        <f t="shared" ca="1" si="33"/>
        <v>0.85</v>
      </c>
      <c r="S180">
        <f t="shared" ca="1" si="33"/>
        <v>0.85</v>
      </c>
      <c r="T180">
        <f t="shared" ca="1" si="33"/>
        <v>0.85</v>
      </c>
      <c r="U180">
        <f t="shared" ca="1" si="33"/>
        <v>0.85</v>
      </c>
      <c r="V180">
        <f t="shared" ca="1" si="33"/>
        <v>0.85</v>
      </c>
      <c r="W180">
        <f t="shared" ca="1" si="33"/>
        <v>0.85</v>
      </c>
    </row>
    <row r="181" spans="1:23" x14ac:dyDescent="0.3">
      <c r="A181" t="s">
        <v>122</v>
      </c>
      <c r="B181" t="s">
        <v>5</v>
      </c>
      <c r="C181" t="s">
        <v>15</v>
      </c>
      <c r="D181" t="s">
        <v>113</v>
      </c>
      <c r="E181" t="s">
        <v>77</v>
      </c>
      <c r="F181" t="s">
        <v>77</v>
      </c>
      <c r="G181" t="s">
        <v>55</v>
      </c>
      <c r="L181" t="s">
        <v>54</v>
      </c>
      <c r="M181">
        <v>2.5000000000000001E-3</v>
      </c>
      <c r="N181">
        <f t="shared" ca="1" si="33"/>
        <v>2.5000000000000001E-3</v>
      </c>
      <c r="O181">
        <f t="shared" ca="1" si="33"/>
        <v>2.5000000000000001E-3</v>
      </c>
      <c r="P181">
        <f t="shared" ca="1" si="33"/>
        <v>2.5000000000000001E-3</v>
      </c>
      <c r="Q181">
        <f t="shared" ca="1" si="33"/>
        <v>2.5000000000000001E-3</v>
      </c>
      <c r="R181">
        <f t="shared" ca="1" si="33"/>
        <v>2.5000000000000001E-3</v>
      </c>
      <c r="S181">
        <f t="shared" ca="1" si="33"/>
        <v>2.5000000000000001E-3</v>
      </c>
      <c r="T181">
        <f t="shared" ca="1" si="33"/>
        <v>2.5000000000000001E-3</v>
      </c>
      <c r="U181">
        <f t="shared" ca="1" si="33"/>
        <v>2.5000000000000001E-3</v>
      </c>
      <c r="V181">
        <f t="shared" ca="1" si="33"/>
        <v>2.5000000000000001E-3</v>
      </c>
      <c r="W181">
        <f t="shared" ca="1" si="33"/>
        <v>2.5000000000000001E-3</v>
      </c>
    </row>
    <row r="182" spans="1:23" x14ac:dyDescent="0.3">
      <c r="A182" t="s">
        <v>122</v>
      </c>
      <c r="B182" t="s">
        <v>5</v>
      </c>
      <c r="C182" t="s">
        <v>15</v>
      </c>
      <c r="D182" t="s">
        <v>113</v>
      </c>
      <c r="E182" t="s">
        <v>77</v>
      </c>
      <c r="F182" t="s">
        <v>77</v>
      </c>
      <c r="G182" t="s">
        <v>56</v>
      </c>
      <c r="L182" t="s">
        <v>78</v>
      </c>
      <c r="M182">
        <f ca="1">2861100</f>
        <v>2861100</v>
      </c>
      <c r="N182">
        <f t="shared" ca="1" si="33"/>
        <v>2861100</v>
      </c>
      <c r="O182">
        <f t="shared" ca="1" si="33"/>
        <v>2861100</v>
      </c>
      <c r="P182">
        <f t="shared" ca="1" si="33"/>
        <v>2861100</v>
      </c>
      <c r="Q182">
        <f t="shared" ca="1" si="33"/>
        <v>2861100</v>
      </c>
      <c r="R182">
        <f t="shared" ca="1" si="33"/>
        <v>2861100</v>
      </c>
      <c r="S182">
        <f t="shared" ca="1" si="33"/>
        <v>2861100</v>
      </c>
      <c r="T182">
        <f t="shared" ca="1" si="33"/>
        <v>2861100</v>
      </c>
      <c r="U182">
        <f t="shared" ca="1" si="33"/>
        <v>2861100</v>
      </c>
      <c r="V182">
        <f t="shared" ca="1" si="33"/>
        <v>2861100</v>
      </c>
      <c r="W182">
        <f t="shared" ca="1" si="33"/>
        <v>2861100</v>
      </c>
    </row>
    <row r="183" spans="1:23" x14ac:dyDescent="0.3">
      <c r="A183" t="s">
        <v>122</v>
      </c>
      <c r="B183" t="s">
        <v>5</v>
      </c>
      <c r="C183" t="s">
        <v>15</v>
      </c>
      <c r="D183" t="s">
        <v>113</v>
      </c>
      <c r="E183" t="s">
        <v>77</v>
      </c>
      <c r="F183" t="s">
        <v>77</v>
      </c>
      <c r="G183" t="s">
        <v>58</v>
      </c>
      <c r="L183" t="s">
        <v>54</v>
      </c>
      <c r="M183">
        <v>0.95</v>
      </c>
      <c r="N183">
        <f t="shared" ca="1" si="33"/>
        <v>0.95</v>
      </c>
      <c r="O183">
        <f t="shared" ca="1" si="33"/>
        <v>0.95</v>
      </c>
      <c r="P183">
        <f t="shared" ca="1" si="33"/>
        <v>0.95</v>
      </c>
      <c r="Q183">
        <f t="shared" ca="1" si="33"/>
        <v>0.95</v>
      </c>
      <c r="R183">
        <f t="shared" ca="1" si="33"/>
        <v>0.95</v>
      </c>
      <c r="S183">
        <f t="shared" ca="1" si="33"/>
        <v>0.95</v>
      </c>
      <c r="T183">
        <f t="shared" ca="1" si="33"/>
        <v>0.95</v>
      </c>
      <c r="U183">
        <f t="shared" ca="1" si="33"/>
        <v>0.95</v>
      </c>
      <c r="V183">
        <f t="shared" ca="1" si="33"/>
        <v>0.95</v>
      </c>
      <c r="W183">
        <f t="shared" ca="1" si="33"/>
        <v>0.95</v>
      </c>
    </row>
    <row r="184" spans="1:23" x14ac:dyDescent="0.3">
      <c r="A184" t="s">
        <v>123</v>
      </c>
      <c r="B184" t="s">
        <v>4</v>
      </c>
      <c r="C184" t="s">
        <v>15</v>
      </c>
      <c r="D184" t="s">
        <v>124</v>
      </c>
      <c r="E184" t="s">
        <v>125</v>
      </c>
      <c r="F184" t="s">
        <v>126</v>
      </c>
      <c r="G184" t="s">
        <v>52</v>
      </c>
      <c r="H184" t="s">
        <v>127</v>
      </c>
    </row>
    <row r="185" spans="1:23" x14ac:dyDescent="0.3">
      <c r="A185" t="s">
        <v>128</v>
      </c>
      <c r="B185" t="s">
        <v>4</v>
      </c>
      <c r="C185" t="s">
        <v>15</v>
      </c>
      <c r="D185" t="s">
        <v>124</v>
      </c>
      <c r="E185" t="s">
        <v>129</v>
      </c>
      <c r="F185" t="s">
        <v>130</v>
      </c>
      <c r="G185" t="s">
        <v>52</v>
      </c>
      <c r="H185" t="s">
        <v>127</v>
      </c>
    </row>
    <row r="186" spans="1:23" x14ac:dyDescent="0.3">
      <c r="A186" t="s">
        <v>128</v>
      </c>
      <c r="B186" t="s">
        <v>4</v>
      </c>
      <c r="C186" t="s">
        <v>15</v>
      </c>
      <c r="D186" t="s">
        <v>124</v>
      </c>
      <c r="E186" t="s">
        <v>129</v>
      </c>
      <c r="F186" t="s">
        <v>131</v>
      </c>
      <c r="G186" t="s">
        <v>52</v>
      </c>
      <c r="H186" t="s">
        <v>127</v>
      </c>
    </row>
    <row r="187" spans="1:23" x14ac:dyDescent="0.3">
      <c r="A187" t="s">
        <v>132</v>
      </c>
      <c r="B187" t="s">
        <v>4</v>
      </c>
      <c r="C187" t="s">
        <v>15</v>
      </c>
      <c r="D187" t="s">
        <v>124</v>
      </c>
      <c r="E187" t="s">
        <v>125</v>
      </c>
      <c r="F187" t="s">
        <v>126</v>
      </c>
      <c r="G187" t="s">
        <v>52</v>
      </c>
      <c r="H187" t="s">
        <v>127</v>
      </c>
    </row>
    <row r="188" spans="1:23" x14ac:dyDescent="0.3">
      <c r="A188" t="s">
        <v>133</v>
      </c>
      <c r="B188" t="s">
        <v>4</v>
      </c>
      <c r="C188" t="s">
        <v>15</v>
      </c>
      <c r="D188" t="s">
        <v>124</v>
      </c>
      <c r="E188" t="s">
        <v>129</v>
      </c>
      <c r="F188" t="s">
        <v>130</v>
      </c>
      <c r="G188" t="s">
        <v>52</v>
      </c>
      <c r="H188" t="s">
        <v>127</v>
      </c>
    </row>
    <row r="189" spans="1:23" x14ac:dyDescent="0.3">
      <c r="A189" t="s">
        <v>133</v>
      </c>
      <c r="B189" t="s">
        <v>4</v>
      </c>
      <c r="C189" t="s">
        <v>15</v>
      </c>
      <c r="D189" t="s">
        <v>124</v>
      </c>
      <c r="E189" t="s">
        <v>129</v>
      </c>
      <c r="F189" t="s">
        <v>131</v>
      </c>
      <c r="G189" t="s">
        <v>52</v>
      </c>
      <c r="H189" t="s">
        <v>127</v>
      </c>
    </row>
    <row r="190" spans="1:23" x14ac:dyDescent="0.3">
      <c r="A190" t="s">
        <v>134</v>
      </c>
      <c r="B190" t="s">
        <v>4</v>
      </c>
      <c r="C190" t="s">
        <v>15</v>
      </c>
      <c r="D190" t="s">
        <v>124</v>
      </c>
      <c r="E190" t="s">
        <v>125</v>
      </c>
      <c r="F190" t="s">
        <v>126</v>
      </c>
      <c r="G190" t="s">
        <v>52</v>
      </c>
      <c r="H190" t="s">
        <v>127</v>
      </c>
    </row>
    <row r="191" spans="1:23" x14ac:dyDescent="0.3">
      <c r="A191" t="s">
        <v>135</v>
      </c>
      <c r="B191" t="s">
        <v>4</v>
      </c>
      <c r="C191" t="s">
        <v>15</v>
      </c>
      <c r="D191" t="s">
        <v>124</v>
      </c>
      <c r="E191" t="s">
        <v>129</v>
      </c>
      <c r="F191" t="s">
        <v>130</v>
      </c>
      <c r="G191" t="s">
        <v>52</v>
      </c>
      <c r="H191" t="s">
        <v>127</v>
      </c>
    </row>
    <row r="192" spans="1:23" x14ac:dyDescent="0.3">
      <c r="A192" t="s">
        <v>135</v>
      </c>
      <c r="B192" t="s">
        <v>4</v>
      </c>
      <c r="C192" t="s">
        <v>15</v>
      </c>
      <c r="D192" t="s">
        <v>124</v>
      </c>
      <c r="E192" t="s">
        <v>129</v>
      </c>
      <c r="F192" t="s">
        <v>131</v>
      </c>
      <c r="G192" t="s">
        <v>52</v>
      </c>
      <c r="H192" t="s">
        <v>127</v>
      </c>
    </row>
    <row r="193" spans="1:8" x14ac:dyDescent="0.3">
      <c r="A193" t="s">
        <v>136</v>
      </c>
      <c r="B193" t="s">
        <v>4</v>
      </c>
      <c r="C193" t="s">
        <v>15</v>
      </c>
      <c r="D193" t="s">
        <v>124</v>
      </c>
      <c r="E193" t="s">
        <v>125</v>
      </c>
      <c r="F193" t="s">
        <v>126</v>
      </c>
      <c r="G193" t="s">
        <v>52</v>
      </c>
      <c r="H193" t="s">
        <v>127</v>
      </c>
    </row>
    <row r="194" spans="1:8" x14ac:dyDescent="0.3">
      <c r="A194" t="s">
        <v>136</v>
      </c>
      <c r="B194" t="s">
        <v>4</v>
      </c>
      <c r="C194" t="s">
        <v>15</v>
      </c>
      <c r="D194" t="s">
        <v>124</v>
      </c>
      <c r="E194" t="s">
        <v>125</v>
      </c>
      <c r="F194" t="s">
        <v>137</v>
      </c>
      <c r="G194" t="s">
        <v>52</v>
      </c>
      <c r="H194" t="s">
        <v>127</v>
      </c>
    </row>
    <row r="195" spans="1:8" x14ac:dyDescent="0.3">
      <c r="A195" t="s">
        <v>138</v>
      </c>
      <c r="B195" t="s">
        <v>4</v>
      </c>
      <c r="C195" t="s">
        <v>15</v>
      </c>
      <c r="D195" t="s">
        <v>124</v>
      </c>
      <c r="E195" t="s">
        <v>129</v>
      </c>
      <c r="F195" t="s">
        <v>130</v>
      </c>
      <c r="G195" t="s">
        <v>52</v>
      </c>
      <c r="H195" t="s">
        <v>127</v>
      </c>
    </row>
    <row r="196" spans="1:8" x14ac:dyDescent="0.3">
      <c r="A196" t="s">
        <v>138</v>
      </c>
      <c r="B196" t="s">
        <v>4</v>
      </c>
      <c r="C196" t="s">
        <v>15</v>
      </c>
      <c r="D196" t="s">
        <v>124</v>
      </c>
      <c r="E196" t="s">
        <v>129</v>
      </c>
      <c r="F196" t="s">
        <v>131</v>
      </c>
      <c r="G196" t="s">
        <v>52</v>
      </c>
      <c r="H196" t="s">
        <v>127</v>
      </c>
    </row>
    <row r="197" spans="1:8" x14ac:dyDescent="0.3">
      <c r="A197" t="s">
        <v>138</v>
      </c>
      <c r="B197" t="s">
        <v>4</v>
      </c>
      <c r="C197" t="s">
        <v>15</v>
      </c>
      <c r="D197" t="s">
        <v>124</v>
      </c>
      <c r="E197" t="s">
        <v>129</v>
      </c>
      <c r="F197" t="s">
        <v>137</v>
      </c>
      <c r="G197" t="s">
        <v>52</v>
      </c>
      <c r="H197" t="s">
        <v>127</v>
      </c>
    </row>
    <row r="198" spans="1:8" x14ac:dyDescent="0.3">
      <c r="A198" t="s">
        <v>139</v>
      </c>
      <c r="B198" t="s">
        <v>4</v>
      </c>
      <c r="C198" t="s">
        <v>15</v>
      </c>
      <c r="D198" t="s">
        <v>124</v>
      </c>
      <c r="E198" t="s">
        <v>125</v>
      </c>
      <c r="F198" t="s">
        <v>126</v>
      </c>
      <c r="G198" t="s">
        <v>52</v>
      </c>
      <c r="H198" t="s">
        <v>127</v>
      </c>
    </row>
    <row r="199" spans="1:8" x14ac:dyDescent="0.3">
      <c r="A199" t="s">
        <v>139</v>
      </c>
      <c r="B199" t="s">
        <v>4</v>
      </c>
      <c r="C199" t="s">
        <v>15</v>
      </c>
      <c r="D199" t="s">
        <v>124</v>
      </c>
      <c r="E199" t="s">
        <v>125</v>
      </c>
      <c r="F199" t="s">
        <v>137</v>
      </c>
      <c r="G199" t="s">
        <v>52</v>
      </c>
      <c r="H199" t="s">
        <v>127</v>
      </c>
    </row>
    <row r="200" spans="1:8" x14ac:dyDescent="0.3">
      <c r="A200" t="s">
        <v>140</v>
      </c>
      <c r="B200" t="s">
        <v>4</v>
      </c>
      <c r="C200" t="s">
        <v>15</v>
      </c>
      <c r="D200" t="s">
        <v>124</v>
      </c>
      <c r="E200" t="s">
        <v>129</v>
      </c>
      <c r="F200" t="s">
        <v>130</v>
      </c>
      <c r="G200" t="s">
        <v>52</v>
      </c>
      <c r="H200" t="s">
        <v>127</v>
      </c>
    </row>
    <row r="201" spans="1:8" x14ac:dyDescent="0.3">
      <c r="A201" t="s">
        <v>140</v>
      </c>
      <c r="B201" t="s">
        <v>4</v>
      </c>
      <c r="C201" t="s">
        <v>15</v>
      </c>
      <c r="D201" t="s">
        <v>124</v>
      </c>
      <c r="E201" t="s">
        <v>129</v>
      </c>
      <c r="F201" t="s">
        <v>131</v>
      </c>
      <c r="G201" t="s">
        <v>52</v>
      </c>
      <c r="H201" t="s">
        <v>127</v>
      </c>
    </row>
    <row r="202" spans="1:8" x14ac:dyDescent="0.3">
      <c r="A202" t="s">
        <v>140</v>
      </c>
      <c r="B202" t="s">
        <v>4</v>
      </c>
      <c r="C202" t="s">
        <v>15</v>
      </c>
      <c r="D202" t="s">
        <v>124</v>
      </c>
      <c r="E202" t="s">
        <v>129</v>
      </c>
      <c r="F202" t="s">
        <v>137</v>
      </c>
      <c r="G202" t="s">
        <v>52</v>
      </c>
      <c r="H202" t="s">
        <v>127</v>
      </c>
    </row>
    <row r="203" spans="1:8" x14ac:dyDescent="0.3">
      <c r="A203" t="s">
        <v>141</v>
      </c>
      <c r="B203" t="s">
        <v>4</v>
      </c>
      <c r="C203" t="s">
        <v>15</v>
      </c>
      <c r="D203" t="s">
        <v>124</v>
      </c>
      <c r="E203" t="s">
        <v>125</v>
      </c>
      <c r="F203" t="s">
        <v>126</v>
      </c>
      <c r="G203" t="s">
        <v>52</v>
      </c>
      <c r="H203" t="s">
        <v>127</v>
      </c>
    </row>
    <row r="204" spans="1:8" x14ac:dyDescent="0.3">
      <c r="A204" t="s">
        <v>141</v>
      </c>
      <c r="B204" t="s">
        <v>4</v>
      </c>
      <c r="C204" t="s">
        <v>15</v>
      </c>
      <c r="D204" t="s">
        <v>124</v>
      </c>
      <c r="E204" t="s">
        <v>125</v>
      </c>
      <c r="F204" t="s">
        <v>137</v>
      </c>
      <c r="G204" t="s">
        <v>52</v>
      </c>
      <c r="H204" t="s">
        <v>127</v>
      </c>
    </row>
    <row r="205" spans="1:8" x14ac:dyDescent="0.3">
      <c r="A205" t="s">
        <v>142</v>
      </c>
      <c r="B205" t="s">
        <v>4</v>
      </c>
      <c r="C205" t="s">
        <v>15</v>
      </c>
      <c r="D205" t="s">
        <v>124</v>
      </c>
      <c r="E205" t="s">
        <v>129</v>
      </c>
      <c r="F205" t="s">
        <v>130</v>
      </c>
      <c r="G205" t="s">
        <v>52</v>
      </c>
      <c r="H205" t="s">
        <v>127</v>
      </c>
    </row>
    <row r="206" spans="1:8" x14ac:dyDescent="0.3">
      <c r="A206" t="s">
        <v>142</v>
      </c>
      <c r="B206" t="s">
        <v>4</v>
      </c>
      <c r="C206" t="s">
        <v>15</v>
      </c>
      <c r="D206" t="s">
        <v>124</v>
      </c>
      <c r="E206" t="s">
        <v>129</v>
      </c>
      <c r="F206" t="s">
        <v>131</v>
      </c>
      <c r="G206" t="s">
        <v>52</v>
      </c>
      <c r="H206" t="s">
        <v>127</v>
      </c>
    </row>
    <row r="207" spans="1:8" x14ac:dyDescent="0.3">
      <c r="A207" t="s">
        <v>142</v>
      </c>
      <c r="B207" t="s">
        <v>4</v>
      </c>
      <c r="C207" t="s">
        <v>15</v>
      </c>
      <c r="D207" t="s">
        <v>124</v>
      </c>
      <c r="E207" t="s">
        <v>129</v>
      </c>
      <c r="F207" t="s">
        <v>137</v>
      </c>
      <c r="G207" t="s">
        <v>52</v>
      </c>
      <c r="H207" t="s">
        <v>127</v>
      </c>
    </row>
    <row r="208" spans="1:8" x14ac:dyDescent="0.3">
      <c r="A208" t="s">
        <v>143</v>
      </c>
      <c r="B208" t="s">
        <v>4</v>
      </c>
      <c r="C208" t="s">
        <v>15</v>
      </c>
      <c r="D208" t="s">
        <v>124</v>
      </c>
      <c r="E208" t="s">
        <v>125</v>
      </c>
      <c r="F208" t="s">
        <v>126</v>
      </c>
      <c r="G208" t="s">
        <v>52</v>
      </c>
      <c r="H208" t="s">
        <v>127</v>
      </c>
    </row>
    <row r="209" spans="1:8" x14ac:dyDescent="0.3">
      <c r="A209" t="s">
        <v>144</v>
      </c>
      <c r="B209" t="s">
        <v>4</v>
      </c>
      <c r="C209" t="s">
        <v>15</v>
      </c>
      <c r="D209" t="s">
        <v>124</v>
      </c>
      <c r="E209" t="s">
        <v>129</v>
      </c>
      <c r="F209" t="s">
        <v>130</v>
      </c>
      <c r="G209" t="s">
        <v>52</v>
      </c>
      <c r="H209" t="s">
        <v>127</v>
      </c>
    </row>
    <row r="210" spans="1:8" x14ac:dyDescent="0.3">
      <c r="A210" t="s">
        <v>144</v>
      </c>
      <c r="B210" t="s">
        <v>4</v>
      </c>
      <c r="C210" t="s">
        <v>15</v>
      </c>
      <c r="D210" t="s">
        <v>124</v>
      </c>
      <c r="E210" t="s">
        <v>129</v>
      </c>
      <c r="F210" t="s">
        <v>131</v>
      </c>
      <c r="G210" t="s">
        <v>52</v>
      </c>
      <c r="H210" t="s">
        <v>127</v>
      </c>
    </row>
    <row r="211" spans="1:8" x14ac:dyDescent="0.3">
      <c r="A211" t="s">
        <v>145</v>
      </c>
      <c r="B211" t="s">
        <v>4</v>
      </c>
      <c r="C211" t="s">
        <v>15</v>
      </c>
      <c r="D211" t="s">
        <v>124</v>
      </c>
      <c r="E211" t="s">
        <v>125</v>
      </c>
      <c r="F211" t="s">
        <v>126</v>
      </c>
      <c r="G211" t="s">
        <v>52</v>
      </c>
      <c r="H211" t="s">
        <v>127</v>
      </c>
    </row>
    <row r="212" spans="1:8" x14ac:dyDescent="0.3">
      <c r="A212" t="s">
        <v>146</v>
      </c>
      <c r="B212" t="s">
        <v>4</v>
      </c>
      <c r="C212" t="s">
        <v>15</v>
      </c>
      <c r="D212" t="s">
        <v>124</v>
      </c>
      <c r="E212" t="s">
        <v>129</v>
      </c>
      <c r="F212" t="s">
        <v>130</v>
      </c>
      <c r="G212" t="s">
        <v>52</v>
      </c>
      <c r="H212" t="s">
        <v>127</v>
      </c>
    </row>
    <row r="213" spans="1:8" x14ac:dyDescent="0.3">
      <c r="A213" t="s">
        <v>146</v>
      </c>
      <c r="B213" t="s">
        <v>4</v>
      </c>
      <c r="C213" t="s">
        <v>15</v>
      </c>
      <c r="D213" t="s">
        <v>124</v>
      </c>
      <c r="E213" t="s">
        <v>129</v>
      </c>
      <c r="F213" t="s">
        <v>131</v>
      </c>
      <c r="G213" t="s">
        <v>52</v>
      </c>
      <c r="H213" t="s">
        <v>127</v>
      </c>
    </row>
    <row r="214" spans="1:8" x14ac:dyDescent="0.3">
      <c r="A214" t="s">
        <v>147</v>
      </c>
      <c r="B214" t="s">
        <v>4</v>
      </c>
      <c r="C214" t="s">
        <v>15</v>
      </c>
      <c r="D214" t="s">
        <v>124</v>
      </c>
      <c r="E214" t="s">
        <v>125</v>
      </c>
      <c r="F214" t="s">
        <v>126</v>
      </c>
      <c r="G214" t="s">
        <v>52</v>
      </c>
      <c r="H214" t="s">
        <v>127</v>
      </c>
    </row>
    <row r="215" spans="1:8" x14ac:dyDescent="0.3">
      <c r="A215" t="s">
        <v>148</v>
      </c>
      <c r="B215" t="s">
        <v>4</v>
      </c>
      <c r="C215" t="s">
        <v>15</v>
      </c>
      <c r="D215" t="s">
        <v>124</v>
      </c>
      <c r="E215" t="s">
        <v>129</v>
      </c>
      <c r="F215" t="s">
        <v>130</v>
      </c>
      <c r="G215" t="s">
        <v>52</v>
      </c>
      <c r="H215" t="s">
        <v>127</v>
      </c>
    </row>
    <row r="216" spans="1:8" x14ac:dyDescent="0.3">
      <c r="A216" t="s">
        <v>148</v>
      </c>
      <c r="B216" t="s">
        <v>4</v>
      </c>
      <c r="C216" t="s">
        <v>15</v>
      </c>
      <c r="D216" t="s">
        <v>124</v>
      </c>
      <c r="E216" t="s">
        <v>129</v>
      </c>
      <c r="F216" t="s">
        <v>131</v>
      </c>
      <c r="G216" t="s">
        <v>52</v>
      </c>
      <c r="H216" t="s">
        <v>127</v>
      </c>
    </row>
    <row r="217" spans="1:8" x14ac:dyDescent="0.3">
      <c r="A217" t="s">
        <v>149</v>
      </c>
      <c r="B217" t="s">
        <v>4</v>
      </c>
      <c r="C217" t="s">
        <v>15</v>
      </c>
      <c r="D217" t="s">
        <v>124</v>
      </c>
      <c r="E217" t="s">
        <v>125</v>
      </c>
      <c r="F217" t="s">
        <v>126</v>
      </c>
      <c r="G217" t="s">
        <v>52</v>
      </c>
      <c r="H217" t="s">
        <v>127</v>
      </c>
    </row>
    <row r="218" spans="1:8" x14ac:dyDescent="0.3">
      <c r="A218" t="s">
        <v>150</v>
      </c>
      <c r="B218" t="s">
        <v>4</v>
      </c>
      <c r="C218" t="s">
        <v>15</v>
      </c>
      <c r="D218" t="s">
        <v>124</v>
      </c>
      <c r="E218" t="s">
        <v>129</v>
      </c>
      <c r="F218" t="s">
        <v>130</v>
      </c>
      <c r="G218" t="s">
        <v>52</v>
      </c>
      <c r="H218" t="s">
        <v>127</v>
      </c>
    </row>
    <row r="219" spans="1:8" x14ac:dyDescent="0.3">
      <c r="A219" t="s">
        <v>150</v>
      </c>
      <c r="B219" t="s">
        <v>4</v>
      </c>
      <c r="C219" t="s">
        <v>15</v>
      </c>
      <c r="D219" t="s">
        <v>124</v>
      </c>
      <c r="E219" t="s">
        <v>129</v>
      </c>
      <c r="F219" t="s">
        <v>131</v>
      </c>
      <c r="G219" t="s">
        <v>52</v>
      </c>
      <c r="H219" t="s">
        <v>127</v>
      </c>
    </row>
    <row r="220" spans="1:8" x14ac:dyDescent="0.3">
      <c r="A220" t="s">
        <v>151</v>
      </c>
      <c r="B220" t="s">
        <v>4</v>
      </c>
      <c r="C220" t="s">
        <v>15</v>
      </c>
      <c r="D220" t="s">
        <v>124</v>
      </c>
      <c r="E220" t="s">
        <v>125</v>
      </c>
      <c r="F220" t="s">
        <v>126</v>
      </c>
      <c r="G220" t="s">
        <v>52</v>
      </c>
      <c r="H220" t="s">
        <v>127</v>
      </c>
    </row>
    <row r="221" spans="1:8" x14ac:dyDescent="0.3">
      <c r="A221" t="s">
        <v>152</v>
      </c>
      <c r="B221" t="s">
        <v>4</v>
      </c>
      <c r="C221" t="s">
        <v>15</v>
      </c>
      <c r="D221" t="s">
        <v>124</v>
      </c>
      <c r="E221" t="s">
        <v>129</v>
      </c>
      <c r="F221" t="s">
        <v>130</v>
      </c>
      <c r="G221" t="s">
        <v>52</v>
      </c>
      <c r="H221" t="s">
        <v>127</v>
      </c>
    </row>
    <row r="222" spans="1:8" x14ac:dyDescent="0.3">
      <c r="A222" t="s">
        <v>152</v>
      </c>
      <c r="B222" t="s">
        <v>4</v>
      </c>
      <c r="C222" t="s">
        <v>15</v>
      </c>
      <c r="D222" t="s">
        <v>124</v>
      </c>
      <c r="E222" t="s">
        <v>129</v>
      </c>
      <c r="F222" t="s">
        <v>131</v>
      </c>
      <c r="G222" t="s">
        <v>52</v>
      </c>
      <c r="H222" t="s">
        <v>127</v>
      </c>
    </row>
    <row r="223" spans="1:8" x14ac:dyDescent="0.3">
      <c r="A223" t="s">
        <v>153</v>
      </c>
      <c r="B223" t="s">
        <v>4</v>
      </c>
      <c r="C223" t="s">
        <v>15</v>
      </c>
      <c r="D223" t="s">
        <v>124</v>
      </c>
      <c r="E223" t="s">
        <v>125</v>
      </c>
      <c r="F223" t="s">
        <v>126</v>
      </c>
      <c r="G223" t="s">
        <v>52</v>
      </c>
      <c r="H223" t="s">
        <v>127</v>
      </c>
    </row>
    <row r="224" spans="1:8" x14ac:dyDescent="0.3">
      <c r="A224" t="s">
        <v>154</v>
      </c>
      <c r="B224" t="s">
        <v>4</v>
      </c>
      <c r="C224" t="s">
        <v>15</v>
      </c>
      <c r="D224" t="s">
        <v>124</v>
      </c>
      <c r="E224" t="s">
        <v>129</v>
      </c>
      <c r="F224" t="s">
        <v>130</v>
      </c>
      <c r="G224" t="s">
        <v>52</v>
      </c>
      <c r="H224" t="s">
        <v>127</v>
      </c>
    </row>
    <row r="225" spans="1:23" x14ac:dyDescent="0.3">
      <c r="A225" t="s">
        <v>154</v>
      </c>
      <c r="B225" t="s">
        <v>4</v>
      </c>
      <c r="C225" t="s">
        <v>15</v>
      </c>
      <c r="D225" t="s">
        <v>124</v>
      </c>
      <c r="E225" t="s">
        <v>129</v>
      </c>
      <c r="F225" t="s">
        <v>131</v>
      </c>
      <c r="G225" t="s">
        <v>52</v>
      </c>
      <c r="H225" t="s">
        <v>127</v>
      </c>
    </row>
    <row r="226" spans="1:23" x14ac:dyDescent="0.3">
      <c r="A226" t="s">
        <v>123</v>
      </c>
      <c r="B226" t="s">
        <v>4</v>
      </c>
      <c r="C226" t="s">
        <v>15</v>
      </c>
      <c r="D226" t="s">
        <v>124</v>
      </c>
      <c r="E226" t="s">
        <v>125</v>
      </c>
      <c r="F226" t="s">
        <v>126</v>
      </c>
      <c r="G226" t="s">
        <v>53</v>
      </c>
      <c r="M226">
        <v>0.4</v>
      </c>
      <c r="N226">
        <v>0.4</v>
      </c>
      <c r="O226">
        <v>0.4</v>
      </c>
      <c r="P226">
        <v>0.4</v>
      </c>
      <c r="Q226">
        <v>0.4</v>
      </c>
      <c r="R226">
        <v>0.4</v>
      </c>
      <c r="S226">
        <v>0.4</v>
      </c>
      <c r="T226">
        <v>0.4</v>
      </c>
      <c r="U226">
        <v>0.4</v>
      </c>
      <c r="V226">
        <v>0.4</v>
      </c>
      <c r="W226">
        <v>0.4</v>
      </c>
    </row>
    <row r="227" spans="1:23" x14ac:dyDescent="0.3">
      <c r="A227" t="s">
        <v>128</v>
      </c>
      <c r="B227" t="s">
        <v>4</v>
      </c>
      <c r="C227" t="s">
        <v>15</v>
      </c>
      <c r="D227" t="s">
        <v>124</v>
      </c>
      <c r="E227" t="s">
        <v>129</v>
      </c>
      <c r="F227" t="s">
        <v>130</v>
      </c>
      <c r="G227" t="s">
        <v>53</v>
      </c>
      <c r="M227">
        <v>0.4</v>
      </c>
      <c r="N227">
        <v>0.4</v>
      </c>
      <c r="O227">
        <v>0.4</v>
      </c>
      <c r="P227">
        <v>0.4</v>
      </c>
      <c r="Q227">
        <v>0.4</v>
      </c>
      <c r="R227">
        <v>0.4</v>
      </c>
      <c r="S227">
        <v>0.4</v>
      </c>
      <c r="T227">
        <v>0.4</v>
      </c>
      <c r="U227">
        <v>0.4</v>
      </c>
      <c r="V227">
        <v>0.4</v>
      </c>
      <c r="W227">
        <v>0.4</v>
      </c>
    </row>
    <row r="228" spans="1:23" x14ac:dyDescent="0.3">
      <c r="A228" t="s">
        <v>128</v>
      </c>
      <c r="B228" t="s">
        <v>4</v>
      </c>
      <c r="C228" t="s">
        <v>15</v>
      </c>
      <c r="D228" t="s">
        <v>124</v>
      </c>
      <c r="E228" t="s">
        <v>129</v>
      </c>
      <c r="F228" t="s">
        <v>131</v>
      </c>
      <c r="G228" t="s">
        <v>53</v>
      </c>
      <c r="M228">
        <v>0.4</v>
      </c>
      <c r="N228">
        <v>0.4</v>
      </c>
      <c r="O228">
        <v>0.4</v>
      </c>
      <c r="P228">
        <v>0.4</v>
      </c>
      <c r="Q228">
        <v>0.4</v>
      </c>
      <c r="R228">
        <v>0.4</v>
      </c>
      <c r="S228">
        <v>0.4</v>
      </c>
      <c r="T228">
        <v>0.4</v>
      </c>
      <c r="U228">
        <v>0.4</v>
      </c>
      <c r="V228">
        <v>0.4</v>
      </c>
      <c r="W228">
        <v>0.4</v>
      </c>
    </row>
    <row r="229" spans="1:23" x14ac:dyDescent="0.3">
      <c r="A229" t="s">
        <v>132</v>
      </c>
      <c r="B229" t="s">
        <v>4</v>
      </c>
      <c r="C229" t="s">
        <v>15</v>
      </c>
      <c r="D229" t="s">
        <v>124</v>
      </c>
      <c r="E229" t="s">
        <v>125</v>
      </c>
      <c r="F229" t="s">
        <v>126</v>
      </c>
      <c r="G229" t="s">
        <v>53</v>
      </c>
      <c r="M229">
        <v>0.4</v>
      </c>
      <c r="N229">
        <v>0.4</v>
      </c>
      <c r="O229">
        <v>0.4</v>
      </c>
      <c r="P229">
        <v>0.4</v>
      </c>
      <c r="Q229">
        <v>0.4</v>
      </c>
      <c r="R229">
        <v>0.4</v>
      </c>
      <c r="S229">
        <v>0.4</v>
      </c>
      <c r="T229">
        <v>0.4</v>
      </c>
      <c r="U229">
        <v>0.4</v>
      </c>
      <c r="V229">
        <v>0.4</v>
      </c>
      <c r="W229">
        <v>0.4</v>
      </c>
    </row>
    <row r="230" spans="1:23" x14ac:dyDescent="0.3">
      <c r="A230" t="s">
        <v>133</v>
      </c>
      <c r="B230" t="s">
        <v>4</v>
      </c>
      <c r="C230" t="s">
        <v>15</v>
      </c>
      <c r="D230" t="s">
        <v>124</v>
      </c>
      <c r="E230" t="s">
        <v>129</v>
      </c>
      <c r="F230" t="s">
        <v>130</v>
      </c>
      <c r="G230" t="s">
        <v>53</v>
      </c>
      <c r="M230">
        <v>0.4</v>
      </c>
      <c r="N230">
        <v>0.4</v>
      </c>
      <c r="O230">
        <v>0.4</v>
      </c>
      <c r="P230">
        <v>0.4</v>
      </c>
      <c r="Q230">
        <v>0.4</v>
      </c>
      <c r="R230">
        <v>0.4</v>
      </c>
      <c r="S230">
        <v>0.4</v>
      </c>
      <c r="T230">
        <v>0.4</v>
      </c>
      <c r="U230">
        <v>0.4</v>
      </c>
      <c r="V230">
        <v>0.4</v>
      </c>
      <c r="W230">
        <v>0.4</v>
      </c>
    </row>
    <row r="231" spans="1:23" x14ac:dyDescent="0.3">
      <c r="A231" t="s">
        <v>133</v>
      </c>
      <c r="B231" t="s">
        <v>4</v>
      </c>
      <c r="C231" t="s">
        <v>15</v>
      </c>
      <c r="D231" t="s">
        <v>124</v>
      </c>
      <c r="E231" t="s">
        <v>129</v>
      </c>
      <c r="F231" t="s">
        <v>131</v>
      </c>
      <c r="G231" t="s">
        <v>53</v>
      </c>
      <c r="M231">
        <v>0.4</v>
      </c>
      <c r="N231">
        <v>0.4</v>
      </c>
      <c r="O231">
        <v>0.4</v>
      </c>
      <c r="P231">
        <v>0.4</v>
      </c>
      <c r="Q231">
        <v>0.4</v>
      </c>
      <c r="R231">
        <v>0.4</v>
      </c>
      <c r="S231">
        <v>0.4</v>
      </c>
      <c r="T231">
        <v>0.4</v>
      </c>
      <c r="U231">
        <v>0.4</v>
      </c>
      <c r="V231">
        <v>0.4</v>
      </c>
      <c r="W231">
        <v>0.4</v>
      </c>
    </row>
    <row r="232" spans="1:23" x14ac:dyDescent="0.3">
      <c r="A232" t="s">
        <v>134</v>
      </c>
      <c r="B232" t="s">
        <v>4</v>
      </c>
      <c r="C232" t="s">
        <v>15</v>
      </c>
      <c r="D232" t="s">
        <v>124</v>
      </c>
      <c r="E232" t="s">
        <v>125</v>
      </c>
      <c r="F232" t="s">
        <v>126</v>
      </c>
      <c r="G232" t="s">
        <v>53</v>
      </c>
      <c r="M232">
        <v>0.4</v>
      </c>
      <c r="N232">
        <v>0.4</v>
      </c>
      <c r="O232">
        <v>0.4</v>
      </c>
      <c r="P232">
        <v>0.4</v>
      </c>
      <c r="Q232">
        <v>0.4</v>
      </c>
      <c r="R232">
        <v>0.4</v>
      </c>
      <c r="S232">
        <v>0.4</v>
      </c>
      <c r="T232">
        <v>0.4</v>
      </c>
      <c r="U232">
        <v>0.4</v>
      </c>
      <c r="V232">
        <v>0.4</v>
      </c>
      <c r="W232">
        <v>0.4</v>
      </c>
    </row>
    <row r="233" spans="1:23" x14ac:dyDescent="0.3">
      <c r="A233" t="s">
        <v>135</v>
      </c>
      <c r="B233" t="s">
        <v>4</v>
      </c>
      <c r="C233" t="s">
        <v>15</v>
      </c>
      <c r="D233" t="s">
        <v>124</v>
      </c>
      <c r="E233" t="s">
        <v>129</v>
      </c>
      <c r="F233" t="s">
        <v>130</v>
      </c>
      <c r="G233" t="s">
        <v>53</v>
      </c>
      <c r="M233">
        <v>0.4</v>
      </c>
      <c r="N233">
        <v>0.4</v>
      </c>
      <c r="O233">
        <v>0.4</v>
      </c>
      <c r="P233">
        <v>0.4</v>
      </c>
      <c r="Q233">
        <v>0.4</v>
      </c>
      <c r="R233">
        <v>0.4</v>
      </c>
      <c r="S233">
        <v>0.4</v>
      </c>
      <c r="T233">
        <v>0.4</v>
      </c>
      <c r="U233">
        <v>0.4</v>
      </c>
      <c r="V233">
        <v>0.4</v>
      </c>
      <c r="W233">
        <v>0.4</v>
      </c>
    </row>
    <row r="234" spans="1:23" x14ac:dyDescent="0.3">
      <c r="A234" t="s">
        <v>135</v>
      </c>
      <c r="B234" t="s">
        <v>4</v>
      </c>
      <c r="C234" t="s">
        <v>15</v>
      </c>
      <c r="D234" t="s">
        <v>124</v>
      </c>
      <c r="E234" t="s">
        <v>129</v>
      </c>
      <c r="F234" t="s">
        <v>131</v>
      </c>
      <c r="G234" t="s">
        <v>53</v>
      </c>
      <c r="M234">
        <v>0.4</v>
      </c>
      <c r="N234">
        <v>0.4</v>
      </c>
      <c r="O234">
        <v>0.4</v>
      </c>
      <c r="P234">
        <v>0.4</v>
      </c>
      <c r="Q234">
        <v>0.4</v>
      </c>
      <c r="R234">
        <v>0.4</v>
      </c>
      <c r="S234">
        <v>0.4</v>
      </c>
      <c r="T234">
        <v>0.4</v>
      </c>
      <c r="U234">
        <v>0.4</v>
      </c>
      <c r="V234">
        <v>0.4</v>
      </c>
      <c r="W234">
        <v>0.4</v>
      </c>
    </row>
    <row r="235" spans="1:23" x14ac:dyDescent="0.3">
      <c r="A235" t="s">
        <v>136</v>
      </c>
      <c r="B235" t="s">
        <v>4</v>
      </c>
      <c r="C235" t="s">
        <v>15</v>
      </c>
      <c r="D235" t="s">
        <v>124</v>
      </c>
      <c r="E235" t="s">
        <v>125</v>
      </c>
      <c r="F235" t="s">
        <v>126</v>
      </c>
      <c r="G235" t="s">
        <v>53</v>
      </c>
      <c r="M235">
        <v>0.4</v>
      </c>
      <c r="N235">
        <v>0.4</v>
      </c>
      <c r="O235">
        <v>0.4</v>
      </c>
      <c r="P235">
        <v>0.4</v>
      </c>
      <c r="Q235">
        <v>0.4</v>
      </c>
      <c r="R235">
        <v>0.4</v>
      </c>
      <c r="S235">
        <v>0.4</v>
      </c>
      <c r="T235">
        <v>0.4</v>
      </c>
      <c r="U235">
        <v>0.4</v>
      </c>
      <c r="V235">
        <v>0.4</v>
      </c>
      <c r="W235">
        <v>0.4</v>
      </c>
    </row>
    <row r="236" spans="1:23" x14ac:dyDescent="0.3">
      <c r="A236" t="s">
        <v>136</v>
      </c>
      <c r="B236" t="s">
        <v>4</v>
      </c>
      <c r="C236" t="s">
        <v>15</v>
      </c>
      <c r="D236" t="s">
        <v>124</v>
      </c>
      <c r="E236" t="s">
        <v>125</v>
      </c>
      <c r="F236" t="s">
        <v>137</v>
      </c>
      <c r="G236" t="s">
        <v>53</v>
      </c>
      <c r="M236">
        <v>0.4</v>
      </c>
      <c r="N236">
        <v>0.4</v>
      </c>
      <c r="O236">
        <v>0.4</v>
      </c>
      <c r="P236">
        <v>0.4</v>
      </c>
      <c r="Q236">
        <v>0.4</v>
      </c>
      <c r="R236">
        <v>0.4</v>
      </c>
      <c r="S236">
        <v>0.4</v>
      </c>
      <c r="T236">
        <v>0.4</v>
      </c>
      <c r="U236">
        <v>0.4</v>
      </c>
      <c r="V236">
        <v>0.4</v>
      </c>
      <c r="W236">
        <v>0.4</v>
      </c>
    </row>
    <row r="237" spans="1:23" x14ac:dyDescent="0.3">
      <c r="A237" t="s">
        <v>138</v>
      </c>
      <c r="B237" t="s">
        <v>4</v>
      </c>
      <c r="C237" t="s">
        <v>15</v>
      </c>
      <c r="D237" t="s">
        <v>124</v>
      </c>
      <c r="E237" t="s">
        <v>129</v>
      </c>
      <c r="F237" t="s">
        <v>130</v>
      </c>
      <c r="G237" t="s">
        <v>53</v>
      </c>
      <c r="M237">
        <v>0.4</v>
      </c>
      <c r="N237">
        <v>0.4</v>
      </c>
      <c r="O237">
        <v>0.4</v>
      </c>
      <c r="P237">
        <v>0.4</v>
      </c>
      <c r="Q237">
        <v>0.4</v>
      </c>
      <c r="R237">
        <v>0.4</v>
      </c>
      <c r="S237">
        <v>0.4</v>
      </c>
      <c r="T237">
        <v>0.4</v>
      </c>
      <c r="U237">
        <v>0.4</v>
      </c>
      <c r="V237">
        <v>0.4</v>
      </c>
      <c r="W237">
        <v>0.4</v>
      </c>
    </row>
    <row r="238" spans="1:23" x14ac:dyDescent="0.3">
      <c r="A238" t="s">
        <v>138</v>
      </c>
      <c r="B238" t="s">
        <v>4</v>
      </c>
      <c r="C238" t="s">
        <v>15</v>
      </c>
      <c r="D238" t="s">
        <v>124</v>
      </c>
      <c r="E238" t="s">
        <v>129</v>
      </c>
      <c r="F238" t="s">
        <v>131</v>
      </c>
      <c r="G238" t="s">
        <v>53</v>
      </c>
      <c r="M238">
        <v>0.4</v>
      </c>
      <c r="N238">
        <v>0.4</v>
      </c>
      <c r="O238">
        <v>0.4</v>
      </c>
      <c r="P238">
        <v>0.4</v>
      </c>
      <c r="Q238">
        <v>0.4</v>
      </c>
      <c r="R238">
        <v>0.4</v>
      </c>
      <c r="S238">
        <v>0.4</v>
      </c>
      <c r="T238">
        <v>0.4</v>
      </c>
      <c r="U238">
        <v>0.4</v>
      </c>
      <c r="V238">
        <v>0.4</v>
      </c>
      <c r="W238">
        <v>0.4</v>
      </c>
    </row>
    <row r="239" spans="1:23" x14ac:dyDescent="0.3">
      <c r="A239" t="s">
        <v>138</v>
      </c>
      <c r="B239" t="s">
        <v>4</v>
      </c>
      <c r="C239" t="s">
        <v>15</v>
      </c>
      <c r="D239" t="s">
        <v>124</v>
      </c>
      <c r="E239" t="s">
        <v>129</v>
      </c>
      <c r="F239" t="s">
        <v>137</v>
      </c>
      <c r="G239" t="s">
        <v>53</v>
      </c>
      <c r="M239">
        <v>0.4</v>
      </c>
      <c r="N239">
        <v>0.4</v>
      </c>
      <c r="O239">
        <v>0.4</v>
      </c>
      <c r="P239">
        <v>0.4</v>
      </c>
      <c r="Q239">
        <v>0.4</v>
      </c>
      <c r="R239">
        <v>0.4</v>
      </c>
      <c r="S239">
        <v>0.4</v>
      </c>
      <c r="T239">
        <v>0.4</v>
      </c>
      <c r="U239">
        <v>0.4</v>
      </c>
      <c r="V239">
        <v>0.4</v>
      </c>
      <c r="W239">
        <v>0.4</v>
      </c>
    </row>
    <row r="240" spans="1:23" x14ac:dyDescent="0.3">
      <c r="A240" t="s">
        <v>139</v>
      </c>
      <c r="B240" t="s">
        <v>4</v>
      </c>
      <c r="C240" t="s">
        <v>15</v>
      </c>
      <c r="D240" t="s">
        <v>124</v>
      </c>
      <c r="E240" t="s">
        <v>125</v>
      </c>
      <c r="F240" t="s">
        <v>126</v>
      </c>
      <c r="G240" t="s">
        <v>53</v>
      </c>
      <c r="M240">
        <v>0.4</v>
      </c>
      <c r="N240">
        <v>0.4</v>
      </c>
      <c r="O240">
        <v>0.4</v>
      </c>
      <c r="P240">
        <v>0.4</v>
      </c>
      <c r="Q240">
        <v>0.4</v>
      </c>
      <c r="R240">
        <v>0.4</v>
      </c>
      <c r="S240">
        <v>0.4</v>
      </c>
      <c r="T240">
        <v>0.4</v>
      </c>
      <c r="U240">
        <v>0.4</v>
      </c>
      <c r="V240">
        <v>0.4</v>
      </c>
      <c r="W240">
        <v>0.4</v>
      </c>
    </row>
    <row r="241" spans="1:23" x14ac:dyDescent="0.3">
      <c r="A241" t="s">
        <v>139</v>
      </c>
      <c r="B241" t="s">
        <v>4</v>
      </c>
      <c r="C241" t="s">
        <v>15</v>
      </c>
      <c r="D241" t="s">
        <v>124</v>
      </c>
      <c r="E241" t="s">
        <v>125</v>
      </c>
      <c r="F241" t="s">
        <v>137</v>
      </c>
      <c r="G241" t="s">
        <v>53</v>
      </c>
      <c r="M241">
        <v>0.4</v>
      </c>
      <c r="N241">
        <v>0.4</v>
      </c>
      <c r="O241">
        <v>0.4</v>
      </c>
      <c r="P241">
        <v>0.4</v>
      </c>
      <c r="Q241">
        <v>0.4</v>
      </c>
      <c r="R241">
        <v>0.4</v>
      </c>
      <c r="S241">
        <v>0.4</v>
      </c>
      <c r="T241">
        <v>0.4</v>
      </c>
      <c r="U241">
        <v>0.4</v>
      </c>
      <c r="V241">
        <v>0.4</v>
      </c>
      <c r="W241">
        <v>0.4</v>
      </c>
    </row>
    <row r="242" spans="1:23" x14ac:dyDescent="0.3">
      <c r="A242" t="s">
        <v>140</v>
      </c>
      <c r="B242" t="s">
        <v>4</v>
      </c>
      <c r="C242" t="s">
        <v>15</v>
      </c>
      <c r="D242" t="s">
        <v>124</v>
      </c>
      <c r="E242" t="s">
        <v>129</v>
      </c>
      <c r="F242" t="s">
        <v>130</v>
      </c>
      <c r="G242" t="s">
        <v>53</v>
      </c>
      <c r="M242">
        <v>0.4</v>
      </c>
      <c r="N242">
        <v>0.4</v>
      </c>
      <c r="O242">
        <v>0.4</v>
      </c>
      <c r="P242">
        <v>0.4</v>
      </c>
      <c r="Q242">
        <v>0.4</v>
      </c>
      <c r="R242">
        <v>0.4</v>
      </c>
      <c r="S242">
        <v>0.4</v>
      </c>
      <c r="T242">
        <v>0.4</v>
      </c>
      <c r="U242">
        <v>0.4</v>
      </c>
      <c r="V242">
        <v>0.4</v>
      </c>
      <c r="W242">
        <v>0.4</v>
      </c>
    </row>
    <row r="243" spans="1:23" x14ac:dyDescent="0.3">
      <c r="A243" t="s">
        <v>140</v>
      </c>
      <c r="B243" t="s">
        <v>4</v>
      </c>
      <c r="C243" t="s">
        <v>15</v>
      </c>
      <c r="D243" t="s">
        <v>124</v>
      </c>
      <c r="E243" t="s">
        <v>129</v>
      </c>
      <c r="F243" t="s">
        <v>131</v>
      </c>
      <c r="G243" t="s">
        <v>53</v>
      </c>
      <c r="M243">
        <v>0.4</v>
      </c>
      <c r="N243">
        <v>0.4</v>
      </c>
      <c r="O243">
        <v>0.4</v>
      </c>
      <c r="P243">
        <v>0.4</v>
      </c>
      <c r="Q243">
        <v>0.4</v>
      </c>
      <c r="R243">
        <v>0.4</v>
      </c>
      <c r="S243">
        <v>0.4</v>
      </c>
      <c r="T243">
        <v>0.4</v>
      </c>
      <c r="U243">
        <v>0.4</v>
      </c>
      <c r="V243">
        <v>0.4</v>
      </c>
      <c r="W243">
        <v>0.4</v>
      </c>
    </row>
    <row r="244" spans="1:23" x14ac:dyDescent="0.3">
      <c r="A244" t="s">
        <v>140</v>
      </c>
      <c r="B244" t="s">
        <v>4</v>
      </c>
      <c r="C244" t="s">
        <v>15</v>
      </c>
      <c r="D244" t="s">
        <v>124</v>
      </c>
      <c r="E244" t="s">
        <v>129</v>
      </c>
      <c r="F244" t="s">
        <v>137</v>
      </c>
      <c r="G244" t="s">
        <v>53</v>
      </c>
      <c r="M244">
        <v>0.4</v>
      </c>
      <c r="N244">
        <v>0.4</v>
      </c>
      <c r="O244">
        <v>0.4</v>
      </c>
      <c r="P244">
        <v>0.4</v>
      </c>
      <c r="Q244">
        <v>0.4</v>
      </c>
      <c r="R244">
        <v>0.4</v>
      </c>
      <c r="S244">
        <v>0.4</v>
      </c>
      <c r="T244">
        <v>0.4</v>
      </c>
      <c r="U244">
        <v>0.4</v>
      </c>
      <c r="V244">
        <v>0.4</v>
      </c>
      <c r="W244">
        <v>0.4</v>
      </c>
    </row>
    <row r="245" spans="1:23" x14ac:dyDescent="0.3">
      <c r="A245" t="s">
        <v>141</v>
      </c>
      <c r="B245" t="s">
        <v>4</v>
      </c>
      <c r="C245" t="s">
        <v>15</v>
      </c>
      <c r="D245" t="s">
        <v>124</v>
      </c>
      <c r="E245" t="s">
        <v>125</v>
      </c>
      <c r="F245" t="s">
        <v>126</v>
      </c>
      <c r="G245" t="s">
        <v>53</v>
      </c>
      <c r="M245">
        <v>0.4</v>
      </c>
      <c r="N245">
        <v>0.4</v>
      </c>
      <c r="O245">
        <v>0.4</v>
      </c>
      <c r="P245">
        <v>0.4</v>
      </c>
      <c r="Q245">
        <v>0.4</v>
      </c>
      <c r="R245">
        <v>0.4</v>
      </c>
      <c r="S245">
        <v>0.4</v>
      </c>
      <c r="T245">
        <v>0.4</v>
      </c>
      <c r="U245">
        <v>0.4</v>
      </c>
      <c r="V245">
        <v>0.4</v>
      </c>
      <c r="W245">
        <v>0.4</v>
      </c>
    </row>
    <row r="246" spans="1:23" x14ac:dyDescent="0.3">
      <c r="A246" t="s">
        <v>141</v>
      </c>
      <c r="B246" t="s">
        <v>4</v>
      </c>
      <c r="C246" t="s">
        <v>15</v>
      </c>
      <c r="D246" t="s">
        <v>124</v>
      </c>
      <c r="E246" t="s">
        <v>125</v>
      </c>
      <c r="F246" t="s">
        <v>137</v>
      </c>
      <c r="G246" t="s">
        <v>53</v>
      </c>
      <c r="M246">
        <v>0.4</v>
      </c>
      <c r="N246">
        <v>0.4</v>
      </c>
      <c r="O246">
        <v>0.4</v>
      </c>
      <c r="P246">
        <v>0.4</v>
      </c>
      <c r="Q246">
        <v>0.4</v>
      </c>
      <c r="R246">
        <v>0.4</v>
      </c>
      <c r="S246">
        <v>0.4</v>
      </c>
      <c r="T246">
        <v>0.4</v>
      </c>
      <c r="U246">
        <v>0.4</v>
      </c>
      <c r="V246">
        <v>0.4</v>
      </c>
      <c r="W246">
        <v>0.4</v>
      </c>
    </row>
    <row r="247" spans="1:23" x14ac:dyDescent="0.3">
      <c r="A247" t="s">
        <v>142</v>
      </c>
      <c r="B247" t="s">
        <v>4</v>
      </c>
      <c r="C247" t="s">
        <v>15</v>
      </c>
      <c r="D247" t="s">
        <v>124</v>
      </c>
      <c r="E247" t="s">
        <v>129</v>
      </c>
      <c r="F247" t="s">
        <v>130</v>
      </c>
      <c r="G247" t="s">
        <v>53</v>
      </c>
      <c r="M247">
        <v>0.4</v>
      </c>
      <c r="N247">
        <v>0.4</v>
      </c>
      <c r="O247">
        <v>0.4</v>
      </c>
      <c r="P247">
        <v>0.4</v>
      </c>
      <c r="Q247">
        <v>0.4</v>
      </c>
      <c r="R247">
        <v>0.4</v>
      </c>
      <c r="S247">
        <v>0.4</v>
      </c>
      <c r="T247">
        <v>0.4</v>
      </c>
      <c r="U247">
        <v>0.4</v>
      </c>
      <c r="V247">
        <v>0.4</v>
      </c>
      <c r="W247">
        <v>0.4</v>
      </c>
    </row>
    <row r="248" spans="1:23" x14ac:dyDescent="0.3">
      <c r="A248" t="s">
        <v>142</v>
      </c>
      <c r="B248" t="s">
        <v>4</v>
      </c>
      <c r="C248" t="s">
        <v>15</v>
      </c>
      <c r="D248" t="s">
        <v>124</v>
      </c>
      <c r="E248" t="s">
        <v>129</v>
      </c>
      <c r="F248" t="s">
        <v>131</v>
      </c>
      <c r="G248" t="s">
        <v>53</v>
      </c>
      <c r="M248">
        <v>0.4</v>
      </c>
      <c r="N248">
        <v>0.4</v>
      </c>
      <c r="O248">
        <v>0.4</v>
      </c>
      <c r="P248">
        <v>0.4</v>
      </c>
      <c r="Q248">
        <v>0.4</v>
      </c>
      <c r="R248">
        <v>0.4</v>
      </c>
      <c r="S248">
        <v>0.4</v>
      </c>
      <c r="T248">
        <v>0.4</v>
      </c>
      <c r="U248">
        <v>0.4</v>
      </c>
      <c r="V248">
        <v>0.4</v>
      </c>
      <c r="W248">
        <v>0.4</v>
      </c>
    </row>
    <row r="249" spans="1:23" x14ac:dyDescent="0.3">
      <c r="A249" t="s">
        <v>142</v>
      </c>
      <c r="B249" t="s">
        <v>4</v>
      </c>
      <c r="C249" t="s">
        <v>15</v>
      </c>
      <c r="D249" t="s">
        <v>124</v>
      </c>
      <c r="E249" t="s">
        <v>129</v>
      </c>
      <c r="F249" t="s">
        <v>137</v>
      </c>
      <c r="G249" t="s">
        <v>53</v>
      </c>
      <c r="M249">
        <v>0.4</v>
      </c>
      <c r="N249">
        <v>0.4</v>
      </c>
      <c r="O249">
        <v>0.4</v>
      </c>
      <c r="P249">
        <v>0.4</v>
      </c>
      <c r="Q249">
        <v>0.4</v>
      </c>
      <c r="R249">
        <v>0.4</v>
      </c>
      <c r="S249">
        <v>0.4</v>
      </c>
      <c r="T249">
        <v>0.4</v>
      </c>
      <c r="U249">
        <v>0.4</v>
      </c>
      <c r="V249">
        <v>0.4</v>
      </c>
      <c r="W249">
        <v>0.4</v>
      </c>
    </row>
    <row r="250" spans="1:23" x14ac:dyDescent="0.3">
      <c r="A250" t="s">
        <v>143</v>
      </c>
      <c r="B250" t="s">
        <v>4</v>
      </c>
      <c r="C250" t="s">
        <v>15</v>
      </c>
      <c r="D250" t="s">
        <v>124</v>
      </c>
      <c r="E250" t="s">
        <v>125</v>
      </c>
      <c r="F250" t="s">
        <v>126</v>
      </c>
      <c r="G250" t="s">
        <v>53</v>
      </c>
      <c r="M250">
        <v>0.4</v>
      </c>
      <c r="N250">
        <v>0.4</v>
      </c>
      <c r="O250">
        <v>0.4</v>
      </c>
      <c r="P250">
        <v>0.4</v>
      </c>
      <c r="Q250">
        <v>0.4</v>
      </c>
      <c r="R250">
        <v>0.4</v>
      </c>
      <c r="S250">
        <v>0.4</v>
      </c>
      <c r="T250">
        <v>0.4</v>
      </c>
      <c r="U250">
        <v>0.4</v>
      </c>
      <c r="V250">
        <v>0.4</v>
      </c>
      <c r="W250">
        <v>0.4</v>
      </c>
    </row>
    <row r="251" spans="1:23" x14ac:dyDescent="0.3">
      <c r="A251" t="s">
        <v>144</v>
      </c>
      <c r="B251" t="s">
        <v>4</v>
      </c>
      <c r="C251" t="s">
        <v>15</v>
      </c>
      <c r="D251" t="s">
        <v>124</v>
      </c>
      <c r="E251" t="s">
        <v>129</v>
      </c>
      <c r="F251" t="s">
        <v>130</v>
      </c>
      <c r="G251" t="s">
        <v>53</v>
      </c>
      <c r="M251">
        <v>0.4</v>
      </c>
      <c r="N251">
        <v>0.4</v>
      </c>
      <c r="O251">
        <v>0.4</v>
      </c>
      <c r="P251">
        <v>0.4</v>
      </c>
      <c r="Q251">
        <v>0.4</v>
      </c>
      <c r="R251">
        <v>0.4</v>
      </c>
      <c r="S251">
        <v>0.4</v>
      </c>
      <c r="T251">
        <v>0.4</v>
      </c>
      <c r="U251">
        <v>0.4</v>
      </c>
      <c r="V251">
        <v>0.4</v>
      </c>
      <c r="W251">
        <v>0.4</v>
      </c>
    </row>
    <row r="252" spans="1:23" x14ac:dyDescent="0.3">
      <c r="A252" t="s">
        <v>144</v>
      </c>
      <c r="B252" t="s">
        <v>4</v>
      </c>
      <c r="C252" t="s">
        <v>15</v>
      </c>
      <c r="D252" t="s">
        <v>124</v>
      </c>
      <c r="E252" t="s">
        <v>129</v>
      </c>
      <c r="F252" t="s">
        <v>131</v>
      </c>
      <c r="G252" t="s">
        <v>53</v>
      </c>
      <c r="M252">
        <v>0.4</v>
      </c>
      <c r="N252">
        <v>0.4</v>
      </c>
      <c r="O252">
        <v>0.4</v>
      </c>
      <c r="P252">
        <v>0.4</v>
      </c>
      <c r="Q252">
        <v>0.4</v>
      </c>
      <c r="R252">
        <v>0.4</v>
      </c>
      <c r="S252">
        <v>0.4</v>
      </c>
      <c r="T252">
        <v>0.4</v>
      </c>
      <c r="U252">
        <v>0.4</v>
      </c>
      <c r="V252">
        <v>0.4</v>
      </c>
      <c r="W252">
        <v>0.4</v>
      </c>
    </row>
    <row r="253" spans="1:23" x14ac:dyDescent="0.3">
      <c r="A253" t="s">
        <v>145</v>
      </c>
      <c r="B253" t="s">
        <v>4</v>
      </c>
      <c r="C253" t="s">
        <v>15</v>
      </c>
      <c r="D253" t="s">
        <v>124</v>
      </c>
      <c r="E253" t="s">
        <v>125</v>
      </c>
      <c r="F253" t="s">
        <v>126</v>
      </c>
      <c r="G253" t="s">
        <v>53</v>
      </c>
      <c r="M253">
        <v>0.4</v>
      </c>
      <c r="N253">
        <v>0.4</v>
      </c>
      <c r="O253">
        <v>0.4</v>
      </c>
      <c r="P253">
        <v>0.4</v>
      </c>
      <c r="Q253">
        <v>0.4</v>
      </c>
      <c r="R253">
        <v>0.4</v>
      </c>
      <c r="S253">
        <v>0.4</v>
      </c>
      <c r="T253">
        <v>0.4</v>
      </c>
      <c r="U253">
        <v>0.4</v>
      </c>
      <c r="V253">
        <v>0.4</v>
      </c>
      <c r="W253">
        <v>0.4</v>
      </c>
    </row>
    <row r="254" spans="1:23" x14ac:dyDescent="0.3">
      <c r="A254" t="s">
        <v>146</v>
      </c>
      <c r="B254" t="s">
        <v>4</v>
      </c>
      <c r="C254" t="s">
        <v>15</v>
      </c>
      <c r="D254" t="s">
        <v>124</v>
      </c>
      <c r="E254" t="s">
        <v>129</v>
      </c>
      <c r="F254" t="s">
        <v>130</v>
      </c>
      <c r="G254" t="s">
        <v>53</v>
      </c>
      <c r="M254">
        <v>0.4</v>
      </c>
      <c r="N254">
        <v>0.4</v>
      </c>
      <c r="O254">
        <v>0.4</v>
      </c>
      <c r="P254">
        <v>0.4</v>
      </c>
      <c r="Q254">
        <v>0.4</v>
      </c>
      <c r="R254">
        <v>0.4</v>
      </c>
      <c r="S254">
        <v>0.4</v>
      </c>
      <c r="T254">
        <v>0.4</v>
      </c>
      <c r="U254">
        <v>0.4</v>
      </c>
      <c r="V254">
        <v>0.4</v>
      </c>
      <c r="W254">
        <v>0.4</v>
      </c>
    </row>
    <row r="255" spans="1:23" x14ac:dyDescent="0.3">
      <c r="A255" t="s">
        <v>146</v>
      </c>
      <c r="B255" t="s">
        <v>4</v>
      </c>
      <c r="C255" t="s">
        <v>15</v>
      </c>
      <c r="D255" t="s">
        <v>124</v>
      </c>
      <c r="E255" t="s">
        <v>129</v>
      </c>
      <c r="F255" t="s">
        <v>131</v>
      </c>
      <c r="G255" t="s">
        <v>53</v>
      </c>
      <c r="M255">
        <v>0.4</v>
      </c>
      <c r="N255">
        <v>0.4</v>
      </c>
      <c r="O255">
        <v>0.4</v>
      </c>
      <c r="P255">
        <v>0.4</v>
      </c>
      <c r="Q255">
        <v>0.4</v>
      </c>
      <c r="R255">
        <v>0.4</v>
      </c>
      <c r="S255">
        <v>0.4</v>
      </c>
      <c r="T255">
        <v>0.4</v>
      </c>
      <c r="U255">
        <v>0.4</v>
      </c>
      <c r="V255">
        <v>0.4</v>
      </c>
      <c r="W255">
        <v>0.4</v>
      </c>
    </row>
    <row r="256" spans="1:23" x14ac:dyDescent="0.3">
      <c r="A256" t="s">
        <v>147</v>
      </c>
      <c r="B256" t="s">
        <v>4</v>
      </c>
      <c r="C256" t="s">
        <v>15</v>
      </c>
      <c r="D256" t="s">
        <v>124</v>
      </c>
      <c r="E256" t="s">
        <v>125</v>
      </c>
      <c r="F256" t="s">
        <v>126</v>
      </c>
      <c r="G256" t="s">
        <v>53</v>
      </c>
      <c r="M256">
        <v>0.4</v>
      </c>
      <c r="N256">
        <v>0.4</v>
      </c>
      <c r="O256">
        <v>0.4</v>
      </c>
      <c r="P256">
        <v>0.4</v>
      </c>
      <c r="Q256">
        <v>0.4</v>
      </c>
      <c r="R256">
        <v>0.4</v>
      </c>
      <c r="S256">
        <v>0.4</v>
      </c>
      <c r="T256">
        <v>0.4</v>
      </c>
      <c r="U256">
        <v>0.4</v>
      </c>
      <c r="V256">
        <v>0.4</v>
      </c>
      <c r="W256">
        <v>0.4</v>
      </c>
    </row>
    <row r="257" spans="1:23" x14ac:dyDescent="0.3">
      <c r="A257" t="s">
        <v>148</v>
      </c>
      <c r="B257" t="s">
        <v>4</v>
      </c>
      <c r="C257" t="s">
        <v>15</v>
      </c>
      <c r="D257" t="s">
        <v>124</v>
      </c>
      <c r="E257" t="s">
        <v>129</v>
      </c>
      <c r="F257" t="s">
        <v>130</v>
      </c>
      <c r="G257" t="s">
        <v>53</v>
      </c>
      <c r="M257">
        <v>0.4</v>
      </c>
      <c r="N257">
        <v>0.4</v>
      </c>
      <c r="O257">
        <v>0.4</v>
      </c>
      <c r="P257">
        <v>0.4</v>
      </c>
      <c r="Q257">
        <v>0.4</v>
      </c>
      <c r="R257">
        <v>0.4</v>
      </c>
      <c r="S257">
        <v>0.4</v>
      </c>
      <c r="T257">
        <v>0.4</v>
      </c>
      <c r="U257">
        <v>0.4</v>
      </c>
      <c r="V257">
        <v>0.4</v>
      </c>
      <c r="W257">
        <v>0.4</v>
      </c>
    </row>
    <row r="258" spans="1:23" x14ac:dyDescent="0.3">
      <c r="A258" t="s">
        <v>148</v>
      </c>
      <c r="B258" t="s">
        <v>4</v>
      </c>
      <c r="C258" t="s">
        <v>15</v>
      </c>
      <c r="D258" t="s">
        <v>124</v>
      </c>
      <c r="E258" t="s">
        <v>129</v>
      </c>
      <c r="F258" t="s">
        <v>131</v>
      </c>
      <c r="G258" t="s">
        <v>53</v>
      </c>
      <c r="M258">
        <v>0.4</v>
      </c>
      <c r="N258">
        <v>0.4</v>
      </c>
      <c r="O258">
        <v>0.4</v>
      </c>
      <c r="P258">
        <v>0.4</v>
      </c>
      <c r="Q258">
        <v>0.4</v>
      </c>
      <c r="R258">
        <v>0.4</v>
      </c>
      <c r="S258">
        <v>0.4</v>
      </c>
      <c r="T258">
        <v>0.4</v>
      </c>
      <c r="U258">
        <v>0.4</v>
      </c>
      <c r="V258">
        <v>0.4</v>
      </c>
      <c r="W258">
        <v>0.4</v>
      </c>
    </row>
    <row r="259" spans="1:23" x14ac:dyDescent="0.3">
      <c r="A259" t="s">
        <v>149</v>
      </c>
      <c r="B259" t="s">
        <v>4</v>
      </c>
      <c r="C259" t="s">
        <v>15</v>
      </c>
      <c r="D259" t="s">
        <v>124</v>
      </c>
      <c r="E259" t="s">
        <v>125</v>
      </c>
      <c r="F259" t="s">
        <v>126</v>
      </c>
      <c r="G259" t="s">
        <v>53</v>
      </c>
      <c r="M259">
        <v>0.4</v>
      </c>
      <c r="N259">
        <v>0.4</v>
      </c>
      <c r="O259">
        <v>0.4</v>
      </c>
      <c r="P259">
        <v>0.4</v>
      </c>
      <c r="Q259">
        <v>0.4</v>
      </c>
      <c r="R259">
        <v>0.4</v>
      </c>
      <c r="S259">
        <v>0.4</v>
      </c>
      <c r="T259">
        <v>0.4</v>
      </c>
      <c r="U259">
        <v>0.4</v>
      </c>
      <c r="V259">
        <v>0.4</v>
      </c>
      <c r="W259">
        <v>0.4</v>
      </c>
    </row>
    <row r="260" spans="1:23" x14ac:dyDescent="0.3">
      <c r="A260" t="s">
        <v>150</v>
      </c>
      <c r="B260" t="s">
        <v>4</v>
      </c>
      <c r="C260" t="s">
        <v>15</v>
      </c>
      <c r="D260" t="s">
        <v>124</v>
      </c>
      <c r="E260" t="s">
        <v>129</v>
      </c>
      <c r="F260" t="s">
        <v>130</v>
      </c>
      <c r="G260" t="s">
        <v>53</v>
      </c>
      <c r="M260">
        <v>0.4</v>
      </c>
      <c r="N260">
        <v>0.4</v>
      </c>
      <c r="O260">
        <v>0.4</v>
      </c>
      <c r="P260">
        <v>0.4</v>
      </c>
      <c r="Q260">
        <v>0.4</v>
      </c>
      <c r="R260">
        <v>0.4</v>
      </c>
      <c r="S260">
        <v>0.4</v>
      </c>
      <c r="T260">
        <v>0.4</v>
      </c>
      <c r="U260">
        <v>0.4</v>
      </c>
      <c r="V260">
        <v>0.4</v>
      </c>
      <c r="W260">
        <v>0.4</v>
      </c>
    </row>
    <row r="261" spans="1:23" x14ac:dyDescent="0.3">
      <c r="A261" t="s">
        <v>150</v>
      </c>
      <c r="B261" t="s">
        <v>4</v>
      </c>
      <c r="C261" t="s">
        <v>15</v>
      </c>
      <c r="D261" t="s">
        <v>124</v>
      </c>
      <c r="E261" t="s">
        <v>129</v>
      </c>
      <c r="F261" t="s">
        <v>131</v>
      </c>
      <c r="G261" t="s">
        <v>53</v>
      </c>
      <c r="M261">
        <v>0.4</v>
      </c>
      <c r="N261">
        <v>0.4</v>
      </c>
      <c r="O261">
        <v>0.4</v>
      </c>
      <c r="P261">
        <v>0.4</v>
      </c>
      <c r="Q261">
        <v>0.4</v>
      </c>
      <c r="R261">
        <v>0.4</v>
      </c>
      <c r="S261">
        <v>0.4</v>
      </c>
      <c r="T261">
        <v>0.4</v>
      </c>
      <c r="U261">
        <v>0.4</v>
      </c>
      <c r="V261">
        <v>0.4</v>
      </c>
      <c r="W261">
        <v>0.4</v>
      </c>
    </row>
    <row r="262" spans="1:23" x14ac:dyDescent="0.3">
      <c r="A262" t="s">
        <v>151</v>
      </c>
      <c r="B262" t="s">
        <v>4</v>
      </c>
      <c r="C262" t="s">
        <v>15</v>
      </c>
      <c r="D262" t="s">
        <v>124</v>
      </c>
      <c r="E262" t="s">
        <v>125</v>
      </c>
      <c r="F262" t="s">
        <v>126</v>
      </c>
      <c r="G262" t="s">
        <v>53</v>
      </c>
      <c r="M262">
        <v>0.4</v>
      </c>
      <c r="N262">
        <v>0.4</v>
      </c>
      <c r="O262">
        <v>0.4</v>
      </c>
      <c r="P262">
        <v>0.4</v>
      </c>
      <c r="Q262">
        <v>0.4</v>
      </c>
      <c r="R262">
        <v>0.4</v>
      </c>
      <c r="S262">
        <v>0.4</v>
      </c>
      <c r="T262">
        <v>0.4</v>
      </c>
      <c r="U262">
        <v>0.4</v>
      </c>
      <c r="V262">
        <v>0.4</v>
      </c>
      <c r="W262">
        <v>0.4</v>
      </c>
    </row>
    <row r="263" spans="1:23" x14ac:dyDescent="0.3">
      <c r="A263" t="s">
        <v>152</v>
      </c>
      <c r="B263" t="s">
        <v>4</v>
      </c>
      <c r="C263" t="s">
        <v>15</v>
      </c>
      <c r="D263" t="s">
        <v>124</v>
      </c>
      <c r="E263" t="s">
        <v>129</v>
      </c>
      <c r="F263" t="s">
        <v>130</v>
      </c>
      <c r="G263" t="s">
        <v>53</v>
      </c>
      <c r="M263">
        <v>0.4</v>
      </c>
      <c r="N263">
        <v>0.4</v>
      </c>
      <c r="O263">
        <v>0.4</v>
      </c>
      <c r="P263">
        <v>0.4</v>
      </c>
      <c r="Q263">
        <v>0.4</v>
      </c>
      <c r="R263">
        <v>0.4</v>
      </c>
      <c r="S263">
        <v>0.4</v>
      </c>
      <c r="T263">
        <v>0.4</v>
      </c>
      <c r="U263">
        <v>0.4</v>
      </c>
      <c r="V263">
        <v>0.4</v>
      </c>
      <c r="W263">
        <v>0.4</v>
      </c>
    </row>
    <row r="264" spans="1:23" x14ac:dyDescent="0.3">
      <c r="A264" t="s">
        <v>152</v>
      </c>
      <c r="B264" t="s">
        <v>4</v>
      </c>
      <c r="C264" t="s">
        <v>15</v>
      </c>
      <c r="D264" t="s">
        <v>124</v>
      </c>
      <c r="E264" t="s">
        <v>129</v>
      </c>
      <c r="F264" t="s">
        <v>131</v>
      </c>
      <c r="G264" t="s">
        <v>53</v>
      </c>
      <c r="M264">
        <v>0.4</v>
      </c>
      <c r="N264">
        <v>0.4</v>
      </c>
      <c r="O264">
        <v>0.4</v>
      </c>
      <c r="P264">
        <v>0.4</v>
      </c>
      <c r="Q264">
        <v>0.4</v>
      </c>
      <c r="R264">
        <v>0.4</v>
      </c>
      <c r="S264">
        <v>0.4</v>
      </c>
      <c r="T264">
        <v>0.4</v>
      </c>
      <c r="U264">
        <v>0.4</v>
      </c>
      <c r="V264">
        <v>0.4</v>
      </c>
      <c r="W264">
        <v>0.4</v>
      </c>
    </row>
    <row r="265" spans="1:23" x14ac:dyDescent="0.3">
      <c r="A265" t="s">
        <v>153</v>
      </c>
      <c r="B265" t="s">
        <v>4</v>
      </c>
      <c r="C265" t="s">
        <v>15</v>
      </c>
      <c r="D265" t="s">
        <v>124</v>
      </c>
      <c r="E265" t="s">
        <v>125</v>
      </c>
      <c r="F265" t="s">
        <v>126</v>
      </c>
      <c r="G265" t="s">
        <v>53</v>
      </c>
      <c r="M265">
        <v>0.4</v>
      </c>
      <c r="N265">
        <v>0.4</v>
      </c>
      <c r="O265">
        <v>0.4</v>
      </c>
      <c r="P265">
        <v>0.4</v>
      </c>
      <c r="Q265">
        <v>0.4</v>
      </c>
      <c r="R265">
        <v>0.4</v>
      </c>
      <c r="S265">
        <v>0.4</v>
      </c>
      <c r="T265">
        <v>0.4</v>
      </c>
      <c r="U265">
        <v>0.4</v>
      </c>
      <c r="V265">
        <v>0.4</v>
      </c>
      <c r="W265">
        <v>0.4</v>
      </c>
    </row>
    <row r="266" spans="1:23" x14ac:dyDescent="0.3">
      <c r="A266" t="s">
        <v>154</v>
      </c>
      <c r="B266" t="s">
        <v>4</v>
      </c>
      <c r="C266" t="s">
        <v>15</v>
      </c>
      <c r="D266" t="s">
        <v>124</v>
      </c>
      <c r="E266" t="s">
        <v>129</v>
      </c>
      <c r="F266" t="s">
        <v>130</v>
      </c>
      <c r="G266" t="s">
        <v>53</v>
      </c>
      <c r="M266">
        <v>0.4</v>
      </c>
      <c r="N266">
        <v>0.4</v>
      </c>
      <c r="O266">
        <v>0.4</v>
      </c>
      <c r="P266">
        <v>0.4</v>
      </c>
      <c r="Q266">
        <v>0.4</v>
      </c>
      <c r="R266">
        <v>0.4</v>
      </c>
      <c r="S266">
        <v>0.4</v>
      </c>
      <c r="T266">
        <v>0.4</v>
      </c>
      <c r="U266">
        <v>0.4</v>
      </c>
      <c r="V266">
        <v>0.4</v>
      </c>
      <c r="W266">
        <v>0.4</v>
      </c>
    </row>
    <row r="267" spans="1:23" x14ac:dyDescent="0.3">
      <c r="A267" t="s">
        <v>154</v>
      </c>
      <c r="B267" t="s">
        <v>4</v>
      </c>
      <c r="C267" t="s">
        <v>15</v>
      </c>
      <c r="D267" t="s">
        <v>124</v>
      </c>
      <c r="E267" t="s">
        <v>129</v>
      </c>
      <c r="F267" t="s">
        <v>131</v>
      </c>
      <c r="G267" t="s">
        <v>53</v>
      </c>
      <c r="M267">
        <v>0.4</v>
      </c>
      <c r="N267">
        <v>0.4</v>
      </c>
      <c r="O267">
        <v>0.4</v>
      </c>
      <c r="P267">
        <v>0.4</v>
      </c>
      <c r="Q267">
        <v>0.4</v>
      </c>
      <c r="R267">
        <v>0.4</v>
      </c>
      <c r="S267">
        <v>0.4</v>
      </c>
      <c r="T267">
        <v>0.4</v>
      </c>
      <c r="U267">
        <v>0.4</v>
      </c>
      <c r="V267">
        <v>0.4</v>
      </c>
      <c r="W267">
        <v>0.4</v>
      </c>
    </row>
    <row r="268" spans="1:23" x14ac:dyDescent="0.3">
      <c r="A268" t="s">
        <v>123</v>
      </c>
      <c r="B268" t="s">
        <v>4</v>
      </c>
      <c r="C268" t="s">
        <v>15</v>
      </c>
      <c r="D268" t="s">
        <v>124</v>
      </c>
      <c r="E268" t="s">
        <v>125</v>
      </c>
      <c r="F268" t="s">
        <v>126</v>
      </c>
      <c r="G268" t="s">
        <v>55</v>
      </c>
      <c r="M268">
        <v>0.01</v>
      </c>
      <c r="N268">
        <v>0.01</v>
      </c>
      <c r="O268">
        <v>0.01</v>
      </c>
      <c r="P268">
        <v>0.01</v>
      </c>
      <c r="Q268">
        <v>0.01</v>
      </c>
      <c r="R268">
        <v>0.01</v>
      </c>
      <c r="S268">
        <v>0.01</v>
      </c>
      <c r="T268">
        <v>0.01</v>
      </c>
      <c r="U268">
        <v>0.01</v>
      </c>
      <c r="V268">
        <v>0.01</v>
      </c>
      <c r="W268">
        <v>0.01</v>
      </c>
    </row>
    <row r="269" spans="1:23" x14ac:dyDescent="0.3">
      <c r="A269" t="s">
        <v>128</v>
      </c>
      <c r="B269" t="s">
        <v>4</v>
      </c>
      <c r="C269" t="s">
        <v>15</v>
      </c>
      <c r="D269" t="s">
        <v>124</v>
      </c>
      <c r="E269" t="s">
        <v>129</v>
      </c>
      <c r="F269" t="s">
        <v>130</v>
      </c>
      <c r="G269" t="s">
        <v>55</v>
      </c>
      <c r="M269">
        <v>0.01</v>
      </c>
      <c r="N269">
        <v>0.01</v>
      </c>
      <c r="O269">
        <v>0.01</v>
      </c>
      <c r="P269">
        <v>0.01</v>
      </c>
      <c r="Q269">
        <v>0.01</v>
      </c>
      <c r="R269">
        <v>0.01</v>
      </c>
      <c r="S269">
        <v>0.01</v>
      </c>
      <c r="T269">
        <v>0.01</v>
      </c>
      <c r="U269">
        <v>0.01</v>
      </c>
      <c r="V269">
        <v>0.01</v>
      </c>
      <c r="W269">
        <v>0.01</v>
      </c>
    </row>
    <row r="270" spans="1:23" x14ac:dyDescent="0.3">
      <c r="A270" t="s">
        <v>128</v>
      </c>
      <c r="B270" t="s">
        <v>4</v>
      </c>
      <c r="C270" t="s">
        <v>15</v>
      </c>
      <c r="D270" t="s">
        <v>124</v>
      </c>
      <c r="E270" t="s">
        <v>129</v>
      </c>
      <c r="F270" t="s">
        <v>131</v>
      </c>
      <c r="G270" t="s">
        <v>55</v>
      </c>
      <c r="M270">
        <v>0.01</v>
      </c>
      <c r="N270">
        <v>0.01</v>
      </c>
      <c r="O270">
        <v>0.01</v>
      </c>
      <c r="P270">
        <v>0.01</v>
      </c>
      <c r="Q270">
        <v>0.01</v>
      </c>
      <c r="R270">
        <v>0.01</v>
      </c>
      <c r="S270">
        <v>0.01</v>
      </c>
      <c r="T270">
        <v>0.01</v>
      </c>
      <c r="U270">
        <v>0.01</v>
      </c>
      <c r="V270">
        <v>0.01</v>
      </c>
      <c r="W270">
        <v>0.01</v>
      </c>
    </row>
    <row r="271" spans="1:23" x14ac:dyDescent="0.3">
      <c r="A271" t="s">
        <v>132</v>
      </c>
      <c r="B271" t="s">
        <v>4</v>
      </c>
      <c r="C271" t="s">
        <v>15</v>
      </c>
      <c r="D271" t="s">
        <v>124</v>
      </c>
      <c r="E271" t="s">
        <v>125</v>
      </c>
      <c r="F271" t="s">
        <v>126</v>
      </c>
      <c r="G271" t="s">
        <v>55</v>
      </c>
      <c r="M271">
        <v>0.01</v>
      </c>
      <c r="N271">
        <v>0.01</v>
      </c>
      <c r="O271">
        <v>0.01</v>
      </c>
      <c r="P271">
        <v>0.01</v>
      </c>
      <c r="Q271">
        <v>0.01</v>
      </c>
      <c r="R271">
        <v>0.01</v>
      </c>
      <c r="S271">
        <v>0.01</v>
      </c>
      <c r="T271">
        <v>0.01</v>
      </c>
      <c r="U271">
        <v>0.01</v>
      </c>
      <c r="V271">
        <v>0.01</v>
      </c>
      <c r="W271">
        <v>0.01</v>
      </c>
    </row>
    <row r="272" spans="1:23" x14ac:dyDescent="0.3">
      <c r="A272" t="s">
        <v>133</v>
      </c>
      <c r="B272" t="s">
        <v>4</v>
      </c>
      <c r="C272" t="s">
        <v>15</v>
      </c>
      <c r="D272" t="s">
        <v>124</v>
      </c>
      <c r="E272" t="s">
        <v>129</v>
      </c>
      <c r="F272" t="s">
        <v>130</v>
      </c>
      <c r="G272" t="s">
        <v>55</v>
      </c>
      <c r="M272">
        <v>0.01</v>
      </c>
      <c r="N272">
        <v>0.01</v>
      </c>
      <c r="O272">
        <v>0.01</v>
      </c>
      <c r="P272">
        <v>0.01</v>
      </c>
      <c r="Q272">
        <v>0.01</v>
      </c>
      <c r="R272">
        <v>0.01</v>
      </c>
      <c r="S272">
        <v>0.01</v>
      </c>
      <c r="T272">
        <v>0.01</v>
      </c>
      <c r="U272">
        <v>0.01</v>
      </c>
      <c r="V272">
        <v>0.01</v>
      </c>
      <c r="W272">
        <v>0.01</v>
      </c>
    </row>
    <row r="273" spans="1:23" x14ac:dyDescent="0.3">
      <c r="A273" t="s">
        <v>133</v>
      </c>
      <c r="B273" t="s">
        <v>4</v>
      </c>
      <c r="C273" t="s">
        <v>15</v>
      </c>
      <c r="D273" t="s">
        <v>124</v>
      </c>
      <c r="E273" t="s">
        <v>129</v>
      </c>
      <c r="F273" t="s">
        <v>131</v>
      </c>
      <c r="G273" t="s">
        <v>55</v>
      </c>
      <c r="M273">
        <v>0.01</v>
      </c>
      <c r="N273">
        <v>0.01</v>
      </c>
      <c r="O273">
        <v>0.01</v>
      </c>
      <c r="P273">
        <v>0.01</v>
      </c>
      <c r="Q273">
        <v>0.01</v>
      </c>
      <c r="R273">
        <v>0.01</v>
      </c>
      <c r="S273">
        <v>0.01</v>
      </c>
      <c r="T273">
        <v>0.01</v>
      </c>
      <c r="U273">
        <v>0.01</v>
      </c>
      <c r="V273">
        <v>0.01</v>
      </c>
      <c r="W273">
        <v>0.01</v>
      </c>
    </row>
    <row r="274" spans="1:23" x14ac:dyDescent="0.3">
      <c r="A274" t="s">
        <v>134</v>
      </c>
      <c r="B274" t="s">
        <v>4</v>
      </c>
      <c r="C274" t="s">
        <v>15</v>
      </c>
      <c r="D274" t="s">
        <v>124</v>
      </c>
      <c r="E274" t="s">
        <v>125</v>
      </c>
      <c r="F274" t="s">
        <v>126</v>
      </c>
      <c r="G274" t="s">
        <v>55</v>
      </c>
      <c r="M274">
        <v>0.01</v>
      </c>
      <c r="N274">
        <v>0.01</v>
      </c>
      <c r="O274">
        <v>0.01</v>
      </c>
      <c r="P274">
        <v>0.01</v>
      </c>
      <c r="Q274">
        <v>0.01</v>
      </c>
      <c r="R274">
        <v>0.01</v>
      </c>
      <c r="S274">
        <v>0.01</v>
      </c>
      <c r="T274">
        <v>0.01</v>
      </c>
      <c r="U274">
        <v>0.01</v>
      </c>
      <c r="V274">
        <v>0.01</v>
      </c>
      <c r="W274">
        <v>0.01</v>
      </c>
    </row>
    <row r="275" spans="1:23" x14ac:dyDescent="0.3">
      <c r="A275" t="s">
        <v>135</v>
      </c>
      <c r="B275" t="s">
        <v>4</v>
      </c>
      <c r="C275" t="s">
        <v>15</v>
      </c>
      <c r="D275" t="s">
        <v>124</v>
      </c>
      <c r="E275" t="s">
        <v>129</v>
      </c>
      <c r="F275" t="s">
        <v>130</v>
      </c>
      <c r="G275" t="s">
        <v>55</v>
      </c>
      <c r="M275">
        <v>0.01</v>
      </c>
      <c r="N275">
        <v>0.01</v>
      </c>
      <c r="O275">
        <v>0.01</v>
      </c>
      <c r="P275">
        <v>0.01</v>
      </c>
      <c r="Q275">
        <v>0.01</v>
      </c>
      <c r="R275">
        <v>0.01</v>
      </c>
      <c r="S275">
        <v>0.01</v>
      </c>
      <c r="T275">
        <v>0.01</v>
      </c>
      <c r="U275">
        <v>0.01</v>
      </c>
      <c r="V275">
        <v>0.01</v>
      </c>
      <c r="W275">
        <v>0.01</v>
      </c>
    </row>
    <row r="276" spans="1:23" x14ac:dyDescent="0.3">
      <c r="A276" t="s">
        <v>135</v>
      </c>
      <c r="B276" t="s">
        <v>4</v>
      </c>
      <c r="C276" t="s">
        <v>15</v>
      </c>
      <c r="D276" t="s">
        <v>124</v>
      </c>
      <c r="E276" t="s">
        <v>129</v>
      </c>
      <c r="F276" t="s">
        <v>131</v>
      </c>
      <c r="G276" t="s">
        <v>55</v>
      </c>
      <c r="M276">
        <v>0.01</v>
      </c>
      <c r="N276">
        <v>0.01</v>
      </c>
      <c r="O276">
        <v>0.01</v>
      </c>
      <c r="P276">
        <v>0.01</v>
      </c>
      <c r="Q276">
        <v>0.01</v>
      </c>
      <c r="R276">
        <v>0.01</v>
      </c>
      <c r="S276">
        <v>0.01</v>
      </c>
      <c r="T276">
        <v>0.01</v>
      </c>
      <c r="U276">
        <v>0.01</v>
      </c>
      <c r="V276">
        <v>0.01</v>
      </c>
      <c r="W276">
        <v>0.01</v>
      </c>
    </row>
    <row r="277" spans="1:23" x14ac:dyDescent="0.3">
      <c r="A277" t="s">
        <v>136</v>
      </c>
      <c r="B277" t="s">
        <v>4</v>
      </c>
      <c r="C277" t="s">
        <v>15</v>
      </c>
      <c r="D277" t="s">
        <v>124</v>
      </c>
      <c r="E277" t="s">
        <v>125</v>
      </c>
      <c r="F277" t="s">
        <v>126</v>
      </c>
      <c r="G277" t="s">
        <v>55</v>
      </c>
      <c r="M277">
        <v>0.01</v>
      </c>
      <c r="N277">
        <v>0.01</v>
      </c>
      <c r="O277">
        <v>0.01</v>
      </c>
      <c r="P277">
        <v>0.01</v>
      </c>
      <c r="Q277">
        <v>0.01</v>
      </c>
      <c r="R277">
        <v>0.01</v>
      </c>
      <c r="S277">
        <v>0.01</v>
      </c>
      <c r="T277">
        <v>0.01</v>
      </c>
      <c r="U277">
        <v>0.01</v>
      </c>
      <c r="V277">
        <v>0.01</v>
      </c>
      <c r="W277">
        <v>0.01</v>
      </c>
    </row>
    <row r="278" spans="1:23" x14ac:dyDescent="0.3">
      <c r="A278" t="s">
        <v>136</v>
      </c>
      <c r="B278" t="s">
        <v>4</v>
      </c>
      <c r="C278" t="s">
        <v>15</v>
      </c>
      <c r="D278" t="s">
        <v>124</v>
      </c>
      <c r="E278" t="s">
        <v>125</v>
      </c>
      <c r="F278" t="s">
        <v>137</v>
      </c>
      <c r="G278" t="s">
        <v>55</v>
      </c>
      <c r="M278">
        <v>0.01</v>
      </c>
      <c r="N278">
        <v>0.01</v>
      </c>
      <c r="O278">
        <v>0.01</v>
      </c>
      <c r="P278">
        <v>0.01</v>
      </c>
      <c r="Q278">
        <v>0.01</v>
      </c>
      <c r="R278">
        <v>0.01</v>
      </c>
      <c r="S278">
        <v>0.01</v>
      </c>
      <c r="T278">
        <v>0.01</v>
      </c>
      <c r="U278">
        <v>0.01</v>
      </c>
      <c r="V278">
        <v>0.01</v>
      </c>
      <c r="W278">
        <v>0.01</v>
      </c>
    </row>
    <row r="279" spans="1:23" x14ac:dyDescent="0.3">
      <c r="A279" t="s">
        <v>138</v>
      </c>
      <c r="B279" t="s">
        <v>4</v>
      </c>
      <c r="C279" t="s">
        <v>15</v>
      </c>
      <c r="D279" t="s">
        <v>124</v>
      </c>
      <c r="E279" t="s">
        <v>129</v>
      </c>
      <c r="F279" t="s">
        <v>130</v>
      </c>
      <c r="G279" t="s">
        <v>55</v>
      </c>
      <c r="M279">
        <v>0.01</v>
      </c>
      <c r="N279">
        <v>0.01</v>
      </c>
      <c r="O279">
        <v>0.01</v>
      </c>
      <c r="P279">
        <v>0.01</v>
      </c>
      <c r="Q279">
        <v>0.01</v>
      </c>
      <c r="R279">
        <v>0.01</v>
      </c>
      <c r="S279">
        <v>0.01</v>
      </c>
      <c r="T279">
        <v>0.01</v>
      </c>
      <c r="U279">
        <v>0.01</v>
      </c>
      <c r="V279">
        <v>0.01</v>
      </c>
      <c r="W279">
        <v>0.01</v>
      </c>
    </row>
    <row r="280" spans="1:23" x14ac:dyDescent="0.3">
      <c r="A280" t="s">
        <v>138</v>
      </c>
      <c r="B280" t="s">
        <v>4</v>
      </c>
      <c r="C280" t="s">
        <v>15</v>
      </c>
      <c r="D280" t="s">
        <v>124</v>
      </c>
      <c r="E280" t="s">
        <v>129</v>
      </c>
      <c r="F280" t="s">
        <v>131</v>
      </c>
      <c r="G280" t="s">
        <v>55</v>
      </c>
      <c r="M280">
        <v>0.01</v>
      </c>
      <c r="N280">
        <v>0.01</v>
      </c>
      <c r="O280">
        <v>0.01</v>
      </c>
      <c r="P280">
        <v>0.01</v>
      </c>
      <c r="Q280">
        <v>0.01</v>
      </c>
      <c r="R280">
        <v>0.01</v>
      </c>
      <c r="S280">
        <v>0.01</v>
      </c>
      <c r="T280">
        <v>0.01</v>
      </c>
      <c r="U280">
        <v>0.01</v>
      </c>
      <c r="V280">
        <v>0.01</v>
      </c>
      <c r="W280">
        <v>0.01</v>
      </c>
    </row>
    <row r="281" spans="1:23" x14ac:dyDescent="0.3">
      <c r="A281" t="s">
        <v>138</v>
      </c>
      <c r="B281" t="s">
        <v>4</v>
      </c>
      <c r="C281" t="s">
        <v>15</v>
      </c>
      <c r="D281" t="s">
        <v>124</v>
      </c>
      <c r="E281" t="s">
        <v>129</v>
      </c>
      <c r="F281" t="s">
        <v>137</v>
      </c>
      <c r="G281" t="s">
        <v>55</v>
      </c>
      <c r="M281">
        <v>0.01</v>
      </c>
      <c r="N281">
        <v>0.01</v>
      </c>
      <c r="O281">
        <v>0.01</v>
      </c>
      <c r="P281">
        <v>0.01</v>
      </c>
      <c r="Q281">
        <v>0.01</v>
      </c>
      <c r="R281">
        <v>0.01</v>
      </c>
      <c r="S281">
        <v>0.01</v>
      </c>
      <c r="T281">
        <v>0.01</v>
      </c>
      <c r="U281">
        <v>0.01</v>
      </c>
      <c r="V281">
        <v>0.01</v>
      </c>
      <c r="W281">
        <v>0.01</v>
      </c>
    </row>
    <row r="282" spans="1:23" x14ac:dyDescent="0.3">
      <c r="A282" t="s">
        <v>139</v>
      </c>
      <c r="B282" t="s">
        <v>4</v>
      </c>
      <c r="C282" t="s">
        <v>15</v>
      </c>
      <c r="D282" t="s">
        <v>124</v>
      </c>
      <c r="E282" t="s">
        <v>125</v>
      </c>
      <c r="F282" t="s">
        <v>126</v>
      </c>
      <c r="G282" t="s">
        <v>55</v>
      </c>
      <c r="M282">
        <v>0.01</v>
      </c>
      <c r="N282">
        <v>0.01</v>
      </c>
      <c r="O282">
        <v>0.01</v>
      </c>
      <c r="P282">
        <v>0.01</v>
      </c>
      <c r="Q282">
        <v>0.01</v>
      </c>
      <c r="R282">
        <v>0.01</v>
      </c>
      <c r="S282">
        <v>0.01</v>
      </c>
      <c r="T282">
        <v>0.01</v>
      </c>
      <c r="U282">
        <v>0.01</v>
      </c>
      <c r="V282">
        <v>0.01</v>
      </c>
      <c r="W282">
        <v>0.01</v>
      </c>
    </row>
    <row r="283" spans="1:23" x14ac:dyDescent="0.3">
      <c r="A283" t="s">
        <v>139</v>
      </c>
      <c r="B283" t="s">
        <v>4</v>
      </c>
      <c r="C283" t="s">
        <v>15</v>
      </c>
      <c r="D283" t="s">
        <v>124</v>
      </c>
      <c r="E283" t="s">
        <v>125</v>
      </c>
      <c r="F283" t="s">
        <v>137</v>
      </c>
      <c r="G283" t="s">
        <v>55</v>
      </c>
      <c r="M283">
        <v>0.01</v>
      </c>
      <c r="N283">
        <v>0.01</v>
      </c>
      <c r="O283">
        <v>0.01</v>
      </c>
      <c r="P283">
        <v>0.01</v>
      </c>
      <c r="Q283">
        <v>0.01</v>
      </c>
      <c r="R283">
        <v>0.01</v>
      </c>
      <c r="S283">
        <v>0.01</v>
      </c>
      <c r="T283">
        <v>0.01</v>
      </c>
      <c r="U283">
        <v>0.01</v>
      </c>
      <c r="V283">
        <v>0.01</v>
      </c>
      <c r="W283">
        <v>0.01</v>
      </c>
    </row>
    <row r="284" spans="1:23" x14ac:dyDescent="0.3">
      <c r="A284" t="s">
        <v>140</v>
      </c>
      <c r="B284" t="s">
        <v>4</v>
      </c>
      <c r="C284" t="s">
        <v>15</v>
      </c>
      <c r="D284" t="s">
        <v>124</v>
      </c>
      <c r="E284" t="s">
        <v>129</v>
      </c>
      <c r="F284" t="s">
        <v>130</v>
      </c>
      <c r="G284" t="s">
        <v>55</v>
      </c>
      <c r="M284">
        <v>0.01</v>
      </c>
      <c r="N284">
        <v>0.01</v>
      </c>
      <c r="O284">
        <v>0.01</v>
      </c>
      <c r="P284">
        <v>0.01</v>
      </c>
      <c r="Q284">
        <v>0.01</v>
      </c>
      <c r="R284">
        <v>0.01</v>
      </c>
      <c r="S284">
        <v>0.01</v>
      </c>
      <c r="T284">
        <v>0.01</v>
      </c>
      <c r="U284">
        <v>0.01</v>
      </c>
      <c r="V284">
        <v>0.01</v>
      </c>
      <c r="W284">
        <v>0.01</v>
      </c>
    </row>
    <row r="285" spans="1:23" x14ac:dyDescent="0.3">
      <c r="A285" t="s">
        <v>140</v>
      </c>
      <c r="B285" t="s">
        <v>4</v>
      </c>
      <c r="C285" t="s">
        <v>15</v>
      </c>
      <c r="D285" t="s">
        <v>124</v>
      </c>
      <c r="E285" t="s">
        <v>129</v>
      </c>
      <c r="F285" t="s">
        <v>131</v>
      </c>
      <c r="G285" t="s">
        <v>55</v>
      </c>
      <c r="M285">
        <v>0.01</v>
      </c>
      <c r="N285">
        <v>0.01</v>
      </c>
      <c r="O285">
        <v>0.01</v>
      </c>
      <c r="P285">
        <v>0.01</v>
      </c>
      <c r="Q285">
        <v>0.01</v>
      </c>
      <c r="R285">
        <v>0.01</v>
      </c>
      <c r="S285">
        <v>0.01</v>
      </c>
      <c r="T285">
        <v>0.01</v>
      </c>
      <c r="U285">
        <v>0.01</v>
      </c>
      <c r="V285">
        <v>0.01</v>
      </c>
      <c r="W285">
        <v>0.01</v>
      </c>
    </row>
    <row r="286" spans="1:23" x14ac:dyDescent="0.3">
      <c r="A286" t="s">
        <v>140</v>
      </c>
      <c r="B286" t="s">
        <v>4</v>
      </c>
      <c r="C286" t="s">
        <v>15</v>
      </c>
      <c r="D286" t="s">
        <v>124</v>
      </c>
      <c r="E286" t="s">
        <v>129</v>
      </c>
      <c r="F286" t="s">
        <v>137</v>
      </c>
      <c r="G286" t="s">
        <v>55</v>
      </c>
      <c r="M286">
        <v>0.01</v>
      </c>
      <c r="N286">
        <v>0.01</v>
      </c>
      <c r="O286">
        <v>0.01</v>
      </c>
      <c r="P286">
        <v>0.01</v>
      </c>
      <c r="Q286">
        <v>0.01</v>
      </c>
      <c r="R286">
        <v>0.01</v>
      </c>
      <c r="S286">
        <v>0.01</v>
      </c>
      <c r="T286">
        <v>0.01</v>
      </c>
      <c r="U286">
        <v>0.01</v>
      </c>
      <c r="V286">
        <v>0.01</v>
      </c>
      <c r="W286">
        <v>0.01</v>
      </c>
    </row>
    <row r="287" spans="1:23" x14ac:dyDescent="0.3">
      <c r="A287" t="s">
        <v>141</v>
      </c>
      <c r="B287" t="s">
        <v>4</v>
      </c>
      <c r="C287" t="s">
        <v>15</v>
      </c>
      <c r="D287" t="s">
        <v>124</v>
      </c>
      <c r="E287" t="s">
        <v>125</v>
      </c>
      <c r="F287" t="s">
        <v>126</v>
      </c>
      <c r="G287" t="s">
        <v>55</v>
      </c>
      <c r="M287">
        <v>0.01</v>
      </c>
      <c r="N287">
        <v>0.01</v>
      </c>
      <c r="O287">
        <v>0.01</v>
      </c>
      <c r="P287">
        <v>0.01</v>
      </c>
      <c r="Q287">
        <v>0.01</v>
      </c>
      <c r="R287">
        <v>0.01</v>
      </c>
      <c r="S287">
        <v>0.01</v>
      </c>
      <c r="T287">
        <v>0.01</v>
      </c>
      <c r="U287">
        <v>0.01</v>
      </c>
      <c r="V287">
        <v>0.01</v>
      </c>
      <c r="W287">
        <v>0.01</v>
      </c>
    </row>
    <row r="288" spans="1:23" x14ac:dyDescent="0.3">
      <c r="A288" t="s">
        <v>141</v>
      </c>
      <c r="B288" t="s">
        <v>4</v>
      </c>
      <c r="C288" t="s">
        <v>15</v>
      </c>
      <c r="D288" t="s">
        <v>124</v>
      </c>
      <c r="E288" t="s">
        <v>125</v>
      </c>
      <c r="F288" t="s">
        <v>137</v>
      </c>
      <c r="G288" t="s">
        <v>55</v>
      </c>
      <c r="M288">
        <v>0.01</v>
      </c>
      <c r="N288">
        <v>0.01</v>
      </c>
      <c r="O288">
        <v>0.01</v>
      </c>
      <c r="P288">
        <v>0.01</v>
      </c>
      <c r="Q288">
        <v>0.01</v>
      </c>
      <c r="R288">
        <v>0.01</v>
      </c>
      <c r="S288">
        <v>0.01</v>
      </c>
      <c r="T288">
        <v>0.01</v>
      </c>
      <c r="U288">
        <v>0.01</v>
      </c>
      <c r="V288">
        <v>0.01</v>
      </c>
      <c r="W288">
        <v>0.01</v>
      </c>
    </row>
    <row r="289" spans="1:23" x14ac:dyDescent="0.3">
      <c r="A289" t="s">
        <v>142</v>
      </c>
      <c r="B289" t="s">
        <v>4</v>
      </c>
      <c r="C289" t="s">
        <v>15</v>
      </c>
      <c r="D289" t="s">
        <v>124</v>
      </c>
      <c r="E289" t="s">
        <v>129</v>
      </c>
      <c r="F289" t="s">
        <v>130</v>
      </c>
      <c r="G289" t="s">
        <v>55</v>
      </c>
      <c r="M289">
        <v>0.01</v>
      </c>
      <c r="N289">
        <v>0.01</v>
      </c>
      <c r="O289">
        <v>0.01</v>
      </c>
      <c r="P289">
        <v>0.01</v>
      </c>
      <c r="Q289">
        <v>0.01</v>
      </c>
      <c r="R289">
        <v>0.01</v>
      </c>
      <c r="S289">
        <v>0.01</v>
      </c>
      <c r="T289">
        <v>0.01</v>
      </c>
      <c r="U289">
        <v>0.01</v>
      </c>
      <c r="V289">
        <v>0.01</v>
      </c>
      <c r="W289">
        <v>0.01</v>
      </c>
    </row>
    <row r="290" spans="1:23" x14ac:dyDescent="0.3">
      <c r="A290" t="s">
        <v>142</v>
      </c>
      <c r="B290" t="s">
        <v>4</v>
      </c>
      <c r="C290" t="s">
        <v>15</v>
      </c>
      <c r="D290" t="s">
        <v>124</v>
      </c>
      <c r="E290" t="s">
        <v>129</v>
      </c>
      <c r="F290" t="s">
        <v>131</v>
      </c>
      <c r="G290" t="s">
        <v>55</v>
      </c>
      <c r="M290">
        <v>0.01</v>
      </c>
      <c r="N290">
        <v>0.01</v>
      </c>
      <c r="O290">
        <v>0.01</v>
      </c>
      <c r="P290">
        <v>0.01</v>
      </c>
      <c r="Q290">
        <v>0.01</v>
      </c>
      <c r="R290">
        <v>0.01</v>
      </c>
      <c r="S290">
        <v>0.01</v>
      </c>
      <c r="T290">
        <v>0.01</v>
      </c>
      <c r="U290">
        <v>0.01</v>
      </c>
      <c r="V290">
        <v>0.01</v>
      </c>
      <c r="W290">
        <v>0.01</v>
      </c>
    </row>
    <row r="291" spans="1:23" x14ac:dyDescent="0.3">
      <c r="A291" t="s">
        <v>142</v>
      </c>
      <c r="B291" t="s">
        <v>4</v>
      </c>
      <c r="C291" t="s">
        <v>15</v>
      </c>
      <c r="D291" t="s">
        <v>124</v>
      </c>
      <c r="E291" t="s">
        <v>129</v>
      </c>
      <c r="F291" t="s">
        <v>137</v>
      </c>
      <c r="G291" t="s">
        <v>55</v>
      </c>
      <c r="M291">
        <v>0.01</v>
      </c>
      <c r="N291">
        <v>0.01</v>
      </c>
      <c r="O291">
        <v>0.01</v>
      </c>
      <c r="P291">
        <v>0.01</v>
      </c>
      <c r="Q291">
        <v>0.01</v>
      </c>
      <c r="R291">
        <v>0.01</v>
      </c>
      <c r="S291">
        <v>0.01</v>
      </c>
      <c r="T291">
        <v>0.01</v>
      </c>
      <c r="U291">
        <v>0.01</v>
      </c>
      <c r="V291">
        <v>0.01</v>
      </c>
      <c r="W291">
        <v>0.01</v>
      </c>
    </row>
    <row r="292" spans="1:23" x14ac:dyDescent="0.3">
      <c r="A292" t="s">
        <v>143</v>
      </c>
      <c r="B292" t="s">
        <v>4</v>
      </c>
      <c r="C292" t="s">
        <v>15</v>
      </c>
      <c r="D292" t="s">
        <v>124</v>
      </c>
      <c r="E292" t="s">
        <v>125</v>
      </c>
      <c r="F292" t="s">
        <v>126</v>
      </c>
      <c r="G292" t="s">
        <v>55</v>
      </c>
      <c r="M292">
        <v>0.01</v>
      </c>
      <c r="N292">
        <v>0.01</v>
      </c>
      <c r="O292">
        <v>0.01</v>
      </c>
      <c r="P292">
        <v>0.01</v>
      </c>
      <c r="Q292">
        <v>0.01</v>
      </c>
      <c r="R292">
        <v>0.01</v>
      </c>
      <c r="S292">
        <v>0.01</v>
      </c>
      <c r="T292">
        <v>0.01</v>
      </c>
      <c r="U292">
        <v>0.01</v>
      </c>
      <c r="V292">
        <v>0.01</v>
      </c>
      <c r="W292">
        <v>0.01</v>
      </c>
    </row>
    <row r="293" spans="1:23" x14ac:dyDescent="0.3">
      <c r="A293" t="s">
        <v>144</v>
      </c>
      <c r="B293" t="s">
        <v>4</v>
      </c>
      <c r="C293" t="s">
        <v>15</v>
      </c>
      <c r="D293" t="s">
        <v>124</v>
      </c>
      <c r="E293" t="s">
        <v>129</v>
      </c>
      <c r="F293" t="s">
        <v>130</v>
      </c>
      <c r="G293" t="s">
        <v>55</v>
      </c>
      <c r="M293">
        <v>0.01</v>
      </c>
      <c r="N293">
        <v>0.01</v>
      </c>
      <c r="O293">
        <v>0.01</v>
      </c>
      <c r="P293">
        <v>0.01</v>
      </c>
      <c r="Q293">
        <v>0.01</v>
      </c>
      <c r="R293">
        <v>0.01</v>
      </c>
      <c r="S293">
        <v>0.01</v>
      </c>
      <c r="T293">
        <v>0.01</v>
      </c>
      <c r="U293">
        <v>0.01</v>
      </c>
      <c r="V293">
        <v>0.01</v>
      </c>
      <c r="W293">
        <v>0.01</v>
      </c>
    </row>
    <row r="294" spans="1:23" x14ac:dyDescent="0.3">
      <c r="A294" t="s">
        <v>144</v>
      </c>
      <c r="B294" t="s">
        <v>4</v>
      </c>
      <c r="C294" t="s">
        <v>15</v>
      </c>
      <c r="D294" t="s">
        <v>124</v>
      </c>
      <c r="E294" t="s">
        <v>129</v>
      </c>
      <c r="F294" t="s">
        <v>131</v>
      </c>
      <c r="G294" t="s">
        <v>55</v>
      </c>
      <c r="M294">
        <v>0.01</v>
      </c>
      <c r="N294">
        <v>0.01</v>
      </c>
      <c r="O294">
        <v>0.01</v>
      </c>
      <c r="P294">
        <v>0.01</v>
      </c>
      <c r="Q294">
        <v>0.01</v>
      </c>
      <c r="R294">
        <v>0.01</v>
      </c>
      <c r="S294">
        <v>0.01</v>
      </c>
      <c r="T294">
        <v>0.01</v>
      </c>
      <c r="U294">
        <v>0.01</v>
      </c>
      <c r="V294">
        <v>0.01</v>
      </c>
      <c r="W294">
        <v>0.01</v>
      </c>
    </row>
    <row r="295" spans="1:23" x14ac:dyDescent="0.3">
      <c r="A295" t="s">
        <v>145</v>
      </c>
      <c r="B295" t="s">
        <v>4</v>
      </c>
      <c r="C295" t="s">
        <v>15</v>
      </c>
      <c r="D295" t="s">
        <v>124</v>
      </c>
      <c r="E295" t="s">
        <v>125</v>
      </c>
      <c r="F295" t="s">
        <v>126</v>
      </c>
      <c r="G295" t="s">
        <v>55</v>
      </c>
      <c r="M295">
        <v>0.01</v>
      </c>
      <c r="N295">
        <v>0.01</v>
      </c>
      <c r="O295">
        <v>0.01</v>
      </c>
      <c r="P295">
        <v>0.01</v>
      </c>
      <c r="Q295">
        <v>0.01</v>
      </c>
      <c r="R295">
        <v>0.01</v>
      </c>
      <c r="S295">
        <v>0.01</v>
      </c>
      <c r="T295">
        <v>0.01</v>
      </c>
      <c r="U295">
        <v>0.01</v>
      </c>
      <c r="V295">
        <v>0.01</v>
      </c>
      <c r="W295">
        <v>0.01</v>
      </c>
    </row>
    <row r="296" spans="1:23" x14ac:dyDescent="0.3">
      <c r="A296" t="s">
        <v>146</v>
      </c>
      <c r="B296" t="s">
        <v>4</v>
      </c>
      <c r="C296" t="s">
        <v>15</v>
      </c>
      <c r="D296" t="s">
        <v>124</v>
      </c>
      <c r="E296" t="s">
        <v>129</v>
      </c>
      <c r="F296" t="s">
        <v>130</v>
      </c>
      <c r="G296" t="s">
        <v>55</v>
      </c>
      <c r="M296">
        <v>0.01</v>
      </c>
      <c r="N296">
        <v>0.01</v>
      </c>
      <c r="O296">
        <v>0.01</v>
      </c>
      <c r="P296">
        <v>0.01</v>
      </c>
      <c r="Q296">
        <v>0.01</v>
      </c>
      <c r="R296">
        <v>0.01</v>
      </c>
      <c r="S296">
        <v>0.01</v>
      </c>
      <c r="T296">
        <v>0.01</v>
      </c>
      <c r="U296">
        <v>0.01</v>
      </c>
      <c r="V296">
        <v>0.01</v>
      </c>
      <c r="W296">
        <v>0.01</v>
      </c>
    </row>
    <row r="297" spans="1:23" x14ac:dyDescent="0.3">
      <c r="A297" t="s">
        <v>146</v>
      </c>
      <c r="B297" t="s">
        <v>4</v>
      </c>
      <c r="C297" t="s">
        <v>15</v>
      </c>
      <c r="D297" t="s">
        <v>124</v>
      </c>
      <c r="E297" t="s">
        <v>129</v>
      </c>
      <c r="F297" t="s">
        <v>131</v>
      </c>
      <c r="G297" t="s">
        <v>55</v>
      </c>
      <c r="M297">
        <v>0.01</v>
      </c>
      <c r="N297">
        <v>0.01</v>
      </c>
      <c r="O297">
        <v>0.01</v>
      </c>
      <c r="P297">
        <v>0.01</v>
      </c>
      <c r="Q297">
        <v>0.01</v>
      </c>
      <c r="R297">
        <v>0.01</v>
      </c>
      <c r="S297">
        <v>0.01</v>
      </c>
      <c r="T297">
        <v>0.01</v>
      </c>
      <c r="U297">
        <v>0.01</v>
      </c>
      <c r="V297">
        <v>0.01</v>
      </c>
      <c r="W297">
        <v>0.01</v>
      </c>
    </row>
    <row r="298" spans="1:23" x14ac:dyDescent="0.3">
      <c r="A298" t="s">
        <v>147</v>
      </c>
      <c r="B298" t="s">
        <v>4</v>
      </c>
      <c r="C298" t="s">
        <v>15</v>
      </c>
      <c r="D298" t="s">
        <v>124</v>
      </c>
      <c r="E298" t="s">
        <v>125</v>
      </c>
      <c r="F298" t="s">
        <v>126</v>
      </c>
      <c r="G298" t="s">
        <v>55</v>
      </c>
      <c r="M298">
        <v>0.01</v>
      </c>
      <c r="N298">
        <v>0.01</v>
      </c>
      <c r="O298">
        <v>0.01</v>
      </c>
      <c r="P298">
        <v>0.01</v>
      </c>
      <c r="Q298">
        <v>0.01</v>
      </c>
      <c r="R298">
        <v>0.01</v>
      </c>
      <c r="S298">
        <v>0.01</v>
      </c>
      <c r="T298">
        <v>0.01</v>
      </c>
      <c r="U298">
        <v>0.01</v>
      </c>
      <c r="V298">
        <v>0.01</v>
      </c>
      <c r="W298">
        <v>0.01</v>
      </c>
    </row>
    <row r="299" spans="1:23" x14ac:dyDescent="0.3">
      <c r="A299" t="s">
        <v>148</v>
      </c>
      <c r="B299" t="s">
        <v>4</v>
      </c>
      <c r="C299" t="s">
        <v>15</v>
      </c>
      <c r="D299" t="s">
        <v>124</v>
      </c>
      <c r="E299" t="s">
        <v>129</v>
      </c>
      <c r="F299" t="s">
        <v>130</v>
      </c>
      <c r="G299" t="s">
        <v>55</v>
      </c>
      <c r="M299">
        <v>0.01</v>
      </c>
      <c r="N299">
        <v>0.01</v>
      </c>
      <c r="O299">
        <v>0.01</v>
      </c>
      <c r="P299">
        <v>0.01</v>
      </c>
      <c r="Q299">
        <v>0.01</v>
      </c>
      <c r="R299">
        <v>0.01</v>
      </c>
      <c r="S299">
        <v>0.01</v>
      </c>
      <c r="T299">
        <v>0.01</v>
      </c>
      <c r="U299">
        <v>0.01</v>
      </c>
      <c r="V299">
        <v>0.01</v>
      </c>
      <c r="W299">
        <v>0.01</v>
      </c>
    </row>
    <row r="300" spans="1:23" x14ac:dyDescent="0.3">
      <c r="A300" t="s">
        <v>148</v>
      </c>
      <c r="B300" t="s">
        <v>4</v>
      </c>
      <c r="C300" t="s">
        <v>15</v>
      </c>
      <c r="D300" t="s">
        <v>124</v>
      </c>
      <c r="E300" t="s">
        <v>129</v>
      </c>
      <c r="F300" t="s">
        <v>131</v>
      </c>
      <c r="G300" t="s">
        <v>55</v>
      </c>
      <c r="M300">
        <v>0.01</v>
      </c>
      <c r="N300">
        <v>0.01</v>
      </c>
      <c r="O300">
        <v>0.01</v>
      </c>
      <c r="P300">
        <v>0.01</v>
      </c>
      <c r="Q300">
        <v>0.01</v>
      </c>
      <c r="R300">
        <v>0.01</v>
      </c>
      <c r="S300">
        <v>0.01</v>
      </c>
      <c r="T300">
        <v>0.01</v>
      </c>
      <c r="U300">
        <v>0.01</v>
      </c>
      <c r="V300">
        <v>0.01</v>
      </c>
      <c r="W300">
        <v>0.01</v>
      </c>
    </row>
    <row r="301" spans="1:23" x14ac:dyDescent="0.3">
      <c r="A301" t="s">
        <v>149</v>
      </c>
      <c r="B301" t="s">
        <v>4</v>
      </c>
      <c r="C301" t="s">
        <v>15</v>
      </c>
      <c r="D301" t="s">
        <v>124</v>
      </c>
      <c r="E301" t="s">
        <v>125</v>
      </c>
      <c r="F301" t="s">
        <v>126</v>
      </c>
      <c r="G301" t="s">
        <v>55</v>
      </c>
      <c r="M301">
        <v>0.01</v>
      </c>
      <c r="N301">
        <v>0.01</v>
      </c>
      <c r="O301">
        <v>0.01</v>
      </c>
      <c r="P301">
        <v>0.01</v>
      </c>
      <c r="Q301">
        <v>0.01</v>
      </c>
      <c r="R301">
        <v>0.01</v>
      </c>
      <c r="S301">
        <v>0.01</v>
      </c>
      <c r="T301">
        <v>0.01</v>
      </c>
      <c r="U301">
        <v>0.01</v>
      </c>
      <c r="V301">
        <v>0.01</v>
      </c>
      <c r="W301">
        <v>0.01</v>
      </c>
    </row>
    <row r="302" spans="1:23" x14ac:dyDescent="0.3">
      <c r="A302" t="s">
        <v>150</v>
      </c>
      <c r="B302" t="s">
        <v>4</v>
      </c>
      <c r="C302" t="s">
        <v>15</v>
      </c>
      <c r="D302" t="s">
        <v>124</v>
      </c>
      <c r="E302" t="s">
        <v>129</v>
      </c>
      <c r="F302" t="s">
        <v>130</v>
      </c>
      <c r="G302" t="s">
        <v>55</v>
      </c>
      <c r="M302">
        <v>0.01</v>
      </c>
      <c r="N302">
        <v>0.01</v>
      </c>
      <c r="O302">
        <v>0.01</v>
      </c>
      <c r="P302">
        <v>0.01</v>
      </c>
      <c r="Q302">
        <v>0.01</v>
      </c>
      <c r="R302">
        <v>0.01</v>
      </c>
      <c r="S302">
        <v>0.01</v>
      </c>
      <c r="T302">
        <v>0.01</v>
      </c>
      <c r="U302">
        <v>0.01</v>
      </c>
      <c r="V302">
        <v>0.01</v>
      </c>
      <c r="W302">
        <v>0.01</v>
      </c>
    </row>
    <row r="303" spans="1:23" x14ac:dyDescent="0.3">
      <c r="A303" t="s">
        <v>150</v>
      </c>
      <c r="B303" t="s">
        <v>4</v>
      </c>
      <c r="C303" t="s">
        <v>15</v>
      </c>
      <c r="D303" t="s">
        <v>124</v>
      </c>
      <c r="E303" t="s">
        <v>129</v>
      </c>
      <c r="F303" t="s">
        <v>131</v>
      </c>
      <c r="G303" t="s">
        <v>55</v>
      </c>
      <c r="M303">
        <v>0.01</v>
      </c>
      <c r="N303">
        <v>0.01</v>
      </c>
      <c r="O303">
        <v>0.01</v>
      </c>
      <c r="P303">
        <v>0.01</v>
      </c>
      <c r="Q303">
        <v>0.01</v>
      </c>
      <c r="R303">
        <v>0.01</v>
      </c>
      <c r="S303">
        <v>0.01</v>
      </c>
      <c r="T303">
        <v>0.01</v>
      </c>
      <c r="U303">
        <v>0.01</v>
      </c>
      <c r="V303">
        <v>0.01</v>
      </c>
      <c r="W303">
        <v>0.01</v>
      </c>
    </row>
    <row r="304" spans="1:23" x14ac:dyDescent="0.3">
      <c r="A304" t="s">
        <v>151</v>
      </c>
      <c r="B304" t="s">
        <v>4</v>
      </c>
      <c r="C304" t="s">
        <v>15</v>
      </c>
      <c r="D304" t="s">
        <v>124</v>
      </c>
      <c r="E304" t="s">
        <v>125</v>
      </c>
      <c r="F304" t="s">
        <v>126</v>
      </c>
      <c r="G304" t="s">
        <v>55</v>
      </c>
      <c r="M304">
        <v>0.01</v>
      </c>
      <c r="N304">
        <v>0.01</v>
      </c>
      <c r="O304">
        <v>0.01</v>
      </c>
      <c r="P304">
        <v>0.01</v>
      </c>
      <c r="Q304">
        <v>0.01</v>
      </c>
      <c r="R304">
        <v>0.01</v>
      </c>
      <c r="S304">
        <v>0.01</v>
      </c>
      <c r="T304">
        <v>0.01</v>
      </c>
      <c r="U304">
        <v>0.01</v>
      </c>
      <c r="V304">
        <v>0.01</v>
      </c>
      <c r="W304">
        <v>0.01</v>
      </c>
    </row>
    <row r="305" spans="1:23" x14ac:dyDescent="0.3">
      <c r="A305" t="s">
        <v>152</v>
      </c>
      <c r="B305" t="s">
        <v>4</v>
      </c>
      <c r="C305" t="s">
        <v>15</v>
      </c>
      <c r="D305" t="s">
        <v>124</v>
      </c>
      <c r="E305" t="s">
        <v>129</v>
      </c>
      <c r="F305" t="s">
        <v>130</v>
      </c>
      <c r="G305" t="s">
        <v>55</v>
      </c>
      <c r="M305">
        <v>0.01</v>
      </c>
      <c r="N305">
        <v>0.01</v>
      </c>
      <c r="O305">
        <v>0.01</v>
      </c>
      <c r="P305">
        <v>0.01</v>
      </c>
      <c r="Q305">
        <v>0.01</v>
      </c>
      <c r="R305">
        <v>0.01</v>
      </c>
      <c r="S305">
        <v>0.01</v>
      </c>
      <c r="T305">
        <v>0.01</v>
      </c>
      <c r="U305">
        <v>0.01</v>
      </c>
      <c r="V305">
        <v>0.01</v>
      </c>
      <c r="W305">
        <v>0.01</v>
      </c>
    </row>
    <row r="306" spans="1:23" x14ac:dyDescent="0.3">
      <c r="A306" t="s">
        <v>152</v>
      </c>
      <c r="B306" t="s">
        <v>4</v>
      </c>
      <c r="C306" t="s">
        <v>15</v>
      </c>
      <c r="D306" t="s">
        <v>124</v>
      </c>
      <c r="E306" t="s">
        <v>129</v>
      </c>
      <c r="F306" t="s">
        <v>131</v>
      </c>
      <c r="G306" t="s">
        <v>55</v>
      </c>
      <c r="M306">
        <v>0.01</v>
      </c>
      <c r="N306">
        <v>0.01</v>
      </c>
      <c r="O306">
        <v>0.01</v>
      </c>
      <c r="P306">
        <v>0.01</v>
      </c>
      <c r="Q306">
        <v>0.01</v>
      </c>
      <c r="R306">
        <v>0.01</v>
      </c>
      <c r="S306">
        <v>0.01</v>
      </c>
      <c r="T306">
        <v>0.01</v>
      </c>
      <c r="U306">
        <v>0.01</v>
      </c>
      <c r="V306">
        <v>0.01</v>
      </c>
      <c r="W306">
        <v>0.01</v>
      </c>
    </row>
    <row r="307" spans="1:23" x14ac:dyDescent="0.3">
      <c r="A307" t="s">
        <v>153</v>
      </c>
      <c r="B307" t="s">
        <v>4</v>
      </c>
      <c r="C307" t="s">
        <v>15</v>
      </c>
      <c r="D307" t="s">
        <v>124</v>
      </c>
      <c r="E307" t="s">
        <v>125</v>
      </c>
      <c r="F307" t="s">
        <v>126</v>
      </c>
      <c r="G307" t="s">
        <v>55</v>
      </c>
      <c r="M307">
        <v>0.01</v>
      </c>
      <c r="N307">
        <v>0.01</v>
      </c>
      <c r="O307">
        <v>0.01</v>
      </c>
      <c r="P307">
        <v>0.01</v>
      </c>
      <c r="Q307">
        <v>0.01</v>
      </c>
      <c r="R307">
        <v>0.01</v>
      </c>
      <c r="S307">
        <v>0.01</v>
      </c>
      <c r="T307">
        <v>0.01</v>
      </c>
      <c r="U307">
        <v>0.01</v>
      </c>
      <c r="V307">
        <v>0.01</v>
      </c>
      <c r="W307">
        <v>0.01</v>
      </c>
    </row>
    <row r="308" spans="1:23" x14ac:dyDescent="0.3">
      <c r="A308" t="s">
        <v>154</v>
      </c>
      <c r="B308" t="s">
        <v>4</v>
      </c>
      <c r="C308" t="s">
        <v>15</v>
      </c>
      <c r="D308" t="s">
        <v>124</v>
      </c>
      <c r="E308" t="s">
        <v>129</v>
      </c>
      <c r="F308" t="s">
        <v>130</v>
      </c>
      <c r="G308" t="s">
        <v>55</v>
      </c>
      <c r="M308">
        <v>0.01</v>
      </c>
      <c r="N308">
        <v>0.01</v>
      </c>
      <c r="O308">
        <v>0.01</v>
      </c>
      <c r="P308">
        <v>0.01</v>
      </c>
      <c r="Q308">
        <v>0.01</v>
      </c>
      <c r="R308">
        <v>0.01</v>
      </c>
      <c r="S308">
        <v>0.01</v>
      </c>
      <c r="T308">
        <v>0.01</v>
      </c>
      <c r="U308">
        <v>0.01</v>
      </c>
      <c r="V308">
        <v>0.01</v>
      </c>
      <c r="W308">
        <v>0.01</v>
      </c>
    </row>
    <row r="309" spans="1:23" x14ac:dyDescent="0.3">
      <c r="A309" t="s">
        <v>154</v>
      </c>
      <c r="B309" t="s">
        <v>4</v>
      </c>
      <c r="C309" t="s">
        <v>15</v>
      </c>
      <c r="D309" t="s">
        <v>124</v>
      </c>
      <c r="E309" t="s">
        <v>129</v>
      </c>
      <c r="F309" t="s">
        <v>131</v>
      </c>
      <c r="G309" t="s">
        <v>55</v>
      </c>
      <c r="M309">
        <v>0.01</v>
      </c>
      <c r="N309">
        <v>0.01</v>
      </c>
      <c r="O309">
        <v>0.01</v>
      </c>
      <c r="P309">
        <v>0.01</v>
      </c>
      <c r="Q309">
        <v>0.01</v>
      </c>
      <c r="R309">
        <v>0.01</v>
      </c>
      <c r="S309">
        <v>0.01</v>
      </c>
      <c r="T309">
        <v>0.01</v>
      </c>
      <c r="U309">
        <v>0.01</v>
      </c>
      <c r="V309">
        <v>0.01</v>
      </c>
      <c r="W309">
        <v>0.01</v>
      </c>
    </row>
    <row r="310" spans="1:23" x14ac:dyDescent="0.3">
      <c r="A310" t="s">
        <v>123</v>
      </c>
      <c r="B310" t="s">
        <v>4</v>
      </c>
      <c r="C310" t="s">
        <v>15</v>
      </c>
      <c r="D310" t="s">
        <v>124</v>
      </c>
      <c r="E310" t="s">
        <v>125</v>
      </c>
      <c r="F310" t="s">
        <v>126</v>
      </c>
      <c r="G310" t="s">
        <v>56</v>
      </c>
      <c r="M310">
        <v>27120000</v>
      </c>
      <c r="N310">
        <v>27120000</v>
      </c>
      <c r="O310">
        <v>27120000</v>
      </c>
      <c r="P310">
        <v>27120000</v>
      </c>
      <c r="Q310">
        <v>27120000</v>
      </c>
      <c r="R310">
        <v>27120000</v>
      </c>
      <c r="S310">
        <v>27120000</v>
      </c>
      <c r="T310">
        <v>27120000</v>
      </c>
      <c r="U310">
        <v>27120000</v>
      </c>
      <c r="V310">
        <v>27120000</v>
      </c>
      <c r="W310">
        <v>27120000</v>
      </c>
    </row>
    <row r="311" spans="1:23" x14ac:dyDescent="0.3">
      <c r="A311" t="s">
        <v>128</v>
      </c>
      <c r="B311" t="s">
        <v>4</v>
      </c>
      <c r="C311" t="s">
        <v>15</v>
      </c>
      <c r="D311" t="s">
        <v>124</v>
      </c>
      <c r="E311" t="s">
        <v>129</v>
      </c>
      <c r="F311" t="s">
        <v>130</v>
      </c>
      <c r="G311" t="s">
        <v>56</v>
      </c>
      <c r="M311">
        <v>27120000</v>
      </c>
      <c r="N311">
        <v>27120000</v>
      </c>
      <c r="O311">
        <v>27120000</v>
      </c>
      <c r="P311">
        <v>27120000</v>
      </c>
      <c r="Q311">
        <v>27120000</v>
      </c>
      <c r="R311">
        <v>27120000</v>
      </c>
      <c r="S311">
        <v>27120000</v>
      </c>
      <c r="T311">
        <v>27120000</v>
      </c>
      <c r="U311">
        <v>27120000</v>
      </c>
      <c r="V311">
        <v>27120000</v>
      </c>
      <c r="W311">
        <v>27120000</v>
      </c>
    </row>
    <row r="312" spans="1:23" x14ac:dyDescent="0.3">
      <c r="A312" t="s">
        <v>128</v>
      </c>
      <c r="B312" t="s">
        <v>4</v>
      </c>
      <c r="C312" t="s">
        <v>15</v>
      </c>
      <c r="D312" t="s">
        <v>124</v>
      </c>
      <c r="E312" t="s">
        <v>129</v>
      </c>
      <c r="F312" t="s">
        <v>131</v>
      </c>
      <c r="G312" t="s">
        <v>56</v>
      </c>
      <c r="M312">
        <v>27120000</v>
      </c>
      <c r="N312">
        <v>27120000</v>
      </c>
      <c r="O312">
        <v>27120000</v>
      </c>
      <c r="P312">
        <v>27120000</v>
      </c>
      <c r="Q312">
        <v>27120000</v>
      </c>
      <c r="R312">
        <v>27120000</v>
      </c>
      <c r="S312">
        <v>27120000</v>
      </c>
      <c r="T312">
        <v>27120000</v>
      </c>
      <c r="U312">
        <v>27120000</v>
      </c>
      <c r="V312">
        <v>27120000</v>
      </c>
      <c r="W312">
        <v>27120000</v>
      </c>
    </row>
    <row r="313" spans="1:23" x14ac:dyDescent="0.3">
      <c r="A313" t="s">
        <v>132</v>
      </c>
      <c r="B313" t="s">
        <v>4</v>
      </c>
      <c r="C313" t="s">
        <v>15</v>
      </c>
      <c r="D313" t="s">
        <v>124</v>
      </c>
      <c r="E313" t="s">
        <v>125</v>
      </c>
      <c r="F313" t="s">
        <v>126</v>
      </c>
      <c r="G313" t="s">
        <v>56</v>
      </c>
      <c r="M313">
        <v>27120000</v>
      </c>
      <c r="N313">
        <v>27120000</v>
      </c>
      <c r="O313">
        <v>27120000</v>
      </c>
      <c r="P313">
        <v>27120000</v>
      </c>
      <c r="Q313">
        <v>27120000</v>
      </c>
      <c r="R313">
        <v>27120000</v>
      </c>
      <c r="S313">
        <v>27120000</v>
      </c>
      <c r="T313">
        <v>27120000</v>
      </c>
      <c r="U313">
        <v>27120000</v>
      </c>
      <c r="V313">
        <v>27120000</v>
      </c>
      <c r="W313">
        <v>27120000</v>
      </c>
    </row>
    <row r="314" spans="1:23" x14ac:dyDescent="0.3">
      <c r="A314" t="s">
        <v>133</v>
      </c>
      <c r="B314" t="s">
        <v>4</v>
      </c>
      <c r="C314" t="s">
        <v>15</v>
      </c>
      <c r="D314" t="s">
        <v>124</v>
      </c>
      <c r="E314" t="s">
        <v>129</v>
      </c>
      <c r="F314" t="s">
        <v>130</v>
      </c>
      <c r="G314" t="s">
        <v>56</v>
      </c>
      <c r="M314">
        <v>27120000</v>
      </c>
      <c r="N314">
        <v>27120000</v>
      </c>
      <c r="O314">
        <v>27120000</v>
      </c>
      <c r="P314">
        <v>27120000</v>
      </c>
      <c r="Q314">
        <v>27120000</v>
      </c>
      <c r="R314">
        <v>27120000</v>
      </c>
      <c r="S314">
        <v>27120000</v>
      </c>
      <c r="T314">
        <v>27120000</v>
      </c>
      <c r="U314">
        <v>27120000</v>
      </c>
      <c r="V314">
        <v>27120000</v>
      </c>
      <c r="W314">
        <v>27120000</v>
      </c>
    </row>
    <row r="315" spans="1:23" x14ac:dyDescent="0.3">
      <c r="A315" t="s">
        <v>133</v>
      </c>
      <c r="B315" t="s">
        <v>4</v>
      </c>
      <c r="C315" t="s">
        <v>15</v>
      </c>
      <c r="D315" t="s">
        <v>124</v>
      </c>
      <c r="E315" t="s">
        <v>129</v>
      </c>
      <c r="F315" t="s">
        <v>131</v>
      </c>
      <c r="G315" t="s">
        <v>56</v>
      </c>
      <c r="M315">
        <v>27120000</v>
      </c>
      <c r="N315">
        <v>27120000</v>
      </c>
      <c r="O315">
        <v>27120000</v>
      </c>
      <c r="P315">
        <v>27120000</v>
      </c>
      <c r="Q315">
        <v>27120000</v>
      </c>
      <c r="R315">
        <v>27120000</v>
      </c>
      <c r="S315">
        <v>27120000</v>
      </c>
      <c r="T315">
        <v>27120000</v>
      </c>
      <c r="U315">
        <v>27120000</v>
      </c>
      <c r="V315">
        <v>27120000</v>
      </c>
      <c r="W315">
        <v>27120000</v>
      </c>
    </row>
    <row r="316" spans="1:23" x14ac:dyDescent="0.3">
      <c r="A316" t="s">
        <v>134</v>
      </c>
      <c r="B316" t="s">
        <v>4</v>
      </c>
      <c r="C316" t="s">
        <v>15</v>
      </c>
      <c r="D316" t="s">
        <v>124</v>
      </c>
      <c r="E316" t="s">
        <v>125</v>
      </c>
      <c r="F316" t="s">
        <v>126</v>
      </c>
      <c r="G316" t="s">
        <v>56</v>
      </c>
      <c r="M316">
        <v>27120000</v>
      </c>
      <c r="N316">
        <v>27120000</v>
      </c>
      <c r="O316">
        <v>27120000</v>
      </c>
      <c r="P316">
        <v>27120000</v>
      </c>
      <c r="Q316">
        <v>27120000</v>
      </c>
      <c r="R316">
        <v>27120000</v>
      </c>
      <c r="S316">
        <v>27120000</v>
      </c>
      <c r="T316">
        <v>27120000</v>
      </c>
      <c r="U316">
        <v>27120000</v>
      </c>
      <c r="V316">
        <v>27120000</v>
      </c>
      <c r="W316">
        <v>27120000</v>
      </c>
    </row>
    <row r="317" spans="1:23" x14ac:dyDescent="0.3">
      <c r="A317" t="s">
        <v>135</v>
      </c>
      <c r="B317" t="s">
        <v>4</v>
      </c>
      <c r="C317" t="s">
        <v>15</v>
      </c>
      <c r="D317" t="s">
        <v>124</v>
      </c>
      <c r="E317" t="s">
        <v>129</v>
      </c>
      <c r="F317" t="s">
        <v>130</v>
      </c>
      <c r="G317" t="s">
        <v>56</v>
      </c>
      <c r="M317">
        <v>27120000</v>
      </c>
      <c r="N317">
        <v>27120000</v>
      </c>
      <c r="O317">
        <v>27120000</v>
      </c>
      <c r="P317">
        <v>27120000</v>
      </c>
      <c r="Q317">
        <v>27120000</v>
      </c>
      <c r="R317">
        <v>27120000</v>
      </c>
      <c r="S317">
        <v>27120000</v>
      </c>
      <c r="T317">
        <v>27120000</v>
      </c>
      <c r="U317">
        <v>27120000</v>
      </c>
      <c r="V317">
        <v>27120000</v>
      </c>
      <c r="W317">
        <v>27120000</v>
      </c>
    </row>
    <row r="318" spans="1:23" x14ac:dyDescent="0.3">
      <c r="A318" t="s">
        <v>135</v>
      </c>
      <c r="B318" t="s">
        <v>4</v>
      </c>
      <c r="C318" t="s">
        <v>15</v>
      </c>
      <c r="D318" t="s">
        <v>124</v>
      </c>
      <c r="E318" t="s">
        <v>129</v>
      </c>
      <c r="F318" t="s">
        <v>131</v>
      </c>
      <c r="G318" t="s">
        <v>56</v>
      </c>
      <c r="M318">
        <v>27120000</v>
      </c>
      <c r="N318">
        <v>27120000</v>
      </c>
      <c r="O318">
        <v>27120000</v>
      </c>
      <c r="P318">
        <v>27120000</v>
      </c>
      <c r="Q318">
        <v>27120000</v>
      </c>
      <c r="R318">
        <v>27120000</v>
      </c>
      <c r="S318">
        <v>27120000</v>
      </c>
      <c r="T318">
        <v>27120000</v>
      </c>
      <c r="U318">
        <v>27120000</v>
      </c>
      <c r="V318">
        <v>27120000</v>
      </c>
      <c r="W318">
        <v>27120000</v>
      </c>
    </row>
    <row r="319" spans="1:23" x14ac:dyDescent="0.3">
      <c r="A319" t="s">
        <v>136</v>
      </c>
      <c r="B319" t="s">
        <v>4</v>
      </c>
      <c r="C319" t="s">
        <v>15</v>
      </c>
      <c r="D319" t="s">
        <v>124</v>
      </c>
      <c r="E319" t="s">
        <v>125</v>
      </c>
      <c r="F319" t="s">
        <v>126</v>
      </c>
      <c r="G319" t="s">
        <v>56</v>
      </c>
      <c r="M319">
        <v>27120000</v>
      </c>
      <c r="N319">
        <v>27120000</v>
      </c>
      <c r="O319">
        <v>27120000</v>
      </c>
      <c r="P319">
        <v>27120000</v>
      </c>
      <c r="Q319">
        <v>27120000</v>
      </c>
      <c r="R319">
        <v>27120000</v>
      </c>
      <c r="S319">
        <v>27120000</v>
      </c>
      <c r="T319">
        <v>27120000</v>
      </c>
      <c r="U319">
        <v>27120000</v>
      </c>
      <c r="V319">
        <v>27120000</v>
      </c>
      <c r="W319">
        <v>27120000</v>
      </c>
    </row>
    <row r="320" spans="1:23" x14ac:dyDescent="0.3">
      <c r="A320" t="s">
        <v>136</v>
      </c>
      <c r="B320" t="s">
        <v>4</v>
      </c>
      <c r="C320" t="s">
        <v>15</v>
      </c>
      <c r="D320" t="s">
        <v>124</v>
      </c>
      <c r="E320" t="s">
        <v>125</v>
      </c>
      <c r="F320" t="s">
        <v>137</v>
      </c>
      <c r="G320" t="s">
        <v>56</v>
      </c>
      <c r="M320">
        <v>27120000</v>
      </c>
      <c r="N320">
        <v>27120000</v>
      </c>
      <c r="O320">
        <v>27120000</v>
      </c>
      <c r="P320">
        <v>27120000</v>
      </c>
      <c r="Q320">
        <v>27120000</v>
      </c>
      <c r="R320">
        <v>27120000</v>
      </c>
      <c r="S320">
        <v>27120000</v>
      </c>
      <c r="T320">
        <v>27120000</v>
      </c>
      <c r="U320">
        <v>27120000</v>
      </c>
      <c r="V320">
        <v>27120000</v>
      </c>
      <c r="W320">
        <v>27120000</v>
      </c>
    </row>
    <row r="321" spans="1:23" x14ac:dyDescent="0.3">
      <c r="A321" t="s">
        <v>138</v>
      </c>
      <c r="B321" t="s">
        <v>4</v>
      </c>
      <c r="C321" t="s">
        <v>15</v>
      </c>
      <c r="D321" t="s">
        <v>124</v>
      </c>
      <c r="E321" t="s">
        <v>129</v>
      </c>
      <c r="F321" t="s">
        <v>130</v>
      </c>
      <c r="G321" t="s">
        <v>56</v>
      </c>
      <c r="M321">
        <v>27120000</v>
      </c>
      <c r="N321">
        <v>27120000</v>
      </c>
      <c r="O321">
        <v>27120000</v>
      </c>
      <c r="P321">
        <v>27120000</v>
      </c>
      <c r="Q321">
        <v>27120000</v>
      </c>
      <c r="R321">
        <v>27120000</v>
      </c>
      <c r="S321">
        <v>27120000</v>
      </c>
      <c r="T321">
        <v>27120000</v>
      </c>
      <c r="U321">
        <v>27120000</v>
      </c>
      <c r="V321">
        <v>27120000</v>
      </c>
      <c r="W321">
        <v>27120000</v>
      </c>
    </row>
    <row r="322" spans="1:23" x14ac:dyDescent="0.3">
      <c r="A322" t="s">
        <v>138</v>
      </c>
      <c r="B322" t="s">
        <v>4</v>
      </c>
      <c r="C322" t="s">
        <v>15</v>
      </c>
      <c r="D322" t="s">
        <v>124</v>
      </c>
      <c r="E322" t="s">
        <v>129</v>
      </c>
      <c r="F322" t="s">
        <v>131</v>
      </c>
      <c r="G322" t="s">
        <v>56</v>
      </c>
      <c r="M322">
        <v>27120000</v>
      </c>
      <c r="N322">
        <v>27120000</v>
      </c>
      <c r="O322">
        <v>27120000</v>
      </c>
      <c r="P322">
        <v>27120000</v>
      </c>
      <c r="Q322">
        <v>27120000</v>
      </c>
      <c r="R322">
        <v>27120000</v>
      </c>
      <c r="S322">
        <v>27120000</v>
      </c>
      <c r="T322">
        <v>27120000</v>
      </c>
      <c r="U322">
        <v>27120000</v>
      </c>
      <c r="V322">
        <v>27120000</v>
      </c>
      <c r="W322">
        <v>27120000</v>
      </c>
    </row>
    <row r="323" spans="1:23" x14ac:dyDescent="0.3">
      <c r="A323" t="s">
        <v>138</v>
      </c>
      <c r="B323" t="s">
        <v>4</v>
      </c>
      <c r="C323" t="s">
        <v>15</v>
      </c>
      <c r="D323" t="s">
        <v>124</v>
      </c>
      <c r="E323" t="s">
        <v>129</v>
      </c>
      <c r="F323" t="s">
        <v>137</v>
      </c>
      <c r="G323" t="s">
        <v>56</v>
      </c>
      <c r="M323">
        <v>27120000</v>
      </c>
      <c r="N323">
        <v>27120000</v>
      </c>
      <c r="O323">
        <v>27120000</v>
      </c>
      <c r="P323">
        <v>27120000</v>
      </c>
      <c r="Q323">
        <v>27120000</v>
      </c>
      <c r="R323">
        <v>27120000</v>
      </c>
      <c r="S323">
        <v>27120000</v>
      </c>
      <c r="T323">
        <v>27120000</v>
      </c>
      <c r="U323">
        <v>27120000</v>
      </c>
      <c r="V323">
        <v>27120000</v>
      </c>
      <c r="W323">
        <v>27120000</v>
      </c>
    </row>
    <row r="324" spans="1:23" x14ac:dyDescent="0.3">
      <c r="A324" t="s">
        <v>139</v>
      </c>
      <c r="B324" t="s">
        <v>4</v>
      </c>
      <c r="C324" t="s">
        <v>15</v>
      </c>
      <c r="D324" t="s">
        <v>124</v>
      </c>
      <c r="E324" t="s">
        <v>125</v>
      </c>
      <c r="F324" t="s">
        <v>126</v>
      </c>
      <c r="G324" t="s">
        <v>56</v>
      </c>
      <c r="M324">
        <v>27120000</v>
      </c>
      <c r="N324">
        <v>27120000</v>
      </c>
      <c r="O324">
        <v>27120000</v>
      </c>
      <c r="P324">
        <v>27120000</v>
      </c>
      <c r="Q324">
        <v>27120000</v>
      </c>
      <c r="R324">
        <v>27120000</v>
      </c>
      <c r="S324">
        <v>27120000</v>
      </c>
      <c r="T324">
        <v>27120000</v>
      </c>
      <c r="U324">
        <v>27120000</v>
      </c>
      <c r="V324">
        <v>27120000</v>
      </c>
      <c r="W324">
        <v>27120000</v>
      </c>
    </row>
    <row r="325" spans="1:23" x14ac:dyDescent="0.3">
      <c r="A325" t="s">
        <v>139</v>
      </c>
      <c r="B325" t="s">
        <v>4</v>
      </c>
      <c r="C325" t="s">
        <v>15</v>
      </c>
      <c r="D325" t="s">
        <v>124</v>
      </c>
      <c r="E325" t="s">
        <v>125</v>
      </c>
      <c r="F325" t="s">
        <v>137</v>
      </c>
      <c r="G325" t="s">
        <v>56</v>
      </c>
      <c r="M325">
        <v>27120000</v>
      </c>
      <c r="N325">
        <v>27120000</v>
      </c>
      <c r="O325">
        <v>27120000</v>
      </c>
      <c r="P325">
        <v>27120000</v>
      </c>
      <c r="Q325">
        <v>27120000</v>
      </c>
      <c r="R325">
        <v>27120000</v>
      </c>
      <c r="S325">
        <v>27120000</v>
      </c>
      <c r="T325">
        <v>27120000</v>
      </c>
      <c r="U325">
        <v>27120000</v>
      </c>
      <c r="V325">
        <v>27120000</v>
      </c>
      <c r="W325">
        <v>27120000</v>
      </c>
    </row>
    <row r="326" spans="1:23" x14ac:dyDescent="0.3">
      <c r="A326" t="s">
        <v>140</v>
      </c>
      <c r="B326" t="s">
        <v>4</v>
      </c>
      <c r="C326" t="s">
        <v>15</v>
      </c>
      <c r="D326" t="s">
        <v>124</v>
      </c>
      <c r="E326" t="s">
        <v>129</v>
      </c>
      <c r="F326" t="s">
        <v>130</v>
      </c>
      <c r="G326" t="s">
        <v>56</v>
      </c>
      <c r="M326">
        <v>27120000</v>
      </c>
      <c r="N326">
        <v>27120000</v>
      </c>
      <c r="O326">
        <v>27120000</v>
      </c>
      <c r="P326">
        <v>27120000</v>
      </c>
      <c r="Q326">
        <v>27120000</v>
      </c>
      <c r="R326">
        <v>27120000</v>
      </c>
      <c r="S326">
        <v>27120000</v>
      </c>
      <c r="T326">
        <v>27120000</v>
      </c>
      <c r="U326">
        <v>27120000</v>
      </c>
      <c r="V326">
        <v>27120000</v>
      </c>
      <c r="W326">
        <v>27120000</v>
      </c>
    </row>
    <row r="327" spans="1:23" x14ac:dyDescent="0.3">
      <c r="A327" t="s">
        <v>140</v>
      </c>
      <c r="B327" t="s">
        <v>4</v>
      </c>
      <c r="C327" t="s">
        <v>15</v>
      </c>
      <c r="D327" t="s">
        <v>124</v>
      </c>
      <c r="E327" t="s">
        <v>129</v>
      </c>
      <c r="F327" t="s">
        <v>131</v>
      </c>
      <c r="G327" t="s">
        <v>56</v>
      </c>
      <c r="M327">
        <v>27120000</v>
      </c>
      <c r="N327">
        <v>27120000</v>
      </c>
      <c r="O327">
        <v>27120000</v>
      </c>
      <c r="P327">
        <v>27120000</v>
      </c>
      <c r="Q327">
        <v>27120000</v>
      </c>
      <c r="R327">
        <v>27120000</v>
      </c>
      <c r="S327">
        <v>27120000</v>
      </c>
      <c r="T327">
        <v>27120000</v>
      </c>
      <c r="U327">
        <v>27120000</v>
      </c>
      <c r="V327">
        <v>27120000</v>
      </c>
      <c r="W327">
        <v>27120000</v>
      </c>
    </row>
    <row r="328" spans="1:23" x14ac:dyDescent="0.3">
      <c r="A328" t="s">
        <v>140</v>
      </c>
      <c r="B328" t="s">
        <v>4</v>
      </c>
      <c r="C328" t="s">
        <v>15</v>
      </c>
      <c r="D328" t="s">
        <v>124</v>
      </c>
      <c r="E328" t="s">
        <v>129</v>
      </c>
      <c r="F328" t="s">
        <v>137</v>
      </c>
      <c r="G328" t="s">
        <v>56</v>
      </c>
      <c r="M328">
        <v>27120000</v>
      </c>
      <c r="N328">
        <v>27120000</v>
      </c>
      <c r="O328">
        <v>27120000</v>
      </c>
      <c r="P328">
        <v>27120000</v>
      </c>
      <c r="Q328">
        <v>27120000</v>
      </c>
      <c r="R328">
        <v>27120000</v>
      </c>
      <c r="S328">
        <v>27120000</v>
      </c>
      <c r="T328">
        <v>27120000</v>
      </c>
      <c r="U328">
        <v>27120000</v>
      </c>
      <c r="V328">
        <v>27120000</v>
      </c>
      <c r="W328">
        <v>27120000</v>
      </c>
    </row>
    <row r="329" spans="1:23" x14ac:dyDescent="0.3">
      <c r="A329" t="s">
        <v>141</v>
      </c>
      <c r="B329" t="s">
        <v>4</v>
      </c>
      <c r="C329" t="s">
        <v>15</v>
      </c>
      <c r="D329" t="s">
        <v>124</v>
      </c>
      <c r="E329" t="s">
        <v>125</v>
      </c>
      <c r="F329" t="s">
        <v>126</v>
      </c>
      <c r="G329" t="s">
        <v>56</v>
      </c>
      <c r="M329">
        <v>27120000</v>
      </c>
      <c r="N329">
        <v>27120000</v>
      </c>
      <c r="O329">
        <v>27120000</v>
      </c>
      <c r="P329">
        <v>27120000</v>
      </c>
      <c r="Q329">
        <v>27120000</v>
      </c>
      <c r="R329">
        <v>27120000</v>
      </c>
      <c r="S329">
        <v>27120000</v>
      </c>
      <c r="T329">
        <v>27120000</v>
      </c>
      <c r="U329">
        <v>27120000</v>
      </c>
      <c r="V329">
        <v>27120000</v>
      </c>
      <c r="W329">
        <v>27120000</v>
      </c>
    </row>
    <row r="330" spans="1:23" x14ac:dyDescent="0.3">
      <c r="A330" t="s">
        <v>141</v>
      </c>
      <c r="B330" t="s">
        <v>4</v>
      </c>
      <c r="C330" t="s">
        <v>15</v>
      </c>
      <c r="D330" t="s">
        <v>124</v>
      </c>
      <c r="E330" t="s">
        <v>125</v>
      </c>
      <c r="F330" t="s">
        <v>137</v>
      </c>
      <c r="G330" t="s">
        <v>56</v>
      </c>
      <c r="M330">
        <v>27120000</v>
      </c>
      <c r="N330">
        <v>27120000</v>
      </c>
      <c r="O330">
        <v>27120000</v>
      </c>
      <c r="P330">
        <v>27120000</v>
      </c>
      <c r="Q330">
        <v>27120000</v>
      </c>
      <c r="R330">
        <v>27120000</v>
      </c>
      <c r="S330">
        <v>27120000</v>
      </c>
      <c r="T330">
        <v>27120000</v>
      </c>
      <c r="U330">
        <v>27120000</v>
      </c>
      <c r="V330">
        <v>27120000</v>
      </c>
      <c r="W330">
        <v>27120000</v>
      </c>
    </row>
    <row r="331" spans="1:23" x14ac:dyDescent="0.3">
      <c r="A331" t="s">
        <v>142</v>
      </c>
      <c r="B331" t="s">
        <v>4</v>
      </c>
      <c r="C331" t="s">
        <v>15</v>
      </c>
      <c r="D331" t="s">
        <v>124</v>
      </c>
      <c r="E331" t="s">
        <v>129</v>
      </c>
      <c r="F331" t="s">
        <v>130</v>
      </c>
      <c r="G331" t="s">
        <v>56</v>
      </c>
      <c r="M331">
        <v>27120000</v>
      </c>
      <c r="N331">
        <v>27120000</v>
      </c>
      <c r="O331">
        <v>27120000</v>
      </c>
      <c r="P331">
        <v>27120000</v>
      </c>
      <c r="Q331">
        <v>27120000</v>
      </c>
      <c r="R331">
        <v>27120000</v>
      </c>
      <c r="S331">
        <v>27120000</v>
      </c>
      <c r="T331">
        <v>27120000</v>
      </c>
      <c r="U331">
        <v>27120000</v>
      </c>
      <c r="V331">
        <v>27120000</v>
      </c>
      <c r="W331">
        <v>27120000</v>
      </c>
    </row>
    <row r="332" spans="1:23" x14ac:dyDescent="0.3">
      <c r="A332" t="s">
        <v>142</v>
      </c>
      <c r="B332" t="s">
        <v>4</v>
      </c>
      <c r="C332" t="s">
        <v>15</v>
      </c>
      <c r="D332" t="s">
        <v>124</v>
      </c>
      <c r="E332" t="s">
        <v>129</v>
      </c>
      <c r="F332" t="s">
        <v>131</v>
      </c>
      <c r="G332" t="s">
        <v>56</v>
      </c>
      <c r="M332">
        <v>27120000</v>
      </c>
      <c r="N332">
        <v>27120000</v>
      </c>
      <c r="O332">
        <v>27120000</v>
      </c>
      <c r="P332">
        <v>27120000</v>
      </c>
      <c r="Q332">
        <v>27120000</v>
      </c>
      <c r="R332">
        <v>27120000</v>
      </c>
      <c r="S332">
        <v>27120000</v>
      </c>
      <c r="T332">
        <v>27120000</v>
      </c>
      <c r="U332">
        <v>27120000</v>
      </c>
      <c r="V332">
        <v>27120000</v>
      </c>
      <c r="W332">
        <v>27120000</v>
      </c>
    </row>
    <row r="333" spans="1:23" x14ac:dyDescent="0.3">
      <c r="A333" t="s">
        <v>142</v>
      </c>
      <c r="B333" t="s">
        <v>4</v>
      </c>
      <c r="C333" t="s">
        <v>15</v>
      </c>
      <c r="D333" t="s">
        <v>124</v>
      </c>
      <c r="E333" t="s">
        <v>129</v>
      </c>
      <c r="F333" t="s">
        <v>137</v>
      </c>
      <c r="G333" t="s">
        <v>56</v>
      </c>
      <c r="M333">
        <v>27120000</v>
      </c>
      <c r="N333">
        <v>27120000</v>
      </c>
      <c r="O333">
        <v>27120000</v>
      </c>
      <c r="P333">
        <v>27120000</v>
      </c>
      <c r="Q333">
        <v>27120000</v>
      </c>
      <c r="R333">
        <v>27120000</v>
      </c>
      <c r="S333">
        <v>27120000</v>
      </c>
      <c r="T333">
        <v>27120000</v>
      </c>
      <c r="U333">
        <v>27120000</v>
      </c>
      <c r="V333">
        <v>27120000</v>
      </c>
      <c r="W333">
        <v>27120000</v>
      </c>
    </row>
    <row r="334" spans="1:23" x14ac:dyDescent="0.3">
      <c r="A334" t="s">
        <v>143</v>
      </c>
      <c r="B334" t="s">
        <v>4</v>
      </c>
      <c r="C334" t="s">
        <v>15</v>
      </c>
      <c r="D334" t="s">
        <v>124</v>
      </c>
      <c r="E334" t="s">
        <v>125</v>
      </c>
      <c r="F334" t="s">
        <v>126</v>
      </c>
      <c r="G334" t="s">
        <v>56</v>
      </c>
      <c r="M334">
        <v>27120000</v>
      </c>
      <c r="N334">
        <v>27120000</v>
      </c>
      <c r="O334">
        <v>27120000</v>
      </c>
      <c r="P334">
        <v>27120000</v>
      </c>
      <c r="Q334">
        <v>27120000</v>
      </c>
      <c r="R334">
        <v>27120000</v>
      </c>
      <c r="S334">
        <v>27120000</v>
      </c>
      <c r="T334">
        <v>27120000</v>
      </c>
      <c r="U334">
        <v>27120000</v>
      </c>
      <c r="V334">
        <v>27120000</v>
      </c>
      <c r="W334">
        <v>27120000</v>
      </c>
    </row>
    <row r="335" spans="1:23" x14ac:dyDescent="0.3">
      <c r="A335" t="s">
        <v>144</v>
      </c>
      <c r="B335" t="s">
        <v>4</v>
      </c>
      <c r="C335" t="s">
        <v>15</v>
      </c>
      <c r="D335" t="s">
        <v>124</v>
      </c>
      <c r="E335" t="s">
        <v>129</v>
      </c>
      <c r="F335" t="s">
        <v>130</v>
      </c>
      <c r="G335" t="s">
        <v>56</v>
      </c>
      <c r="M335">
        <v>27120000</v>
      </c>
      <c r="N335">
        <v>27120000</v>
      </c>
      <c r="O335">
        <v>27120000</v>
      </c>
      <c r="P335">
        <v>27120000</v>
      </c>
      <c r="Q335">
        <v>27120000</v>
      </c>
      <c r="R335">
        <v>27120000</v>
      </c>
      <c r="S335">
        <v>27120000</v>
      </c>
      <c r="T335">
        <v>27120000</v>
      </c>
      <c r="U335">
        <v>27120000</v>
      </c>
      <c r="V335">
        <v>27120000</v>
      </c>
      <c r="W335">
        <v>27120000</v>
      </c>
    </row>
    <row r="336" spans="1:23" x14ac:dyDescent="0.3">
      <c r="A336" t="s">
        <v>144</v>
      </c>
      <c r="B336" t="s">
        <v>4</v>
      </c>
      <c r="C336" t="s">
        <v>15</v>
      </c>
      <c r="D336" t="s">
        <v>124</v>
      </c>
      <c r="E336" t="s">
        <v>129</v>
      </c>
      <c r="F336" t="s">
        <v>131</v>
      </c>
      <c r="G336" t="s">
        <v>56</v>
      </c>
      <c r="M336">
        <v>27120000</v>
      </c>
      <c r="N336">
        <v>27120000</v>
      </c>
      <c r="O336">
        <v>27120000</v>
      </c>
      <c r="P336">
        <v>27120000</v>
      </c>
      <c r="Q336">
        <v>27120000</v>
      </c>
      <c r="R336">
        <v>27120000</v>
      </c>
      <c r="S336">
        <v>27120000</v>
      </c>
      <c r="T336">
        <v>27120000</v>
      </c>
      <c r="U336">
        <v>27120000</v>
      </c>
      <c r="V336">
        <v>27120000</v>
      </c>
      <c r="W336">
        <v>27120000</v>
      </c>
    </row>
    <row r="337" spans="1:23" x14ac:dyDescent="0.3">
      <c r="A337" t="s">
        <v>145</v>
      </c>
      <c r="B337" t="s">
        <v>4</v>
      </c>
      <c r="C337" t="s">
        <v>15</v>
      </c>
      <c r="D337" t="s">
        <v>124</v>
      </c>
      <c r="E337" t="s">
        <v>125</v>
      </c>
      <c r="F337" t="s">
        <v>126</v>
      </c>
      <c r="G337" t="s">
        <v>56</v>
      </c>
      <c r="M337">
        <v>27120000</v>
      </c>
      <c r="N337">
        <v>27120000</v>
      </c>
      <c r="O337">
        <v>27120000</v>
      </c>
      <c r="P337">
        <v>27120000</v>
      </c>
      <c r="Q337">
        <v>27120000</v>
      </c>
      <c r="R337">
        <v>27120000</v>
      </c>
      <c r="S337">
        <v>27120000</v>
      </c>
      <c r="T337">
        <v>27120000</v>
      </c>
      <c r="U337">
        <v>27120000</v>
      </c>
      <c r="V337">
        <v>27120000</v>
      </c>
      <c r="W337">
        <v>27120000</v>
      </c>
    </row>
    <row r="338" spans="1:23" x14ac:dyDescent="0.3">
      <c r="A338" t="s">
        <v>146</v>
      </c>
      <c r="B338" t="s">
        <v>4</v>
      </c>
      <c r="C338" t="s">
        <v>15</v>
      </c>
      <c r="D338" t="s">
        <v>124</v>
      </c>
      <c r="E338" t="s">
        <v>129</v>
      </c>
      <c r="F338" t="s">
        <v>130</v>
      </c>
      <c r="G338" t="s">
        <v>56</v>
      </c>
      <c r="M338">
        <v>27120000</v>
      </c>
      <c r="N338">
        <v>27120000</v>
      </c>
      <c r="O338">
        <v>27120000</v>
      </c>
      <c r="P338">
        <v>27120000</v>
      </c>
      <c r="Q338">
        <v>27120000</v>
      </c>
      <c r="R338">
        <v>27120000</v>
      </c>
      <c r="S338">
        <v>27120000</v>
      </c>
      <c r="T338">
        <v>27120000</v>
      </c>
      <c r="U338">
        <v>27120000</v>
      </c>
      <c r="V338">
        <v>27120000</v>
      </c>
      <c r="W338">
        <v>27120000</v>
      </c>
    </row>
    <row r="339" spans="1:23" x14ac:dyDescent="0.3">
      <c r="A339" t="s">
        <v>146</v>
      </c>
      <c r="B339" t="s">
        <v>4</v>
      </c>
      <c r="C339" t="s">
        <v>15</v>
      </c>
      <c r="D339" t="s">
        <v>124</v>
      </c>
      <c r="E339" t="s">
        <v>129</v>
      </c>
      <c r="F339" t="s">
        <v>131</v>
      </c>
      <c r="G339" t="s">
        <v>56</v>
      </c>
      <c r="M339">
        <v>27120000</v>
      </c>
      <c r="N339">
        <v>27120000</v>
      </c>
      <c r="O339">
        <v>27120000</v>
      </c>
      <c r="P339">
        <v>27120000</v>
      </c>
      <c r="Q339">
        <v>27120000</v>
      </c>
      <c r="R339">
        <v>27120000</v>
      </c>
      <c r="S339">
        <v>27120000</v>
      </c>
      <c r="T339">
        <v>27120000</v>
      </c>
      <c r="U339">
        <v>27120000</v>
      </c>
      <c r="V339">
        <v>27120000</v>
      </c>
      <c r="W339">
        <v>27120000</v>
      </c>
    </row>
    <row r="340" spans="1:23" x14ac:dyDescent="0.3">
      <c r="A340" t="s">
        <v>147</v>
      </c>
      <c r="B340" t="s">
        <v>4</v>
      </c>
      <c r="C340" t="s">
        <v>15</v>
      </c>
      <c r="D340" t="s">
        <v>124</v>
      </c>
      <c r="E340" t="s">
        <v>125</v>
      </c>
      <c r="F340" t="s">
        <v>126</v>
      </c>
      <c r="G340" t="s">
        <v>56</v>
      </c>
      <c r="M340">
        <v>27120000</v>
      </c>
      <c r="N340">
        <v>27120000</v>
      </c>
      <c r="O340">
        <v>27120000</v>
      </c>
      <c r="P340">
        <v>27120000</v>
      </c>
      <c r="Q340">
        <v>27120000</v>
      </c>
      <c r="R340">
        <v>27120000</v>
      </c>
      <c r="S340">
        <v>27120000</v>
      </c>
      <c r="T340">
        <v>27120000</v>
      </c>
      <c r="U340">
        <v>27120000</v>
      </c>
      <c r="V340">
        <v>27120000</v>
      </c>
      <c r="W340">
        <v>27120000</v>
      </c>
    </row>
    <row r="341" spans="1:23" x14ac:dyDescent="0.3">
      <c r="A341" t="s">
        <v>148</v>
      </c>
      <c r="B341" t="s">
        <v>4</v>
      </c>
      <c r="C341" t="s">
        <v>15</v>
      </c>
      <c r="D341" t="s">
        <v>124</v>
      </c>
      <c r="E341" t="s">
        <v>129</v>
      </c>
      <c r="F341" t="s">
        <v>130</v>
      </c>
      <c r="G341" t="s">
        <v>56</v>
      </c>
      <c r="M341">
        <v>27120000</v>
      </c>
      <c r="N341">
        <v>27120000</v>
      </c>
      <c r="O341">
        <v>27120000</v>
      </c>
      <c r="P341">
        <v>27120000</v>
      </c>
      <c r="Q341">
        <v>27120000</v>
      </c>
      <c r="R341">
        <v>27120000</v>
      </c>
      <c r="S341">
        <v>27120000</v>
      </c>
      <c r="T341">
        <v>27120000</v>
      </c>
      <c r="U341">
        <v>27120000</v>
      </c>
      <c r="V341">
        <v>27120000</v>
      </c>
      <c r="W341">
        <v>27120000</v>
      </c>
    </row>
    <row r="342" spans="1:23" x14ac:dyDescent="0.3">
      <c r="A342" t="s">
        <v>148</v>
      </c>
      <c r="B342" t="s">
        <v>4</v>
      </c>
      <c r="C342" t="s">
        <v>15</v>
      </c>
      <c r="D342" t="s">
        <v>124</v>
      </c>
      <c r="E342" t="s">
        <v>129</v>
      </c>
      <c r="F342" t="s">
        <v>131</v>
      </c>
      <c r="G342" t="s">
        <v>56</v>
      </c>
      <c r="M342">
        <v>27120000</v>
      </c>
      <c r="N342">
        <v>27120000</v>
      </c>
      <c r="O342">
        <v>27120000</v>
      </c>
      <c r="P342">
        <v>27120000</v>
      </c>
      <c r="Q342">
        <v>27120000</v>
      </c>
      <c r="R342">
        <v>27120000</v>
      </c>
      <c r="S342">
        <v>27120000</v>
      </c>
      <c r="T342">
        <v>27120000</v>
      </c>
      <c r="U342">
        <v>27120000</v>
      </c>
      <c r="V342">
        <v>27120000</v>
      </c>
      <c r="W342">
        <v>27120000</v>
      </c>
    </row>
    <row r="343" spans="1:23" x14ac:dyDescent="0.3">
      <c r="A343" t="s">
        <v>149</v>
      </c>
      <c r="B343" t="s">
        <v>4</v>
      </c>
      <c r="C343" t="s">
        <v>15</v>
      </c>
      <c r="D343" t="s">
        <v>124</v>
      </c>
      <c r="E343" t="s">
        <v>125</v>
      </c>
      <c r="F343" t="s">
        <v>126</v>
      </c>
      <c r="G343" t="s">
        <v>56</v>
      </c>
      <c r="M343">
        <v>27120000</v>
      </c>
      <c r="N343">
        <v>27120000</v>
      </c>
      <c r="O343">
        <v>27120000</v>
      </c>
      <c r="P343">
        <v>27120000</v>
      </c>
      <c r="Q343">
        <v>27120000</v>
      </c>
      <c r="R343">
        <v>27120000</v>
      </c>
      <c r="S343">
        <v>27120000</v>
      </c>
      <c r="T343">
        <v>27120000</v>
      </c>
      <c r="U343">
        <v>27120000</v>
      </c>
      <c r="V343">
        <v>27120000</v>
      </c>
      <c r="W343">
        <v>27120000</v>
      </c>
    </row>
    <row r="344" spans="1:23" x14ac:dyDescent="0.3">
      <c r="A344" t="s">
        <v>150</v>
      </c>
      <c r="B344" t="s">
        <v>4</v>
      </c>
      <c r="C344" t="s">
        <v>15</v>
      </c>
      <c r="D344" t="s">
        <v>124</v>
      </c>
      <c r="E344" t="s">
        <v>129</v>
      </c>
      <c r="F344" t="s">
        <v>130</v>
      </c>
      <c r="G344" t="s">
        <v>56</v>
      </c>
      <c r="M344">
        <v>27120000</v>
      </c>
      <c r="N344">
        <v>27120000</v>
      </c>
      <c r="O344">
        <v>27120000</v>
      </c>
      <c r="P344">
        <v>27120000</v>
      </c>
      <c r="Q344">
        <v>27120000</v>
      </c>
      <c r="R344">
        <v>27120000</v>
      </c>
      <c r="S344">
        <v>27120000</v>
      </c>
      <c r="T344">
        <v>27120000</v>
      </c>
      <c r="U344">
        <v>27120000</v>
      </c>
      <c r="V344">
        <v>27120000</v>
      </c>
      <c r="W344">
        <v>27120000</v>
      </c>
    </row>
    <row r="345" spans="1:23" x14ac:dyDescent="0.3">
      <c r="A345" t="s">
        <v>150</v>
      </c>
      <c r="B345" t="s">
        <v>4</v>
      </c>
      <c r="C345" t="s">
        <v>15</v>
      </c>
      <c r="D345" t="s">
        <v>124</v>
      </c>
      <c r="E345" t="s">
        <v>129</v>
      </c>
      <c r="F345" t="s">
        <v>131</v>
      </c>
      <c r="G345" t="s">
        <v>56</v>
      </c>
      <c r="M345">
        <v>27120000</v>
      </c>
      <c r="N345">
        <v>27120000</v>
      </c>
      <c r="O345">
        <v>27120000</v>
      </c>
      <c r="P345">
        <v>27120000</v>
      </c>
      <c r="Q345">
        <v>27120000</v>
      </c>
      <c r="R345">
        <v>27120000</v>
      </c>
      <c r="S345">
        <v>27120000</v>
      </c>
      <c r="T345">
        <v>27120000</v>
      </c>
      <c r="U345">
        <v>27120000</v>
      </c>
      <c r="V345">
        <v>27120000</v>
      </c>
      <c r="W345">
        <v>27120000</v>
      </c>
    </row>
    <row r="346" spans="1:23" x14ac:dyDescent="0.3">
      <c r="A346" t="s">
        <v>151</v>
      </c>
      <c r="B346" t="s">
        <v>4</v>
      </c>
      <c r="C346" t="s">
        <v>15</v>
      </c>
      <c r="D346" t="s">
        <v>124</v>
      </c>
      <c r="E346" t="s">
        <v>125</v>
      </c>
      <c r="F346" t="s">
        <v>126</v>
      </c>
      <c r="G346" t="s">
        <v>56</v>
      </c>
      <c r="M346">
        <v>27120000</v>
      </c>
      <c r="N346">
        <v>27120000</v>
      </c>
      <c r="O346">
        <v>27120000</v>
      </c>
      <c r="P346">
        <v>27120000</v>
      </c>
      <c r="Q346">
        <v>27120000</v>
      </c>
      <c r="R346">
        <v>27120000</v>
      </c>
      <c r="S346">
        <v>27120000</v>
      </c>
      <c r="T346">
        <v>27120000</v>
      </c>
      <c r="U346">
        <v>27120000</v>
      </c>
      <c r="V346">
        <v>27120000</v>
      </c>
      <c r="W346">
        <v>27120000</v>
      </c>
    </row>
    <row r="347" spans="1:23" x14ac:dyDescent="0.3">
      <c r="A347" t="s">
        <v>152</v>
      </c>
      <c r="B347" t="s">
        <v>4</v>
      </c>
      <c r="C347" t="s">
        <v>15</v>
      </c>
      <c r="D347" t="s">
        <v>124</v>
      </c>
      <c r="E347" t="s">
        <v>129</v>
      </c>
      <c r="F347" t="s">
        <v>130</v>
      </c>
      <c r="G347" t="s">
        <v>56</v>
      </c>
      <c r="M347">
        <v>27120000</v>
      </c>
      <c r="N347">
        <v>27120000</v>
      </c>
      <c r="O347">
        <v>27120000</v>
      </c>
      <c r="P347">
        <v>27120000</v>
      </c>
      <c r="Q347">
        <v>27120000</v>
      </c>
      <c r="R347">
        <v>27120000</v>
      </c>
      <c r="S347">
        <v>27120000</v>
      </c>
      <c r="T347">
        <v>27120000</v>
      </c>
      <c r="U347">
        <v>27120000</v>
      </c>
      <c r="V347">
        <v>27120000</v>
      </c>
      <c r="W347">
        <v>27120000</v>
      </c>
    </row>
    <row r="348" spans="1:23" x14ac:dyDescent="0.3">
      <c r="A348" t="s">
        <v>152</v>
      </c>
      <c r="B348" t="s">
        <v>4</v>
      </c>
      <c r="C348" t="s">
        <v>15</v>
      </c>
      <c r="D348" t="s">
        <v>124</v>
      </c>
      <c r="E348" t="s">
        <v>129</v>
      </c>
      <c r="F348" t="s">
        <v>131</v>
      </c>
      <c r="G348" t="s">
        <v>56</v>
      </c>
      <c r="M348">
        <v>27120000</v>
      </c>
      <c r="N348">
        <v>27120000</v>
      </c>
      <c r="O348">
        <v>27120000</v>
      </c>
      <c r="P348">
        <v>27120000</v>
      </c>
      <c r="Q348">
        <v>27120000</v>
      </c>
      <c r="R348">
        <v>27120000</v>
      </c>
      <c r="S348">
        <v>27120000</v>
      </c>
      <c r="T348">
        <v>27120000</v>
      </c>
      <c r="U348">
        <v>27120000</v>
      </c>
      <c r="V348">
        <v>27120000</v>
      </c>
      <c r="W348">
        <v>27120000</v>
      </c>
    </row>
    <row r="349" spans="1:23" x14ac:dyDescent="0.3">
      <c r="A349" t="s">
        <v>153</v>
      </c>
      <c r="B349" t="s">
        <v>4</v>
      </c>
      <c r="C349" t="s">
        <v>15</v>
      </c>
      <c r="D349" t="s">
        <v>124</v>
      </c>
      <c r="E349" t="s">
        <v>125</v>
      </c>
      <c r="F349" t="s">
        <v>126</v>
      </c>
      <c r="G349" t="s">
        <v>56</v>
      </c>
      <c r="M349">
        <v>27120000</v>
      </c>
      <c r="N349">
        <v>27120000</v>
      </c>
      <c r="O349">
        <v>27120000</v>
      </c>
      <c r="P349">
        <v>27120000</v>
      </c>
      <c r="Q349">
        <v>27120000</v>
      </c>
      <c r="R349">
        <v>27120000</v>
      </c>
      <c r="S349">
        <v>27120000</v>
      </c>
      <c r="T349">
        <v>27120000</v>
      </c>
      <c r="U349">
        <v>27120000</v>
      </c>
      <c r="V349">
        <v>27120000</v>
      </c>
      <c r="W349">
        <v>27120000</v>
      </c>
    </row>
    <row r="350" spans="1:23" x14ac:dyDescent="0.3">
      <c r="A350" t="s">
        <v>154</v>
      </c>
      <c r="B350" t="s">
        <v>4</v>
      </c>
      <c r="C350" t="s">
        <v>15</v>
      </c>
      <c r="D350" t="s">
        <v>124</v>
      </c>
      <c r="E350" t="s">
        <v>129</v>
      </c>
      <c r="F350" t="s">
        <v>130</v>
      </c>
      <c r="G350" t="s">
        <v>56</v>
      </c>
      <c r="M350">
        <v>27120000</v>
      </c>
      <c r="N350">
        <v>27120000</v>
      </c>
      <c r="O350">
        <v>27120000</v>
      </c>
      <c r="P350">
        <v>27120000</v>
      </c>
      <c r="Q350">
        <v>27120000</v>
      </c>
      <c r="R350">
        <v>27120000</v>
      </c>
      <c r="S350">
        <v>27120000</v>
      </c>
      <c r="T350">
        <v>27120000</v>
      </c>
      <c r="U350">
        <v>27120000</v>
      </c>
      <c r="V350">
        <v>27120000</v>
      </c>
      <c r="W350">
        <v>27120000</v>
      </c>
    </row>
    <row r="351" spans="1:23" x14ac:dyDescent="0.3">
      <c r="A351" t="s">
        <v>154</v>
      </c>
      <c r="B351" t="s">
        <v>4</v>
      </c>
      <c r="C351" t="s">
        <v>15</v>
      </c>
      <c r="D351" t="s">
        <v>124</v>
      </c>
      <c r="E351" t="s">
        <v>129</v>
      </c>
      <c r="F351" t="s">
        <v>131</v>
      </c>
      <c r="G351" t="s">
        <v>56</v>
      </c>
      <c r="M351">
        <v>27120000</v>
      </c>
      <c r="N351">
        <v>27120000</v>
      </c>
      <c r="O351">
        <v>27120000</v>
      </c>
      <c r="P351">
        <v>27120000</v>
      </c>
      <c r="Q351">
        <v>27120000</v>
      </c>
      <c r="R351">
        <v>27120000</v>
      </c>
      <c r="S351">
        <v>27120000</v>
      </c>
      <c r="T351">
        <v>27120000</v>
      </c>
      <c r="U351">
        <v>27120000</v>
      </c>
      <c r="V351">
        <v>27120000</v>
      </c>
      <c r="W351">
        <v>27120000</v>
      </c>
    </row>
    <row r="352" spans="1:23" x14ac:dyDescent="0.3">
      <c r="A352" t="s">
        <v>123</v>
      </c>
      <c r="B352" t="s">
        <v>4</v>
      </c>
      <c r="C352" t="s">
        <v>15</v>
      </c>
      <c r="D352" t="s">
        <v>124</v>
      </c>
      <c r="E352" t="s">
        <v>125</v>
      </c>
      <c r="F352" t="s">
        <v>126</v>
      </c>
      <c r="G352" t="s">
        <v>58</v>
      </c>
      <c r="M352">
        <v>0.9</v>
      </c>
      <c r="N352">
        <v>0.9</v>
      </c>
      <c r="O352">
        <v>0.9</v>
      </c>
      <c r="P352">
        <v>0.9</v>
      </c>
      <c r="Q352">
        <v>0.9</v>
      </c>
      <c r="R352">
        <v>0.9</v>
      </c>
      <c r="S352">
        <v>0.9</v>
      </c>
      <c r="T352">
        <v>0.9</v>
      </c>
      <c r="U352">
        <v>0.9</v>
      </c>
      <c r="V352">
        <v>0.9</v>
      </c>
      <c r="W352">
        <v>0.9</v>
      </c>
    </row>
    <row r="353" spans="1:23" x14ac:dyDescent="0.3">
      <c r="A353" t="s">
        <v>128</v>
      </c>
      <c r="B353" t="s">
        <v>4</v>
      </c>
      <c r="C353" t="s">
        <v>15</v>
      </c>
      <c r="D353" t="s">
        <v>124</v>
      </c>
      <c r="E353" t="s">
        <v>129</v>
      </c>
      <c r="F353" t="s">
        <v>130</v>
      </c>
      <c r="G353" t="s">
        <v>58</v>
      </c>
      <c r="M353">
        <v>0.9</v>
      </c>
      <c r="N353">
        <v>0.9</v>
      </c>
      <c r="O353">
        <v>0.9</v>
      </c>
      <c r="P353">
        <v>0.9</v>
      </c>
      <c r="Q353">
        <v>0.9</v>
      </c>
      <c r="R353">
        <v>0.9</v>
      </c>
      <c r="S353">
        <v>0.9</v>
      </c>
      <c r="T353">
        <v>0.9</v>
      </c>
      <c r="U353">
        <v>0.9</v>
      </c>
      <c r="V353">
        <v>0.9</v>
      </c>
      <c r="W353">
        <v>0.9</v>
      </c>
    </row>
    <row r="354" spans="1:23" x14ac:dyDescent="0.3">
      <c r="A354" t="s">
        <v>128</v>
      </c>
      <c r="B354" t="s">
        <v>4</v>
      </c>
      <c r="C354" t="s">
        <v>15</v>
      </c>
      <c r="D354" t="s">
        <v>124</v>
      </c>
      <c r="E354" t="s">
        <v>129</v>
      </c>
      <c r="F354" t="s">
        <v>131</v>
      </c>
      <c r="G354" t="s">
        <v>58</v>
      </c>
      <c r="M354">
        <v>0.9</v>
      </c>
      <c r="N354">
        <v>0.9</v>
      </c>
      <c r="O354">
        <v>0.9</v>
      </c>
      <c r="P354">
        <v>0.9</v>
      </c>
      <c r="Q354">
        <v>0.9</v>
      </c>
      <c r="R354">
        <v>0.9</v>
      </c>
      <c r="S354">
        <v>0.9</v>
      </c>
      <c r="T354">
        <v>0.9</v>
      </c>
      <c r="U354">
        <v>0.9</v>
      </c>
      <c r="V354">
        <v>0.9</v>
      </c>
      <c r="W354">
        <v>0.9</v>
      </c>
    </row>
    <row r="355" spans="1:23" x14ac:dyDescent="0.3">
      <c r="A355" t="s">
        <v>132</v>
      </c>
      <c r="B355" t="s">
        <v>4</v>
      </c>
      <c r="C355" t="s">
        <v>15</v>
      </c>
      <c r="D355" t="s">
        <v>124</v>
      </c>
      <c r="E355" t="s">
        <v>125</v>
      </c>
      <c r="F355" t="s">
        <v>126</v>
      </c>
      <c r="G355" t="s">
        <v>58</v>
      </c>
      <c r="M355">
        <v>0.9</v>
      </c>
      <c r="N355">
        <v>0.9</v>
      </c>
      <c r="O355">
        <v>0.9</v>
      </c>
      <c r="P355">
        <v>0.9</v>
      </c>
      <c r="Q355">
        <v>0.9</v>
      </c>
      <c r="R355">
        <v>0.9</v>
      </c>
      <c r="S355">
        <v>0.9</v>
      </c>
      <c r="T355">
        <v>0.9</v>
      </c>
      <c r="U355">
        <v>0.9</v>
      </c>
      <c r="V355">
        <v>0.9</v>
      </c>
      <c r="W355">
        <v>0.9</v>
      </c>
    </row>
    <row r="356" spans="1:23" x14ac:dyDescent="0.3">
      <c r="A356" t="s">
        <v>133</v>
      </c>
      <c r="B356" t="s">
        <v>4</v>
      </c>
      <c r="C356" t="s">
        <v>15</v>
      </c>
      <c r="D356" t="s">
        <v>124</v>
      </c>
      <c r="E356" t="s">
        <v>129</v>
      </c>
      <c r="F356" t="s">
        <v>130</v>
      </c>
      <c r="G356" t="s">
        <v>58</v>
      </c>
      <c r="M356">
        <v>0.9</v>
      </c>
      <c r="N356">
        <v>0.9</v>
      </c>
      <c r="O356">
        <v>0.9</v>
      </c>
      <c r="P356">
        <v>0.9</v>
      </c>
      <c r="Q356">
        <v>0.9</v>
      </c>
      <c r="R356">
        <v>0.9</v>
      </c>
      <c r="S356">
        <v>0.9</v>
      </c>
      <c r="T356">
        <v>0.9</v>
      </c>
      <c r="U356">
        <v>0.9</v>
      </c>
      <c r="V356">
        <v>0.9</v>
      </c>
      <c r="W356">
        <v>0.9</v>
      </c>
    </row>
    <row r="357" spans="1:23" x14ac:dyDescent="0.3">
      <c r="A357" t="s">
        <v>133</v>
      </c>
      <c r="B357" t="s">
        <v>4</v>
      </c>
      <c r="C357" t="s">
        <v>15</v>
      </c>
      <c r="D357" t="s">
        <v>124</v>
      </c>
      <c r="E357" t="s">
        <v>129</v>
      </c>
      <c r="F357" t="s">
        <v>131</v>
      </c>
      <c r="G357" t="s">
        <v>58</v>
      </c>
      <c r="M357">
        <v>0.9</v>
      </c>
      <c r="N357">
        <v>0.9</v>
      </c>
      <c r="O357">
        <v>0.9</v>
      </c>
      <c r="P357">
        <v>0.9</v>
      </c>
      <c r="Q357">
        <v>0.9</v>
      </c>
      <c r="R357">
        <v>0.9</v>
      </c>
      <c r="S357">
        <v>0.9</v>
      </c>
      <c r="T357">
        <v>0.9</v>
      </c>
      <c r="U357">
        <v>0.9</v>
      </c>
      <c r="V357">
        <v>0.9</v>
      </c>
      <c r="W357">
        <v>0.9</v>
      </c>
    </row>
    <row r="358" spans="1:23" x14ac:dyDescent="0.3">
      <c r="A358" t="s">
        <v>134</v>
      </c>
      <c r="B358" t="s">
        <v>4</v>
      </c>
      <c r="C358" t="s">
        <v>15</v>
      </c>
      <c r="D358" t="s">
        <v>124</v>
      </c>
      <c r="E358" t="s">
        <v>125</v>
      </c>
      <c r="F358" t="s">
        <v>126</v>
      </c>
      <c r="G358" t="s">
        <v>58</v>
      </c>
      <c r="M358">
        <v>0.9</v>
      </c>
      <c r="N358">
        <v>0.9</v>
      </c>
      <c r="O358">
        <v>0.9</v>
      </c>
      <c r="P358">
        <v>0.9</v>
      </c>
      <c r="Q358">
        <v>0.9</v>
      </c>
      <c r="R358">
        <v>0.9</v>
      </c>
      <c r="S358">
        <v>0.9</v>
      </c>
      <c r="T358">
        <v>0.9</v>
      </c>
      <c r="U358">
        <v>0.9</v>
      </c>
      <c r="V358">
        <v>0.9</v>
      </c>
      <c r="W358">
        <v>0.9</v>
      </c>
    </row>
    <row r="359" spans="1:23" x14ac:dyDescent="0.3">
      <c r="A359" t="s">
        <v>135</v>
      </c>
      <c r="B359" t="s">
        <v>4</v>
      </c>
      <c r="C359" t="s">
        <v>15</v>
      </c>
      <c r="D359" t="s">
        <v>124</v>
      </c>
      <c r="E359" t="s">
        <v>129</v>
      </c>
      <c r="F359" t="s">
        <v>130</v>
      </c>
      <c r="G359" t="s">
        <v>58</v>
      </c>
      <c r="M359">
        <v>0.9</v>
      </c>
      <c r="N359">
        <v>0.9</v>
      </c>
      <c r="O359">
        <v>0.9</v>
      </c>
      <c r="P359">
        <v>0.9</v>
      </c>
      <c r="Q359">
        <v>0.9</v>
      </c>
      <c r="R359">
        <v>0.9</v>
      </c>
      <c r="S359">
        <v>0.9</v>
      </c>
      <c r="T359">
        <v>0.9</v>
      </c>
      <c r="U359">
        <v>0.9</v>
      </c>
      <c r="V359">
        <v>0.9</v>
      </c>
      <c r="W359">
        <v>0.9</v>
      </c>
    </row>
    <row r="360" spans="1:23" x14ac:dyDescent="0.3">
      <c r="A360" t="s">
        <v>135</v>
      </c>
      <c r="B360" t="s">
        <v>4</v>
      </c>
      <c r="C360" t="s">
        <v>15</v>
      </c>
      <c r="D360" t="s">
        <v>124</v>
      </c>
      <c r="E360" t="s">
        <v>129</v>
      </c>
      <c r="F360" t="s">
        <v>131</v>
      </c>
      <c r="G360" t="s">
        <v>58</v>
      </c>
      <c r="M360">
        <v>0.9</v>
      </c>
      <c r="N360">
        <v>0.9</v>
      </c>
      <c r="O360">
        <v>0.9</v>
      </c>
      <c r="P360">
        <v>0.9</v>
      </c>
      <c r="Q360">
        <v>0.9</v>
      </c>
      <c r="R360">
        <v>0.9</v>
      </c>
      <c r="S360">
        <v>0.9</v>
      </c>
      <c r="T360">
        <v>0.9</v>
      </c>
      <c r="U360">
        <v>0.9</v>
      </c>
      <c r="V360">
        <v>0.9</v>
      </c>
      <c r="W360">
        <v>0.9</v>
      </c>
    </row>
    <row r="361" spans="1:23" x14ac:dyDescent="0.3">
      <c r="A361" t="s">
        <v>136</v>
      </c>
      <c r="B361" t="s">
        <v>4</v>
      </c>
      <c r="C361" t="s">
        <v>15</v>
      </c>
      <c r="D361" t="s">
        <v>124</v>
      </c>
      <c r="E361" t="s">
        <v>125</v>
      </c>
      <c r="F361" t="s">
        <v>126</v>
      </c>
      <c r="G361" t="s">
        <v>58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</row>
    <row r="362" spans="1:23" x14ac:dyDescent="0.3">
      <c r="A362" t="s">
        <v>136</v>
      </c>
      <c r="B362" t="s">
        <v>4</v>
      </c>
      <c r="C362" t="s">
        <v>15</v>
      </c>
      <c r="D362" t="s">
        <v>124</v>
      </c>
      <c r="E362" t="s">
        <v>125</v>
      </c>
      <c r="F362" t="s">
        <v>137</v>
      </c>
      <c r="G362" t="s">
        <v>58</v>
      </c>
      <c r="M362">
        <v>0.9</v>
      </c>
      <c r="N362">
        <v>0.9</v>
      </c>
      <c r="O362">
        <v>0.9</v>
      </c>
      <c r="P362">
        <v>0.9</v>
      </c>
      <c r="Q362">
        <v>0.9</v>
      </c>
      <c r="R362">
        <v>0.9</v>
      </c>
      <c r="S362">
        <v>0.9</v>
      </c>
      <c r="T362">
        <v>0.9</v>
      </c>
      <c r="U362">
        <v>0.9</v>
      </c>
      <c r="V362">
        <v>0.9</v>
      </c>
      <c r="W362">
        <v>0.9</v>
      </c>
    </row>
    <row r="363" spans="1:23" x14ac:dyDescent="0.3">
      <c r="A363" t="s">
        <v>138</v>
      </c>
      <c r="B363" t="s">
        <v>4</v>
      </c>
      <c r="C363" t="s">
        <v>15</v>
      </c>
      <c r="D363" t="s">
        <v>124</v>
      </c>
      <c r="E363" t="s">
        <v>129</v>
      </c>
      <c r="F363" t="s">
        <v>130</v>
      </c>
      <c r="G363" t="s">
        <v>58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</row>
    <row r="364" spans="1:23" x14ac:dyDescent="0.3">
      <c r="A364" t="s">
        <v>138</v>
      </c>
      <c r="B364" t="s">
        <v>4</v>
      </c>
      <c r="C364" t="s">
        <v>15</v>
      </c>
      <c r="D364" t="s">
        <v>124</v>
      </c>
      <c r="E364" t="s">
        <v>129</v>
      </c>
      <c r="F364" t="s">
        <v>131</v>
      </c>
      <c r="G364" t="s">
        <v>58</v>
      </c>
      <c r="M364">
        <v>0.9</v>
      </c>
      <c r="N364">
        <v>0.9</v>
      </c>
      <c r="O364">
        <v>0.9</v>
      </c>
      <c r="P364">
        <v>0.9</v>
      </c>
      <c r="Q364">
        <v>0.9</v>
      </c>
      <c r="R364">
        <v>0.9</v>
      </c>
      <c r="S364">
        <v>0.9</v>
      </c>
      <c r="T364">
        <v>0.9</v>
      </c>
      <c r="U364">
        <v>0.9</v>
      </c>
      <c r="V364">
        <v>0.9</v>
      </c>
      <c r="W364">
        <v>0.9</v>
      </c>
    </row>
    <row r="365" spans="1:23" x14ac:dyDescent="0.3">
      <c r="A365" t="s">
        <v>138</v>
      </c>
      <c r="B365" t="s">
        <v>4</v>
      </c>
      <c r="C365" t="s">
        <v>15</v>
      </c>
      <c r="D365" t="s">
        <v>124</v>
      </c>
      <c r="E365" t="s">
        <v>129</v>
      </c>
      <c r="F365" t="s">
        <v>137</v>
      </c>
      <c r="G365" t="s">
        <v>58</v>
      </c>
      <c r="M365">
        <v>0.9</v>
      </c>
      <c r="N365">
        <v>0.9</v>
      </c>
      <c r="O365">
        <v>0.9</v>
      </c>
      <c r="P365">
        <v>0.9</v>
      </c>
      <c r="Q365">
        <v>0.9</v>
      </c>
      <c r="R365">
        <v>0.9</v>
      </c>
      <c r="S365">
        <v>0.9</v>
      </c>
      <c r="T365">
        <v>0.9</v>
      </c>
      <c r="U365">
        <v>0.9</v>
      </c>
      <c r="V365">
        <v>0.9</v>
      </c>
      <c r="W365">
        <v>0.9</v>
      </c>
    </row>
    <row r="366" spans="1:23" x14ac:dyDescent="0.3">
      <c r="A366" t="s">
        <v>139</v>
      </c>
      <c r="B366" t="s">
        <v>4</v>
      </c>
      <c r="C366" t="s">
        <v>15</v>
      </c>
      <c r="D366" t="s">
        <v>124</v>
      </c>
      <c r="E366" t="s">
        <v>125</v>
      </c>
      <c r="F366" t="s">
        <v>126</v>
      </c>
      <c r="G366" t="s">
        <v>58</v>
      </c>
      <c r="M366">
        <v>0.9</v>
      </c>
      <c r="N366">
        <v>0.9</v>
      </c>
      <c r="O366">
        <v>0.9</v>
      </c>
      <c r="P366">
        <v>0.9</v>
      </c>
      <c r="Q366">
        <v>0.9</v>
      </c>
      <c r="R366">
        <v>0.9</v>
      </c>
      <c r="S366">
        <v>0.9</v>
      </c>
      <c r="T366">
        <v>0.9</v>
      </c>
      <c r="U366">
        <v>0.9</v>
      </c>
      <c r="V366">
        <v>0.9</v>
      </c>
      <c r="W366">
        <v>0.9</v>
      </c>
    </row>
    <row r="367" spans="1:23" x14ac:dyDescent="0.3">
      <c r="A367" t="s">
        <v>139</v>
      </c>
      <c r="B367" t="s">
        <v>4</v>
      </c>
      <c r="C367" t="s">
        <v>15</v>
      </c>
      <c r="D367" t="s">
        <v>124</v>
      </c>
      <c r="E367" t="s">
        <v>125</v>
      </c>
      <c r="F367" t="s">
        <v>137</v>
      </c>
      <c r="G367" t="s">
        <v>58</v>
      </c>
      <c r="M367">
        <v>0.9</v>
      </c>
      <c r="N367">
        <v>0.9</v>
      </c>
      <c r="O367">
        <v>0.9</v>
      </c>
      <c r="P367">
        <v>0.9</v>
      </c>
      <c r="Q367">
        <v>0.9</v>
      </c>
      <c r="R367">
        <v>0.9</v>
      </c>
      <c r="S367">
        <v>0.9</v>
      </c>
      <c r="T367">
        <v>0.9</v>
      </c>
      <c r="U367">
        <v>0.9</v>
      </c>
      <c r="V367">
        <v>0.9</v>
      </c>
      <c r="W367">
        <v>0.9</v>
      </c>
    </row>
    <row r="368" spans="1:23" x14ac:dyDescent="0.3">
      <c r="A368" t="s">
        <v>140</v>
      </c>
      <c r="B368" t="s">
        <v>4</v>
      </c>
      <c r="C368" t="s">
        <v>15</v>
      </c>
      <c r="D368" t="s">
        <v>124</v>
      </c>
      <c r="E368" t="s">
        <v>129</v>
      </c>
      <c r="F368" t="s">
        <v>130</v>
      </c>
      <c r="G368" t="s">
        <v>58</v>
      </c>
      <c r="M368">
        <v>0.9</v>
      </c>
      <c r="N368">
        <v>0.9</v>
      </c>
      <c r="O368">
        <v>0.9</v>
      </c>
      <c r="P368">
        <v>0.9</v>
      </c>
      <c r="Q368">
        <v>0.9</v>
      </c>
      <c r="R368">
        <v>0.9</v>
      </c>
      <c r="S368">
        <v>0.9</v>
      </c>
      <c r="T368">
        <v>0.9</v>
      </c>
      <c r="U368">
        <v>0.9</v>
      </c>
      <c r="V368">
        <v>0.9</v>
      </c>
      <c r="W368">
        <v>0.9</v>
      </c>
    </row>
    <row r="369" spans="1:23" x14ac:dyDescent="0.3">
      <c r="A369" t="s">
        <v>140</v>
      </c>
      <c r="B369" t="s">
        <v>4</v>
      </c>
      <c r="C369" t="s">
        <v>15</v>
      </c>
      <c r="D369" t="s">
        <v>124</v>
      </c>
      <c r="E369" t="s">
        <v>129</v>
      </c>
      <c r="F369" t="s">
        <v>131</v>
      </c>
      <c r="G369" t="s">
        <v>58</v>
      </c>
      <c r="M369">
        <v>0.9</v>
      </c>
      <c r="N369">
        <v>0.9</v>
      </c>
      <c r="O369">
        <v>0.9</v>
      </c>
      <c r="P369">
        <v>0.9</v>
      </c>
      <c r="Q369">
        <v>0.9</v>
      </c>
      <c r="R369">
        <v>0.9</v>
      </c>
      <c r="S369">
        <v>0.9</v>
      </c>
      <c r="T369">
        <v>0.9</v>
      </c>
      <c r="U369">
        <v>0.9</v>
      </c>
      <c r="V369">
        <v>0.9</v>
      </c>
      <c r="W369">
        <v>0.9</v>
      </c>
    </row>
    <row r="370" spans="1:23" x14ac:dyDescent="0.3">
      <c r="A370" t="s">
        <v>140</v>
      </c>
      <c r="B370" t="s">
        <v>4</v>
      </c>
      <c r="C370" t="s">
        <v>15</v>
      </c>
      <c r="D370" t="s">
        <v>124</v>
      </c>
      <c r="E370" t="s">
        <v>129</v>
      </c>
      <c r="F370" t="s">
        <v>137</v>
      </c>
      <c r="G370" t="s">
        <v>58</v>
      </c>
      <c r="M370">
        <v>0.9</v>
      </c>
      <c r="N370">
        <v>0.9</v>
      </c>
      <c r="O370">
        <v>0.9</v>
      </c>
      <c r="P370">
        <v>0.9</v>
      </c>
      <c r="Q370">
        <v>0.9</v>
      </c>
      <c r="R370">
        <v>0.9</v>
      </c>
      <c r="S370">
        <v>0.9</v>
      </c>
      <c r="T370">
        <v>0.9</v>
      </c>
      <c r="U370">
        <v>0.9</v>
      </c>
      <c r="V370">
        <v>0.9</v>
      </c>
      <c r="W370">
        <v>0.9</v>
      </c>
    </row>
    <row r="371" spans="1:23" x14ac:dyDescent="0.3">
      <c r="A371" t="s">
        <v>141</v>
      </c>
      <c r="B371" t="s">
        <v>4</v>
      </c>
      <c r="C371" t="s">
        <v>15</v>
      </c>
      <c r="D371" t="s">
        <v>124</v>
      </c>
      <c r="E371" t="s">
        <v>125</v>
      </c>
      <c r="F371" t="s">
        <v>126</v>
      </c>
      <c r="G371" t="s">
        <v>58</v>
      </c>
      <c r="M371">
        <v>0.9</v>
      </c>
      <c r="N371">
        <v>0.9</v>
      </c>
      <c r="O371">
        <v>0.9</v>
      </c>
      <c r="P371">
        <v>0.9</v>
      </c>
      <c r="Q371">
        <v>0.9</v>
      </c>
      <c r="R371">
        <v>0.9</v>
      </c>
      <c r="S371">
        <v>0.9</v>
      </c>
      <c r="T371">
        <v>0.9</v>
      </c>
      <c r="U371">
        <v>0.9</v>
      </c>
      <c r="V371">
        <v>0.9</v>
      </c>
      <c r="W371">
        <v>0.9</v>
      </c>
    </row>
    <row r="372" spans="1:23" x14ac:dyDescent="0.3">
      <c r="A372" t="s">
        <v>141</v>
      </c>
      <c r="B372" t="s">
        <v>4</v>
      </c>
      <c r="C372" t="s">
        <v>15</v>
      </c>
      <c r="D372" t="s">
        <v>124</v>
      </c>
      <c r="E372" t="s">
        <v>125</v>
      </c>
      <c r="F372" t="s">
        <v>137</v>
      </c>
      <c r="G372" t="s">
        <v>58</v>
      </c>
      <c r="M372">
        <v>0.9</v>
      </c>
      <c r="N372">
        <v>0.9</v>
      </c>
      <c r="O372">
        <v>0.9</v>
      </c>
      <c r="P372">
        <v>0.9</v>
      </c>
      <c r="Q372">
        <v>0.9</v>
      </c>
      <c r="R372">
        <v>0.9</v>
      </c>
      <c r="S372">
        <v>0.9</v>
      </c>
      <c r="T372">
        <v>0.9</v>
      </c>
      <c r="U372">
        <v>0.9</v>
      </c>
      <c r="V372">
        <v>0.9</v>
      </c>
      <c r="W372">
        <v>0.9</v>
      </c>
    </row>
    <row r="373" spans="1:23" x14ac:dyDescent="0.3">
      <c r="A373" t="s">
        <v>142</v>
      </c>
      <c r="B373" t="s">
        <v>4</v>
      </c>
      <c r="C373" t="s">
        <v>15</v>
      </c>
      <c r="D373" t="s">
        <v>124</v>
      </c>
      <c r="E373" t="s">
        <v>129</v>
      </c>
      <c r="F373" t="s">
        <v>130</v>
      </c>
      <c r="G373" t="s">
        <v>58</v>
      </c>
      <c r="M373">
        <v>0.9</v>
      </c>
      <c r="N373">
        <v>0.9</v>
      </c>
      <c r="O373">
        <v>0.9</v>
      </c>
      <c r="P373">
        <v>0.9</v>
      </c>
      <c r="Q373">
        <v>0.9</v>
      </c>
      <c r="R373">
        <v>0.9</v>
      </c>
      <c r="S373">
        <v>0.9</v>
      </c>
      <c r="T373">
        <v>0.9</v>
      </c>
      <c r="U373">
        <v>0.9</v>
      </c>
      <c r="V373">
        <v>0.9</v>
      </c>
      <c r="W373">
        <v>0.9</v>
      </c>
    </row>
    <row r="374" spans="1:23" x14ac:dyDescent="0.3">
      <c r="A374" t="s">
        <v>142</v>
      </c>
      <c r="B374" t="s">
        <v>4</v>
      </c>
      <c r="C374" t="s">
        <v>15</v>
      </c>
      <c r="D374" t="s">
        <v>124</v>
      </c>
      <c r="E374" t="s">
        <v>129</v>
      </c>
      <c r="F374" t="s">
        <v>131</v>
      </c>
      <c r="G374" t="s">
        <v>58</v>
      </c>
      <c r="M374">
        <v>0.9</v>
      </c>
      <c r="N374">
        <v>0.9</v>
      </c>
      <c r="O374">
        <v>0.9</v>
      </c>
      <c r="P374">
        <v>0.9</v>
      </c>
      <c r="Q374">
        <v>0.9</v>
      </c>
      <c r="R374">
        <v>0.9</v>
      </c>
      <c r="S374">
        <v>0.9</v>
      </c>
      <c r="T374">
        <v>0.9</v>
      </c>
      <c r="U374">
        <v>0.9</v>
      </c>
      <c r="V374">
        <v>0.9</v>
      </c>
      <c r="W374">
        <v>0.9</v>
      </c>
    </row>
    <row r="375" spans="1:23" x14ac:dyDescent="0.3">
      <c r="A375" t="s">
        <v>142</v>
      </c>
      <c r="B375" t="s">
        <v>4</v>
      </c>
      <c r="C375" t="s">
        <v>15</v>
      </c>
      <c r="D375" t="s">
        <v>124</v>
      </c>
      <c r="E375" t="s">
        <v>129</v>
      </c>
      <c r="F375" t="s">
        <v>137</v>
      </c>
      <c r="G375" t="s">
        <v>58</v>
      </c>
      <c r="M375">
        <v>0.9</v>
      </c>
      <c r="N375">
        <v>0.9</v>
      </c>
      <c r="O375">
        <v>0.9</v>
      </c>
      <c r="P375">
        <v>0.9</v>
      </c>
      <c r="Q375">
        <v>0.9</v>
      </c>
      <c r="R375">
        <v>0.9</v>
      </c>
      <c r="S375">
        <v>0.9</v>
      </c>
      <c r="T375">
        <v>0.9</v>
      </c>
      <c r="U375">
        <v>0.9</v>
      </c>
      <c r="V375">
        <v>0.9</v>
      </c>
      <c r="W375">
        <v>0.9</v>
      </c>
    </row>
    <row r="376" spans="1:23" x14ac:dyDescent="0.3">
      <c r="A376" t="s">
        <v>143</v>
      </c>
      <c r="B376" t="s">
        <v>4</v>
      </c>
      <c r="C376" t="s">
        <v>15</v>
      </c>
      <c r="D376" t="s">
        <v>124</v>
      </c>
      <c r="E376" t="s">
        <v>125</v>
      </c>
      <c r="F376" t="s">
        <v>126</v>
      </c>
      <c r="G376" t="s">
        <v>58</v>
      </c>
      <c r="M376">
        <v>0.9</v>
      </c>
      <c r="N376">
        <v>0.9</v>
      </c>
      <c r="O376">
        <v>0.9</v>
      </c>
      <c r="P376">
        <v>0.9</v>
      </c>
      <c r="Q376">
        <v>0.9</v>
      </c>
      <c r="R376">
        <v>0.9</v>
      </c>
      <c r="S376">
        <v>0.9</v>
      </c>
      <c r="T376">
        <v>0.9</v>
      </c>
      <c r="U376">
        <v>0.9</v>
      </c>
      <c r="V376">
        <v>0.9</v>
      </c>
      <c r="W376">
        <v>0.9</v>
      </c>
    </row>
    <row r="377" spans="1:23" x14ac:dyDescent="0.3">
      <c r="A377" t="s">
        <v>144</v>
      </c>
      <c r="B377" t="s">
        <v>4</v>
      </c>
      <c r="C377" t="s">
        <v>15</v>
      </c>
      <c r="D377" t="s">
        <v>124</v>
      </c>
      <c r="E377" t="s">
        <v>129</v>
      </c>
      <c r="F377" t="s">
        <v>130</v>
      </c>
      <c r="G377" t="s">
        <v>58</v>
      </c>
      <c r="M377">
        <v>0.9</v>
      </c>
      <c r="N377">
        <v>0.9</v>
      </c>
      <c r="O377">
        <v>0.9</v>
      </c>
      <c r="P377">
        <v>0.9</v>
      </c>
      <c r="Q377">
        <v>0.9</v>
      </c>
      <c r="R377">
        <v>0.9</v>
      </c>
      <c r="S377">
        <v>0.9</v>
      </c>
      <c r="T377">
        <v>0.9</v>
      </c>
      <c r="U377">
        <v>0.9</v>
      </c>
      <c r="V377">
        <v>0.9</v>
      </c>
      <c r="W377">
        <v>0.9</v>
      </c>
    </row>
    <row r="378" spans="1:23" x14ac:dyDescent="0.3">
      <c r="A378" t="s">
        <v>144</v>
      </c>
      <c r="B378" t="s">
        <v>4</v>
      </c>
      <c r="C378" t="s">
        <v>15</v>
      </c>
      <c r="D378" t="s">
        <v>124</v>
      </c>
      <c r="E378" t="s">
        <v>129</v>
      </c>
      <c r="F378" t="s">
        <v>131</v>
      </c>
      <c r="G378" t="s">
        <v>58</v>
      </c>
      <c r="M378">
        <v>0.9</v>
      </c>
      <c r="N378">
        <v>0.9</v>
      </c>
      <c r="O378">
        <v>0.9</v>
      </c>
      <c r="P378">
        <v>0.9</v>
      </c>
      <c r="Q378">
        <v>0.9</v>
      </c>
      <c r="R378">
        <v>0.9</v>
      </c>
      <c r="S378">
        <v>0.9</v>
      </c>
      <c r="T378">
        <v>0.9</v>
      </c>
      <c r="U378">
        <v>0.9</v>
      </c>
      <c r="V378">
        <v>0.9</v>
      </c>
      <c r="W378">
        <v>0.9</v>
      </c>
    </row>
    <row r="379" spans="1:23" x14ac:dyDescent="0.3">
      <c r="A379" t="s">
        <v>145</v>
      </c>
      <c r="B379" t="s">
        <v>4</v>
      </c>
      <c r="C379" t="s">
        <v>15</v>
      </c>
      <c r="D379" t="s">
        <v>124</v>
      </c>
      <c r="E379" t="s">
        <v>125</v>
      </c>
      <c r="F379" t="s">
        <v>126</v>
      </c>
      <c r="G379" t="s">
        <v>58</v>
      </c>
      <c r="M379">
        <v>0.9</v>
      </c>
      <c r="N379">
        <v>0.9</v>
      </c>
      <c r="O379">
        <v>0.9</v>
      </c>
      <c r="P379">
        <v>0.9</v>
      </c>
      <c r="Q379">
        <v>0.9</v>
      </c>
      <c r="R379">
        <v>0.9</v>
      </c>
      <c r="S379">
        <v>0.9</v>
      </c>
      <c r="T379">
        <v>0.9</v>
      </c>
      <c r="U379">
        <v>0.9</v>
      </c>
      <c r="V379">
        <v>0.9</v>
      </c>
      <c r="W379">
        <v>0.9</v>
      </c>
    </row>
    <row r="380" spans="1:23" x14ac:dyDescent="0.3">
      <c r="A380" t="s">
        <v>146</v>
      </c>
      <c r="B380" t="s">
        <v>4</v>
      </c>
      <c r="C380" t="s">
        <v>15</v>
      </c>
      <c r="D380" t="s">
        <v>124</v>
      </c>
      <c r="E380" t="s">
        <v>129</v>
      </c>
      <c r="F380" t="s">
        <v>130</v>
      </c>
      <c r="G380" t="s">
        <v>58</v>
      </c>
      <c r="M380">
        <v>0.9</v>
      </c>
      <c r="N380">
        <v>0.9</v>
      </c>
      <c r="O380">
        <v>0.9</v>
      </c>
      <c r="P380">
        <v>0.9</v>
      </c>
      <c r="Q380">
        <v>0.9</v>
      </c>
      <c r="R380">
        <v>0.9</v>
      </c>
      <c r="S380">
        <v>0.9</v>
      </c>
      <c r="T380">
        <v>0.9</v>
      </c>
      <c r="U380">
        <v>0.9</v>
      </c>
      <c r="V380">
        <v>0.9</v>
      </c>
      <c r="W380">
        <v>0.9</v>
      </c>
    </row>
    <row r="381" spans="1:23" x14ac:dyDescent="0.3">
      <c r="A381" t="s">
        <v>146</v>
      </c>
      <c r="B381" t="s">
        <v>4</v>
      </c>
      <c r="C381" t="s">
        <v>15</v>
      </c>
      <c r="D381" t="s">
        <v>124</v>
      </c>
      <c r="E381" t="s">
        <v>129</v>
      </c>
      <c r="F381" t="s">
        <v>131</v>
      </c>
      <c r="G381" t="s">
        <v>58</v>
      </c>
      <c r="M381">
        <v>0.9</v>
      </c>
      <c r="N381">
        <v>0.9</v>
      </c>
      <c r="O381">
        <v>0.9</v>
      </c>
      <c r="P381">
        <v>0.9</v>
      </c>
      <c r="Q381">
        <v>0.9</v>
      </c>
      <c r="R381">
        <v>0.9</v>
      </c>
      <c r="S381">
        <v>0.9</v>
      </c>
      <c r="T381">
        <v>0.9</v>
      </c>
      <c r="U381">
        <v>0.9</v>
      </c>
      <c r="V381">
        <v>0.9</v>
      </c>
      <c r="W381">
        <v>0.9</v>
      </c>
    </row>
    <row r="382" spans="1:23" x14ac:dyDescent="0.3">
      <c r="A382" t="s">
        <v>147</v>
      </c>
      <c r="B382" t="s">
        <v>4</v>
      </c>
      <c r="C382" t="s">
        <v>15</v>
      </c>
      <c r="D382" t="s">
        <v>124</v>
      </c>
      <c r="E382" t="s">
        <v>125</v>
      </c>
      <c r="F382" t="s">
        <v>126</v>
      </c>
      <c r="G382" t="s">
        <v>58</v>
      </c>
      <c r="M382">
        <v>0.9</v>
      </c>
      <c r="N382">
        <v>0.9</v>
      </c>
      <c r="O382">
        <v>0.9</v>
      </c>
      <c r="P382">
        <v>0.9</v>
      </c>
      <c r="Q382">
        <v>0.9</v>
      </c>
      <c r="R382">
        <v>0.9</v>
      </c>
      <c r="S382">
        <v>0.9</v>
      </c>
      <c r="T382">
        <v>0.9</v>
      </c>
      <c r="U382">
        <v>0.9</v>
      </c>
      <c r="V382">
        <v>0.9</v>
      </c>
      <c r="W382">
        <v>0.9</v>
      </c>
    </row>
    <row r="383" spans="1:23" x14ac:dyDescent="0.3">
      <c r="A383" t="s">
        <v>148</v>
      </c>
      <c r="B383" t="s">
        <v>4</v>
      </c>
      <c r="C383" t="s">
        <v>15</v>
      </c>
      <c r="D383" t="s">
        <v>124</v>
      </c>
      <c r="E383" t="s">
        <v>129</v>
      </c>
      <c r="F383" t="s">
        <v>130</v>
      </c>
      <c r="G383" t="s">
        <v>58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</row>
    <row r="384" spans="1:23" x14ac:dyDescent="0.3">
      <c r="A384" t="s">
        <v>148</v>
      </c>
      <c r="B384" t="s">
        <v>4</v>
      </c>
      <c r="C384" t="s">
        <v>15</v>
      </c>
      <c r="D384" t="s">
        <v>124</v>
      </c>
      <c r="E384" t="s">
        <v>129</v>
      </c>
      <c r="F384" t="s">
        <v>131</v>
      </c>
      <c r="G384" t="s">
        <v>58</v>
      </c>
      <c r="M384">
        <v>0.9</v>
      </c>
      <c r="N384">
        <v>0.9</v>
      </c>
      <c r="O384">
        <v>0.9</v>
      </c>
      <c r="P384">
        <v>0.9</v>
      </c>
      <c r="Q384">
        <v>0.9</v>
      </c>
      <c r="R384">
        <v>0.9</v>
      </c>
      <c r="S384">
        <v>0.9</v>
      </c>
      <c r="T384">
        <v>0.9</v>
      </c>
      <c r="U384">
        <v>0.9</v>
      </c>
      <c r="V384">
        <v>0.9</v>
      </c>
      <c r="W384">
        <v>0.9</v>
      </c>
    </row>
    <row r="385" spans="1:24" x14ac:dyDescent="0.3">
      <c r="A385" t="s">
        <v>149</v>
      </c>
      <c r="B385" t="s">
        <v>4</v>
      </c>
      <c r="C385" t="s">
        <v>15</v>
      </c>
      <c r="D385" t="s">
        <v>124</v>
      </c>
      <c r="E385" t="s">
        <v>125</v>
      </c>
      <c r="F385" t="s">
        <v>126</v>
      </c>
      <c r="G385" t="s">
        <v>58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</row>
    <row r="386" spans="1:24" x14ac:dyDescent="0.3">
      <c r="A386" t="s">
        <v>150</v>
      </c>
      <c r="B386" t="s">
        <v>4</v>
      </c>
      <c r="C386" t="s">
        <v>15</v>
      </c>
      <c r="D386" t="s">
        <v>124</v>
      </c>
      <c r="E386" t="s">
        <v>129</v>
      </c>
      <c r="F386" t="s">
        <v>130</v>
      </c>
      <c r="G386" t="s">
        <v>58</v>
      </c>
      <c r="M386">
        <v>0.9</v>
      </c>
      <c r="N386">
        <v>0.9</v>
      </c>
      <c r="O386">
        <v>0.9</v>
      </c>
      <c r="P386">
        <v>0.9</v>
      </c>
      <c r="Q386">
        <v>0.9</v>
      </c>
      <c r="R386">
        <v>0.9</v>
      </c>
      <c r="S386">
        <v>0.9</v>
      </c>
      <c r="T386">
        <v>0.9</v>
      </c>
      <c r="U386">
        <v>0.9</v>
      </c>
      <c r="V386">
        <v>0.9</v>
      </c>
      <c r="W386">
        <v>0.9</v>
      </c>
    </row>
    <row r="387" spans="1:24" x14ac:dyDescent="0.3">
      <c r="A387" t="s">
        <v>150</v>
      </c>
      <c r="B387" t="s">
        <v>4</v>
      </c>
      <c r="C387" t="s">
        <v>15</v>
      </c>
      <c r="D387" t="s">
        <v>124</v>
      </c>
      <c r="E387" t="s">
        <v>129</v>
      </c>
      <c r="F387" t="s">
        <v>131</v>
      </c>
      <c r="G387" t="s">
        <v>58</v>
      </c>
      <c r="M387">
        <v>0.9</v>
      </c>
      <c r="N387">
        <v>0.9</v>
      </c>
      <c r="O387">
        <v>0.9</v>
      </c>
      <c r="P387">
        <v>0.9</v>
      </c>
      <c r="Q387">
        <v>0.9</v>
      </c>
      <c r="R387">
        <v>0.9</v>
      </c>
      <c r="S387">
        <v>0.9</v>
      </c>
      <c r="T387">
        <v>0.9</v>
      </c>
      <c r="U387">
        <v>0.9</v>
      </c>
      <c r="V387">
        <v>0.9</v>
      </c>
      <c r="W387">
        <v>0.9</v>
      </c>
    </row>
    <row r="388" spans="1:24" x14ac:dyDescent="0.3">
      <c r="A388" t="s">
        <v>151</v>
      </c>
      <c r="B388" t="s">
        <v>4</v>
      </c>
      <c r="C388" t="s">
        <v>15</v>
      </c>
      <c r="D388" t="s">
        <v>124</v>
      </c>
      <c r="E388" t="s">
        <v>125</v>
      </c>
      <c r="F388" t="s">
        <v>126</v>
      </c>
      <c r="G388" t="s">
        <v>58</v>
      </c>
      <c r="M388">
        <v>0.9</v>
      </c>
      <c r="N388">
        <v>0.9</v>
      </c>
      <c r="O388">
        <v>0.9</v>
      </c>
      <c r="P388">
        <v>0.9</v>
      </c>
      <c r="Q388">
        <v>0.9</v>
      </c>
      <c r="R388">
        <v>0.9</v>
      </c>
      <c r="S388">
        <v>0.9</v>
      </c>
      <c r="T388">
        <v>0.9</v>
      </c>
      <c r="U388">
        <v>0.9</v>
      </c>
      <c r="V388">
        <v>0.9</v>
      </c>
      <c r="W388">
        <v>0.9</v>
      </c>
    </row>
    <row r="389" spans="1:24" x14ac:dyDescent="0.3">
      <c r="A389" t="s">
        <v>152</v>
      </c>
      <c r="B389" t="s">
        <v>4</v>
      </c>
      <c r="C389" t="s">
        <v>15</v>
      </c>
      <c r="D389" t="s">
        <v>124</v>
      </c>
      <c r="E389" t="s">
        <v>129</v>
      </c>
      <c r="F389" t="s">
        <v>130</v>
      </c>
      <c r="G389" t="s">
        <v>58</v>
      </c>
      <c r="M389">
        <v>0.9</v>
      </c>
      <c r="N389">
        <v>0.9</v>
      </c>
      <c r="O389">
        <v>0.9</v>
      </c>
      <c r="P389">
        <v>0.9</v>
      </c>
      <c r="Q389">
        <v>0.9</v>
      </c>
      <c r="R389">
        <v>0.9</v>
      </c>
      <c r="S389">
        <v>0.9</v>
      </c>
      <c r="T389">
        <v>0.9</v>
      </c>
      <c r="U389">
        <v>0.9</v>
      </c>
      <c r="V389">
        <v>0.9</v>
      </c>
      <c r="W389">
        <v>0.9</v>
      </c>
    </row>
    <row r="390" spans="1:24" x14ac:dyDescent="0.3">
      <c r="A390" t="s">
        <v>152</v>
      </c>
      <c r="B390" t="s">
        <v>4</v>
      </c>
      <c r="C390" t="s">
        <v>15</v>
      </c>
      <c r="D390" t="s">
        <v>124</v>
      </c>
      <c r="E390" t="s">
        <v>129</v>
      </c>
      <c r="F390" t="s">
        <v>131</v>
      </c>
      <c r="G390" t="s">
        <v>58</v>
      </c>
      <c r="M390">
        <v>0.9</v>
      </c>
      <c r="N390">
        <v>0.9</v>
      </c>
      <c r="O390">
        <v>0.9</v>
      </c>
      <c r="P390">
        <v>0.9</v>
      </c>
      <c r="Q390">
        <v>0.9</v>
      </c>
      <c r="R390">
        <v>0.9</v>
      </c>
      <c r="S390">
        <v>0.9</v>
      </c>
      <c r="T390">
        <v>0.9</v>
      </c>
      <c r="U390">
        <v>0.9</v>
      </c>
      <c r="V390">
        <v>0.9</v>
      </c>
      <c r="W390">
        <v>0.9</v>
      </c>
    </row>
    <row r="391" spans="1:24" x14ac:dyDescent="0.3">
      <c r="A391" t="s">
        <v>153</v>
      </c>
      <c r="B391" t="s">
        <v>4</v>
      </c>
      <c r="C391" t="s">
        <v>15</v>
      </c>
      <c r="D391" t="s">
        <v>124</v>
      </c>
      <c r="E391" t="s">
        <v>125</v>
      </c>
      <c r="F391" t="s">
        <v>126</v>
      </c>
      <c r="G391" t="s">
        <v>58</v>
      </c>
      <c r="M391">
        <v>0.9</v>
      </c>
      <c r="N391">
        <v>0.9</v>
      </c>
      <c r="O391">
        <v>0.9</v>
      </c>
      <c r="P391">
        <v>0.9</v>
      </c>
      <c r="Q391">
        <v>0.9</v>
      </c>
      <c r="R391">
        <v>0.9</v>
      </c>
      <c r="S391">
        <v>0.9</v>
      </c>
      <c r="T391">
        <v>0.9</v>
      </c>
      <c r="U391">
        <v>0.9</v>
      </c>
      <c r="V391">
        <v>0.9</v>
      </c>
      <c r="W391">
        <v>0.9</v>
      </c>
    </row>
    <row r="392" spans="1:24" x14ac:dyDescent="0.3">
      <c r="A392" t="s">
        <v>154</v>
      </c>
      <c r="B392" t="s">
        <v>4</v>
      </c>
      <c r="C392" t="s">
        <v>15</v>
      </c>
      <c r="D392" t="s">
        <v>124</v>
      </c>
      <c r="E392" t="s">
        <v>129</v>
      </c>
      <c r="F392" t="s">
        <v>130</v>
      </c>
      <c r="G392" t="s">
        <v>58</v>
      </c>
      <c r="M392">
        <v>0.9</v>
      </c>
      <c r="N392">
        <v>0.9</v>
      </c>
      <c r="O392">
        <v>0.9</v>
      </c>
      <c r="P392">
        <v>0.9</v>
      </c>
      <c r="Q392">
        <v>0.9</v>
      </c>
      <c r="R392">
        <v>0.9</v>
      </c>
      <c r="S392">
        <v>0.9</v>
      </c>
      <c r="T392">
        <v>0.9</v>
      </c>
      <c r="U392">
        <v>0.9</v>
      </c>
      <c r="V392">
        <v>0.9</v>
      </c>
      <c r="W392">
        <v>0.9</v>
      </c>
    </row>
    <row r="393" spans="1:24" x14ac:dyDescent="0.3">
      <c r="A393" t="s">
        <v>154</v>
      </c>
      <c r="B393" t="s">
        <v>4</v>
      </c>
      <c r="C393" t="s">
        <v>15</v>
      </c>
      <c r="D393" t="s">
        <v>124</v>
      </c>
      <c r="E393" t="s">
        <v>129</v>
      </c>
      <c r="F393" t="s">
        <v>131</v>
      </c>
      <c r="G393" t="s">
        <v>58</v>
      </c>
      <c r="M393">
        <v>0.9</v>
      </c>
      <c r="N393">
        <v>0.9</v>
      </c>
      <c r="O393">
        <v>0.9</v>
      </c>
      <c r="P393">
        <v>0.9</v>
      </c>
      <c r="Q393">
        <v>0.9</v>
      </c>
      <c r="R393">
        <v>0.9</v>
      </c>
      <c r="S393">
        <v>0.9</v>
      </c>
      <c r="T393">
        <v>0.9</v>
      </c>
      <c r="U393">
        <v>0.9</v>
      </c>
      <c r="V393">
        <v>0.9</v>
      </c>
      <c r="W393">
        <v>0.9</v>
      </c>
    </row>
    <row r="394" spans="1:24" x14ac:dyDescent="0.3">
      <c r="A394" t="s">
        <v>27</v>
      </c>
      <c r="B394" t="s">
        <v>5</v>
      </c>
      <c r="C394" t="s">
        <v>15</v>
      </c>
      <c r="D394" t="s">
        <v>16</v>
      </c>
      <c r="E394" t="s">
        <v>28</v>
      </c>
      <c r="F394" t="s">
        <v>155</v>
      </c>
      <c r="G394" t="s">
        <v>52</v>
      </c>
      <c r="H394" t="s">
        <v>156</v>
      </c>
    </row>
    <row r="395" spans="1:24" x14ac:dyDescent="0.3">
      <c r="A395" t="s">
        <v>27</v>
      </c>
      <c r="B395" t="s">
        <v>5</v>
      </c>
      <c r="C395" t="s">
        <v>15</v>
      </c>
      <c r="D395" t="s">
        <v>16</v>
      </c>
      <c r="E395" t="s">
        <v>28</v>
      </c>
      <c r="F395" t="s">
        <v>155</v>
      </c>
      <c r="G395" t="s">
        <v>53</v>
      </c>
      <c r="L395" t="s">
        <v>54</v>
      </c>
      <c r="M395">
        <v>0.72</v>
      </c>
      <c r="N395">
        <f t="shared" ref="N395:W398" ca="1" si="34">M395</f>
        <v>0.72</v>
      </c>
      <c r="O395">
        <f t="shared" ca="1" si="34"/>
        <v>0.72</v>
      </c>
      <c r="P395">
        <f t="shared" ca="1" si="34"/>
        <v>0.72</v>
      </c>
      <c r="Q395">
        <f t="shared" ca="1" si="34"/>
        <v>0.72</v>
      </c>
      <c r="R395">
        <f t="shared" ca="1" si="34"/>
        <v>0.72</v>
      </c>
      <c r="S395">
        <f t="shared" ca="1" si="34"/>
        <v>0.72</v>
      </c>
      <c r="T395">
        <f t="shared" ca="1" si="34"/>
        <v>0.72</v>
      </c>
      <c r="U395">
        <f t="shared" ca="1" si="34"/>
        <v>0.72</v>
      </c>
      <c r="V395">
        <f t="shared" ca="1" si="34"/>
        <v>0.72</v>
      </c>
      <c r="W395">
        <f t="shared" ca="1" si="34"/>
        <v>0.72</v>
      </c>
      <c r="X395" t="s">
        <v>157</v>
      </c>
    </row>
    <row r="396" spans="1:24" x14ac:dyDescent="0.3">
      <c r="A396" t="s">
        <v>27</v>
      </c>
      <c r="B396" t="s">
        <v>5</v>
      </c>
      <c r="C396" t="s">
        <v>15</v>
      </c>
      <c r="D396" t="s">
        <v>16</v>
      </c>
      <c r="E396" t="s">
        <v>28</v>
      </c>
      <c r="F396" t="s">
        <v>155</v>
      </c>
      <c r="G396" t="s">
        <v>55</v>
      </c>
      <c r="L396" t="s">
        <v>54</v>
      </c>
      <c r="M396">
        <v>5.0000000000000001E-3</v>
      </c>
      <c r="N396">
        <f t="shared" ca="1" si="34"/>
        <v>5.0000000000000001E-3</v>
      </c>
      <c r="O396">
        <f t="shared" ca="1" si="34"/>
        <v>5.0000000000000001E-3</v>
      </c>
      <c r="P396">
        <f t="shared" ca="1" si="34"/>
        <v>5.0000000000000001E-3</v>
      </c>
      <c r="Q396">
        <f t="shared" ca="1" si="34"/>
        <v>5.0000000000000001E-3</v>
      </c>
      <c r="R396">
        <f t="shared" ca="1" si="34"/>
        <v>5.0000000000000001E-3</v>
      </c>
      <c r="S396">
        <f t="shared" ca="1" si="34"/>
        <v>5.0000000000000001E-3</v>
      </c>
      <c r="T396">
        <f t="shared" ca="1" si="34"/>
        <v>5.0000000000000001E-3</v>
      </c>
      <c r="U396">
        <f t="shared" ca="1" si="34"/>
        <v>5.0000000000000001E-3</v>
      </c>
      <c r="V396">
        <f t="shared" ca="1" si="34"/>
        <v>5.0000000000000001E-3</v>
      </c>
      <c r="W396">
        <f t="shared" ca="1" si="34"/>
        <v>5.0000000000000001E-3</v>
      </c>
      <c r="X396" t="s">
        <v>157</v>
      </c>
    </row>
    <row r="397" spans="1:24" x14ac:dyDescent="0.3">
      <c r="A397" t="s">
        <v>27</v>
      </c>
      <c r="B397" t="s">
        <v>5</v>
      </c>
      <c r="C397" t="s">
        <v>15</v>
      </c>
      <c r="D397" t="s">
        <v>16</v>
      </c>
      <c r="E397" t="s">
        <v>28</v>
      </c>
      <c r="F397" t="s">
        <v>155</v>
      </c>
      <c r="G397" t="s">
        <v>56</v>
      </c>
      <c r="L397" t="s">
        <v>158</v>
      </c>
      <c r="M397">
        <v>160000000</v>
      </c>
      <c r="N397">
        <f t="shared" ca="1" si="34"/>
        <v>160000000</v>
      </c>
      <c r="O397">
        <f t="shared" ca="1" si="34"/>
        <v>160000000</v>
      </c>
      <c r="P397">
        <f t="shared" ca="1" si="34"/>
        <v>160000000</v>
      </c>
      <c r="Q397">
        <f t="shared" ca="1" si="34"/>
        <v>160000000</v>
      </c>
      <c r="R397">
        <f t="shared" ca="1" si="34"/>
        <v>160000000</v>
      </c>
      <c r="S397">
        <f t="shared" ca="1" si="34"/>
        <v>160000000</v>
      </c>
      <c r="T397">
        <f t="shared" ca="1" si="34"/>
        <v>160000000</v>
      </c>
      <c r="U397">
        <f t="shared" ca="1" si="34"/>
        <v>160000000</v>
      </c>
      <c r="V397">
        <f t="shared" ca="1" si="34"/>
        <v>160000000</v>
      </c>
      <c r="W397">
        <f t="shared" ca="1" si="34"/>
        <v>160000000</v>
      </c>
      <c r="X397" t="s">
        <v>159</v>
      </c>
    </row>
    <row r="398" spans="1:24" x14ac:dyDescent="0.3">
      <c r="A398" t="s">
        <v>27</v>
      </c>
      <c r="B398" t="s">
        <v>5</v>
      </c>
      <c r="C398" t="s">
        <v>15</v>
      </c>
      <c r="D398" t="s">
        <v>16</v>
      </c>
      <c r="E398" t="s">
        <v>28</v>
      </c>
      <c r="F398" t="s">
        <v>155</v>
      </c>
      <c r="G398" t="s">
        <v>58</v>
      </c>
      <c r="L398" t="s">
        <v>54</v>
      </c>
      <c r="M398">
        <v>0.97</v>
      </c>
      <c r="N398">
        <f t="shared" ca="1" si="34"/>
        <v>0.97</v>
      </c>
      <c r="O398">
        <f t="shared" ca="1" si="34"/>
        <v>0.97</v>
      </c>
      <c r="P398">
        <f t="shared" ca="1" si="34"/>
        <v>0.97</v>
      </c>
      <c r="Q398">
        <f t="shared" ca="1" si="34"/>
        <v>0.97</v>
      </c>
      <c r="R398">
        <f t="shared" ca="1" si="34"/>
        <v>0.97</v>
      </c>
      <c r="S398">
        <f t="shared" ca="1" si="34"/>
        <v>0.97</v>
      </c>
      <c r="T398">
        <f t="shared" ca="1" si="34"/>
        <v>0.97</v>
      </c>
      <c r="U398">
        <f t="shared" ca="1" si="34"/>
        <v>0.97</v>
      </c>
      <c r="V398">
        <f t="shared" ca="1" si="34"/>
        <v>0.97</v>
      </c>
      <c r="W398">
        <f t="shared" ca="1" si="34"/>
        <v>0.97</v>
      </c>
      <c r="X398" t="s">
        <v>157</v>
      </c>
    </row>
    <row r="399" spans="1:24" x14ac:dyDescent="0.3">
      <c r="A399" t="s">
        <v>27</v>
      </c>
      <c r="B399" t="s">
        <v>5</v>
      </c>
      <c r="C399" t="s">
        <v>15</v>
      </c>
      <c r="D399" t="s">
        <v>16</v>
      </c>
      <c r="E399" t="s">
        <v>28</v>
      </c>
      <c r="F399" t="s">
        <v>160</v>
      </c>
      <c r="G399" t="s">
        <v>52</v>
      </c>
      <c r="H399" t="s">
        <v>156</v>
      </c>
      <c r="X399" t="s">
        <v>161</v>
      </c>
    </row>
    <row r="400" spans="1:24" x14ac:dyDescent="0.3">
      <c r="A400" t="s">
        <v>27</v>
      </c>
      <c r="B400" t="s">
        <v>5</v>
      </c>
      <c r="C400" t="s">
        <v>15</v>
      </c>
      <c r="D400" t="s">
        <v>16</v>
      </c>
      <c r="E400" t="s">
        <v>28</v>
      </c>
      <c r="F400" t="s">
        <v>160</v>
      </c>
      <c r="G400" t="s">
        <v>53</v>
      </c>
      <c r="L400" t="s">
        <v>54</v>
      </c>
      <c r="M400">
        <v>0.72</v>
      </c>
      <c r="N400">
        <f t="shared" ref="N400:W403" ca="1" si="35">M400</f>
        <v>0.72</v>
      </c>
      <c r="O400">
        <f t="shared" ca="1" si="35"/>
        <v>0.72</v>
      </c>
      <c r="P400">
        <f t="shared" ca="1" si="35"/>
        <v>0.72</v>
      </c>
      <c r="Q400">
        <f t="shared" ca="1" si="35"/>
        <v>0.72</v>
      </c>
      <c r="R400">
        <f t="shared" ca="1" si="35"/>
        <v>0.72</v>
      </c>
      <c r="S400">
        <f t="shared" ca="1" si="35"/>
        <v>0.72</v>
      </c>
      <c r="T400">
        <f t="shared" ca="1" si="35"/>
        <v>0.72</v>
      </c>
      <c r="U400">
        <f t="shared" ca="1" si="35"/>
        <v>0.72</v>
      </c>
      <c r="V400">
        <f t="shared" ca="1" si="35"/>
        <v>0.72</v>
      </c>
      <c r="W400">
        <f t="shared" ca="1" si="35"/>
        <v>0.72</v>
      </c>
      <c r="X400" t="s">
        <v>157</v>
      </c>
    </row>
    <row r="401" spans="1:24" x14ac:dyDescent="0.3">
      <c r="A401" t="s">
        <v>27</v>
      </c>
      <c r="B401" t="s">
        <v>5</v>
      </c>
      <c r="C401" t="s">
        <v>15</v>
      </c>
      <c r="D401" t="s">
        <v>16</v>
      </c>
      <c r="E401" t="s">
        <v>28</v>
      </c>
      <c r="F401" t="s">
        <v>160</v>
      </c>
      <c r="G401" t="s">
        <v>55</v>
      </c>
      <c r="L401" t="s">
        <v>54</v>
      </c>
      <c r="M401">
        <v>5.0000000000000001E-3</v>
      </c>
      <c r="N401">
        <f t="shared" ca="1" si="35"/>
        <v>5.0000000000000001E-3</v>
      </c>
      <c r="O401">
        <f t="shared" ca="1" si="35"/>
        <v>5.0000000000000001E-3</v>
      </c>
      <c r="P401">
        <f t="shared" ca="1" si="35"/>
        <v>5.0000000000000001E-3</v>
      </c>
      <c r="Q401">
        <f t="shared" ca="1" si="35"/>
        <v>5.0000000000000001E-3</v>
      </c>
      <c r="R401">
        <f t="shared" ca="1" si="35"/>
        <v>5.0000000000000001E-3</v>
      </c>
      <c r="S401">
        <f t="shared" ca="1" si="35"/>
        <v>5.0000000000000001E-3</v>
      </c>
      <c r="T401">
        <f t="shared" ca="1" si="35"/>
        <v>5.0000000000000001E-3</v>
      </c>
      <c r="U401">
        <f t="shared" ca="1" si="35"/>
        <v>5.0000000000000001E-3</v>
      </c>
      <c r="V401">
        <f t="shared" ca="1" si="35"/>
        <v>5.0000000000000001E-3</v>
      </c>
      <c r="W401">
        <f t="shared" ca="1" si="35"/>
        <v>5.0000000000000001E-3</v>
      </c>
      <c r="X401" t="s">
        <v>157</v>
      </c>
    </row>
    <row r="402" spans="1:24" x14ac:dyDescent="0.3">
      <c r="A402" t="s">
        <v>27</v>
      </c>
      <c r="B402" t="s">
        <v>5</v>
      </c>
      <c r="C402" t="s">
        <v>15</v>
      </c>
      <c r="D402" t="s">
        <v>16</v>
      </c>
      <c r="E402" t="s">
        <v>28</v>
      </c>
      <c r="F402" t="s">
        <v>160</v>
      </c>
      <c r="G402" t="s">
        <v>56</v>
      </c>
      <c r="L402" t="s">
        <v>158</v>
      </c>
      <c r="M402">
        <f ca="1">800000*1000/1000</f>
        <v>800000</v>
      </c>
      <c r="N402">
        <f t="shared" ca="1" si="35"/>
        <v>800000</v>
      </c>
      <c r="O402">
        <f t="shared" ca="1" si="35"/>
        <v>800000</v>
      </c>
      <c r="P402">
        <f t="shared" ca="1" si="35"/>
        <v>800000</v>
      </c>
      <c r="Q402">
        <f t="shared" ca="1" si="35"/>
        <v>800000</v>
      </c>
      <c r="R402">
        <f t="shared" ca="1" si="35"/>
        <v>800000</v>
      </c>
      <c r="S402">
        <f t="shared" ca="1" si="35"/>
        <v>800000</v>
      </c>
      <c r="T402">
        <f t="shared" ca="1" si="35"/>
        <v>800000</v>
      </c>
      <c r="U402">
        <f t="shared" ca="1" si="35"/>
        <v>800000</v>
      </c>
      <c r="V402">
        <f t="shared" ca="1" si="35"/>
        <v>800000</v>
      </c>
      <c r="W402">
        <f t="shared" ca="1" si="35"/>
        <v>800000</v>
      </c>
      <c r="X402" t="s">
        <v>159</v>
      </c>
    </row>
    <row r="403" spans="1:24" x14ac:dyDescent="0.3">
      <c r="A403" t="s">
        <v>27</v>
      </c>
      <c r="B403" t="s">
        <v>5</v>
      </c>
      <c r="C403" t="s">
        <v>15</v>
      </c>
      <c r="D403" t="s">
        <v>16</v>
      </c>
      <c r="E403" t="s">
        <v>28</v>
      </c>
      <c r="F403" t="s">
        <v>160</v>
      </c>
      <c r="G403" t="s">
        <v>58</v>
      </c>
      <c r="L403" t="s">
        <v>54</v>
      </c>
      <c r="M403">
        <v>0.97</v>
      </c>
      <c r="N403">
        <f t="shared" ca="1" si="35"/>
        <v>0.97</v>
      </c>
      <c r="O403">
        <f t="shared" ca="1" si="35"/>
        <v>0.97</v>
      </c>
      <c r="P403">
        <f t="shared" ca="1" si="35"/>
        <v>0.97</v>
      </c>
      <c r="Q403">
        <f t="shared" ca="1" si="35"/>
        <v>0.97</v>
      </c>
      <c r="R403">
        <f t="shared" ca="1" si="35"/>
        <v>0.97</v>
      </c>
      <c r="S403">
        <f t="shared" ca="1" si="35"/>
        <v>0.97</v>
      </c>
      <c r="T403">
        <f t="shared" ca="1" si="35"/>
        <v>0.97</v>
      </c>
      <c r="U403">
        <f t="shared" ca="1" si="35"/>
        <v>0.97</v>
      </c>
      <c r="V403">
        <f t="shared" ca="1" si="35"/>
        <v>0.97</v>
      </c>
      <c r="W403">
        <f t="shared" ca="1" si="35"/>
        <v>0.97</v>
      </c>
      <c r="X403" t="s">
        <v>157</v>
      </c>
    </row>
    <row r="404" spans="1:24" x14ac:dyDescent="0.3">
      <c r="A404" t="s">
        <v>27</v>
      </c>
      <c r="B404" t="s">
        <v>5</v>
      </c>
      <c r="C404" t="s">
        <v>15</v>
      </c>
      <c r="D404" t="s">
        <v>16</v>
      </c>
      <c r="E404" t="s">
        <v>28</v>
      </c>
      <c r="F404" t="s">
        <v>162</v>
      </c>
      <c r="G404" t="s">
        <v>52</v>
      </c>
      <c r="H404" t="s">
        <v>163</v>
      </c>
    </row>
    <row r="405" spans="1:24" x14ac:dyDescent="0.3">
      <c r="A405" t="s">
        <v>27</v>
      </c>
      <c r="B405" t="s">
        <v>5</v>
      </c>
      <c r="C405" t="s">
        <v>15</v>
      </c>
      <c r="D405" t="s">
        <v>16</v>
      </c>
      <c r="E405" t="s">
        <v>28</v>
      </c>
      <c r="F405" t="s">
        <v>162</v>
      </c>
      <c r="G405" t="s">
        <v>53</v>
      </c>
      <c r="L405" t="s">
        <v>54</v>
      </c>
      <c r="M405">
        <v>0.2</v>
      </c>
      <c r="N405">
        <f t="shared" ref="N405:W408" ca="1" si="36">M405</f>
        <v>0.2</v>
      </c>
      <c r="O405">
        <f t="shared" ca="1" si="36"/>
        <v>0.2</v>
      </c>
      <c r="P405">
        <f t="shared" ca="1" si="36"/>
        <v>0.2</v>
      </c>
      <c r="Q405">
        <f t="shared" ca="1" si="36"/>
        <v>0.2</v>
      </c>
      <c r="R405">
        <f t="shared" ca="1" si="36"/>
        <v>0.2</v>
      </c>
      <c r="S405">
        <f t="shared" ca="1" si="36"/>
        <v>0.2</v>
      </c>
      <c r="T405">
        <f t="shared" ca="1" si="36"/>
        <v>0.2</v>
      </c>
      <c r="U405">
        <f t="shared" ca="1" si="36"/>
        <v>0.2</v>
      </c>
      <c r="V405">
        <f t="shared" ca="1" si="36"/>
        <v>0.2</v>
      </c>
      <c r="W405">
        <f t="shared" ca="1" si="36"/>
        <v>0.2</v>
      </c>
      <c r="X405" t="s">
        <v>164</v>
      </c>
    </row>
    <row r="406" spans="1:24" x14ac:dyDescent="0.3">
      <c r="A406" t="s">
        <v>27</v>
      </c>
      <c r="B406" t="s">
        <v>5</v>
      </c>
      <c r="C406" t="s">
        <v>15</v>
      </c>
      <c r="D406" t="s">
        <v>16</v>
      </c>
      <c r="E406" t="s">
        <v>28</v>
      </c>
      <c r="F406" t="s">
        <v>162</v>
      </c>
      <c r="G406" t="s">
        <v>55</v>
      </c>
      <c r="L406" t="s">
        <v>54</v>
      </c>
      <c r="M406">
        <v>1.4999999999999999E-2</v>
      </c>
      <c r="N406">
        <f t="shared" ca="1" si="36"/>
        <v>1.4999999999999999E-2</v>
      </c>
      <c r="O406">
        <f t="shared" ca="1" si="36"/>
        <v>1.4999999999999999E-2</v>
      </c>
      <c r="P406">
        <f t="shared" ca="1" si="36"/>
        <v>1.4999999999999999E-2</v>
      </c>
      <c r="Q406">
        <f t="shared" ca="1" si="36"/>
        <v>1.4999999999999999E-2</v>
      </c>
      <c r="R406">
        <f t="shared" ca="1" si="36"/>
        <v>1.4999999999999999E-2</v>
      </c>
      <c r="S406">
        <f t="shared" ca="1" si="36"/>
        <v>1.4999999999999999E-2</v>
      </c>
      <c r="T406">
        <f t="shared" ca="1" si="36"/>
        <v>1.4999999999999999E-2</v>
      </c>
      <c r="U406">
        <f t="shared" ca="1" si="36"/>
        <v>1.4999999999999999E-2</v>
      </c>
      <c r="V406">
        <f t="shared" ca="1" si="36"/>
        <v>1.4999999999999999E-2</v>
      </c>
      <c r="W406">
        <f t="shared" ca="1" si="36"/>
        <v>1.4999999999999999E-2</v>
      </c>
      <c r="X406" t="s">
        <v>164</v>
      </c>
    </row>
    <row r="407" spans="1:24" x14ac:dyDescent="0.3">
      <c r="A407" t="s">
        <v>27</v>
      </c>
      <c r="B407" t="s">
        <v>5</v>
      </c>
      <c r="C407" t="s">
        <v>15</v>
      </c>
      <c r="D407" t="s">
        <v>16</v>
      </c>
      <c r="E407" t="s">
        <v>28</v>
      </c>
      <c r="F407" t="s">
        <v>162</v>
      </c>
      <c r="G407" t="s">
        <v>56</v>
      </c>
      <c r="L407" t="s">
        <v>158</v>
      </c>
      <c r="M407">
        <f ca="1">800000*1000/1000</f>
        <v>800000</v>
      </c>
      <c r="N407">
        <f t="shared" ca="1" si="36"/>
        <v>800000</v>
      </c>
      <c r="O407">
        <f t="shared" ca="1" si="36"/>
        <v>800000</v>
      </c>
      <c r="P407">
        <f t="shared" ca="1" si="36"/>
        <v>800000</v>
      </c>
      <c r="Q407">
        <f t="shared" ca="1" si="36"/>
        <v>800000</v>
      </c>
      <c r="R407">
        <f t="shared" ca="1" si="36"/>
        <v>800000</v>
      </c>
      <c r="S407">
        <f t="shared" ca="1" si="36"/>
        <v>800000</v>
      </c>
      <c r="T407">
        <f t="shared" ca="1" si="36"/>
        <v>800000</v>
      </c>
      <c r="U407">
        <f t="shared" ca="1" si="36"/>
        <v>800000</v>
      </c>
      <c r="V407">
        <f t="shared" ca="1" si="36"/>
        <v>800000</v>
      </c>
      <c r="W407">
        <f t="shared" ca="1" si="36"/>
        <v>800000</v>
      </c>
      <c r="X407" t="s">
        <v>159</v>
      </c>
    </row>
    <row r="408" spans="1:24" x14ac:dyDescent="0.3">
      <c r="A408" t="s">
        <v>27</v>
      </c>
      <c r="B408" t="s">
        <v>5</v>
      </c>
      <c r="C408" t="s">
        <v>15</v>
      </c>
      <c r="D408" t="s">
        <v>16</v>
      </c>
      <c r="E408" t="s">
        <v>28</v>
      </c>
      <c r="F408" t="s">
        <v>162</v>
      </c>
      <c r="G408" t="s">
        <v>58</v>
      </c>
      <c r="L408" t="s">
        <v>54</v>
      </c>
      <c r="M408">
        <v>0.85</v>
      </c>
      <c r="N408">
        <f t="shared" ca="1" si="36"/>
        <v>0.85</v>
      </c>
      <c r="O408">
        <f t="shared" ca="1" si="36"/>
        <v>0.85</v>
      </c>
      <c r="P408">
        <f t="shared" ca="1" si="36"/>
        <v>0.85</v>
      </c>
      <c r="Q408">
        <f t="shared" ca="1" si="36"/>
        <v>0.85</v>
      </c>
      <c r="R408">
        <f t="shared" ca="1" si="36"/>
        <v>0.85</v>
      </c>
      <c r="S408">
        <f t="shared" ca="1" si="36"/>
        <v>0.85</v>
      </c>
      <c r="T408">
        <f t="shared" ca="1" si="36"/>
        <v>0.85</v>
      </c>
      <c r="U408">
        <f t="shared" ca="1" si="36"/>
        <v>0.85</v>
      </c>
      <c r="V408">
        <f t="shared" ca="1" si="36"/>
        <v>0.85</v>
      </c>
      <c r="W408">
        <f t="shared" ca="1" si="36"/>
        <v>0.85</v>
      </c>
      <c r="X408" t="s">
        <v>164</v>
      </c>
    </row>
    <row r="409" spans="1:24" x14ac:dyDescent="0.3">
      <c r="A409" t="s">
        <v>29</v>
      </c>
      <c r="B409" t="s">
        <v>5</v>
      </c>
      <c r="C409" t="s">
        <v>15</v>
      </c>
      <c r="D409" t="s">
        <v>16</v>
      </c>
      <c r="E409" t="s">
        <v>38</v>
      </c>
      <c r="F409" t="s">
        <v>165</v>
      </c>
      <c r="G409" t="s">
        <v>52</v>
      </c>
      <c r="H409" t="s">
        <v>156</v>
      </c>
    </row>
    <row r="410" spans="1:24" x14ac:dyDescent="0.3">
      <c r="A410" t="s">
        <v>29</v>
      </c>
      <c r="B410" t="s">
        <v>5</v>
      </c>
      <c r="C410" t="s">
        <v>15</v>
      </c>
      <c r="D410" t="s">
        <v>16</v>
      </c>
      <c r="E410" t="s">
        <v>38</v>
      </c>
      <c r="F410" t="s">
        <v>165</v>
      </c>
      <c r="G410" t="s">
        <v>53</v>
      </c>
      <c r="L410" t="s">
        <v>54</v>
      </c>
      <c r="M410">
        <v>0.4</v>
      </c>
      <c r="N410">
        <f t="shared" ref="N410:W413" ca="1" si="37">M410</f>
        <v>0.4</v>
      </c>
      <c r="O410">
        <f t="shared" ca="1" si="37"/>
        <v>0.4</v>
      </c>
      <c r="P410">
        <f t="shared" ca="1" si="37"/>
        <v>0.4</v>
      </c>
      <c r="Q410">
        <f t="shared" ca="1" si="37"/>
        <v>0.4</v>
      </c>
      <c r="R410">
        <f t="shared" ca="1" si="37"/>
        <v>0.4</v>
      </c>
      <c r="S410">
        <f t="shared" ca="1" si="37"/>
        <v>0.4</v>
      </c>
      <c r="T410">
        <f t="shared" ca="1" si="37"/>
        <v>0.4</v>
      </c>
      <c r="U410">
        <f t="shared" ca="1" si="37"/>
        <v>0.4</v>
      </c>
      <c r="V410">
        <f t="shared" ca="1" si="37"/>
        <v>0.4</v>
      </c>
      <c r="W410">
        <f t="shared" ca="1" si="37"/>
        <v>0.4</v>
      </c>
    </row>
    <row r="411" spans="1:24" x14ac:dyDescent="0.3">
      <c r="A411" t="s">
        <v>29</v>
      </c>
      <c r="B411" t="s">
        <v>5</v>
      </c>
      <c r="C411" t="s">
        <v>15</v>
      </c>
      <c r="D411" t="s">
        <v>16</v>
      </c>
      <c r="E411" t="s">
        <v>38</v>
      </c>
      <c r="F411" t="s">
        <v>165</v>
      </c>
      <c r="G411" t="s">
        <v>55</v>
      </c>
      <c r="L411" t="s">
        <v>54</v>
      </c>
      <c r="M411">
        <v>1.4999999999999999E-2</v>
      </c>
      <c r="N411">
        <f t="shared" ca="1" si="37"/>
        <v>1.4999999999999999E-2</v>
      </c>
      <c r="O411">
        <f t="shared" ca="1" si="37"/>
        <v>1.4999999999999999E-2</v>
      </c>
      <c r="P411">
        <f t="shared" ca="1" si="37"/>
        <v>1.4999999999999999E-2</v>
      </c>
      <c r="Q411">
        <f t="shared" ca="1" si="37"/>
        <v>1.4999999999999999E-2</v>
      </c>
      <c r="R411">
        <f t="shared" ca="1" si="37"/>
        <v>1.4999999999999999E-2</v>
      </c>
      <c r="S411">
        <f t="shared" ca="1" si="37"/>
        <v>1.4999999999999999E-2</v>
      </c>
      <c r="T411">
        <f t="shared" ca="1" si="37"/>
        <v>1.4999999999999999E-2</v>
      </c>
      <c r="U411">
        <f t="shared" ca="1" si="37"/>
        <v>1.4999999999999999E-2</v>
      </c>
      <c r="V411">
        <f t="shared" ca="1" si="37"/>
        <v>1.4999999999999999E-2</v>
      </c>
      <c r="W411">
        <f t="shared" ca="1" si="37"/>
        <v>1.4999999999999999E-2</v>
      </c>
    </row>
    <row r="412" spans="1:24" x14ac:dyDescent="0.3">
      <c r="A412" t="s">
        <v>29</v>
      </c>
      <c r="B412" t="s">
        <v>5</v>
      </c>
      <c r="C412" t="s">
        <v>15</v>
      </c>
      <c r="D412" t="s">
        <v>16</v>
      </c>
      <c r="E412" t="s">
        <v>38</v>
      </c>
      <c r="F412" t="s">
        <v>165</v>
      </c>
      <c r="G412" t="s">
        <v>56</v>
      </c>
      <c r="L412" t="s">
        <v>158</v>
      </c>
      <c r="M412">
        <f ca="1">80000000*25*100/1000</f>
        <v>200000000</v>
      </c>
      <c r="N412">
        <f t="shared" ca="1" si="37"/>
        <v>200000000</v>
      </c>
      <c r="O412">
        <f t="shared" ca="1" si="37"/>
        <v>200000000</v>
      </c>
      <c r="P412">
        <f t="shared" ca="1" si="37"/>
        <v>200000000</v>
      </c>
      <c r="Q412">
        <f t="shared" ca="1" si="37"/>
        <v>200000000</v>
      </c>
      <c r="R412">
        <f t="shared" ca="1" si="37"/>
        <v>200000000</v>
      </c>
      <c r="S412">
        <f t="shared" ca="1" si="37"/>
        <v>200000000</v>
      </c>
      <c r="T412">
        <f t="shared" ca="1" si="37"/>
        <v>200000000</v>
      </c>
      <c r="U412">
        <f t="shared" ca="1" si="37"/>
        <v>200000000</v>
      </c>
      <c r="V412">
        <f t="shared" ca="1" si="37"/>
        <v>200000000</v>
      </c>
      <c r="W412">
        <f t="shared" ca="1" si="37"/>
        <v>200000000</v>
      </c>
      <c r="X412" t="s">
        <v>166</v>
      </c>
    </row>
    <row r="413" spans="1:24" x14ac:dyDescent="0.3">
      <c r="A413" t="s">
        <v>29</v>
      </c>
      <c r="B413" t="s">
        <v>5</v>
      </c>
      <c r="C413" t="s">
        <v>15</v>
      </c>
      <c r="D413" t="s">
        <v>16</v>
      </c>
      <c r="E413" t="s">
        <v>38</v>
      </c>
      <c r="F413" t="s">
        <v>165</v>
      </c>
      <c r="G413" t="s">
        <v>58</v>
      </c>
      <c r="L413" t="s">
        <v>54</v>
      </c>
      <c r="M413">
        <v>0.85</v>
      </c>
      <c r="N413">
        <f t="shared" ca="1" si="37"/>
        <v>0.85</v>
      </c>
      <c r="O413">
        <f t="shared" ca="1" si="37"/>
        <v>0.85</v>
      </c>
      <c r="P413">
        <f t="shared" ca="1" si="37"/>
        <v>0.85</v>
      </c>
      <c r="Q413">
        <f t="shared" ca="1" si="37"/>
        <v>0.85</v>
      </c>
      <c r="R413">
        <f t="shared" ca="1" si="37"/>
        <v>0.85</v>
      </c>
      <c r="S413">
        <f t="shared" ca="1" si="37"/>
        <v>0.85</v>
      </c>
      <c r="T413">
        <f t="shared" ca="1" si="37"/>
        <v>0.85</v>
      </c>
      <c r="U413">
        <f t="shared" ca="1" si="37"/>
        <v>0.85</v>
      </c>
      <c r="V413">
        <f t="shared" ca="1" si="37"/>
        <v>0.85</v>
      </c>
      <c r="W413">
        <f t="shared" ca="1" si="37"/>
        <v>0.85</v>
      </c>
    </row>
    <row r="414" spans="1:24" x14ac:dyDescent="0.3">
      <c r="A414" t="s">
        <v>29</v>
      </c>
      <c r="B414" t="s">
        <v>5</v>
      </c>
      <c r="C414" t="s">
        <v>15</v>
      </c>
      <c r="D414" t="s">
        <v>16</v>
      </c>
      <c r="E414" t="s">
        <v>38</v>
      </c>
      <c r="F414" t="s">
        <v>167</v>
      </c>
      <c r="G414" t="s">
        <v>52</v>
      </c>
      <c r="H414" t="s">
        <v>163</v>
      </c>
    </row>
    <row r="415" spans="1:24" x14ac:dyDescent="0.3">
      <c r="A415" t="s">
        <v>29</v>
      </c>
      <c r="B415" t="s">
        <v>5</v>
      </c>
      <c r="C415" t="s">
        <v>15</v>
      </c>
      <c r="D415" t="s">
        <v>16</v>
      </c>
      <c r="E415" t="s">
        <v>38</v>
      </c>
      <c r="F415" t="s">
        <v>167</v>
      </c>
      <c r="G415" t="s">
        <v>53</v>
      </c>
      <c r="L415" t="s">
        <v>54</v>
      </c>
      <c r="M415">
        <v>0.4</v>
      </c>
      <c r="N415">
        <f t="shared" ref="N415:W418" ca="1" si="38">M415</f>
        <v>0.4</v>
      </c>
      <c r="O415">
        <f t="shared" ca="1" si="38"/>
        <v>0.4</v>
      </c>
      <c r="P415">
        <f t="shared" ca="1" si="38"/>
        <v>0.4</v>
      </c>
      <c r="Q415">
        <f t="shared" ca="1" si="38"/>
        <v>0.4</v>
      </c>
      <c r="R415">
        <f t="shared" ca="1" si="38"/>
        <v>0.4</v>
      </c>
      <c r="S415">
        <f t="shared" ca="1" si="38"/>
        <v>0.4</v>
      </c>
      <c r="T415">
        <f t="shared" ca="1" si="38"/>
        <v>0.4</v>
      </c>
      <c r="U415">
        <f t="shared" ca="1" si="38"/>
        <v>0.4</v>
      </c>
      <c r="V415">
        <f t="shared" ca="1" si="38"/>
        <v>0.4</v>
      </c>
      <c r="W415">
        <f t="shared" ca="1" si="38"/>
        <v>0.4</v>
      </c>
    </row>
    <row r="416" spans="1:24" x14ac:dyDescent="0.3">
      <c r="A416" t="s">
        <v>29</v>
      </c>
      <c r="B416" t="s">
        <v>5</v>
      </c>
      <c r="C416" t="s">
        <v>15</v>
      </c>
      <c r="D416" t="s">
        <v>16</v>
      </c>
      <c r="E416" t="s">
        <v>38</v>
      </c>
      <c r="F416" t="s">
        <v>167</v>
      </c>
      <c r="G416" t="s">
        <v>55</v>
      </c>
      <c r="L416" t="s">
        <v>54</v>
      </c>
      <c r="M416">
        <v>1.4999999999999999E-2</v>
      </c>
      <c r="N416">
        <f t="shared" ca="1" si="38"/>
        <v>1.4999999999999999E-2</v>
      </c>
      <c r="O416">
        <f t="shared" ca="1" si="38"/>
        <v>1.4999999999999999E-2</v>
      </c>
      <c r="P416">
        <f t="shared" ca="1" si="38"/>
        <v>1.4999999999999999E-2</v>
      </c>
      <c r="Q416">
        <f t="shared" ca="1" si="38"/>
        <v>1.4999999999999999E-2</v>
      </c>
      <c r="R416">
        <f t="shared" ca="1" si="38"/>
        <v>1.4999999999999999E-2</v>
      </c>
      <c r="S416">
        <f t="shared" ca="1" si="38"/>
        <v>1.4999999999999999E-2</v>
      </c>
      <c r="T416">
        <f t="shared" ca="1" si="38"/>
        <v>1.4999999999999999E-2</v>
      </c>
      <c r="U416">
        <f t="shared" ca="1" si="38"/>
        <v>1.4999999999999999E-2</v>
      </c>
      <c r="V416">
        <f t="shared" ca="1" si="38"/>
        <v>1.4999999999999999E-2</v>
      </c>
      <c r="W416">
        <f t="shared" ca="1" si="38"/>
        <v>1.4999999999999999E-2</v>
      </c>
    </row>
    <row r="417" spans="1:24" x14ac:dyDescent="0.3">
      <c r="A417" t="s">
        <v>29</v>
      </c>
      <c r="B417" t="s">
        <v>5</v>
      </c>
      <c r="C417" t="s">
        <v>15</v>
      </c>
      <c r="D417" t="s">
        <v>16</v>
      </c>
      <c r="E417" t="s">
        <v>38</v>
      </c>
      <c r="F417" t="s">
        <v>167</v>
      </c>
      <c r="G417" t="s">
        <v>56</v>
      </c>
      <c r="L417" t="s">
        <v>158</v>
      </c>
      <c r="M417">
        <f ca="1">80000000*25*100/1000</f>
        <v>200000000</v>
      </c>
      <c r="N417">
        <f t="shared" ca="1" si="38"/>
        <v>200000000</v>
      </c>
      <c r="O417">
        <f t="shared" ca="1" si="38"/>
        <v>200000000</v>
      </c>
      <c r="P417">
        <f t="shared" ca="1" si="38"/>
        <v>200000000</v>
      </c>
      <c r="Q417">
        <f t="shared" ca="1" si="38"/>
        <v>200000000</v>
      </c>
      <c r="R417">
        <f t="shared" ca="1" si="38"/>
        <v>200000000</v>
      </c>
      <c r="S417">
        <f t="shared" ca="1" si="38"/>
        <v>200000000</v>
      </c>
      <c r="T417">
        <f t="shared" ca="1" si="38"/>
        <v>200000000</v>
      </c>
      <c r="U417">
        <f t="shared" ca="1" si="38"/>
        <v>200000000</v>
      </c>
      <c r="V417">
        <f t="shared" ca="1" si="38"/>
        <v>200000000</v>
      </c>
      <c r="W417">
        <f t="shared" ca="1" si="38"/>
        <v>200000000</v>
      </c>
      <c r="X417" t="s">
        <v>166</v>
      </c>
    </row>
    <row r="418" spans="1:24" x14ac:dyDescent="0.3">
      <c r="A418" t="s">
        <v>29</v>
      </c>
      <c r="B418" t="s">
        <v>5</v>
      </c>
      <c r="C418" t="s">
        <v>15</v>
      </c>
      <c r="D418" t="s">
        <v>16</v>
      </c>
      <c r="E418" t="s">
        <v>38</v>
      </c>
      <c r="F418" t="s">
        <v>167</v>
      </c>
      <c r="G418" t="s">
        <v>58</v>
      </c>
      <c r="L418" t="s">
        <v>54</v>
      </c>
      <c r="M418">
        <v>0.85</v>
      </c>
      <c r="N418">
        <f t="shared" ca="1" si="38"/>
        <v>0.85</v>
      </c>
      <c r="O418">
        <f t="shared" ca="1" si="38"/>
        <v>0.85</v>
      </c>
      <c r="P418">
        <f t="shared" ca="1" si="38"/>
        <v>0.85</v>
      </c>
      <c r="Q418">
        <f t="shared" ca="1" si="38"/>
        <v>0.85</v>
      </c>
      <c r="R418">
        <f t="shared" ca="1" si="38"/>
        <v>0.85</v>
      </c>
      <c r="S418">
        <f t="shared" ca="1" si="38"/>
        <v>0.85</v>
      </c>
      <c r="T418">
        <f t="shared" ca="1" si="38"/>
        <v>0.85</v>
      </c>
      <c r="U418">
        <f t="shared" ca="1" si="38"/>
        <v>0.85</v>
      </c>
      <c r="V418">
        <f t="shared" ca="1" si="38"/>
        <v>0.85</v>
      </c>
      <c r="W418">
        <f t="shared" ca="1" si="38"/>
        <v>0.85</v>
      </c>
    </row>
    <row r="419" spans="1:24" x14ac:dyDescent="0.3">
      <c r="A419" t="s">
        <v>21</v>
      </c>
      <c r="B419" t="s">
        <v>5</v>
      </c>
      <c r="C419" t="s">
        <v>15</v>
      </c>
      <c r="D419" t="s">
        <v>16</v>
      </c>
      <c r="E419" t="s">
        <v>22</v>
      </c>
      <c r="F419" t="s">
        <v>168</v>
      </c>
      <c r="G419" t="s">
        <v>52</v>
      </c>
      <c r="H419" t="s">
        <v>156</v>
      </c>
      <c r="X419" t="s">
        <v>161</v>
      </c>
    </row>
    <row r="420" spans="1:24" x14ac:dyDescent="0.3">
      <c r="A420" t="s">
        <v>21</v>
      </c>
      <c r="B420" t="s">
        <v>5</v>
      </c>
      <c r="C420" t="s">
        <v>15</v>
      </c>
      <c r="D420" t="s">
        <v>16</v>
      </c>
      <c r="E420" t="s">
        <v>22</v>
      </c>
      <c r="F420" t="s">
        <v>168</v>
      </c>
      <c r="G420" t="s">
        <v>53</v>
      </c>
      <c r="L420" t="s">
        <v>54</v>
      </c>
      <c r="M420">
        <v>0.72</v>
      </c>
      <c r="N420">
        <f t="shared" ref="N420:W423" ca="1" si="39">M420</f>
        <v>0.72</v>
      </c>
      <c r="O420">
        <f t="shared" ca="1" si="39"/>
        <v>0.72</v>
      </c>
      <c r="P420">
        <f t="shared" ca="1" si="39"/>
        <v>0.72</v>
      </c>
      <c r="Q420">
        <f t="shared" ca="1" si="39"/>
        <v>0.72</v>
      </c>
      <c r="R420">
        <f t="shared" ca="1" si="39"/>
        <v>0.72</v>
      </c>
      <c r="S420">
        <f t="shared" ca="1" si="39"/>
        <v>0.72</v>
      </c>
      <c r="T420">
        <f t="shared" ca="1" si="39"/>
        <v>0.72</v>
      </c>
      <c r="U420">
        <f t="shared" ca="1" si="39"/>
        <v>0.72</v>
      </c>
      <c r="V420">
        <f t="shared" ca="1" si="39"/>
        <v>0.72</v>
      </c>
      <c r="W420">
        <f t="shared" ca="1" si="39"/>
        <v>0.72</v>
      </c>
      <c r="X420" t="s">
        <v>157</v>
      </c>
    </row>
    <row r="421" spans="1:24" x14ac:dyDescent="0.3">
      <c r="A421" t="s">
        <v>21</v>
      </c>
      <c r="B421" t="s">
        <v>5</v>
      </c>
      <c r="C421" t="s">
        <v>15</v>
      </c>
      <c r="D421" t="s">
        <v>16</v>
      </c>
      <c r="E421" t="s">
        <v>22</v>
      </c>
      <c r="F421" t="s">
        <v>168</v>
      </c>
      <c r="G421" t="s">
        <v>55</v>
      </c>
      <c r="L421" t="s">
        <v>54</v>
      </c>
      <c r="M421">
        <v>5.0000000000000001E-3</v>
      </c>
      <c r="N421">
        <f t="shared" ca="1" si="39"/>
        <v>5.0000000000000001E-3</v>
      </c>
      <c r="O421">
        <f t="shared" ca="1" si="39"/>
        <v>5.0000000000000001E-3</v>
      </c>
      <c r="P421">
        <f t="shared" ca="1" si="39"/>
        <v>5.0000000000000001E-3</v>
      </c>
      <c r="Q421">
        <f t="shared" ca="1" si="39"/>
        <v>5.0000000000000001E-3</v>
      </c>
      <c r="R421">
        <f t="shared" ca="1" si="39"/>
        <v>5.0000000000000001E-3</v>
      </c>
      <c r="S421">
        <f t="shared" ca="1" si="39"/>
        <v>5.0000000000000001E-3</v>
      </c>
      <c r="T421">
        <f t="shared" ca="1" si="39"/>
        <v>5.0000000000000001E-3</v>
      </c>
      <c r="U421">
        <f t="shared" ca="1" si="39"/>
        <v>5.0000000000000001E-3</v>
      </c>
      <c r="V421">
        <f t="shared" ca="1" si="39"/>
        <v>5.0000000000000001E-3</v>
      </c>
      <c r="W421">
        <f t="shared" ca="1" si="39"/>
        <v>5.0000000000000001E-3</v>
      </c>
      <c r="X421" t="s">
        <v>157</v>
      </c>
    </row>
    <row r="422" spans="1:24" x14ac:dyDescent="0.3">
      <c r="A422" t="s">
        <v>21</v>
      </c>
      <c r="B422" t="s">
        <v>5</v>
      </c>
      <c r="C422" t="s">
        <v>15</v>
      </c>
      <c r="D422" t="s">
        <v>16</v>
      </c>
      <c r="E422" t="s">
        <v>22</v>
      </c>
      <c r="F422" t="s">
        <v>168</v>
      </c>
      <c r="G422" t="s">
        <v>56</v>
      </c>
      <c r="L422" t="s">
        <v>158</v>
      </c>
      <c r="M422">
        <f ca="1">800000*1000/1000</f>
        <v>800000</v>
      </c>
      <c r="N422">
        <f t="shared" ca="1" si="39"/>
        <v>800000</v>
      </c>
      <c r="O422">
        <f t="shared" ca="1" si="39"/>
        <v>800000</v>
      </c>
      <c r="P422">
        <f t="shared" ca="1" si="39"/>
        <v>800000</v>
      </c>
      <c r="Q422">
        <f t="shared" ca="1" si="39"/>
        <v>800000</v>
      </c>
      <c r="R422">
        <f t="shared" ca="1" si="39"/>
        <v>800000</v>
      </c>
      <c r="S422">
        <f t="shared" ca="1" si="39"/>
        <v>800000</v>
      </c>
      <c r="T422">
        <f t="shared" ca="1" si="39"/>
        <v>800000</v>
      </c>
      <c r="U422">
        <f t="shared" ca="1" si="39"/>
        <v>800000</v>
      </c>
      <c r="V422">
        <f t="shared" ca="1" si="39"/>
        <v>800000</v>
      </c>
      <c r="W422">
        <f t="shared" ca="1" si="39"/>
        <v>800000</v>
      </c>
      <c r="X422" t="s">
        <v>159</v>
      </c>
    </row>
    <row r="423" spans="1:24" x14ac:dyDescent="0.3">
      <c r="A423" t="s">
        <v>21</v>
      </c>
      <c r="B423" t="s">
        <v>5</v>
      </c>
      <c r="C423" t="s">
        <v>15</v>
      </c>
      <c r="D423" t="s">
        <v>16</v>
      </c>
      <c r="E423" t="s">
        <v>22</v>
      </c>
      <c r="F423" t="s">
        <v>168</v>
      </c>
      <c r="G423" t="s">
        <v>58</v>
      </c>
      <c r="L423" t="s">
        <v>54</v>
      </c>
      <c r="M423">
        <v>0.97</v>
      </c>
      <c r="N423">
        <f t="shared" ca="1" si="39"/>
        <v>0.97</v>
      </c>
      <c r="O423">
        <f t="shared" ca="1" si="39"/>
        <v>0.97</v>
      </c>
      <c r="P423">
        <f t="shared" ca="1" si="39"/>
        <v>0.97</v>
      </c>
      <c r="Q423">
        <f t="shared" ca="1" si="39"/>
        <v>0.97</v>
      </c>
      <c r="R423">
        <f t="shared" ca="1" si="39"/>
        <v>0.97</v>
      </c>
      <c r="S423">
        <f t="shared" ca="1" si="39"/>
        <v>0.97</v>
      </c>
      <c r="T423">
        <f t="shared" ca="1" si="39"/>
        <v>0.97</v>
      </c>
      <c r="U423">
        <f t="shared" ca="1" si="39"/>
        <v>0.97</v>
      </c>
      <c r="V423">
        <f t="shared" ca="1" si="39"/>
        <v>0.97</v>
      </c>
      <c r="W423">
        <f t="shared" ca="1" si="39"/>
        <v>0.97</v>
      </c>
      <c r="X423" t="s">
        <v>157</v>
      </c>
    </row>
    <row r="424" spans="1:24" x14ac:dyDescent="0.3">
      <c r="A424" t="s">
        <v>21</v>
      </c>
      <c r="B424" t="s">
        <v>5</v>
      </c>
      <c r="C424" t="s">
        <v>15</v>
      </c>
      <c r="D424" t="s">
        <v>16</v>
      </c>
      <c r="E424" t="s">
        <v>22</v>
      </c>
      <c r="F424" t="s">
        <v>169</v>
      </c>
      <c r="G424" t="s">
        <v>52</v>
      </c>
      <c r="H424" t="s">
        <v>156</v>
      </c>
    </row>
    <row r="425" spans="1:24" x14ac:dyDescent="0.3">
      <c r="A425" t="s">
        <v>21</v>
      </c>
      <c r="B425" t="s">
        <v>5</v>
      </c>
      <c r="C425" t="s">
        <v>15</v>
      </c>
      <c r="D425" t="s">
        <v>16</v>
      </c>
      <c r="E425" t="s">
        <v>22</v>
      </c>
      <c r="F425" t="s">
        <v>169</v>
      </c>
      <c r="G425" t="s">
        <v>53</v>
      </c>
      <c r="L425" t="s">
        <v>54</v>
      </c>
      <c r="M425">
        <v>0.72</v>
      </c>
      <c r="N425">
        <f t="shared" ref="N425:W428" ca="1" si="40">M425</f>
        <v>0.72</v>
      </c>
      <c r="O425">
        <f t="shared" ca="1" si="40"/>
        <v>0.72</v>
      </c>
      <c r="P425">
        <f t="shared" ca="1" si="40"/>
        <v>0.72</v>
      </c>
      <c r="Q425">
        <f t="shared" ca="1" si="40"/>
        <v>0.72</v>
      </c>
      <c r="R425">
        <f t="shared" ca="1" si="40"/>
        <v>0.72</v>
      </c>
      <c r="S425">
        <f t="shared" ca="1" si="40"/>
        <v>0.72</v>
      </c>
      <c r="T425">
        <f t="shared" ca="1" si="40"/>
        <v>0.72</v>
      </c>
      <c r="U425">
        <f t="shared" ca="1" si="40"/>
        <v>0.72</v>
      </c>
      <c r="V425">
        <f t="shared" ca="1" si="40"/>
        <v>0.72</v>
      </c>
      <c r="W425">
        <f t="shared" ca="1" si="40"/>
        <v>0.72</v>
      </c>
      <c r="X425" t="s">
        <v>157</v>
      </c>
    </row>
    <row r="426" spans="1:24" x14ac:dyDescent="0.3">
      <c r="A426" t="s">
        <v>21</v>
      </c>
      <c r="B426" t="s">
        <v>5</v>
      </c>
      <c r="C426" t="s">
        <v>15</v>
      </c>
      <c r="D426" t="s">
        <v>16</v>
      </c>
      <c r="E426" t="s">
        <v>22</v>
      </c>
      <c r="F426" t="s">
        <v>169</v>
      </c>
      <c r="G426" t="s">
        <v>55</v>
      </c>
      <c r="L426" t="s">
        <v>54</v>
      </c>
      <c r="M426">
        <v>5.0000000000000001E-3</v>
      </c>
      <c r="N426">
        <f t="shared" ca="1" si="40"/>
        <v>5.0000000000000001E-3</v>
      </c>
      <c r="O426">
        <f t="shared" ca="1" si="40"/>
        <v>5.0000000000000001E-3</v>
      </c>
      <c r="P426">
        <f t="shared" ca="1" si="40"/>
        <v>5.0000000000000001E-3</v>
      </c>
      <c r="Q426">
        <f t="shared" ca="1" si="40"/>
        <v>5.0000000000000001E-3</v>
      </c>
      <c r="R426">
        <f t="shared" ca="1" si="40"/>
        <v>5.0000000000000001E-3</v>
      </c>
      <c r="S426">
        <f t="shared" ca="1" si="40"/>
        <v>5.0000000000000001E-3</v>
      </c>
      <c r="T426">
        <f t="shared" ca="1" si="40"/>
        <v>5.0000000000000001E-3</v>
      </c>
      <c r="U426">
        <f t="shared" ca="1" si="40"/>
        <v>5.0000000000000001E-3</v>
      </c>
      <c r="V426">
        <f t="shared" ca="1" si="40"/>
        <v>5.0000000000000001E-3</v>
      </c>
      <c r="W426">
        <f t="shared" ca="1" si="40"/>
        <v>5.0000000000000001E-3</v>
      </c>
      <c r="X426" t="s">
        <v>157</v>
      </c>
    </row>
    <row r="427" spans="1:24" x14ac:dyDescent="0.3">
      <c r="A427" t="s">
        <v>21</v>
      </c>
      <c r="B427" t="s">
        <v>5</v>
      </c>
      <c r="C427" t="s">
        <v>15</v>
      </c>
      <c r="D427" t="s">
        <v>16</v>
      </c>
      <c r="E427" t="s">
        <v>22</v>
      </c>
      <c r="F427" t="s">
        <v>169</v>
      </c>
      <c r="G427" t="s">
        <v>56</v>
      </c>
      <c r="L427" t="s">
        <v>158</v>
      </c>
      <c r="M427">
        <f ca="1">800000*1000/1000</f>
        <v>800000</v>
      </c>
      <c r="N427">
        <f t="shared" ca="1" si="40"/>
        <v>800000</v>
      </c>
      <c r="O427">
        <f t="shared" ca="1" si="40"/>
        <v>800000</v>
      </c>
      <c r="P427">
        <f t="shared" ca="1" si="40"/>
        <v>800000</v>
      </c>
      <c r="Q427">
        <f t="shared" ca="1" si="40"/>
        <v>800000</v>
      </c>
      <c r="R427">
        <f t="shared" ca="1" si="40"/>
        <v>800000</v>
      </c>
      <c r="S427">
        <f t="shared" ca="1" si="40"/>
        <v>800000</v>
      </c>
      <c r="T427">
        <f t="shared" ca="1" si="40"/>
        <v>800000</v>
      </c>
      <c r="U427">
        <f t="shared" ca="1" si="40"/>
        <v>800000</v>
      </c>
      <c r="V427">
        <f t="shared" ca="1" si="40"/>
        <v>800000</v>
      </c>
      <c r="W427">
        <f t="shared" ca="1" si="40"/>
        <v>800000</v>
      </c>
      <c r="X427" t="s">
        <v>159</v>
      </c>
    </row>
    <row r="428" spans="1:24" x14ac:dyDescent="0.3">
      <c r="A428" t="s">
        <v>21</v>
      </c>
      <c r="B428" t="s">
        <v>5</v>
      </c>
      <c r="C428" t="s">
        <v>15</v>
      </c>
      <c r="D428" t="s">
        <v>16</v>
      </c>
      <c r="E428" t="s">
        <v>22</v>
      </c>
      <c r="F428" t="s">
        <v>169</v>
      </c>
      <c r="G428" t="s">
        <v>58</v>
      </c>
      <c r="L428" t="s">
        <v>54</v>
      </c>
      <c r="M428">
        <v>0.97</v>
      </c>
      <c r="N428">
        <f t="shared" ca="1" si="40"/>
        <v>0.97</v>
      </c>
      <c r="O428">
        <f t="shared" ca="1" si="40"/>
        <v>0.97</v>
      </c>
      <c r="P428">
        <f t="shared" ca="1" si="40"/>
        <v>0.97</v>
      </c>
      <c r="Q428">
        <f t="shared" ca="1" si="40"/>
        <v>0.97</v>
      </c>
      <c r="R428">
        <f t="shared" ca="1" si="40"/>
        <v>0.97</v>
      </c>
      <c r="S428">
        <f t="shared" ca="1" si="40"/>
        <v>0.97</v>
      </c>
      <c r="T428">
        <f t="shared" ca="1" si="40"/>
        <v>0.97</v>
      </c>
      <c r="U428">
        <f t="shared" ca="1" si="40"/>
        <v>0.97</v>
      </c>
      <c r="V428">
        <f t="shared" ca="1" si="40"/>
        <v>0.97</v>
      </c>
      <c r="W428">
        <f t="shared" ca="1" si="40"/>
        <v>0.97</v>
      </c>
      <c r="X428" t="s">
        <v>157</v>
      </c>
    </row>
    <row r="429" spans="1:24" x14ac:dyDescent="0.3">
      <c r="A429" t="s">
        <v>21</v>
      </c>
      <c r="B429" t="s">
        <v>5</v>
      </c>
      <c r="C429" t="s">
        <v>15</v>
      </c>
      <c r="D429" t="s">
        <v>16</v>
      </c>
      <c r="E429" t="s">
        <v>22</v>
      </c>
      <c r="F429" t="s">
        <v>170</v>
      </c>
      <c r="G429" t="s">
        <v>52</v>
      </c>
      <c r="H429" t="s">
        <v>163</v>
      </c>
    </row>
    <row r="430" spans="1:24" x14ac:dyDescent="0.3">
      <c r="A430" t="s">
        <v>21</v>
      </c>
      <c r="B430" t="s">
        <v>5</v>
      </c>
      <c r="C430" t="s">
        <v>15</v>
      </c>
      <c r="D430" t="s">
        <v>16</v>
      </c>
      <c r="E430" t="s">
        <v>22</v>
      </c>
      <c r="F430" t="s">
        <v>170</v>
      </c>
      <c r="G430" t="s">
        <v>53</v>
      </c>
      <c r="L430" t="s">
        <v>54</v>
      </c>
      <c r="M430">
        <v>0.2</v>
      </c>
      <c r="N430">
        <f t="shared" ref="N430:W433" ca="1" si="41">M430</f>
        <v>0.2</v>
      </c>
      <c r="O430">
        <f t="shared" ca="1" si="41"/>
        <v>0.2</v>
      </c>
      <c r="P430">
        <f t="shared" ca="1" si="41"/>
        <v>0.2</v>
      </c>
      <c r="Q430">
        <f t="shared" ca="1" si="41"/>
        <v>0.2</v>
      </c>
      <c r="R430">
        <f t="shared" ca="1" si="41"/>
        <v>0.2</v>
      </c>
      <c r="S430">
        <f t="shared" ca="1" si="41"/>
        <v>0.2</v>
      </c>
      <c r="T430">
        <f t="shared" ca="1" si="41"/>
        <v>0.2</v>
      </c>
      <c r="U430">
        <f t="shared" ca="1" si="41"/>
        <v>0.2</v>
      </c>
      <c r="V430">
        <f t="shared" ca="1" si="41"/>
        <v>0.2</v>
      </c>
      <c r="W430">
        <f t="shared" ca="1" si="41"/>
        <v>0.2</v>
      </c>
      <c r="X430" t="s">
        <v>164</v>
      </c>
    </row>
    <row r="431" spans="1:24" x14ac:dyDescent="0.3">
      <c r="A431" t="s">
        <v>21</v>
      </c>
      <c r="B431" t="s">
        <v>5</v>
      </c>
      <c r="C431" t="s">
        <v>15</v>
      </c>
      <c r="D431" t="s">
        <v>16</v>
      </c>
      <c r="E431" t="s">
        <v>22</v>
      </c>
      <c r="F431" t="s">
        <v>170</v>
      </c>
      <c r="G431" t="s">
        <v>55</v>
      </c>
      <c r="L431" t="s">
        <v>54</v>
      </c>
      <c r="M431">
        <v>1.4999999999999999E-2</v>
      </c>
      <c r="N431">
        <f t="shared" ca="1" si="41"/>
        <v>1.4999999999999999E-2</v>
      </c>
      <c r="O431">
        <f t="shared" ca="1" si="41"/>
        <v>1.4999999999999999E-2</v>
      </c>
      <c r="P431">
        <f t="shared" ca="1" si="41"/>
        <v>1.4999999999999999E-2</v>
      </c>
      <c r="Q431">
        <f t="shared" ca="1" si="41"/>
        <v>1.4999999999999999E-2</v>
      </c>
      <c r="R431">
        <f t="shared" ca="1" si="41"/>
        <v>1.4999999999999999E-2</v>
      </c>
      <c r="S431">
        <f t="shared" ca="1" si="41"/>
        <v>1.4999999999999999E-2</v>
      </c>
      <c r="T431">
        <f t="shared" ca="1" si="41"/>
        <v>1.4999999999999999E-2</v>
      </c>
      <c r="U431">
        <f t="shared" ca="1" si="41"/>
        <v>1.4999999999999999E-2</v>
      </c>
      <c r="V431">
        <f t="shared" ca="1" si="41"/>
        <v>1.4999999999999999E-2</v>
      </c>
      <c r="W431">
        <f t="shared" ca="1" si="41"/>
        <v>1.4999999999999999E-2</v>
      </c>
      <c r="X431" t="s">
        <v>164</v>
      </c>
    </row>
    <row r="432" spans="1:24" x14ac:dyDescent="0.3">
      <c r="A432" t="s">
        <v>21</v>
      </c>
      <c r="B432" t="s">
        <v>5</v>
      </c>
      <c r="C432" t="s">
        <v>15</v>
      </c>
      <c r="D432" t="s">
        <v>16</v>
      </c>
      <c r="E432" t="s">
        <v>22</v>
      </c>
      <c r="F432" t="s">
        <v>170</v>
      </c>
      <c r="G432" t="s">
        <v>56</v>
      </c>
      <c r="L432" t="s">
        <v>158</v>
      </c>
      <c r="M432">
        <f ca="1">800000*1000/1000</f>
        <v>800000</v>
      </c>
      <c r="N432">
        <f t="shared" ca="1" si="41"/>
        <v>800000</v>
      </c>
      <c r="O432">
        <f t="shared" ca="1" si="41"/>
        <v>800000</v>
      </c>
      <c r="P432">
        <f t="shared" ca="1" si="41"/>
        <v>800000</v>
      </c>
      <c r="Q432">
        <f t="shared" ca="1" si="41"/>
        <v>800000</v>
      </c>
      <c r="R432">
        <f t="shared" ca="1" si="41"/>
        <v>800000</v>
      </c>
      <c r="S432">
        <f t="shared" ca="1" si="41"/>
        <v>800000</v>
      </c>
      <c r="T432">
        <f t="shared" ca="1" si="41"/>
        <v>800000</v>
      </c>
      <c r="U432">
        <f t="shared" ca="1" si="41"/>
        <v>800000</v>
      </c>
      <c r="V432">
        <f t="shared" ca="1" si="41"/>
        <v>800000</v>
      </c>
      <c r="W432">
        <f t="shared" ca="1" si="41"/>
        <v>800000</v>
      </c>
      <c r="X432" t="s">
        <v>159</v>
      </c>
    </row>
    <row r="433" spans="1:24" x14ac:dyDescent="0.3">
      <c r="A433" t="s">
        <v>21</v>
      </c>
      <c r="B433" t="s">
        <v>5</v>
      </c>
      <c r="C433" t="s">
        <v>15</v>
      </c>
      <c r="D433" t="s">
        <v>16</v>
      </c>
      <c r="E433" t="s">
        <v>22</v>
      </c>
      <c r="F433" t="s">
        <v>170</v>
      </c>
      <c r="G433" t="s">
        <v>58</v>
      </c>
      <c r="L433" t="s">
        <v>54</v>
      </c>
      <c r="M433">
        <v>0.85</v>
      </c>
      <c r="N433">
        <f t="shared" ca="1" si="41"/>
        <v>0.85</v>
      </c>
      <c r="O433">
        <f t="shared" ca="1" si="41"/>
        <v>0.85</v>
      </c>
      <c r="P433">
        <f t="shared" ca="1" si="41"/>
        <v>0.85</v>
      </c>
      <c r="Q433">
        <f t="shared" ca="1" si="41"/>
        <v>0.85</v>
      </c>
      <c r="R433">
        <f t="shared" ca="1" si="41"/>
        <v>0.85</v>
      </c>
      <c r="S433">
        <f t="shared" ca="1" si="41"/>
        <v>0.85</v>
      </c>
      <c r="T433">
        <f t="shared" ca="1" si="41"/>
        <v>0.85</v>
      </c>
      <c r="U433">
        <f t="shared" ca="1" si="41"/>
        <v>0.85</v>
      </c>
      <c r="V433">
        <f t="shared" ca="1" si="41"/>
        <v>0.85</v>
      </c>
      <c r="W433">
        <f t="shared" ca="1" si="41"/>
        <v>0.85</v>
      </c>
      <c r="X433" t="s">
        <v>164</v>
      </c>
    </row>
    <row r="434" spans="1:24" x14ac:dyDescent="0.3">
      <c r="A434" t="s">
        <v>21</v>
      </c>
      <c r="B434" t="s">
        <v>5</v>
      </c>
      <c r="C434" t="s">
        <v>15</v>
      </c>
      <c r="D434" t="s">
        <v>16</v>
      </c>
      <c r="E434" t="s">
        <v>22</v>
      </c>
      <c r="F434" t="s">
        <v>171</v>
      </c>
      <c r="G434" t="s">
        <v>52</v>
      </c>
      <c r="H434" t="s">
        <v>156</v>
      </c>
    </row>
    <row r="435" spans="1:24" x14ac:dyDescent="0.3">
      <c r="A435" t="s">
        <v>21</v>
      </c>
      <c r="B435" t="s">
        <v>5</v>
      </c>
      <c r="C435" t="s">
        <v>15</v>
      </c>
      <c r="D435" t="s">
        <v>16</v>
      </c>
      <c r="E435" t="s">
        <v>22</v>
      </c>
      <c r="F435" t="s">
        <v>171</v>
      </c>
      <c r="G435" t="s">
        <v>53</v>
      </c>
      <c r="L435" t="s">
        <v>54</v>
      </c>
      <c r="M435">
        <v>0.15</v>
      </c>
      <c r="N435">
        <f t="shared" ref="N435:W438" ca="1" si="42">M435</f>
        <v>0.15</v>
      </c>
      <c r="O435">
        <f t="shared" ca="1" si="42"/>
        <v>0.15</v>
      </c>
      <c r="P435">
        <f t="shared" ca="1" si="42"/>
        <v>0.15</v>
      </c>
      <c r="Q435">
        <f t="shared" ca="1" si="42"/>
        <v>0.15</v>
      </c>
      <c r="R435">
        <f t="shared" ca="1" si="42"/>
        <v>0.15</v>
      </c>
      <c r="S435">
        <f t="shared" ca="1" si="42"/>
        <v>0.15</v>
      </c>
      <c r="T435">
        <f t="shared" ca="1" si="42"/>
        <v>0.15</v>
      </c>
      <c r="U435">
        <f t="shared" ca="1" si="42"/>
        <v>0.15</v>
      </c>
      <c r="V435">
        <f t="shared" ca="1" si="42"/>
        <v>0.15</v>
      </c>
      <c r="W435">
        <f t="shared" ca="1" si="42"/>
        <v>0.15</v>
      </c>
      <c r="X435" t="s">
        <v>172</v>
      </c>
    </row>
    <row r="436" spans="1:24" x14ac:dyDescent="0.3">
      <c r="A436" t="s">
        <v>21</v>
      </c>
      <c r="B436" t="s">
        <v>5</v>
      </c>
      <c r="C436" t="s">
        <v>15</v>
      </c>
      <c r="D436" t="s">
        <v>16</v>
      </c>
      <c r="E436" t="s">
        <v>22</v>
      </c>
      <c r="F436" t="s">
        <v>171</v>
      </c>
      <c r="G436" t="s">
        <v>55</v>
      </c>
      <c r="L436" t="s">
        <v>54</v>
      </c>
      <c r="M436">
        <v>1.4999999999999999E-2</v>
      </c>
      <c r="N436">
        <f t="shared" ca="1" si="42"/>
        <v>1.4999999999999999E-2</v>
      </c>
      <c r="O436">
        <f t="shared" ca="1" si="42"/>
        <v>1.4999999999999999E-2</v>
      </c>
      <c r="P436">
        <f t="shared" ca="1" si="42"/>
        <v>1.4999999999999999E-2</v>
      </c>
      <c r="Q436">
        <f t="shared" ca="1" si="42"/>
        <v>1.4999999999999999E-2</v>
      </c>
      <c r="R436">
        <f t="shared" ca="1" si="42"/>
        <v>1.4999999999999999E-2</v>
      </c>
      <c r="S436">
        <f t="shared" ca="1" si="42"/>
        <v>1.4999999999999999E-2</v>
      </c>
      <c r="T436">
        <f t="shared" ca="1" si="42"/>
        <v>1.4999999999999999E-2</v>
      </c>
      <c r="U436">
        <f t="shared" ca="1" si="42"/>
        <v>1.4999999999999999E-2</v>
      </c>
      <c r="V436">
        <f t="shared" ca="1" si="42"/>
        <v>1.4999999999999999E-2</v>
      </c>
      <c r="W436">
        <f t="shared" ca="1" si="42"/>
        <v>1.4999999999999999E-2</v>
      </c>
      <c r="X436" t="s">
        <v>172</v>
      </c>
    </row>
    <row r="437" spans="1:24" x14ac:dyDescent="0.3">
      <c r="A437" t="s">
        <v>21</v>
      </c>
      <c r="B437" t="s">
        <v>5</v>
      </c>
      <c r="C437" t="s">
        <v>15</v>
      </c>
      <c r="D437" t="s">
        <v>16</v>
      </c>
      <c r="E437" t="s">
        <v>22</v>
      </c>
      <c r="F437" t="s">
        <v>171</v>
      </c>
      <c r="G437" t="s">
        <v>56</v>
      </c>
      <c r="L437" t="s">
        <v>158</v>
      </c>
      <c r="M437">
        <f ca="1">800000*1000/1000</f>
        <v>800000</v>
      </c>
      <c r="N437">
        <f t="shared" ca="1" si="42"/>
        <v>800000</v>
      </c>
      <c r="O437">
        <f t="shared" ca="1" si="42"/>
        <v>800000</v>
      </c>
      <c r="P437">
        <f t="shared" ca="1" si="42"/>
        <v>800000</v>
      </c>
      <c r="Q437">
        <f t="shared" ca="1" si="42"/>
        <v>800000</v>
      </c>
      <c r="R437">
        <f t="shared" ca="1" si="42"/>
        <v>800000</v>
      </c>
      <c r="S437">
        <f t="shared" ca="1" si="42"/>
        <v>800000</v>
      </c>
      <c r="T437">
        <f t="shared" ca="1" si="42"/>
        <v>800000</v>
      </c>
      <c r="U437">
        <f t="shared" ca="1" si="42"/>
        <v>800000</v>
      </c>
      <c r="V437">
        <f t="shared" ca="1" si="42"/>
        <v>800000</v>
      </c>
      <c r="W437">
        <f t="shared" ca="1" si="42"/>
        <v>800000</v>
      </c>
      <c r="X437" t="s">
        <v>159</v>
      </c>
    </row>
    <row r="438" spans="1:24" x14ac:dyDescent="0.3">
      <c r="A438" t="s">
        <v>21</v>
      </c>
      <c r="B438" t="s">
        <v>5</v>
      </c>
      <c r="C438" t="s">
        <v>15</v>
      </c>
      <c r="D438" t="s">
        <v>16</v>
      </c>
      <c r="E438" t="s">
        <v>22</v>
      </c>
      <c r="F438" t="s">
        <v>171</v>
      </c>
      <c r="G438" t="s">
        <v>58</v>
      </c>
      <c r="L438" t="s">
        <v>54</v>
      </c>
      <c r="M438">
        <v>0.85</v>
      </c>
      <c r="N438">
        <f t="shared" ca="1" si="42"/>
        <v>0.85</v>
      </c>
      <c r="O438">
        <f t="shared" ca="1" si="42"/>
        <v>0.85</v>
      </c>
      <c r="P438">
        <f t="shared" ca="1" si="42"/>
        <v>0.85</v>
      </c>
      <c r="Q438">
        <f t="shared" ca="1" si="42"/>
        <v>0.85</v>
      </c>
      <c r="R438">
        <f t="shared" ca="1" si="42"/>
        <v>0.85</v>
      </c>
      <c r="S438">
        <f t="shared" ca="1" si="42"/>
        <v>0.85</v>
      </c>
      <c r="T438">
        <f t="shared" ca="1" si="42"/>
        <v>0.85</v>
      </c>
      <c r="U438">
        <f t="shared" ca="1" si="42"/>
        <v>0.85</v>
      </c>
      <c r="V438">
        <f t="shared" ca="1" si="42"/>
        <v>0.85</v>
      </c>
      <c r="W438">
        <f t="shared" ca="1" si="42"/>
        <v>0.85</v>
      </c>
      <c r="X438" t="s">
        <v>172</v>
      </c>
    </row>
    <row r="439" spans="1:24" x14ac:dyDescent="0.3">
      <c r="A439" t="s">
        <v>173</v>
      </c>
      <c r="B439" t="s">
        <v>5</v>
      </c>
      <c r="C439" t="s">
        <v>15</v>
      </c>
      <c r="D439" t="s">
        <v>16</v>
      </c>
      <c r="E439" t="s">
        <v>174</v>
      </c>
      <c r="F439" t="s">
        <v>175</v>
      </c>
      <c r="G439" t="s">
        <v>52</v>
      </c>
      <c r="H439" t="s">
        <v>156</v>
      </c>
    </row>
    <row r="440" spans="1:24" x14ac:dyDescent="0.3">
      <c r="A440" t="s">
        <v>173</v>
      </c>
      <c r="B440" t="s">
        <v>5</v>
      </c>
      <c r="C440" t="s">
        <v>15</v>
      </c>
      <c r="D440" t="s">
        <v>16</v>
      </c>
      <c r="E440" t="s">
        <v>174</v>
      </c>
      <c r="F440" t="s">
        <v>175</v>
      </c>
      <c r="G440" t="s">
        <v>53</v>
      </c>
      <c r="L440" t="s">
        <v>54</v>
      </c>
      <c r="M440">
        <v>0.85</v>
      </c>
      <c r="N440">
        <f t="shared" ref="N440:W443" ca="1" si="43">M440</f>
        <v>0.85</v>
      </c>
      <c r="O440">
        <f t="shared" ca="1" si="43"/>
        <v>0.85</v>
      </c>
      <c r="P440">
        <f t="shared" ca="1" si="43"/>
        <v>0.85</v>
      </c>
      <c r="Q440">
        <f t="shared" ca="1" si="43"/>
        <v>0.85</v>
      </c>
      <c r="R440">
        <f t="shared" ca="1" si="43"/>
        <v>0.85</v>
      </c>
      <c r="S440">
        <f t="shared" ca="1" si="43"/>
        <v>0.85</v>
      </c>
      <c r="T440">
        <f t="shared" ca="1" si="43"/>
        <v>0.85</v>
      </c>
      <c r="U440">
        <f t="shared" ca="1" si="43"/>
        <v>0.85</v>
      </c>
      <c r="V440">
        <f t="shared" ca="1" si="43"/>
        <v>0.85</v>
      </c>
      <c r="W440">
        <f t="shared" ca="1" si="43"/>
        <v>0.85</v>
      </c>
    </row>
    <row r="441" spans="1:24" x14ac:dyDescent="0.3">
      <c r="A441" t="s">
        <v>173</v>
      </c>
      <c r="B441" t="s">
        <v>5</v>
      </c>
      <c r="C441" t="s">
        <v>15</v>
      </c>
      <c r="D441" t="s">
        <v>16</v>
      </c>
      <c r="E441" t="s">
        <v>174</v>
      </c>
      <c r="F441" t="s">
        <v>175</v>
      </c>
      <c r="G441" t="s">
        <v>55</v>
      </c>
      <c r="L441" t="s">
        <v>54</v>
      </c>
      <c r="M441">
        <v>2E-3</v>
      </c>
      <c r="N441">
        <f t="shared" ca="1" si="43"/>
        <v>2E-3</v>
      </c>
      <c r="O441">
        <f t="shared" ca="1" si="43"/>
        <v>2E-3</v>
      </c>
      <c r="P441">
        <f t="shared" ca="1" si="43"/>
        <v>2E-3</v>
      </c>
      <c r="Q441">
        <f t="shared" ca="1" si="43"/>
        <v>2E-3</v>
      </c>
      <c r="R441">
        <f t="shared" ca="1" si="43"/>
        <v>2E-3</v>
      </c>
      <c r="S441">
        <f t="shared" ca="1" si="43"/>
        <v>2E-3</v>
      </c>
      <c r="T441">
        <f t="shared" ca="1" si="43"/>
        <v>2E-3</v>
      </c>
      <c r="U441">
        <f t="shared" ca="1" si="43"/>
        <v>2E-3</v>
      </c>
      <c r="V441">
        <f t="shared" ca="1" si="43"/>
        <v>2E-3</v>
      </c>
      <c r="W441">
        <f t="shared" ca="1" si="43"/>
        <v>2E-3</v>
      </c>
      <c r="X441" t="s">
        <v>176</v>
      </c>
    </row>
    <row r="442" spans="1:24" x14ac:dyDescent="0.3">
      <c r="A442" t="s">
        <v>173</v>
      </c>
      <c r="B442" t="s">
        <v>5</v>
      </c>
      <c r="C442" t="s">
        <v>15</v>
      </c>
      <c r="D442" t="s">
        <v>16</v>
      </c>
      <c r="E442" t="s">
        <v>174</v>
      </c>
      <c r="F442" t="s">
        <v>175</v>
      </c>
      <c r="G442" t="s">
        <v>56</v>
      </c>
      <c r="L442" t="s">
        <v>177</v>
      </c>
      <c r="M442">
        <f ca="1">320000*100000/100</f>
        <v>320000000</v>
      </c>
      <c r="N442">
        <f t="shared" ca="1" si="43"/>
        <v>320000000</v>
      </c>
      <c r="O442">
        <f t="shared" ca="1" si="43"/>
        <v>320000000</v>
      </c>
      <c r="P442">
        <f t="shared" ca="1" si="43"/>
        <v>320000000</v>
      </c>
      <c r="Q442">
        <f t="shared" ca="1" si="43"/>
        <v>320000000</v>
      </c>
      <c r="R442">
        <f t="shared" ca="1" si="43"/>
        <v>320000000</v>
      </c>
      <c r="S442">
        <f t="shared" ca="1" si="43"/>
        <v>320000000</v>
      </c>
      <c r="T442">
        <f t="shared" ca="1" si="43"/>
        <v>320000000</v>
      </c>
      <c r="U442">
        <f t="shared" ca="1" si="43"/>
        <v>320000000</v>
      </c>
      <c r="V442">
        <f t="shared" ca="1" si="43"/>
        <v>320000000</v>
      </c>
      <c r="W442">
        <f t="shared" ca="1" si="43"/>
        <v>320000000</v>
      </c>
      <c r="X442" t="s">
        <v>178</v>
      </c>
    </row>
    <row r="443" spans="1:24" x14ac:dyDescent="0.3">
      <c r="A443" t="s">
        <v>173</v>
      </c>
      <c r="B443" t="s">
        <v>5</v>
      </c>
      <c r="C443" t="s">
        <v>15</v>
      </c>
      <c r="D443" t="s">
        <v>16</v>
      </c>
      <c r="E443" t="s">
        <v>174</v>
      </c>
      <c r="F443" t="s">
        <v>175</v>
      </c>
      <c r="G443" t="s">
        <v>58</v>
      </c>
      <c r="L443" t="s">
        <v>54</v>
      </c>
      <c r="M443">
        <v>0.98</v>
      </c>
      <c r="N443">
        <f t="shared" ca="1" si="43"/>
        <v>0.98</v>
      </c>
      <c r="O443">
        <f t="shared" ca="1" si="43"/>
        <v>0.98</v>
      </c>
      <c r="P443">
        <f t="shared" ca="1" si="43"/>
        <v>0.98</v>
      </c>
      <c r="Q443">
        <f t="shared" ca="1" si="43"/>
        <v>0.98</v>
      </c>
      <c r="R443">
        <f t="shared" ca="1" si="43"/>
        <v>0.98</v>
      </c>
      <c r="S443">
        <f t="shared" ca="1" si="43"/>
        <v>0.98</v>
      </c>
      <c r="T443">
        <f t="shared" ca="1" si="43"/>
        <v>0.98</v>
      </c>
      <c r="U443">
        <f t="shared" ca="1" si="43"/>
        <v>0.98</v>
      </c>
      <c r="V443">
        <f t="shared" ca="1" si="43"/>
        <v>0.98</v>
      </c>
      <c r="W443">
        <f t="shared" ca="1" si="43"/>
        <v>0.98</v>
      </c>
      <c r="X443" t="s">
        <v>179</v>
      </c>
    </row>
    <row r="444" spans="1:24" x14ac:dyDescent="0.3">
      <c r="A444" t="s">
        <v>173</v>
      </c>
      <c r="B444" t="s">
        <v>5</v>
      </c>
      <c r="C444" t="s">
        <v>15</v>
      </c>
      <c r="D444" t="s">
        <v>16</v>
      </c>
      <c r="E444" t="s">
        <v>174</v>
      </c>
      <c r="F444" t="s">
        <v>180</v>
      </c>
      <c r="G444" t="s">
        <v>52</v>
      </c>
      <c r="H444" t="s">
        <v>156</v>
      </c>
    </row>
    <row r="445" spans="1:24" x14ac:dyDescent="0.3">
      <c r="A445" t="s">
        <v>173</v>
      </c>
      <c r="B445" t="s">
        <v>5</v>
      </c>
      <c r="C445" t="s">
        <v>15</v>
      </c>
      <c r="D445" t="s">
        <v>16</v>
      </c>
      <c r="E445" t="s">
        <v>174</v>
      </c>
      <c r="F445" t="s">
        <v>180</v>
      </c>
      <c r="G445" t="s">
        <v>53</v>
      </c>
      <c r="L445" t="s">
        <v>54</v>
      </c>
      <c r="M445">
        <v>0.15</v>
      </c>
      <c r="N445">
        <f t="shared" ref="N445:W448" ca="1" si="44">M445</f>
        <v>0.15</v>
      </c>
      <c r="O445">
        <f t="shared" ca="1" si="44"/>
        <v>0.15</v>
      </c>
      <c r="P445">
        <f t="shared" ca="1" si="44"/>
        <v>0.15</v>
      </c>
      <c r="Q445">
        <f t="shared" ca="1" si="44"/>
        <v>0.15</v>
      </c>
      <c r="R445">
        <f t="shared" ca="1" si="44"/>
        <v>0.15</v>
      </c>
      <c r="S445">
        <f t="shared" ca="1" si="44"/>
        <v>0.15</v>
      </c>
      <c r="T445">
        <f t="shared" ca="1" si="44"/>
        <v>0.15</v>
      </c>
      <c r="U445">
        <f t="shared" ca="1" si="44"/>
        <v>0.15</v>
      </c>
      <c r="V445">
        <f t="shared" ca="1" si="44"/>
        <v>0.15</v>
      </c>
      <c r="W445">
        <f t="shared" ca="1" si="44"/>
        <v>0.15</v>
      </c>
    </row>
    <row r="446" spans="1:24" x14ac:dyDescent="0.3">
      <c r="A446" t="s">
        <v>173</v>
      </c>
      <c r="B446" t="s">
        <v>5</v>
      </c>
      <c r="C446" t="s">
        <v>15</v>
      </c>
      <c r="D446" t="s">
        <v>16</v>
      </c>
      <c r="E446" t="s">
        <v>174</v>
      </c>
      <c r="F446" t="s">
        <v>180</v>
      </c>
      <c r="G446" t="s">
        <v>55</v>
      </c>
      <c r="L446" t="s">
        <v>54</v>
      </c>
      <c r="M446">
        <v>1.4999999999999999E-2</v>
      </c>
      <c r="N446">
        <f t="shared" ca="1" si="44"/>
        <v>1.4999999999999999E-2</v>
      </c>
      <c r="O446">
        <f t="shared" ca="1" si="44"/>
        <v>1.4999999999999999E-2</v>
      </c>
      <c r="P446">
        <f t="shared" ca="1" si="44"/>
        <v>1.4999999999999999E-2</v>
      </c>
      <c r="Q446">
        <f t="shared" ca="1" si="44"/>
        <v>1.4999999999999999E-2</v>
      </c>
      <c r="R446">
        <f t="shared" ca="1" si="44"/>
        <v>1.4999999999999999E-2</v>
      </c>
      <c r="S446">
        <f t="shared" ca="1" si="44"/>
        <v>1.4999999999999999E-2</v>
      </c>
      <c r="T446">
        <f t="shared" ca="1" si="44"/>
        <v>1.4999999999999999E-2</v>
      </c>
      <c r="U446">
        <f t="shared" ca="1" si="44"/>
        <v>1.4999999999999999E-2</v>
      </c>
      <c r="V446">
        <f t="shared" ca="1" si="44"/>
        <v>1.4999999999999999E-2</v>
      </c>
      <c r="W446">
        <f t="shared" ca="1" si="44"/>
        <v>1.4999999999999999E-2</v>
      </c>
      <c r="X446" t="s">
        <v>176</v>
      </c>
    </row>
    <row r="447" spans="1:24" x14ac:dyDescent="0.3">
      <c r="A447" t="s">
        <v>173</v>
      </c>
      <c r="B447" t="s">
        <v>5</v>
      </c>
      <c r="C447" t="s">
        <v>15</v>
      </c>
      <c r="D447" t="s">
        <v>16</v>
      </c>
      <c r="E447" t="s">
        <v>174</v>
      </c>
      <c r="F447" t="s">
        <v>180</v>
      </c>
      <c r="G447" t="s">
        <v>56</v>
      </c>
      <c r="L447" t="s">
        <v>177</v>
      </c>
      <c r="M447">
        <f ca="1">320000*100000/100</f>
        <v>320000000</v>
      </c>
      <c r="N447">
        <f t="shared" ca="1" si="44"/>
        <v>320000000</v>
      </c>
      <c r="O447">
        <f t="shared" ca="1" si="44"/>
        <v>320000000</v>
      </c>
      <c r="P447">
        <f t="shared" ca="1" si="44"/>
        <v>320000000</v>
      </c>
      <c r="Q447">
        <f t="shared" ca="1" si="44"/>
        <v>320000000</v>
      </c>
      <c r="R447">
        <f t="shared" ca="1" si="44"/>
        <v>320000000</v>
      </c>
      <c r="S447">
        <f t="shared" ca="1" si="44"/>
        <v>320000000</v>
      </c>
      <c r="T447">
        <f t="shared" ca="1" si="44"/>
        <v>320000000</v>
      </c>
      <c r="U447">
        <f t="shared" ca="1" si="44"/>
        <v>320000000</v>
      </c>
      <c r="V447">
        <f t="shared" ca="1" si="44"/>
        <v>320000000</v>
      </c>
      <c r="W447">
        <f t="shared" ca="1" si="44"/>
        <v>320000000</v>
      </c>
      <c r="X447" t="s">
        <v>178</v>
      </c>
    </row>
    <row r="448" spans="1:24" x14ac:dyDescent="0.3">
      <c r="A448" t="s">
        <v>173</v>
      </c>
      <c r="B448" t="s">
        <v>5</v>
      </c>
      <c r="C448" t="s">
        <v>15</v>
      </c>
      <c r="D448" t="s">
        <v>16</v>
      </c>
      <c r="E448" t="s">
        <v>174</v>
      </c>
      <c r="F448" t="s">
        <v>180</v>
      </c>
      <c r="G448" t="s">
        <v>58</v>
      </c>
      <c r="L448" t="s">
        <v>54</v>
      </c>
      <c r="M448">
        <v>0.85</v>
      </c>
      <c r="N448">
        <f t="shared" ca="1" si="44"/>
        <v>0.85</v>
      </c>
      <c r="O448">
        <f t="shared" ca="1" si="44"/>
        <v>0.85</v>
      </c>
      <c r="P448">
        <f t="shared" ca="1" si="44"/>
        <v>0.85</v>
      </c>
      <c r="Q448">
        <f t="shared" ca="1" si="44"/>
        <v>0.85</v>
      </c>
      <c r="R448">
        <f t="shared" ca="1" si="44"/>
        <v>0.85</v>
      </c>
      <c r="S448">
        <f t="shared" ca="1" si="44"/>
        <v>0.85</v>
      </c>
      <c r="T448">
        <f t="shared" ca="1" si="44"/>
        <v>0.85</v>
      </c>
      <c r="U448">
        <f t="shared" ca="1" si="44"/>
        <v>0.85</v>
      </c>
      <c r="V448">
        <f t="shared" ca="1" si="44"/>
        <v>0.85</v>
      </c>
      <c r="W448">
        <f t="shared" ca="1" si="44"/>
        <v>0.85</v>
      </c>
      <c r="X448" t="s">
        <v>179</v>
      </c>
    </row>
    <row r="449" spans="1:24" x14ac:dyDescent="0.3">
      <c r="A449" t="s">
        <v>173</v>
      </c>
      <c r="B449" t="s">
        <v>5</v>
      </c>
      <c r="C449" t="s">
        <v>15</v>
      </c>
      <c r="D449" t="s">
        <v>16</v>
      </c>
      <c r="E449" t="s">
        <v>174</v>
      </c>
      <c r="F449" t="s">
        <v>181</v>
      </c>
      <c r="G449" t="s">
        <v>52</v>
      </c>
      <c r="H449" t="s">
        <v>156</v>
      </c>
    </row>
    <row r="450" spans="1:24" x14ac:dyDescent="0.3">
      <c r="A450" t="s">
        <v>173</v>
      </c>
      <c r="B450" t="s">
        <v>5</v>
      </c>
      <c r="C450" t="s">
        <v>15</v>
      </c>
      <c r="D450" t="s">
        <v>16</v>
      </c>
      <c r="E450" t="s">
        <v>174</v>
      </c>
      <c r="F450" t="s">
        <v>181</v>
      </c>
      <c r="G450" t="s">
        <v>53</v>
      </c>
      <c r="L450" t="s">
        <v>54</v>
      </c>
      <c r="M450">
        <v>0.15</v>
      </c>
      <c r="N450">
        <f t="shared" ref="N450:W453" ca="1" si="45">M450</f>
        <v>0.15</v>
      </c>
      <c r="O450">
        <f t="shared" ca="1" si="45"/>
        <v>0.15</v>
      </c>
      <c r="P450">
        <f t="shared" ca="1" si="45"/>
        <v>0.15</v>
      </c>
      <c r="Q450">
        <f t="shared" ca="1" si="45"/>
        <v>0.15</v>
      </c>
      <c r="R450">
        <f t="shared" ca="1" si="45"/>
        <v>0.15</v>
      </c>
      <c r="S450">
        <f t="shared" ca="1" si="45"/>
        <v>0.15</v>
      </c>
      <c r="T450">
        <f t="shared" ca="1" si="45"/>
        <v>0.15</v>
      </c>
      <c r="U450">
        <f t="shared" ca="1" si="45"/>
        <v>0.15</v>
      </c>
      <c r="V450">
        <f t="shared" ca="1" si="45"/>
        <v>0.15</v>
      </c>
      <c r="W450">
        <f t="shared" ca="1" si="45"/>
        <v>0.15</v>
      </c>
    </row>
    <row r="451" spans="1:24" x14ac:dyDescent="0.3">
      <c r="A451" t="s">
        <v>173</v>
      </c>
      <c r="B451" t="s">
        <v>5</v>
      </c>
      <c r="C451" t="s">
        <v>15</v>
      </c>
      <c r="D451" t="s">
        <v>16</v>
      </c>
      <c r="E451" t="s">
        <v>174</v>
      </c>
      <c r="F451" t="s">
        <v>181</v>
      </c>
      <c r="G451" t="s">
        <v>55</v>
      </c>
      <c r="L451" t="s">
        <v>54</v>
      </c>
      <c r="M451">
        <v>1.4999999999999999E-2</v>
      </c>
      <c r="N451">
        <f t="shared" ca="1" si="45"/>
        <v>1.4999999999999999E-2</v>
      </c>
      <c r="O451">
        <f t="shared" ca="1" si="45"/>
        <v>1.4999999999999999E-2</v>
      </c>
      <c r="P451">
        <f t="shared" ca="1" si="45"/>
        <v>1.4999999999999999E-2</v>
      </c>
      <c r="Q451">
        <f t="shared" ca="1" si="45"/>
        <v>1.4999999999999999E-2</v>
      </c>
      <c r="R451">
        <f t="shared" ca="1" si="45"/>
        <v>1.4999999999999999E-2</v>
      </c>
      <c r="S451">
        <f t="shared" ca="1" si="45"/>
        <v>1.4999999999999999E-2</v>
      </c>
      <c r="T451">
        <f t="shared" ca="1" si="45"/>
        <v>1.4999999999999999E-2</v>
      </c>
      <c r="U451">
        <f t="shared" ca="1" si="45"/>
        <v>1.4999999999999999E-2</v>
      </c>
      <c r="V451">
        <f t="shared" ca="1" si="45"/>
        <v>1.4999999999999999E-2</v>
      </c>
      <c r="W451">
        <f t="shared" ca="1" si="45"/>
        <v>1.4999999999999999E-2</v>
      </c>
      <c r="X451" t="s">
        <v>176</v>
      </c>
    </row>
    <row r="452" spans="1:24" x14ac:dyDescent="0.3">
      <c r="A452" t="s">
        <v>173</v>
      </c>
      <c r="B452" t="s">
        <v>5</v>
      </c>
      <c r="C452" t="s">
        <v>15</v>
      </c>
      <c r="D452" t="s">
        <v>16</v>
      </c>
      <c r="E452" t="s">
        <v>174</v>
      </c>
      <c r="F452" t="s">
        <v>181</v>
      </c>
      <c r="G452" t="s">
        <v>56</v>
      </c>
      <c r="L452" t="s">
        <v>177</v>
      </c>
      <c r="M452">
        <f ca="1">320000*100000/100</f>
        <v>320000000</v>
      </c>
      <c r="N452">
        <f t="shared" ca="1" si="45"/>
        <v>320000000</v>
      </c>
      <c r="O452">
        <f t="shared" ca="1" si="45"/>
        <v>320000000</v>
      </c>
      <c r="P452">
        <f t="shared" ca="1" si="45"/>
        <v>320000000</v>
      </c>
      <c r="Q452">
        <f t="shared" ca="1" si="45"/>
        <v>320000000</v>
      </c>
      <c r="R452">
        <f t="shared" ca="1" si="45"/>
        <v>320000000</v>
      </c>
      <c r="S452">
        <f t="shared" ca="1" si="45"/>
        <v>320000000</v>
      </c>
      <c r="T452">
        <f t="shared" ca="1" si="45"/>
        <v>320000000</v>
      </c>
      <c r="U452">
        <f t="shared" ca="1" si="45"/>
        <v>320000000</v>
      </c>
      <c r="V452">
        <f t="shared" ca="1" si="45"/>
        <v>320000000</v>
      </c>
      <c r="W452">
        <f t="shared" ca="1" si="45"/>
        <v>320000000</v>
      </c>
      <c r="X452" t="s">
        <v>178</v>
      </c>
    </row>
    <row r="453" spans="1:24" x14ac:dyDescent="0.3">
      <c r="A453" t="s">
        <v>173</v>
      </c>
      <c r="B453" t="s">
        <v>5</v>
      </c>
      <c r="C453" t="s">
        <v>15</v>
      </c>
      <c r="D453" t="s">
        <v>16</v>
      </c>
      <c r="E453" t="s">
        <v>174</v>
      </c>
      <c r="F453" t="s">
        <v>181</v>
      </c>
      <c r="G453" t="s">
        <v>58</v>
      </c>
      <c r="L453" t="s">
        <v>54</v>
      </c>
      <c r="M453">
        <v>0.85</v>
      </c>
      <c r="N453">
        <f t="shared" ca="1" si="45"/>
        <v>0.85</v>
      </c>
      <c r="O453">
        <f t="shared" ca="1" si="45"/>
        <v>0.85</v>
      </c>
      <c r="P453">
        <f t="shared" ca="1" si="45"/>
        <v>0.85</v>
      </c>
      <c r="Q453">
        <f t="shared" ca="1" si="45"/>
        <v>0.85</v>
      </c>
      <c r="R453">
        <f t="shared" ca="1" si="45"/>
        <v>0.85</v>
      </c>
      <c r="S453">
        <f t="shared" ca="1" si="45"/>
        <v>0.85</v>
      </c>
      <c r="T453">
        <f t="shared" ca="1" si="45"/>
        <v>0.85</v>
      </c>
      <c r="U453">
        <f t="shared" ca="1" si="45"/>
        <v>0.85</v>
      </c>
      <c r="V453">
        <f t="shared" ca="1" si="45"/>
        <v>0.85</v>
      </c>
      <c r="W453">
        <f t="shared" ca="1" si="45"/>
        <v>0.85</v>
      </c>
      <c r="X453" t="s">
        <v>179</v>
      </c>
    </row>
    <row r="454" spans="1:24" x14ac:dyDescent="0.3">
      <c r="A454" t="s">
        <v>173</v>
      </c>
      <c r="B454" t="s">
        <v>5</v>
      </c>
      <c r="C454" t="s">
        <v>15</v>
      </c>
      <c r="D454" t="s">
        <v>16</v>
      </c>
      <c r="E454" t="s">
        <v>174</v>
      </c>
      <c r="F454" t="s">
        <v>182</v>
      </c>
      <c r="G454" t="s">
        <v>52</v>
      </c>
      <c r="H454" t="s">
        <v>163</v>
      </c>
    </row>
    <row r="455" spans="1:24" x14ac:dyDescent="0.3">
      <c r="A455" t="s">
        <v>173</v>
      </c>
      <c r="B455" t="s">
        <v>5</v>
      </c>
      <c r="C455" t="s">
        <v>15</v>
      </c>
      <c r="D455" t="s">
        <v>16</v>
      </c>
      <c r="E455" t="s">
        <v>174</v>
      </c>
      <c r="F455" t="s">
        <v>182</v>
      </c>
      <c r="G455" t="s">
        <v>53</v>
      </c>
      <c r="L455" t="s">
        <v>54</v>
      </c>
      <c r="M455">
        <v>0.2</v>
      </c>
      <c r="N455">
        <f t="shared" ref="N455:W458" ca="1" si="46">M455</f>
        <v>0.2</v>
      </c>
      <c r="O455">
        <f t="shared" ca="1" si="46"/>
        <v>0.2</v>
      </c>
      <c r="P455">
        <f t="shared" ca="1" si="46"/>
        <v>0.2</v>
      </c>
      <c r="Q455">
        <f t="shared" ca="1" si="46"/>
        <v>0.2</v>
      </c>
      <c r="R455">
        <f t="shared" ca="1" si="46"/>
        <v>0.2</v>
      </c>
      <c r="S455">
        <f t="shared" ca="1" si="46"/>
        <v>0.2</v>
      </c>
      <c r="T455">
        <f t="shared" ca="1" si="46"/>
        <v>0.2</v>
      </c>
      <c r="U455">
        <f t="shared" ca="1" si="46"/>
        <v>0.2</v>
      </c>
      <c r="V455">
        <f t="shared" ca="1" si="46"/>
        <v>0.2</v>
      </c>
      <c r="W455">
        <f t="shared" ca="1" si="46"/>
        <v>0.2</v>
      </c>
    </row>
    <row r="456" spans="1:24" x14ac:dyDescent="0.3">
      <c r="A456" t="s">
        <v>173</v>
      </c>
      <c r="B456" t="s">
        <v>5</v>
      </c>
      <c r="C456" t="s">
        <v>15</v>
      </c>
      <c r="D456" t="s">
        <v>16</v>
      </c>
      <c r="E456" t="s">
        <v>174</v>
      </c>
      <c r="F456" t="s">
        <v>182</v>
      </c>
      <c r="G456" t="s">
        <v>55</v>
      </c>
      <c r="L456" t="s">
        <v>54</v>
      </c>
      <c r="M456">
        <v>1.4999999999999999E-2</v>
      </c>
      <c r="N456">
        <f t="shared" ca="1" si="46"/>
        <v>1.4999999999999999E-2</v>
      </c>
      <c r="O456">
        <f t="shared" ca="1" si="46"/>
        <v>1.4999999999999999E-2</v>
      </c>
      <c r="P456">
        <f t="shared" ca="1" si="46"/>
        <v>1.4999999999999999E-2</v>
      </c>
      <c r="Q456">
        <f t="shared" ca="1" si="46"/>
        <v>1.4999999999999999E-2</v>
      </c>
      <c r="R456">
        <f t="shared" ca="1" si="46"/>
        <v>1.4999999999999999E-2</v>
      </c>
      <c r="S456">
        <f t="shared" ca="1" si="46"/>
        <v>1.4999999999999999E-2</v>
      </c>
      <c r="T456">
        <f t="shared" ca="1" si="46"/>
        <v>1.4999999999999999E-2</v>
      </c>
      <c r="U456">
        <f t="shared" ca="1" si="46"/>
        <v>1.4999999999999999E-2</v>
      </c>
      <c r="V456">
        <f t="shared" ca="1" si="46"/>
        <v>1.4999999999999999E-2</v>
      </c>
      <c r="W456">
        <f t="shared" ca="1" si="46"/>
        <v>1.4999999999999999E-2</v>
      </c>
      <c r="X456" t="s">
        <v>176</v>
      </c>
    </row>
    <row r="457" spans="1:24" x14ac:dyDescent="0.3">
      <c r="A457" t="s">
        <v>173</v>
      </c>
      <c r="B457" t="s">
        <v>5</v>
      </c>
      <c r="C457" t="s">
        <v>15</v>
      </c>
      <c r="D457" t="s">
        <v>16</v>
      </c>
      <c r="E457" t="s">
        <v>174</v>
      </c>
      <c r="F457" t="s">
        <v>182</v>
      </c>
      <c r="G457" t="s">
        <v>56</v>
      </c>
      <c r="L457" t="s">
        <v>177</v>
      </c>
      <c r="M457">
        <f ca="1">320000*100000/100</f>
        <v>320000000</v>
      </c>
      <c r="N457">
        <f t="shared" ca="1" si="46"/>
        <v>320000000</v>
      </c>
      <c r="O457">
        <f t="shared" ca="1" si="46"/>
        <v>320000000</v>
      </c>
      <c r="P457">
        <f t="shared" ca="1" si="46"/>
        <v>320000000</v>
      </c>
      <c r="Q457">
        <f t="shared" ca="1" si="46"/>
        <v>320000000</v>
      </c>
      <c r="R457">
        <f t="shared" ca="1" si="46"/>
        <v>320000000</v>
      </c>
      <c r="S457">
        <f t="shared" ca="1" si="46"/>
        <v>320000000</v>
      </c>
      <c r="T457">
        <f t="shared" ca="1" si="46"/>
        <v>320000000</v>
      </c>
      <c r="U457">
        <f t="shared" ca="1" si="46"/>
        <v>320000000</v>
      </c>
      <c r="V457">
        <f t="shared" ca="1" si="46"/>
        <v>320000000</v>
      </c>
      <c r="W457">
        <f t="shared" ca="1" si="46"/>
        <v>320000000</v>
      </c>
      <c r="X457" t="s">
        <v>178</v>
      </c>
    </row>
    <row r="458" spans="1:24" x14ac:dyDescent="0.3">
      <c r="A458" t="s">
        <v>173</v>
      </c>
      <c r="B458" t="s">
        <v>5</v>
      </c>
      <c r="C458" t="s">
        <v>15</v>
      </c>
      <c r="D458" t="s">
        <v>16</v>
      </c>
      <c r="E458" t="s">
        <v>174</v>
      </c>
      <c r="F458" t="s">
        <v>182</v>
      </c>
      <c r="G458" t="s">
        <v>58</v>
      </c>
      <c r="L458" t="s">
        <v>54</v>
      </c>
      <c r="M458">
        <v>0.85</v>
      </c>
      <c r="N458">
        <f t="shared" ca="1" si="46"/>
        <v>0.85</v>
      </c>
      <c r="O458">
        <f t="shared" ca="1" si="46"/>
        <v>0.85</v>
      </c>
      <c r="P458">
        <f t="shared" ca="1" si="46"/>
        <v>0.85</v>
      </c>
      <c r="Q458">
        <f t="shared" ca="1" si="46"/>
        <v>0.85</v>
      </c>
      <c r="R458">
        <f t="shared" ca="1" si="46"/>
        <v>0.85</v>
      </c>
      <c r="S458">
        <f t="shared" ca="1" si="46"/>
        <v>0.85</v>
      </c>
      <c r="T458">
        <f t="shared" ca="1" si="46"/>
        <v>0.85</v>
      </c>
      <c r="U458">
        <f t="shared" ca="1" si="46"/>
        <v>0.85</v>
      </c>
      <c r="V458">
        <f t="shared" ca="1" si="46"/>
        <v>0.85</v>
      </c>
      <c r="W458">
        <f t="shared" ca="1" si="46"/>
        <v>0.85</v>
      </c>
      <c r="X458" t="s">
        <v>179</v>
      </c>
    </row>
    <row r="459" spans="1:24" x14ac:dyDescent="0.3">
      <c r="A459" t="s">
        <v>173</v>
      </c>
      <c r="B459" t="s">
        <v>5</v>
      </c>
      <c r="C459" t="s">
        <v>15</v>
      </c>
      <c r="D459" t="s">
        <v>16</v>
      </c>
      <c r="E459" t="s">
        <v>174</v>
      </c>
      <c r="F459" t="s">
        <v>183</v>
      </c>
      <c r="G459" t="s">
        <v>52</v>
      </c>
      <c r="H459" t="s">
        <v>156</v>
      </c>
    </row>
    <row r="460" spans="1:24" x14ac:dyDescent="0.3">
      <c r="A460" t="s">
        <v>173</v>
      </c>
      <c r="B460" t="s">
        <v>5</v>
      </c>
      <c r="C460" t="s">
        <v>15</v>
      </c>
      <c r="D460" t="s">
        <v>16</v>
      </c>
      <c r="E460" t="s">
        <v>174</v>
      </c>
      <c r="F460" t="s">
        <v>183</v>
      </c>
      <c r="G460" t="s">
        <v>53</v>
      </c>
      <c r="L460" t="s">
        <v>54</v>
      </c>
      <c r="M460">
        <v>0.44</v>
      </c>
      <c r="N460">
        <f t="shared" ref="N460:W463" ca="1" si="47">M460</f>
        <v>0.44</v>
      </c>
      <c r="O460">
        <f t="shared" ca="1" si="47"/>
        <v>0.44</v>
      </c>
      <c r="P460">
        <f t="shared" ca="1" si="47"/>
        <v>0.44</v>
      </c>
      <c r="Q460">
        <f t="shared" ca="1" si="47"/>
        <v>0.44</v>
      </c>
      <c r="R460">
        <f t="shared" ca="1" si="47"/>
        <v>0.44</v>
      </c>
      <c r="S460">
        <f t="shared" ca="1" si="47"/>
        <v>0.44</v>
      </c>
      <c r="T460">
        <f t="shared" ca="1" si="47"/>
        <v>0.44</v>
      </c>
      <c r="U460">
        <f t="shared" ca="1" si="47"/>
        <v>0.44</v>
      </c>
      <c r="V460">
        <f t="shared" ca="1" si="47"/>
        <v>0.44</v>
      </c>
      <c r="W460">
        <f t="shared" ca="1" si="47"/>
        <v>0.44</v>
      </c>
    </row>
    <row r="461" spans="1:24" x14ac:dyDescent="0.3">
      <c r="A461" t="s">
        <v>173</v>
      </c>
      <c r="B461" t="s">
        <v>5</v>
      </c>
      <c r="C461" t="s">
        <v>15</v>
      </c>
      <c r="D461" t="s">
        <v>16</v>
      </c>
      <c r="E461" t="s">
        <v>174</v>
      </c>
      <c r="F461" t="s">
        <v>183</v>
      </c>
      <c r="G461" t="s">
        <v>55</v>
      </c>
      <c r="L461" t="s">
        <v>54</v>
      </c>
      <c r="M461">
        <v>0.01</v>
      </c>
      <c r="N461">
        <f t="shared" ca="1" si="47"/>
        <v>0.01</v>
      </c>
      <c r="O461">
        <f t="shared" ca="1" si="47"/>
        <v>0.01</v>
      </c>
      <c r="P461">
        <f t="shared" ca="1" si="47"/>
        <v>0.01</v>
      </c>
      <c r="Q461">
        <f t="shared" ca="1" si="47"/>
        <v>0.01</v>
      </c>
      <c r="R461">
        <f t="shared" ca="1" si="47"/>
        <v>0.01</v>
      </c>
      <c r="S461">
        <f t="shared" ca="1" si="47"/>
        <v>0.01</v>
      </c>
      <c r="T461">
        <f t="shared" ca="1" si="47"/>
        <v>0.01</v>
      </c>
      <c r="U461">
        <f t="shared" ca="1" si="47"/>
        <v>0.01</v>
      </c>
      <c r="V461">
        <f t="shared" ca="1" si="47"/>
        <v>0.01</v>
      </c>
      <c r="W461">
        <f t="shared" ca="1" si="47"/>
        <v>0.01</v>
      </c>
      <c r="X461" t="s">
        <v>176</v>
      </c>
    </row>
    <row r="462" spans="1:24" x14ac:dyDescent="0.3">
      <c r="A462" t="s">
        <v>173</v>
      </c>
      <c r="B462" t="s">
        <v>5</v>
      </c>
      <c r="C462" t="s">
        <v>15</v>
      </c>
      <c r="D462" t="s">
        <v>16</v>
      </c>
      <c r="E462" t="s">
        <v>174</v>
      </c>
      <c r="F462" t="s">
        <v>183</v>
      </c>
      <c r="G462" t="s">
        <v>56</v>
      </c>
      <c r="L462" t="s">
        <v>177</v>
      </c>
      <c r="M462">
        <f ca="1">320000*100000/100</f>
        <v>320000000</v>
      </c>
      <c r="N462">
        <f t="shared" ca="1" si="47"/>
        <v>320000000</v>
      </c>
      <c r="O462">
        <f t="shared" ca="1" si="47"/>
        <v>320000000</v>
      </c>
      <c r="P462">
        <f t="shared" ca="1" si="47"/>
        <v>320000000</v>
      </c>
      <c r="Q462">
        <f t="shared" ca="1" si="47"/>
        <v>320000000</v>
      </c>
      <c r="R462">
        <f t="shared" ca="1" si="47"/>
        <v>320000000</v>
      </c>
      <c r="S462">
        <f t="shared" ca="1" si="47"/>
        <v>320000000</v>
      </c>
      <c r="T462">
        <f t="shared" ca="1" si="47"/>
        <v>320000000</v>
      </c>
      <c r="U462">
        <f t="shared" ca="1" si="47"/>
        <v>320000000</v>
      </c>
      <c r="V462">
        <f t="shared" ca="1" si="47"/>
        <v>320000000</v>
      </c>
      <c r="W462">
        <f t="shared" ca="1" si="47"/>
        <v>320000000</v>
      </c>
      <c r="X462" t="s">
        <v>178</v>
      </c>
    </row>
    <row r="463" spans="1:24" x14ac:dyDescent="0.3">
      <c r="A463" t="s">
        <v>173</v>
      </c>
      <c r="B463" t="s">
        <v>5</v>
      </c>
      <c r="C463" t="s">
        <v>15</v>
      </c>
      <c r="D463" t="s">
        <v>16</v>
      </c>
      <c r="E463" t="s">
        <v>174</v>
      </c>
      <c r="F463" t="s">
        <v>183</v>
      </c>
      <c r="G463" t="s">
        <v>58</v>
      </c>
      <c r="L463" t="s">
        <v>54</v>
      </c>
      <c r="M463">
        <v>0.92</v>
      </c>
      <c r="N463">
        <f t="shared" ca="1" si="47"/>
        <v>0.92</v>
      </c>
      <c r="O463">
        <f t="shared" ca="1" si="47"/>
        <v>0.92</v>
      </c>
      <c r="P463">
        <f t="shared" ca="1" si="47"/>
        <v>0.92</v>
      </c>
      <c r="Q463">
        <f t="shared" ca="1" si="47"/>
        <v>0.92</v>
      </c>
      <c r="R463">
        <f t="shared" ca="1" si="47"/>
        <v>0.92</v>
      </c>
      <c r="S463">
        <f t="shared" ca="1" si="47"/>
        <v>0.92</v>
      </c>
      <c r="T463">
        <f t="shared" ca="1" si="47"/>
        <v>0.92</v>
      </c>
      <c r="U463">
        <f t="shared" ca="1" si="47"/>
        <v>0.92</v>
      </c>
      <c r="V463">
        <f t="shared" ca="1" si="47"/>
        <v>0.92</v>
      </c>
      <c r="W463">
        <f t="shared" ca="1" si="47"/>
        <v>0.92</v>
      </c>
      <c r="X463" t="s">
        <v>179</v>
      </c>
    </row>
    <row r="464" spans="1:24" x14ac:dyDescent="0.3">
      <c r="A464" t="s">
        <v>31</v>
      </c>
      <c r="B464" t="s">
        <v>5</v>
      </c>
      <c r="C464" t="s">
        <v>15</v>
      </c>
      <c r="D464" t="s">
        <v>32</v>
      </c>
      <c r="E464" t="s">
        <v>33</v>
      </c>
      <c r="F464" t="s">
        <v>184</v>
      </c>
      <c r="G464" t="s">
        <v>52</v>
      </c>
      <c r="H464" t="s">
        <v>185</v>
      </c>
    </row>
    <row r="465" spans="1:24" x14ac:dyDescent="0.3">
      <c r="A465" t="s">
        <v>31</v>
      </c>
      <c r="B465" t="s">
        <v>5</v>
      </c>
      <c r="C465" t="s">
        <v>15</v>
      </c>
      <c r="D465" t="s">
        <v>32</v>
      </c>
      <c r="E465" t="s">
        <v>33</v>
      </c>
      <c r="F465" t="s">
        <v>184</v>
      </c>
      <c r="G465" t="s">
        <v>53</v>
      </c>
      <c r="L465" t="s">
        <v>54</v>
      </c>
      <c r="M465">
        <v>0.7</v>
      </c>
      <c r="N465">
        <f t="shared" ref="N465:W468" ca="1" si="48">M465</f>
        <v>0.7</v>
      </c>
      <c r="O465">
        <f t="shared" ca="1" si="48"/>
        <v>0.7</v>
      </c>
      <c r="P465">
        <f t="shared" ca="1" si="48"/>
        <v>0.7</v>
      </c>
      <c r="Q465">
        <f t="shared" ca="1" si="48"/>
        <v>0.7</v>
      </c>
      <c r="R465">
        <f t="shared" ca="1" si="48"/>
        <v>0.7</v>
      </c>
      <c r="S465">
        <f t="shared" ca="1" si="48"/>
        <v>0.7</v>
      </c>
      <c r="T465">
        <f t="shared" ca="1" si="48"/>
        <v>0.7</v>
      </c>
      <c r="U465">
        <f t="shared" ca="1" si="48"/>
        <v>0.7</v>
      </c>
      <c r="V465">
        <f t="shared" ca="1" si="48"/>
        <v>0.7</v>
      </c>
      <c r="W465">
        <f t="shared" ca="1" si="48"/>
        <v>0.7</v>
      </c>
    </row>
    <row r="466" spans="1:24" x14ac:dyDescent="0.3">
      <c r="A466" t="s">
        <v>31</v>
      </c>
      <c r="B466" t="s">
        <v>5</v>
      </c>
      <c r="C466" t="s">
        <v>15</v>
      </c>
      <c r="D466" t="s">
        <v>32</v>
      </c>
      <c r="E466" t="s">
        <v>33</v>
      </c>
      <c r="F466" t="s">
        <v>184</v>
      </c>
      <c r="G466" t="s">
        <v>55</v>
      </c>
      <c r="L466" t="s">
        <v>54</v>
      </c>
      <c r="M466">
        <v>1E-3</v>
      </c>
      <c r="N466">
        <f t="shared" ca="1" si="48"/>
        <v>1E-3</v>
      </c>
      <c r="O466">
        <f t="shared" ca="1" si="48"/>
        <v>1E-3</v>
      </c>
      <c r="P466">
        <f t="shared" ca="1" si="48"/>
        <v>1E-3</v>
      </c>
      <c r="Q466">
        <f t="shared" ca="1" si="48"/>
        <v>1E-3</v>
      </c>
      <c r="R466">
        <f t="shared" ca="1" si="48"/>
        <v>1E-3</v>
      </c>
      <c r="S466">
        <f t="shared" ca="1" si="48"/>
        <v>1E-3</v>
      </c>
      <c r="T466">
        <f t="shared" ca="1" si="48"/>
        <v>1E-3</v>
      </c>
      <c r="U466">
        <f t="shared" ca="1" si="48"/>
        <v>1E-3</v>
      </c>
      <c r="V466">
        <f t="shared" ca="1" si="48"/>
        <v>1E-3</v>
      </c>
      <c r="W466">
        <f t="shared" ca="1" si="48"/>
        <v>1E-3</v>
      </c>
    </row>
    <row r="467" spans="1:24" x14ac:dyDescent="0.3">
      <c r="A467" t="s">
        <v>31</v>
      </c>
      <c r="B467" t="s">
        <v>5</v>
      </c>
      <c r="C467" t="s">
        <v>15</v>
      </c>
      <c r="D467" t="s">
        <v>32</v>
      </c>
      <c r="E467" t="s">
        <v>33</v>
      </c>
      <c r="F467" t="s">
        <v>184</v>
      </c>
      <c r="G467" t="s">
        <v>56</v>
      </c>
      <c r="L467" t="s">
        <v>186</v>
      </c>
      <c r="M467">
        <f ca="1">86358000*16*1000/1000</f>
        <v>1381728000</v>
      </c>
      <c r="N467">
        <f t="shared" ca="1" si="48"/>
        <v>1381728000</v>
      </c>
      <c r="O467">
        <f t="shared" ca="1" si="48"/>
        <v>1381728000</v>
      </c>
      <c r="P467">
        <f t="shared" ca="1" si="48"/>
        <v>1381728000</v>
      </c>
      <c r="Q467">
        <f t="shared" ca="1" si="48"/>
        <v>1381728000</v>
      </c>
      <c r="R467">
        <f t="shared" ca="1" si="48"/>
        <v>1381728000</v>
      </c>
      <c r="S467">
        <f t="shared" ca="1" si="48"/>
        <v>1381728000</v>
      </c>
      <c r="T467">
        <f t="shared" ca="1" si="48"/>
        <v>1381728000</v>
      </c>
      <c r="U467">
        <f t="shared" ca="1" si="48"/>
        <v>1381728000</v>
      </c>
      <c r="V467">
        <f t="shared" ca="1" si="48"/>
        <v>1381728000</v>
      </c>
      <c r="W467">
        <f t="shared" ca="1" si="48"/>
        <v>1381728000</v>
      </c>
      <c r="X467" t="s">
        <v>187</v>
      </c>
    </row>
    <row r="468" spans="1:24" x14ac:dyDescent="0.3">
      <c r="A468" t="s">
        <v>31</v>
      </c>
      <c r="B468" t="s">
        <v>5</v>
      </c>
      <c r="C468" t="s">
        <v>15</v>
      </c>
      <c r="D468" t="s">
        <v>32</v>
      </c>
      <c r="E468" t="s">
        <v>33</v>
      </c>
      <c r="F468" t="s">
        <v>184</v>
      </c>
      <c r="G468" t="s">
        <v>58</v>
      </c>
      <c r="L468" t="s">
        <v>54</v>
      </c>
      <c r="M468">
        <v>0.97</v>
      </c>
      <c r="N468">
        <f t="shared" ca="1" si="48"/>
        <v>0.97</v>
      </c>
      <c r="O468">
        <f t="shared" ca="1" si="48"/>
        <v>0.97</v>
      </c>
      <c r="P468">
        <f t="shared" ca="1" si="48"/>
        <v>0.97</v>
      </c>
      <c r="Q468">
        <f t="shared" ca="1" si="48"/>
        <v>0.97</v>
      </c>
      <c r="R468">
        <f t="shared" ca="1" si="48"/>
        <v>0.97</v>
      </c>
      <c r="S468">
        <f t="shared" ca="1" si="48"/>
        <v>0.97</v>
      </c>
      <c r="T468">
        <f t="shared" ca="1" si="48"/>
        <v>0.97</v>
      </c>
      <c r="U468">
        <f t="shared" ca="1" si="48"/>
        <v>0.97</v>
      </c>
      <c r="V468">
        <f t="shared" ca="1" si="48"/>
        <v>0.97</v>
      </c>
      <c r="W468">
        <f t="shared" ca="1" si="48"/>
        <v>0.97</v>
      </c>
    </row>
    <row r="469" spans="1:24" x14ac:dyDescent="0.3">
      <c r="A469" t="s">
        <v>31</v>
      </c>
      <c r="B469" t="s">
        <v>5</v>
      </c>
      <c r="C469" t="s">
        <v>15</v>
      </c>
      <c r="D469" t="s">
        <v>32</v>
      </c>
      <c r="E469" t="s">
        <v>33</v>
      </c>
      <c r="F469" t="s">
        <v>188</v>
      </c>
      <c r="G469" t="s">
        <v>52</v>
      </c>
      <c r="H469" t="s">
        <v>185</v>
      </c>
    </row>
    <row r="470" spans="1:24" x14ac:dyDescent="0.3">
      <c r="A470" t="s">
        <v>31</v>
      </c>
      <c r="B470" t="s">
        <v>5</v>
      </c>
      <c r="C470" t="s">
        <v>15</v>
      </c>
      <c r="D470" t="s">
        <v>32</v>
      </c>
      <c r="E470" t="s">
        <v>33</v>
      </c>
      <c r="F470" t="s">
        <v>188</v>
      </c>
      <c r="G470" t="s">
        <v>53</v>
      </c>
      <c r="L470" t="s">
        <v>54</v>
      </c>
      <c r="M470">
        <v>0.7</v>
      </c>
      <c r="N470">
        <f t="shared" ref="N470:W473" ca="1" si="49">M470</f>
        <v>0.7</v>
      </c>
      <c r="O470">
        <f t="shared" ca="1" si="49"/>
        <v>0.7</v>
      </c>
      <c r="P470">
        <f t="shared" ca="1" si="49"/>
        <v>0.7</v>
      </c>
      <c r="Q470">
        <f t="shared" ca="1" si="49"/>
        <v>0.7</v>
      </c>
      <c r="R470">
        <f t="shared" ca="1" si="49"/>
        <v>0.7</v>
      </c>
      <c r="S470">
        <f t="shared" ca="1" si="49"/>
        <v>0.7</v>
      </c>
      <c r="T470">
        <f t="shared" ca="1" si="49"/>
        <v>0.7</v>
      </c>
      <c r="U470">
        <f t="shared" ca="1" si="49"/>
        <v>0.7</v>
      </c>
      <c r="V470">
        <f t="shared" ca="1" si="49"/>
        <v>0.7</v>
      </c>
      <c r="W470">
        <f t="shared" ca="1" si="49"/>
        <v>0.7</v>
      </c>
    </row>
    <row r="471" spans="1:24" x14ac:dyDescent="0.3">
      <c r="A471" t="s">
        <v>31</v>
      </c>
      <c r="B471" t="s">
        <v>5</v>
      </c>
      <c r="C471" t="s">
        <v>15</v>
      </c>
      <c r="D471" t="s">
        <v>32</v>
      </c>
      <c r="E471" t="s">
        <v>33</v>
      </c>
      <c r="F471" t="s">
        <v>188</v>
      </c>
      <c r="G471" t="s">
        <v>55</v>
      </c>
      <c r="L471" t="s">
        <v>54</v>
      </c>
      <c r="M471">
        <v>1E-3</v>
      </c>
      <c r="N471">
        <f t="shared" ca="1" si="49"/>
        <v>1E-3</v>
      </c>
      <c r="O471">
        <f t="shared" ca="1" si="49"/>
        <v>1E-3</v>
      </c>
      <c r="P471">
        <f t="shared" ca="1" si="49"/>
        <v>1E-3</v>
      </c>
      <c r="Q471">
        <f t="shared" ca="1" si="49"/>
        <v>1E-3</v>
      </c>
      <c r="R471">
        <f t="shared" ca="1" si="49"/>
        <v>1E-3</v>
      </c>
      <c r="S471">
        <f t="shared" ca="1" si="49"/>
        <v>1E-3</v>
      </c>
      <c r="T471">
        <f t="shared" ca="1" si="49"/>
        <v>1E-3</v>
      </c>
      <c r="U471">
        <f t="shared" ca="1" si="49"/>
        <v>1E-3</v>
      </c>
      <c r="V471">
        <f t="shared" ca="1" si="49"/>
        <v>1E-3</v>
      </c>
      <c r="W471">
        <f t="shared" ca="1" si="49"/>
        <v>1E-3</v>
      </c>
    </row>
    <row r="472" spans="1:24" x14ac:dyDescent="0.3">
      <c r="A472" t="s">
        <v>31</v>
      </c>
      <c r="B472" t="s">
        <v>5</v>
      </c>
      <c r="C472" t="s">
        <v>15</v>
      </c>
      <c r="D472" t="s">
        <v>32</v>
      </c>
      <c r="E472" t="s">
        <v>33</v>
      </c>
      <c r="F472" t="s">
        <v>188</v>
      </c>
      <c r="G472" t="s">
        <v>56</v>
      </c>
      <c r="L472" t="s">
        <v>186</v>
      </c>
      <c r="M472">
        <f ca="1">86358000*16*1000/1000</f>
        <v>1381728000</v>
      </c>
      <c r="N472">
        <f t="shared" ca="1" si="49"/>
        <v>1381728000</v>
      </c>
      <c r="O472">
        <f t="shared" ca="1" si="49"/>
        <v>1381728000</v>
      </c>
      <c r="P472">
        <f t="shared" ca="1" si="49"/>
        <v>1381728000</v>
      </c>
      <c r="Q472">
        <f t="shared" ca="1" si="49"/>
        <v>1381728000</v>
      </c>
      <c r="R472">
        <f t="shared" ca="1" si="49"/>
        <v>1381728000</v>
      </c>
      <c r="S472">
        <f t="shared" ca="1" si="49"/>
        <v>1381728000</v>
      </c>
      <c r="T472">
        <f t="shared" ca="1" si="49"/>
        <v>1381728000</v>
      </c>
      <c r="U472">
        <f t="shared" ca="1" si="49"/>
        <v>1381728000</v>
      </c>
      <c r="V472">
        <f t="shared" ca="1" si="49"/>
        <v>1381728000</v>
      </c>
      <c r="W472">
        <f t="shared" ca="1" si="49"/>
        <v>1381728000</v>
      </c>
      <c r="X472" t="s">
        <v>187</v>
      </c>
    </row>
    <row r="473" spans="1:24" x14ac:dyDescent="0.3">
      <c r="A473" t="s">
        <v>31</v>
      </c>
      <c r="B473" t="s">
        <v>5</v>
      </c>
      <c r="C473" t="s">
        <v>15</v>
      </c>
      <c r="D473" t="s">
        <v>32</v>
      </c>
      <c r="E473" t="s">
        <v>33</v>
      </c>
      <c r="F473" t="s">
        <v>188</v>
      </c>
      <c r="G473" t="s">
        <v>58</v>
      </c>
      <c r="L473" t="s">
        <v>54</v>
      </c>
      <c r="M473">
        <v>0.97</v>
      </c>
      <c r="N473">
        <f t="shared" ca="1" si="49"/>
        <v>0.97</v>
      </c>
      <c r="O473">
        <f t="shared" ca="1" si="49"/>
        <v>0.97</v>
      </c>
      <c r="P473">
        <f t="shared" ca="1" si="49"/>
        <v>0.97</v>
      </c>
      <c r="Q473">
        <f t="shared" ca="1" si="49"/>
        <v>0.97</v>
      </c>
      <c r="R473">
        <f t="shared" ca="1" si="49"/>
        <v>0.97</v>
      </c>
      <c r="S473">
        <f t="shared" ca="1" si="49"/>
        <v>0.97</v>
      </c>
      <c r="T473">
        <f t="shared" ca="1" si="49"/>
        <v>0.97</v>
      </c>
      <c r="U473">
        <f t="shared" ca="1" si="49"/>
        <v>0.97</v>
      </c>
      <c r="V473">
        <f t="shared" ca="1" si="49"/>
        <v>0.97</v>
      </c>
      <c r="W473">
        <f t="shared" ca="1" si="49"/>
        <v>0.97</v>
      </c>
    </row>
    <row r="474" spans="1:24" x14ac:dyDescent="0.3">
      <c r="A474" t="s">
        <v>31</v>
      </c>
      <c r="B474" t="s">
        <v>5</v>
      </c>
      <c r="C474" t="s">
        <v>15</v>
      </c>
      <c r="D474" t="s">
        <v>32</v>
      </c>
      <c r="E474" t="s">
        <v>33</v>
      </c>
      <c r="F474" t="s">
        <v>189</v>
      </c>
      <c r="G474" t="s">
        <v>52</v>
      </c>
      <c r="H474" t="s">
        <v>190</v>
      </c>
    </row>
    <row r="475" spans="1:24" x14ac:dyDescent="0.3">
      <c r="A475" t="s">
        <v>31</v>
      </c>
      <c r="B475" t="s">
        <v>5</v>
      </c>
      <c r="C475" t="s">
        <v>15</v>
      </c>
      <c r="D475" t="s">
        <v>32</v>
      </c>
      <c r="E475" t="s">
        <v>33</v>
      </c>
      <c r="F475" t="s">
        <v>189</v>
      </c>
      <c r="G475" t="s">
        <v>53</v>
      </c>
      <c r="L475" t="s">
        <v>54</v>
      </c>
      <c r="M475">
        <v>0.4</v>
      </c>
      <c r="N475">
        <f t="shared" ref="N475:W478" ca="1" si="50">M475</f>
        <v>0.4</v>
      </c>
      <c r="O475">
        <f t="shared" ca="1" si="50"/>
        <v>0.4</v>
      </c>
      <c r="P475">
        <f t="shared" ca="1" si="50"/>
        <v>0.4</v>
      </c>
      <c r="Q475">
        <f t="shared" ca="1" si="50"/>
        <v>0.4</v>
      </c>
      <c r="R475">
        <f t="shared" ca="1" si="50"/>
        <v>0.4</v>
      </c>
      <c r="S475">
        <f t="shared" ca="1" si="50"/>
        <v>0.4</v>
      </c>
      <c r="T475">
        <f t="shared" ca="1" si="50"/>
        <v>0.4</v>
      </c>
      <c r="U475">
        <f t="shared" ca="1" si="50"/>
        <v>0.4</v>
      </c>
      <c r="V475">
        <f t="shared" ca="1" si="50"/>
        <v>0.4</v>
      </c>
      <c r="W475">
        <f t="shared" ca="1" si="50"/>
        <v>0.4</v>
      </c>
    </row>
    <row r="476" spans="1:24" x14ac:dyDescent="0.3">
      <c r="A476" t="s">
        <v>31</v>
      </c>
      <c r="B476" t="s">
        <v>5</v>
      </c>
      <c r="C476" t="s">
        <v>15</v>
      </c>
      <c r="D476" t="s">
        <v>32</v>
      </c>
      <c r="E476" t="s">
        <v>33</v>
      </c>
      <c r="F476" t="s">
        <v>189</v>
      </c>
      <c r="G476" t="s">
        <v>55</v>
      </c>
      <c r="L476" t="s">
        <v>54</v>
      </c>
      <c r="M476">
        <v>5.0000000000000001E-3</v>
      </c>
      <c r="N476">
        <f t="shared" ca="1" si="50"/>
        <v>5.0000000000000001E-3</v>
      </c>
      <c r="O476">
        <f t="shared" ca="1" si="50"/>
        <v>5.0000000000000001E-3</v>
      </c>
      <c r="P476">
        <f t="shared" ca="1" si="50"/>
        <v>5.0000000000000001E-3</v>
      </c>
      <c r="Q476">
        <f t="shared" ca="1" si="50"/>
        <v>5.0000000000000001E-3</v>
      </c>
      <c r="R476">
        <f t="shared" ca="1" si="50"/>
        <v>5.0000000000000001E-3</v>
      </c>
      <c r="S476">
        <f t="shared" ca="1" si="50"/>
        <v>5.0000000000000001E-3</v>
      </c>
      <c r="T476">
        <f t="shared" ca="1" si="50"/>
        <v>5.0000000000000001E-3</v>
      </c>
      <c r="U476">
        <f t="shared" ca="1" si="50"/>
        <v>5.0000000000000001E-3</v>
      </c>
      <c r="V476">
        <f t="shared" ca="1" si="50"/>
        <v>5.0000000000000001E-3</v>
      </c>
      <c r="W476">
        <f t="shared" ca="1" si="50"/>
        <v>5.0000000000000001E-3</v>
      </c>
    </row>
    <row r="477" spans="1:24" x14ac:dyDescent="0.3">
      <c r="A477" t="s">
        <v>31</v>
      </c>
      <c r="B477" t="s">
        <v>5</v>
      </c>
      <c r="C477" t="s">
        <v>15</v>
      </c>
      <c r="D477" t="s">
        <v>32</v>
      </c>
      <c r="E477" t="s">
        <v>33</v>
      </c>
      <c r="F477" t="s">
        <v>189</v>
      </c>
      <c r="G477" t="s">
        <v>56</v>
      </c>
      <c r="L477" t="s">
        <v>186</v>
      </c>
      <c r="M477">
        <f ca="1">86358000*16*1000/1000</f>
        <v>1381728000</v>
      </c>
      <c r="N477">
        <f t="shared" ca="1" si="50"/>
        <v>1381728000</v>
      </c>
      <c r="O477">
        <f t="shared" ca="1" si="50"/>
        <v>1381728000</v>
      </c>
      <c r="P477">
        <f t="shared" ca="1" si="50"/>
        <v>1381728000</v>
      </c>
      <c r="Q477">
        <f t="shared" ca="1" si="50"/>
        <v>1381728000</v>
      </c>
      <c r="R477">
        <f t="shared" ca="1" si="50"/>
        <v>1381728000</v>
      </c>
      <c r="S477">
        <f t="shared" ca="1" si="50"/>
        <v>1381728000</v>
      </c>
      <c r="T477">
        <f t="shared" ca="1" si="50"/>
        <v>1381728000</v>
      </c>
      <c r="U477">
        <f t="shared" ca="1" si="50"/>
        <v>1381728000</v>
      </c>
      <c r="V477">
        <f t="shared" ca="1" si="50"/>
        <v>1381728000</v>
      </c>
      <c r="W477">
        <f t="shared" ca="1" si="50"/>
        <v>1381728000</v>
      </c>
      <c r="X477" t="s">
        <v>187</v>
      </c>
    </row>
    <row r="478" spans="1:24" x14ac:dyDescent="0.3">
      <c r="A478" t="s">
        <v>31</v>
      </c>
      <c r="B478" t="s">
        <v>5</v>
      </c>
      <c r="C478" t="s">
        <v>15</v>
      </c>
      <c r="D478" t="s">
        <v>32</v>
      </c>
      <c r="E478" t="s">
        <v>33</v>
      </c>
      <c r="F478" t="s">
        <v>189</v>
      </c>
      <c r="G478" t="s">
        <v>58</v>
      </c>
      <c r="L478" t="s">
        <v>54</v>
      </c>
      <c r="M478">
        <v>0.95</v>
      </c>
      <c r="N478">
        <f t="shared" ca="1" si="50"/>
        <v>0.95</v>
      </c>
      <c r="O478">
        <f t="shared" ca="1" si="50"/>
        <v>0.95</v>
      </c>
      <c r="P478">
        <f t="shared" ca="1" si="50"/>
        <v>0.95</v>
      </c>
      <c r="Q478">
        <f t="shared" ca="1" si="50"/>
        <v>0.95</v>
      </c>
      <c r="R478">
        <f t="shared" ca="1" si="50"/>
        <v>0.95</v>
      </c>
      <c r="S478">
        <f t="shared" ca="1" si="50"/>
        <v>0.95</v>
      </c>
      <c r="T478">
        <f t="shared" ca="1" si="50"/>
        <v>0.95</v>
      </c>
      <c r="U478">
        <f t="shared" ca="1" si="50"/>
        <v>0.95</v>
      </c>
      <c r="V478">
        <f t="shared" ca="1" si="50"/>
        <v>0.95</v>
      </c>
      <c r="W478">
        <f t="shared" ca="1" si="50"/>
        <v>0.95</v>
      </c>
    </row>
    <row r="479" spans="1:24" x14ac:dyDescent="0.3">
      <c r="A479" t="s">
        <v>31</v>
      </c>
      <c r="B479" t="s">
        <v>5</v>
      </c>
      <c r="C479" t="s">
        <v>15</v>
      </c>
      <c r="D479" t="s">
        <v>32</v>
      </c>
      <c r="E479" t="s">
        <v>33</v>
      </c>
      <c r="F479" t="s">
        <v>89</v>
      </c>
      <c r="G479" t="s">
        <v>52</v>
      </c>
      <c r="H479" t="s">
        <v>163</v>
      </c>
    </row>
    <row r="480" spans="1:24" x14ac:dyDescent="0.3">
      <c r="A480" t="s">
        <v>31</v>
      </c>
      <c r="B480" t="s">
        <v>5</v>
      </c>
      <c r="C480" t="s">
        <v>15</v>
      </c>
      <c r="D480" t="s">
        <v>32</v>
      </c>
      <c r="E480" t="s">
        <v>33</v>
      </c>
      <c r="F480" t="s">
        <v>89</v>
      </c>
      <c r="G480" t="s">
        <v>53</v>
      </c>
      <c r="L480" t="s">
        <v>54</v>
      </c>
      <c r="M480">
        <v>0.31</v>
      </c>
      <c r="N480">
        <f t="shared" ref="N480:W483" ca="1" si="51">M480</f>
        <v>0.31</v>
      </c>
      <c r="O480">
        <f t="shared" ca="1" si="51"/>
        <v>0.31</v>
      </c>
      <c r="P480">
        <f t="shared" ca="1" si="51"/>
        <v>0.31</v>
      </c>
      <c r="Q480">
        <f t="shared" ca="1" si="51"/>
        <v>0.31</v>
      </c>
      <c r="R480">
        <f t="shared" ca="1" si="51"/>
        <v>0.31</v>
      </c>
      <c r="S480">
        <f t="shared" ca="1" si="51"/>
        <v>0.31</v>
      </c>
      <c r="T480">
        <f t="shared" ca="1" si="51"/>
        <v>0.31</v>
      </c>
      <c r="U480">
        <f t="shared" ca="1" si="51"/>
        <v>0.31</v>
      </c>
      <c r="V480">
        <f t="shared" ca="1" si="51"/>
        <v>0.31</v>
      </c>
      <c r="W480">
        <f t="shared" ca="1" si="51"/>
        <v>0.31</v>
      </c>
    </row>
    <row r="481" spans="1:24" x14ac:dyDescent="0.3">
      <c r="A481" t="s">
        <v>31</v>
      </c>
      <c r="B481" t="s">
        <v>5</v>
      </c>
      <c r="C481" t="s">
        <v>15</v>
      </c>
      <c r="D481" t="s">
        <v>32</v>
      </c>
      <c r="E481" t="s">
        <v>33</v>
      </c>
      <c r="F481" t="s">
        <v>89</v>
      </c>
      <c r="G481" t="s">
        <v>55</v>
      </c>
      <c r="L481" t="s">
        <v>54</v>
      </c>
      <c r="M481">
        <v>1.4999999999999999E-2</v>
      </c>
      <c r="N481">
        <f t="shared" ca="1" si="51"/>
        <v>1.4999999999999999E-2</v>
      </c>
      <c r="O481">
        <f t="shared" ca="1" si="51"/>
        <v>1.4999999999999999E-2</v>
      </c>
      <c r="P481">
        <f t="shared" ca="1" si="51"/>
        <v>1.4999999999999999E-2</v>
      </c>
      <c r="Q481">
        <f t="shared" ca="1" si="51"/>
        <v>1.4999999999999999E-2</v>
      </c>
      <c r="R481">
        <f t="shared" ca="1" si="51"/>
        <v>1.4999999999999999E-2</v>
      </c>
      <c r="S481">
        <f t="shared" ca="1" si="51"/>
        <v>1.4999999999999999E-2</v>
      </c>
      <c r="T481">
        <f t="shared" ca="1" si="51"/>
        <v>1.4999999999999999E-2</v>
      </c>
      <c r="U481">
        <f t="shared" ca="1" si="51"/>
        <v>1.4999999999999999E-2</v>
      </c>
      <c r="V481">
        <f t="shared" ca="1" si="51"/>
        <v>1.4999999999999999E-2</v>
      </c>
      <c r="W481">
        <f t="shared" ca="1" si="51"/>
        <v>1.4999999999999999E-2</v>
      </c>
    </row>
    <row r="482" spans="1:24" x14ac:dyDescent="0.3">
      <c r="A482" t="s">
        <v>31</v>
      </c>
      <c r="B482" t="s">
        <v>5</v>
      </c>
      <c r="C482" t="s">
        <v>15</v>
      </c>
      <c r="D482" t="s">
        <v>32</v>
      </c>
      <c r="E482" t="s">
        <v>33</v>
      </c>
      <c r="F482" t="s">
        <v>89</v>
      </c>
      <c r="G482" t="s">
        <v>56</v>
      </c>
      <c r="L482" t="s">
        <v>186</v>
      </c>
      <c r="M482">
        <f ca="1">86358000*16*1000/1000</f>
        <v>1381728000</v>
      </c>
      <c r="N482">
        <f t="shared" ca="1" si="51"/>
        <v>1381728000</v>
      </c>
      <c r="O482">
        <f t="shared" ca="1" si="51"/>
        <v>1381728000</v>
      </c>
      <c r="P482">
        <f t="shared" ca="1" si="51"/>
        <v>1381728000</v>
      </c>
      <c r="Q482">
        <f t="shared" ca="1" si="51"/>
        <v>1381728000</v>
      </c>
      <c r="R482">
        <f t="shared" ca="1" si="51"/>
        <v>1381728000</v>
      </c>
      <c r="S482">
        <f t="shared" ca="1" si="51"/>
        <v>1381728000</v>
      </c>
      <c r="T482">
        <f t="shared" ca="1" si="51"/>
        <v>1381728000</v>
      </c>
      <c r="U482">
        <f t="shared" ca="1" si="51"/>
        <v>1381728000</v>
      </c>
      <c r="V482">
        <f t="shared" ca="1" si="51"/>
        <v>1381728000</v>
      </c>
      <c r="W482">
        <f t="shared" ca="1" si="51"/>
        <v>1381728000</v>
      </c>
      <c r="X482" t="s">
        <v>187</v>
      </c>
    </row>
    <row r="483" spans="1:24" x14ac:dyDescent="0.3">
      <c r="A483" t="s">
        <v>31</v>
      </c>
      <c r="B483" t="s">
        <v>5</v>
      </c>
      <c r="C483" t="s">
        <v>15</v>
      </c>
      <c r="D483" t="s">
        <v>32</v>
      </c>
      <c r="E483" t="s">
        <v>33</v>
      </c>
      <c r="F483" t="s">
        <v>89</v>
      </c>
      <c r="G483" t="s">
        <v>58</v>
      </c>
      <c r="L483" t="s">
        <v>54</v>
      </c>
      <c r="M483">
        <v>0.85</v>
      </c>
      <c r="N483">
        <f t="shared" ca="1" si="51"/>
        <v>0.85</v>
      </c>
      <c r="O483">
        <f t="shared" ca="1" si="51"/>
        <v>0.85</v>
      </c>
      <c r="P483">
        <f t="shared" ca="1" si="51"/>
        <v>0.85</v>
      </c>
      <c r="Q483">
        <f t="shared" ca="1" si="51"/>
        <v>0.85</v>
      </c>
      <c r="R483">
        <f t="shared" ca="1" si="51"/>
        <v>0.85</v>
      </c>
      <c r="S483">
        <f t="shared" ca="1" si="51"/>
        <v>0.85</v>
      </c>
      <c r="T483">
        <f t="shared" ca="1" si="51"/>
        <v>0.85</v>
      </c>
      <c r="U483">
        <f t="shared" ca="1" si="51"/>
        <v>0.85</v>
      </c>
      <c r="V483">
        <f t="shared" ca="1" si="51"/>
        <v>0.85</v>
      </c>
      <c r="W483">
        <f t="shared" ca="1" si="51"/>
        <v>0.85</v>
      </c>
    </row>
    <row r="484" spans="1:24" x14ac:dyDescent="0.3">
      <c r="A484" t="s">
        <v>31</v>
      </c>
      <c r="B484" t="s">
        <v>5</v>
      </c>
      <c r="C484" t="s">
        <v>15</v>
      </c>
      <c r="D484" t="s">
        <v>32</v>
      </c>
      <c r="E484" t="s">
        <v>33</v>
      </c>
      <c r="F484" t="s">
        <v>191</v>
      </c>
      <c r="G484" t="s">
        <v>52</v>
      </c>
      <c r="H484" t="s">
        <v>156</v>
      </c>
    </row>
    <row r="485" spans="1:24" x14ac:dyDescent="0.3">
      <c r="A485" t="s">
        <v>31</v>
      </c>
      <c r="B485" t="s">
        <v>5</v>
      </c>
      <c r="C485" t="s">
        <v>15</v>
      </c>
      <c r="D485" t="s">
        <v>32</v>
      </c>
      <c r="E485" t="s">
        <v>33</v>
      </c>
      <c r="F485" t="s">
        <v>191</v>
      </c>
      <c r="G485" t="s">
        <v>53</v>
      </c>
      <c r="L485" t="s">
        <v>54</v>
      </c>
      <c r="M485">
        <v>0.39</v>
      </c>
      <c r="N485">
        <f t="shared" ref="N485:W488" ca="1" si="52">M485</f>
        <v>0.39</v>
      </c>
      <c r="O485">
        <f t="shared" ca="1" si="52"/>
        <v>0.39</v>
      </c>
      <c r="P485">
        <f t="shared" ca="1" si="52"/>
        <v>0.39</v>
      </c>
      <c r="Q485">
        <f t="shared" ca="1" si="52"/>
        <v>0.39</v>
      </c>
      <c r="R485">
        <f t="shared" ca="1" si="52"/>
        <v>0.39</v>
      </c>
      <c r="S485">
        <f t="shared" ca="1" si="52"/>
        <v>0.39</v>
      </c>
      <c r="T485">
        <f t="shared" ca="1" si="52"/>
        <v>0.39</v>
      </c>
      <c r="U485">
        <f t="shared" ca="1" si="52"/>
        <v>0.39</v>
      </c>
      <c r="V485">
        <f t="shared" ca="1" si="52"/>
        <v>0.39</v>
      </c>
      <c r="W485">
        <f t="shared" ca="1" si="52"/>
        <v>0.39</v>
      </c>
    </row>
    <row r="486" spans="1:24" x14ac:dyDescent="0.3">
      <c r="A486" t="s">
        <v>31</v>
      </c>
      <c r="B486" t="s">
        <v>5</v>
      </c>
      <c r="C486" t="s">
        <v>15</v>
      </c>
      <c r="D486" t="s">
        <v>32</v>
      </c>
      <c r="E486" t="s">
        <v>33</v>
      </c>
      <c r="F486" t="s">
        <v>191</v>
      </c>
      <c r="G486" t="s">
        <v>55</v>
      </c>
      <c r="L486" t="s">
        <v>54</v>
      </c>
      <c r="M486">
        <v>1.4999999999999999E-2</v>
      </c>
      <c r="N486">
        <f t="shared" ca="1" si="52"/>
        <v>1.4999999999999999E-2</v>
      </c>
      <c r="O486">
        <f t="shared" ca="1" si="52"/>
        <v>1.4999999999999999E-2</v>
      </c>
      <c r="P486">
        <f t="shared" ca="1" si="52"/>
        <v>1.4999999999999999E-2</v>
      </c>
      <c r="Q486">
        <f t="shared" ca="1" si="52"/>
        <v>1.4999999999999999E-2</v>
      </c>
      <c r="R486">
        <f t="shared" ca="1" si="52"/>
        <v>1.4999999999999999E-2</v>
      </c>
      <c r="S486">
        <f t="shared" ca="1" si="52"/>
        <v>1.4999999999999999E-2</v>
      </c>
      <c r="T486">
        <f t="shared" ca="1" si="52"/>
        <v>1.4999999999999999E-2</v>
      </c>
      <c r="U486">
        <f t="shared" ca="1" si="52"/>
        <v>1.4999999999999999E-2</v>
      </c>
      <c r="V486">
        <f t="shared" ca="1" si="52"/>
        <v>1.4999999999999999E-2</v>
      </c>
      <c r="W486">
        <f t="shared" ca="1" si="52"/>
        <v>1.4999999999999999E-2</v>
      </c>
    </row>
    <row r="487" spans="1:24" x14ac:dyDescent="0.3">
      <c r="A487" t="s">
        <v>31</v>
      </c>
      <c r="B487" t="s">
        <v>5</v>
      </c>
      <c r="C487" t="s">
        <v>15</v>
      </c>
      <c r="D487" t="s">
        <v>32</v>
      </c>
      <c r="E487" t="s">
        <v>33</v>
      </c>
      <c r="F487" t="s">
        <v>191</v>
      </c>
      <c r="G487" t="s">
        <v>56</v>
      </c>
      <c r="L487" t="s">
        <v>186</v>
      </c>
      <c r="M487">
        <f ca="1">86358000*16*1000/1000</f>
        <v>1381728000</v>
      </c>
      <c r="N487">
        <f t="shared" ca="1" si="52"/>
        <v>1381728000</v>
      </c>
      <c r="O487">
        <f t="shared" ca="1" si="52"/>
        <v>1381728000</v>
      </c>
      <c r="P487">
        <f t="shared" ca="1" si="52"/>
        <v>1381728000</v>
      </c>
      <c r="Q487">
        <f t="shared" ca="1" si="52"/>
        <v>1381728000</v>
      </c>
      <c r="R487">
        <f t="shared" ca="1" si="52"/>
        <v>1381728000</v>
      </c>
      <c r="S487">
        <f t="shared" ca="1" si="52"/>
        <v>1381728000</v>
      </c>
      <c r="T487">
        <f t="shared" ca="1" si="52"/>
        <v>1381728000</v>
      </c>
      <c r="U487">
        <f t="shared" ca="1" si="52"/>
        <v>1381728000</v>
      </c>
      <c r="V487">
        <f t="shared" ca="1" si="52"/>
        <v>1381728000</v>
      </c>
      <c r="W487">
        <f t="shared" ca="1" si="52"/>
        <v>1381728000</v>
      </c>
      <c r="X487" t="s">
        <v>187</v>
      </c>
    </row>
    <row r="488" spans="1:24" x14ac:dyDescent="0.3">
      <c r="A488" t="s">
        <v>31</v>
      </c>
      <c r="B488" t="s">
        <v>5</v>
      </c>
      <c r="C488" t="s">
        <v>15</v>
      </c>
      <c r="D488" t="s">
        <v>32</v>
      </c>
      <c r="E488" t="s">
        <v>33</v>
      </c>
      <c r="F488" t="s">
        <v>191</v>
      </c>
      <c r="G488" t="s">
        <v>58</v>
      </c>
      <c r="L488" t="s">
        <v>54</v>
      </c>
      <c r="M488">
        <v>0.85</v>
      </c>
      <c r="N488">
        <f t="shared" ca="1" si="52"/>
        <v>0.85</v>
      </c>
      <c r="O488">
        <f t="shared" ca="1" si="52"/>
        <v>0.85</v>
      </c>
      <c r="P488">
        <f t="shared" ca="1" si="52"/>
        <v>0.85</v>
      </c>
      <c r="Q488">
        <f t="shared" ca="1" si="52"/>
        <v>0.85</v>
      </c>
      <c r="R488">
        <f t="shared" ca="1" si="52"/>
        <v>0.85</v>
      </c>
      <c r="S488">
        <f t="shared" ca="1" si="52"/>
        <v>0.85</v>
      </c>
      <c r="T488">
        <f t="shared" ca="1" si="52"/>
        <v>0.85</v>
      </c>
      <c r="U488">
        <f t="shared" ca="1" si="52"/>
        <v>0.85</v>
      </c>
      <c r="V488">
        <f t="shared" ca="1" si="52"/>
        <v>0.85</v>
      </c>
      <c r="W488">
        <f t="shared" ca="1" si="52"/>
        <v>0.85</v>
      </c>
    </row>
    <row r="489" spans="1:24" x14ac:dyDescent="0.3">
      <c r="A489" t="s">
        <v>31</v>
      </c>
      <c r="B489" t="s">
        <v>5</v>
      </c>
      <c r="C489" t="s">
        <v>15</v>
      </c>
      <c r="D489" t="s">
        <v>32</v>
      </c>
      <c r="E489" t="s">
        <v>33</v>
      </c>
      <c r="F489" t="s">
        <v>183</v>
      </c>
      <c r="G489" t="s">
        <v>52</v>
      </c>
      <c r="H489" t="s">
        <v>156</v>
      </c>
    </row>
    <row r="490" spans="1:24" x14ac:dyDescent="0.3">
      <c r="A490" t="s">
        <v>31</v>
      </c>
      <c r="B490" t="s">
        <v>5</v>
      </c>
      <c r="C490" t="s">
        <v>15</v>
      </c>
      <c r="D490" t="s">
        <v>32</v>
      </c>
      <c r="E490" t="s">
        <v>33</v>
      </c>
      <c r="F490" t="s">
        <v>183</v>
      </c>
      <c r="G490" t="s">
        <v>53</v>
      </c>
      <c r="L490" t="s">
        <v>54</v>
      </c>
      <c r="M490">
        <v>0.52</v>
      </c>
      <c r="N490">
        <f t="shared" ref="N490:W493" ca="1" si="53">M490</f>
        <v>0.52</v>
      </c>
      <c r="O490">
        <f t="shared" ca="1" si="53"/>
        <v>0.52</v>
      </c>
      <c r="P490">
        <f t="shared" ca="1" si="53"/>
        <v>0.52</v>
      </c>
      <c r="Q490">
        <f t="shared" ca="1" si="53"/>
        <v>0.52</v>
      </c>
      <c r="R490">
        <f t="shared" ca="1" si="53"/>
        <v>0.52</v>
      </c>
      <c r="S490">
        <f t="shared" ca="1" si="53"/>
        <v>0.52</v>
      </c>
      <c r="T490">
        <f t="shared" ca="1" si="53"/>
        <v>0.52</v>
      </c>
      <c r="U490">
        <f t="shared" ca="1" si="53"/>
        <v>0.52</v>
      </c>
      <c r="V490">
        <f t="shared" ca="1" si="53"/>
        <v>0.52</v>
      </c>
      <c r="W490">
        <f t="shared" ca="1" si="53"/>
        <v>0.52</v>
      </c>
    </row>
    <row r="491" spans="1:24" x14ac:dyDescent="0.3">
      <c r="A491" t="s">
        <v>31</v>
      </c>
      <c r="B491" t="s">
        <v>5</v>
      </c>
      <c r="C491" t="s">
        <v>15</v>
      </c>
      <c r="D491" t="s">
        <v>32</v>
      </c>
      <c r="E491" t="s">
        <v>33</v>
      </c>
      <c r="F491" t="s">
        <v>183</v>
      </c>
      <c r="G491" t="s">
        <v>55</v>
      </c>
      <c r="L491" t="s">
        <v>54</v>
      </c>
      <c r="M491">
        <v>0.01</v>
      </c>
      <c r="N491">
        <f t="shared" ca="1" si="53"/>
        <v>0.01</v>
      </c>
      <c r="O491">
        <f t="shared" ca="1" si="53"/>
        <v>0.01</v>
      </c>
      <c r="P491">
        <f t="shared" ca="1" si="53"/>
        <v>0.01</v>
      </c>
      <c r="Q491">
        <f t="shared" ca="1" si="53"/>
        <v>0.01</v>
      </c>
      <c r="R491">
        <f t="shared" ca="1" si="53"/>
        <v>0.01</v>
      </c>
      <c r="S491">
        <f t="shared" ca="1" si="53"/>
        <v>0.01</v>
      </c>
      <c r="T491">
        <f t="shared" ca="1" si="53"/>
        <v>0.01</v>
      </c>
      <c r="U491">
        <f t="shared" ca="1" si="53"/>
        <v>0.01</v>
      </c>
      <c r="V491">
        <f t="shared" ca="1" si="53"/>
        <v>0.01</v>
      </c>
      <c r="W491">
        <f t="shared" ca="1" si="53"/>
        <v>0.01</v>
      </c>
    </row>
    <row r="492" spans="1:24" x14ac:dyDescent="0.3">
      <c r="A492" t="s">
        <v>31</v>
      </c>
      <c r="B492" t="s">
        <v>5</v>
      </c>
      <c r="C492" t="s">
        <v>15</v>
      </c>
      <c r="D492" t="s">
        <v>32</v>
      </c>
      <c r="E492" t="s">
        <v>33</v>
      </c>
      <c r="F492" t="s">
        <v>183</v>
      </c>
      <c r="G492" t="s">
        <v>56</v>
      </c>
      <c r="L492" t="s">
        <v>186</v>
      </c>
      <c r="M492">
        <f ca="1">86358000*16*1000/1000</f>
        <v>1381728000</v>
      </c>
      <c r="N492">
        <f t="shared" ca="1" si="53"/>
        <v>1381728000</v>
      </c>
      <c r="O492">
        <f t="shared" ca="1" si="53"/>
        <v>1381728000</v>
      </c>
      <c r="P492">
        <f t="shared" ca="1" si="53"/>
        <v>1381728000</v>
      </c>
      <c r="Q492">
        <f t="shared" ca="1" si="53"/>
        <v>1381728000</v>
      </c>
      <c r="R492">
        <f t="shared" ca="1" si="53"/>
        <v>1381728000</v>
      </c>
      <c r="S492">
        <f t="shared" ca="1" si="53"/>
        <v>1381728000</v>
      </c>
      <c r="T492">
        <f t="shared" ca="1" si="53"/>
        <v>1381728000</v>
      </c>
      <c r="U492">
        <f t="shared" ca="1" si="53"/>
        <v>1381728000</v>
      </c>
      <c r="V492">
        <f t="shared" ca="1" si="53"/>
        <v>1381728000</v>
      </c>
      <c r="W492">
        <f t="shared" ca="1" si="53"/>
        <v>1381728000</v>
      </c>
      <c r="X492" t="s">
        <v>187</v>
      </c>
    </row>
    <row r="493" spans="1:24" x14ac:dyDescent="0.3">
      <c r="A493" t="s">
        <v>31</v>
      </c>
      <c r="B493" t="s">
        <v>5</v>
      </c>
      <c r="C493" t="s">
        <v>15</v>
      </c>
      <c r="D493" t="s">
        <v>32</v>
      </c>
      <c r="E493" t="s">
        <v>33</v>
      </c>
      <c r="F493" t="s">
        <v>183</v>
      </c>
      <c r="G493" t="s">
        <v>58</v>
      </c>
      <c r="L493" t="s">
        <v>54</v>
      </c>
      <c r="M493">
        <v>0.92</v>
      </c>
      <c r="N493">
        <f t="shared" ca="1" si="53"/>
        <v>0.92</v>
      </c>
      <c r="O493">
        <f t="shared" ca="1" si="53"/>
        <v>0.92</v>
      </c>
      <c r="P493">
        <f t="shared" ca="1" si="53"/>
        <v>0.92</v>
      </c>
      <c r="Q493">
        <f t="shared" ca="1" si="53"/>
        <v>0.92</v>
      </c>
      <c r="R493">
        <f t="shared" ca="1" si="53"/>
        <v>0.92</v>
      </c>
      <c r="S493">
        <f t="shared" ca="1" si="53"/>
        <v>0.92</v>
      </c>
      <c r="T493">
        <f t="shared" ca="1" si="53"/>
        <v>0.92</v>
      </c>
      <c r="U493">
        <f t="shared" ca="1" si="53"/>
        <v>0.92</v>
      </c>
      <c r="V493">
        <f t="shared" ca="1" si="53"/>
        <v>0.92</v>
      </c>
      <c r="W493">
        <f t="shared" ca="1" si="53"/>
        <v>0.92</v>
      </c>
    </row>
    <row r="494" spans="1:24" x14ac:dyDescent="0.3">
      <c r="A494" t="s">
        <v>35</v>
      </c>
      <c r="B494" t="s">
        <v>5</v>
      </c>
      <c r="C494" t="s">
        <v>15</v>
      </c>
      <c r="D494" t="s">
        <v>32</v>
      </c>
      <c r="E494" t="s">
        <v>36</v>
      </c>
      <c r="F494" t="s">
        <v>192</v>
      </c>
      <c r="G494" t="s">
        <v>52</v>
      </c>
      <c r="H494" t="s">
        <v>193</v>
      </c>
    </row>
    <row r="495" spans="1:24" x14ac:dyDescent="0.3">
      <c r="A495" t="s">
        <v>35</v>
      </c>
      <c r="B495" t="s">
        <v>5</v>
      </c>
      <c r="C495" t="s">
        <v>15</v>
      </c>
      <c r="D495" t="s">
        <v>32</v>
      </c>
      <c r="E495" t="s">
        <v>36</v>
      </c>
      <c r="F495" t="s">
        <v>192</v>
      </c>
      <c r="G495" t="s">
        <v>53</v>
      </c>
      <c r="L495" t="s">
        <v>54</v>
      </c>
      <c r="M495">
        <v>0.7</v>
      </c>
      <c r="N495">
        <f t="shared" ref="N495:W498" ca="1" si="54">M495</f>
        <v>0.7</v>
      </c>
      <c r="O495">
        <f t="shared" ca="1" si="54"/>
        <v>0.7</v>
      </c>
      <c r="P495">
        <f t="shared" ca="1" si="54"/>
        <v>0.7</v>
      </c>
      <c r="Q495">
        <f t="shared" ca="1" si="54"/>
        <v>0.7</v>
      </c>
      <c r="R495">
        <f t="shared" ca="1" si="54"/>
        <v>0.7</v>
      </c>
      <c r="S495">
        <f t="shared" ca="1" si="54"/>
        <v>0.7</v>
      </c>
      <c r="T495">
        <f t="shared" ca="1" si="54"/>
        <v>0.7</v>
      </c>
      <c r="U495">
        <f t="shared" ca="1" si="54"/>
        <v>0.7</v>
      </c>
      <c r="V495">
        <f t="shared" ca="1" si="54"/>
        <v>0.7</v>
      </c>
      <c r="W495">
        <f t="shared" ca="1" si="54"/>
        <v>0.7</v>
      </c>
    </row>
    <row r="496" spans="1:24" x14ac:dyDescent="0.3">
      <c r="A496" t="s">
        <v>35</v>
      </c>
      <c r="B496" t="s">
        <v>5</v>
      </c>
      <c r="C496" t="s">
        <v>15</v>
      </c>
      <c r="D496" t="s">
        <v>32</v>
      </c>
      <c r="E496" t="s">
        <v>36</v>
      </c>
      <c r="F496" t="s">
        <v>192</v>
      </c>
      <c r="G496" t="s">
        <v>55</v>
      </c>
      <c r="L496" t="s">
        <v>54</v>
      </c>
      <c r="M496">
        <v>1E-3</v>
      </c>
      <c r="N496">
        <f t="shared" ca="1" si="54"/>
        <v>1E-3</v>
      </c>
      <c r="O496">
        <f t="shared" ca="1" si="54"/>
        <v>1E-3</v>
      </c>
      <c r="P496">
        <f t="shared" ca="1" si="54"/>
        <v>1E-3</v>
      </c>
      <c r="Q496">
        <f t="shared" ca="1" si="54"/>
        <v>1E-3</v>
      </c>
      <c r="R496">
        <f t="shared" ca="1" si="54"/>
        <v>1E-3</v>
      </c>
      <c r="S496">
        <f t="shared" ca="1" si="54"/>
        <v>1E-3</v>
      </c>
      <c r="T496">
        <f t="shared" ca="1" si="54"/>
        <v>1E-3</v>
      </c>
      <c r="U496">
        <f t="shared" ca="1" si="54"/>
        <v>1E-3</v>
      </c>
      <c r="V496">
        <f t="shared" ca="1" si="54"/>
        <v>1E-3</v>
      </c>
      <c r="W496">
        <f t="shared" ca="1" si="54"/>
        <v>1E-3</v>
      </c>
    </row>
    <row r="497" spans="1:24" x14ac:dyDescent="0.3">
      <c r="A497" t="s">
        <v>35</v>
      </c>
      <c r="B497" t="s">
        <v>5</v>
      </c>
      <c r="C497" t="s">
        <v>15</v>
      </c>
      <c r="D497" t="s">
        <v>32</v>
      </c>
      <c r="E497" t="s">
        <v>36</v>
      </c>
      <c r="F497" t="s">
        <v>192</v>
      </c>
      <c r="G497" t="s">
        <v>56</v>
      </c>
      <c r="L497" t="s">
        <v>186</v>
      </c>
      <c r="M497">
        <f ca="1">86358000*16*1000/1000</f>
        <v>1381728000</v>
      </c>
      <c r="N497">
        <f t="shared" ca="1" si="54"/>
        <v>1381728000</v>
      </c>
      <c r="O497">
        <f t="shared" ca="1" si="54"/>
        <v>1381728000</v>
      </c>
      <c r="P497">
        <f t="shared" ca="1" si="54"/>
        <v>1381728000</v>
      </c>
      <c r="Q497">
        <f t="shared" ca="1" si="54"/>
        <v>1381728000</v>
      </c>
      <c r="R497">
        <f t="shared" ca="1" si="54"/>
        <v>1381728000</v>
      </c>
      <c r="S497">
        <f t="shared" ca="1" si="54"/>
        <v>1381728000</v>
      </c>
      <c r="T497">
        <f t="shared" ca="1" si="54"/>
        <v>1381728000</v>
      </c>
      <c r="U497">
        <f t="shared" ca="1" si="54"/>
        <v>1381728000</v>
      </c>
      <c r="V497">
        <f t="shared" ca="1" si="54"/>
        <v>1381728000</v>
      </c>
      <c r="W497">
        <f t="shared" ca="1" si="54"/>
        <v>1381728000</v>
      </c>
      <c r="X497" t="s">
        <v>187</v>
      </c>
    </row>
    <row r="498" spans="1:24" x14ac:dyDescent="0.3">
      <c r="A498" t="s">
        <v>35</v>
      </c>
      <c r="B498" t="s">
        <v>5</v>
      </c>
      <c r="C498" t="s">
        <v>15</v>
      </c>
      <c r="D498" t="s">
        <v>32</v>
      </c>
      <c r="E498" t="s">
        <v>36</v>
      </c>
      <c r="F498" t="s">
        <v>192</v>
      </c>
      <c r="G498" t="s">
        <v>58</v>
      </c>
      <c r="L498" t="s">
        <v>54</v>
      </c>
      <c r="M498">
        <v>0.97</v>
      </c>
      <c r="N498">
        <f t="shared" ca="1" si="54"/>
        <v>0.97</v>
      </c>
      <c r="O498">
        <f t="shared" ca="1" si="54"/>
        <v>0.97</v>
      </c>
      <c r="P498">
        <f t="shared" ca="1" si="54"/>
        <v>0.97</v>
      </c>
      <c r="Q498">
        <f t="shared" ca="1" si="54"/>
        <v>0.97</v>
      </c>
      <c r="R498">
        <f t="shared" ca="1" si="54"/>
        <v>0.97</v>
      </c>
      <c r="S498">
        <f t="shared" ca="1" si="54"/>
        <v>0.97</v>
      </c>
      <c r="T498">
        <f t="shared" ca="1" si="54"/>
        <v>0.97</v>
      </c>
      <c r="U498">
        <f t="shared" ca="1" si="54"/>
        <v>0.97</v>
      </c>
      <c r="V498">
        <f t="shared" ca="1" si="54"/>
        <v>0.97</v>
      </c>
      <c r="W498">
        <f t="shared" ca="1" si="54"/>
        <v>0.97</v>
      </c>
    </row>
    <row r="499" spans="1:24" x14ac:dyDescent="0.3">
      <c r="A499" t="s">
        <v>35</v>
      </c>
      <c r="B499" t="s">
        <v>5</v>
      </c>
      <c r="C499" t="s">
        <v>15</v>
      </c>
      <c r="D499" t="s">
        <v>32</v>
      </c>
      <c r="E499" t="s">
        <v>36</v>
      </c>
      <c r="F499" t="s">
        <v>189</v>
      </c>
      <c r="G499" t="s">
        <v>52</v>
      </c>
      <c r="H499" t="s">
        <v>190</v>
      </c>
    </row>
    <row r="500" spans="1:24" x14ac:dyDescent="0.3">
      <c r="A500" t="s">
        <v>35</v>
      </c>
      <c r="B500" t="s">
        <v>5</v>
      </c>
      <c r="C500" t="s">
        <v>15</v>
      </c>
      <c r="D500" t="s">
        <v>32</v>
      </c>
      <c r="E500" t="s">
        <v>36</v>
      </c>
      <c r="F500" t="s">
        <v>189</v>
      </c>
      <c r="G500" t="s">
        <v>53</v>
      </c>
      <c r="L500" t="s">
        <v>54</v>
      </c>
      <c r="M500">
        <v>0.87</v>
      </c>
      <c r="N500">
        <f t="shared" ref="N500:W503" ca="1" si="55">M500</f>
        <v>0.87</v>
      </c>
      <c r="O500">
        <f t="shared" ca="1" si="55"/>
        <v>0.87</v>
      </c>
      <c r="P500">
        <f t="shared" ca="1" si="55"/>
        <v>0.87</v>
      </c>
      <c r="Q500">
        <f t="shared" ca="1" si="55"/>
        <v>0.87</v>
      </c>
      <c r="R500">
        <f t="shared" ca="1" si="55"/>
        <v>0.87</v>
      </c>
      <c r="S500">
        <f t="shared" ca="1" si="55"/>
        <v>0.87</v>
      </c>
      <c r="T500">
        <f t="shared" ca="1" si="55"/>
        <v>0.87</v>
      </c>
      <c r="U500">
        <f t="shared" ca="1" si="55"/>
        <v>0.87</v>
      </c>
      <c r="V500">
        <f t="shared" ca="1" si="55"/>
        <v>0.87</v>
      </c>
      <c r="W500">
        <f t="shared" ca="1" si="55"/>
        <v>0.87</v>
      </c>
    </row>
    <row r="501" spans="1:24" x14ac:dyDescent="0.3">
      <c r="A501" t="s">
        <v>35</v>
      </c>
      <c r="B501" t="s">
        <v>5</v>
      </c>
      <c r="C501" t="s">
        <v>15</v>
      </c>
      <c r="D501" t="s">
        <v>32</v>
      </c>
      <c r="E501" t="s">
        <v>36</v>
      </c>
      <c r="F501" t="s">
        <v>189</v>
      </c>
      <c r="G501" t="s">
        <v>55</v>
      </c>
      <c r="L501" t="s">
        <v>54</v>
      </c>
      <c r="M501">
        <v>5.0000000000000001E-3</v>
      </c>
      <c r="N501">
        <f t="shared" ca="1" si="55"/>
        <v>5.0000000000000001E-3</v>
      </c>
      <c r="O501">
        <f t="shared" ca="1" si="55"/>
        <v>5.0000000000000001E-3</v>
      </c>
      <c r="P501">
        <f t="shared" ca="1" si="55"/>
        <v>5.0000000000000001E-3</v>
      </c>
      <c r="Q501">
        <f t="shared" ca="1" si="55"/>
        <v>5.0000000000000001E-3</v>
      </c>
      <c r="R501">
        <f t="shared" ca="1" si="55"/>
        <v>5.0000000000000001E-3</v>
      </c>
      <c r="S501">
        <f t="shared" ca="1" si="55"/>
        <v>5.0000000000000001E-3</v>
      </c>
      <c r="T501">
        <f t="shared" ca="1" si="55"/>
        <v>5.0000000000000001E-3</v>
      </c>
      <c r="U501">
        <f t="shared" ca="1" si="55"/>
        <v>5.0000000000000001E-3</v>
      </c>
      <c r="V501">
        <f t="shared" ca="1" si="55"/>
        <v>5.0000000000000001E-3</v>
      </c>
      <c r="W501">
        <f t="shared" ca="1" si="55"/>
        <v>5.0000000000000001E-3</v>
      </c>
    </row>
    <row r="502" spans="1:24" x14ac:dyDescent="0.3">
      <c r="A502" t="s">
        <v>35</v>
      </c>
      <c r="B502" t="s">
        <v>5</v>
      </c>
      <c r="C502" t="s">
        <v>15</v>
      </c>
      <c r="D502" t="s">
        <v>32</v>
      </c>
      <c r="E502" t="s">
        <v>36</v>
      </c>
      <c r="F502" t="s">
        <v>189</v>
      </c>
      <c r="G502" t="s">
        <v>56</v>
      </c>
      <c r="L502" t="s">
        <v>186</v>
      </c>
      <c r="M502">
        <f ca="1">86358000*16*1000/1000</f>
        <v>1381728000</v>
      </c>
      <c r="N502">
        <f t="shared" ca="1" si="55"/>
        <v>1381728000</v>
      </c>
      <c r="O502">
        <f t="shared" ca="1" si="55"/>
        <v>1381728000</v>
      </c>
      <c r="P502">
        <f t="shared" ca="1" si="55"/>
        <v>1381728000</v>
      </c>
      <c r="Q502">
        <f t="shared" ca="1" si="55"/>
        <v>1381728000</v>
      </c>
      <c r="R502">
        <f t="shared" ca="1" si="55"/>
        <v>1381728000</v>
      </c>
      <c r="S502">
        <f t="shared" ca="1" si="55"/>
        <v>1381728000</v>
      </c>
      <c r="T502">
        <f t="shared" ca="1" si="55"/>
        <v>1381728000</v>
      </c>
      <c r="U502">
        <f t="shared" ca="1" si="55"/>
        <v>1381728000</v>
      </c>
      <c r="V502">
        <f t="shared" ca="1" si="55"/>
        <v>1381728000</v>
      </c>
      <c r="W502">
        <f t="shared" ca="1" si="55"/>
        <v>1381728000</v>
      </c>
      <c r="X502" t="s">
        <v>187</v>
      </c>
    </row>
    <row r="503" spans="1:24" x14ac:dyDescent="0.3">
      <c r="A503" t="s">
        <v>35</v>
      </c>
      <c r="B503" t="s">
        <v>5</v>
      </c>
      <c r="C503" t="s">
        <v>15</v>
      </c>
      <c r="D503" t="s">
        <v>32</v>
      </c>
      <c r="E503" t="s">
        <v>36</v>
      </c>
      <c r="F503" t="s">
        <v>189</v>
      </c>
      <c r="G503" t="s">
        <v>58</v>
      </c>
      <c r="L503" t="s">
        <v>54</v>
      </c>
      <c r="M503">
        <v>0.95</v>
      </c>
      <c r="N503">
        <f t="shared" ca="1" si="55"/>
        <v>0.95</v>
      </c>
      <c r="O503">
        <f t="shared" ca="1" si="55"/>
        <v>0.95</v>
      </c>
      <c r="P503">
        <f t="shared" ca="1" si="55"/>
        <v>0.95</v>
      </c>
      <c r="Q503">
        <f t="shared" ca="1" si="55"/>
        <v>0.95</v>
      </c>
      <c r="R503">
        <f t="shared" ca="1" si="55"/>
        <v>0.95</v>
      </c>
      <c r="S503">
        <f t="shared" ca="1" si="55"/>
        <v>0.95</v>
      </c>
      <c r="T503">
        <f t="shared" ca="1" si="55"/>
        <v>0.95</v>
      </c>
      <c r="U503">
        <f t="shared" ca="1" si="55"/>
        <v>0.95</v>
      </c>
      <c r="V503">
        <f t="shared" ca="1" si="55"/>
        <v>0.95</v>
      </c>
      <c r="W503">
        <f t="shared" ca="1" si="55"/>
        <v>0.95</v>
      </c>
    </row>
    <row r="504" spans="1:24" x14ac:dyDescent="0.3">
      <c r="A504" t="s">
        <v>35</v>
      </c>
      <c r="B504" t="s">
        <v>5</v>
      </c>
      <c r="C504" t="s">
        <v>15</v>
      </c>
      <c r="D504" t="s">
        <v>32</v>
      </c>
      <c r="E504" t="s">
        <v>36</v>
      </c>
      <c r="F504" t="s">
        <v>89</v>
      </c>
      <c r="G504" t="s">
        <v>52</v>
      </c>
      <c r="H504" t="s">
        <v>163</v>
      </c>
    </row>
    <row r="505" spans="1:24" x14ac:dyDescent="0.3">
      <c r="A505" t="s">
        <v>35</v>
      </c>
      <c r="B505" t="s">
        <v>5</v>
      </c>
      <c r="C505" t="s">
        <v>15</v>
      </c>
      <c r="D505" t="s">
        <v>32</v>
      </c>
      <c r="E505" t="s">
        <v>36</v>
      </c>
      <c r="F505" t="s">
        <v>89</v>
      </c>
      <c r="G505" t="s">
        <v>53</v>
      </c>
      <c r="L505" t="s">
        <v>54</v>
      </c>
      <c r="M505">
        <v>0.4</v>
      </c>
      <c r="N505">
        <f t="shared" ref="N505:W508" ca="1" si="56">M505</f>
        <v>0.4</v>
      </c>
      <c r="O505">
        <f t="shared" ca="1" si="56"/>
        <v>0.4</v>
      </c>
      <c r="P505">
        <f t="shared" ca="1" si="56"/>
        <v>0.4</v>
      </c>
      <c r="Q505">
        <f t="shared" ca="1" si="56"/>
        <v>0.4</v>
      </c>
      <c r="R505">
        <f t="shared" ca="1" si="56"/>
        <v>0.4</v>
      </c>
      <c r="S505">
        <f t="shared" ca="1" si="56"/>
        <v>0.4</v>
      </c>
      <c r="T505">
        <f t="shared" ca="1" si="56"/>
        <v>0.4</v>
      </c>
      <c r="U505">
        <f t="shared" ca="1" si="56"/>
        <v>0.4</v>
      </c>
      <c r="V505">
        <f t="shared" ca="1" si="56"/>
        <v>0.4</v>
      </c>
      <c r="W505">
        <f t="shared" ca="1" si="56"/>
        <v>0.4</v>
      </c>
    </row>
    <row r="506" spans="1:24" x14ac:dyDescent="0.3">
      <c r="A506" t="s">
        <v>35</v>
      </c>
      <c r="B506" t="s">
        <v>5</v>
      </c>
      <c r="C506" t="s">
        <v>15</v>
      </c>
      <c r="D506" t="s">
        <v>32</v>
      </c>
      <c r="E506" t="s">
        <v>36</v>
      </c>
      <c r="F506" t="s">
        <v>89</v>
      </c>
      <c r="G506" t="s">
        <v>55</v>
      </c>
      <c r="L506" t="s">
        <v>54</v>
      </c>
      <c r="M506">
        <v>1.4999999999999999E-2</v>
      </c>
      <c r="N506">
        <f t="shared" ca="1" si="56"/>
        <v>1.4999999999999999E-2</v>
      </c>
      <c r="O506">
        <f t="shared" ca="1" si="56"/>
        <v>1.4999999999999999E-2</v>
      </c>
      <c r="P506">
        <f t="shared" ca="1" si="56"/>
        <v>1.4999999999999999E-2</v>
      </c>
      <c r="Q506">
        <f t="shared" ca="1" si="56"/>
        <v>1.4999999999999999E-2</v>
      </c>
      <c r="R506">
        <f t="shared" ca="1" si="56"/>
        <v>1.4999999999999999E-2</v>
      </c>
      <c r="S506">
        <f t="shared" ca="1" si="56"/>
        <v>1.4999999999999999E-2</v>
      </c>
      <c r="T506">
        <f t="shared" ca="1" si="56"/>
        <v>1.4999999999999999E-2</v>
      </c>
      <c r="U506">
        <f t="shared" ca="1" si="56"/>
        <v>1.4999999999999999E-2</v>
      </c>
      <c r="V506">
        <f t="shared" ca="1" si="56"/>
        <v>1.4999999999999999E-2</v>
      </c>
      <c r="W506">
        <f t="shared" ca="1" si="56"/>
        <v>1.4999999999999999E-2</v>
      </c>
    </row>
    <row r="507" spans="1:24" x14ac:dyDescent="0.3">
      <c r="A507" t="s">
        <v>35</v>
      </c>
      <c r="B507" t="s">
        <v>5</v>
      </c>
      <c r="C507" t="s">
        <v>15</v>
      </c>
      <c r="D507" t="s">
        <v>32</v>
      </c>
      <c r="E507" t="s">
        <v>36</v>
      </c>
      <c r="F507" t="s">
        <v>89</v>
      </c>
      <c r="G507" t="s">
        <v>56</v>
      </c>
      <c r="L507" t="s">
        <v>186</v>
      </c>
      <c r="M507">
        <f ca="1">86358000*16*1000/1000</f>
        <v>1381728000</v>
      </c>
      <c r="N507">
        <f t="shared" ca="1" si="56"/>
        <v>1381728000</v>
      </c>
      <c r="O507">
        <f t="shared" ca="1" si="56"/>
        <v>1381728000</v>
      </c>
      <c r="P507">
        <f t="shared" ca="1" si="56"/>
        <v>1381728000</v>
      </c>
      <c r="Q507">
        <f t="shared" ca="1" si="56"/>
        <v>1381728000</v>
      </c>
      <c r="R507">
        <f t="shared" ca="1" si="56"/>
        <v>1381728000</v>
      </c>
      <c r="S507">
        <f t="shared" ca="1" si="56"/>
        <v>1381728000</v>
      </c>
      <c r="T507">
        <f t="shared" ca="1" si="56"/>
        <v>1381728000</v>
      </c>
      <c r="U507">
        <f t="shared" ca="1" si="56"/>
        <v>1381728000</v>
      </c>
      <c r="V507">
        <f t="shared" ca="1" si="56"/>
        <v>1381728000</v>
      </c>
      <c r="W507">
        <f t="shared" ca="1" si="56"/>
        <v>1381728000</v>
      </c>
      <c r="X507" t="s">
        <v>187</v>
      </c>
    </row>
    <row r="508" spans="1:24" x14ac:dyDescent="0.3">
      <c r="A508" t="s">
        <v>35</v>
      </c>
      <c r="B508" t="s">
        <v>5</v>
      </c>
      <c r="C508" t="s">
        <v>15</v>
      </c>
      <c r="D508" t="s">
        <v>32</v>
      </c>
      <c r="E508" t="s">
        <v>36</v>
      </c>
      <c r="F508" t="s">
        <v>89</v>
      </c>
      <c r="G508" t="s">
        <v>58</v>
      </c>
      <c r="L508" t="s">
        <v>54</v>
      </c>
      <c r="M508">
        <v>0.85</v>
      </c>
      <c r="N508">
        <f t="shared" ca="1" si="56"/>
        <v>0.85</v>
      </c>
      <c r="O508">
        <f t="shared" ca="1" si="56"/>
        <v>0.85</v>
      </c>
      <c r="P508">
        <f t="shared" ca="1" si="56"/>
        <v>0.85</v>
      </c>
      <c r="Q508">
        <f t="shared" ca="1" si="56"/>
        <v>0.85</v>
      </c>
      <c r="R508">
        <f t="shared" ca="1" si="56"/>
        <v>0.85</v>
      </c>
      <c r="S508">
        <f t="shared" ca="1" si="56"/>
        <v>0.85</v>
      </c>
      <c r="T508">
        <f t="shared" ca="1" si="56"/>
        <v>0.85</v>
      </c>
      <c r="U508">
        <f t="shared" ca="1" si="56"/>
        <v>0.85</v>
      </c>
      <c r="V508">
        <f t="shared" ca="1" si="56"/>
        <v>0.85</v>
      </c>
      <c r="W508">
        <f t="shared" ca="1" si="56"/>
        <v>0.85</v>
      </c>
    </row>
    <row r="509" spans="1:24" x14ac:dyDescent="0.3">
      <c r="A509" t="s">
        <v>35</v>
      </c>
      <c r="B509" t="s">
        <v>5</v>
      </c>
      <c r="C509" t="s">
        <v>15</v>
      </c>
      <c r="D509" t="s">
        <v>32</v>
      </c>
      <c r="E509" t="s">
        <v>36</v>
      </c>
      <c r="F509" t="s">
        <v>191</v>
      </c>
      <c r="G509" t="s">
        <v>52</v>
      </c>
      <c r="H509" t="s">
        <v>156</v>
      </c>
    </row>
    <row r="510" spans="1:24" x14ac:dyDescent="0.3">
      <c r="A510" t="s">
        <v>35</v>
      </c>
      <c r="B510" t="s">
        <v>5</v>
      </c>
      <c r="C510" t="s">
        <v>15</v>
      </c>
      <c r="D510" t="s">
        <v>32</v>
      </c>
      <c r="E510" t="s">
        <v>36</v>
      </c>
      <c r="F510" t="s">
        <v>191</v>
      </c>
      <c r="G510" t="s">
        <v>53</v>
      </c>
      <c r="L510" t="s">
        <v>54</v>
      </c>
      <c r="M510">
        <v>0.4</v>
      </c>
      <c r="N510">
        <f t="shared" ref="N510:W513" ca="1" si="57">M510</f>
        <v>0.4</v>
      </c>
      <c r="O510">
        <f t="shared" ca="1" si="57"/>
        <v>0.4</v>
      </c>
      <c r="P510">
        <f t="shared" ca="1" si="57"/>
        <v>0.4</v>
      </c>
      <c r="Q510">
        <f t="shared" ca="1" si="57"/>
        <v>0.4</v>
      </c>
      <c r="R510">
        <f t="shared" ca="1" si="57"/>
        <v>0.4</v>
      </c>
      <c r="S510">
        <f t="shared" ca="1" si="57"/>
        <v>0.4</v>
      </c>
      <c r="T510">
        <f t="shared" ca="1" si="57"/>
        <v>0.4</v>
      </c>
      <c r="U510">
        <f t="shared" ca="1" si="57"/>
        <v>0.4</v>
      </c>
      <c r="V510">
        <f t="shared" ca="1" si="57"/>
        <v>0.4</v>
      </c>
      <c r="W510">
        <f t="shared" ca="1" si="57"/>
        <v>0.4</v>
      </c>
    </row>
    <row r="511" spans="1:24" x14ac:dyDescent="0.3">
      <c r="A511" t="s">
        <v>35</v>
      </c>
      <c r="B511" t="s">
        <v>5</v>
      </c>
      <c r="C511" t="s">
        <v>15</v>
      </c>
      <c r="D511" t="s">
        <v>32</v>
      </c>
      <c r="E511" t="s">
        <v>36</v>
      </c>
      <c r="F511" t="s">
        <v>191</v>
      </c>
      <c r="G511" t="s">
        <v>55</v>
      </c>
      <c r="L511" t="s">
        <v>54</v>
      </c>
      <c r="M511">
        <v>1.4999999999999999E-2</v>
      </c>
      <c r="N511">
        <f t="shared" ca="1" si="57"/>
        <v>1.4999999999999999E-2</v>
      </c>
      <c r="O511">
        <f t="shared" ca="1" si="57"/>
        <v>1.4999999999999999E-2</v>
      </c>
      <c r="P511">
        <f t="shared" ca="1" si="57"/>
        <v>1.4999999999999999E-2</v>
      </c>
      <c r="Q511">
        <f t="shared" ca="1" si="57"/>
        <v>1.4999999999999999E-2</v>
      </c>
      <c r="R511">
        <f t="shared" ca="1" si="57"/>
        <v>1.4999999999999999E-2</v>
      </c>
      <c r="S511">
        <f t="shared" ca="1" si="57"/>
        <v>1.4999999999999999E-2</v>
      </c>
      <c r="T511">
        <f t="shared" ca="1" si="57"/>
        <v>1.4999999999999999E-2</v>
      </c>
      <c r="U511">
        <f t="shared" ca="1" si="57"/>
        <v>1.4999999999999999E-2</v>
      </c>
      <c r="V511">
        <f t="shared" ca="1" si="57"/>
        <v>1.4999999999999999E-2</v>
      </c>
      <c r="W511">
        <f t="shared" ca="1" si="57"/>
        <v>1.4999999999999999E-2</v>
      </c>
    </row>
    <row r="512" spans="1:24" x14ac:dyDescent="0.3">
      <c r="A512" t="s">
        <v>35</v>
      </c>
      <c r="B512" t="s">
        <v>5</v>
      </c>
      <c r="C512" t="s">
        <v>15</v>
      </c>
      <c r="D512" t="s">
        <v>32</v>
      </c>
      <c r="E512" t="s">
        <v>36</v>
      </c>
      <c r="F512" t="s">
        <v>191</v>
      </c>
      <c r="G512" t="s">
        <v>56</v>
      </c>
      <c r="L512" t="s">
        <v>186</v>
      </c>
      <c r="M512">
        <f ca="1">86358000*16*1000/1000</f>
        <v>1381728000</v>
      </c>
      <c r="N512">
        <f t="shared" ca="1" si="57"/>
        <v>1381728000</v>
      </c>
      <c r="O512">
        <f t="shared" ca="1" si="57"/>
        <v>1381728000</v>
      </c>
      <c r="P512">
        <f t="shared" ca="1" si="57"/>
        <v>1381728000</v>
      </c>
      <c r="Q512">
        <f t="shared" ca="1" si="57"/>
        <v>1381728000</v>
      </c>
      <c r="R512">
        <f t="shared" ca="1" si="57"/>
        <v>1381728000</v>
      </c>
      <c r="S512">
        <f t="shared" ca="1" si="57"/>
        <v>1381728000</v>
      </c>
      <c r="T512">
        <f t="shared" ca="1" si="57"/>
        <v>1381728000</v>
      </c>
      <c r="U512">
        <f t="shared" ca="1" si="57"/>
        <v>1381728000</v>
      </c>
      <c r="V512">
        <f t="shared" ca="1" si="57"/>
        <v>1381728000</v>
      </c>
      <c r="W512">
        <f t="shared" ca="1" si="57"/>
        <v>1381728000</v>
      </c>
      <c r="X512" t="s">
        <v>187</v>
      </c>
    </row>
    <row r="513" spans="1:24" x14ac:dyDescent="0.3">
      <c r="A513" t="s">
        <v>35</v>
      </c>
      <c r="B513" t="s">
        <v>5</v>
      </c>
      <c r="C513" t="s">
        <v>15</v>
      </c>
      <c r="D513" t="s">
        <v>32</v>
      </c>
      <c r="E513" t="s">
        <v>36</v>
      </c>
      <c r="F513" t="s">
        <v>191</v>
      </c>
      <c r="G513" t="s">
        <v>58</v>
      </c>
      <c r="L513" t="s">
        <v>54</v>
      </c>
      <c r="M513">
        <v>0.85</v>
      </c>
      <c r="N513">
        <f t="shared" ca="1" si="57"/>
        <v>0.85</v>
      </c>
      <c r="O513">
        <f t="shared" ca="1" si="57"/>
        <v>0.85</v>
      </c>
      <c r="P513">
        <f t="shared" ca="1" si="57"/>
        <v>0.85</v>
      </c>
      <c r="Q513">
        <f t="shared" ca="1" si="57"/>
        <v>0.85</v>
      </c>
      <c r="R513">
        <f t="shared" ca="1" si="57"/>
        <v>0.85</v>
      </c>
      <c r="S513">
        <f t="shared" ca="1" si="57"/>
        <v>0.85</v>
      </c>
      <c r="T513">
        <f t="shared" ca="1" si="57"/>
        <v>0.85</v>
      </c>
      <c r="U513">
        <f t="shared" ca="1" si="57"/>
        <v>0.85</v>
      </c>
      <c r="V513">
        <f t="shared" ca="1" si="57"/>
        <v>0.85</v>
      </c>
      <c r="W513">
        <f t="shared" ca="1" si="57"/>
        <v>0.85</v>
      </c>
    </row>
    <row r="514" spans="1:24" x14ac:dyDescent="0.3">
      <c r="A514" t="s">
        <v>35</v>
      </c>
      <c r="B514" t="s">
        <v>5</v>
      </c>
      <c r="C514" t="s">
        <v>15</v>
      </c>
      <c r="D514" t="s">
        <v>32</v>
      </c>
      <c r="E514" t="s">
        <v>36</v>
      </c>
      <c r="F514" t="s">
        <v>183</v>
      </c>
      <c r="G514" t="s">
        <v>52</v>
      </c>
      <c r="H514" t="s">
        <v>156</v>
      </c>
    </row>
    <row r="515" spans="1:24" x14ac:dyDescent="0.3">
      <c r="A515" t="s">
        <v>35</v>
      </c>
      <c r="B515" t="s">
        <v>5</v>
      </c>
      <c r="C515" t="s">
        <v>15</v>
      </c>
      <c r="D515" t="s">
        <v>32</v>
      </c>
      <c r="E515" t="s">
        <v>36</v>
      </c>
      <c r="F515" t="s">
        <v>183</v>
      </c>
      <c r="G515" t="s">
        <v>53</v>
      </c>
      <c r="L515" t="s">
        <v>54</v>
      </c>
      <c r="M515">
        <v>0.67</v>
      </c>
      <c r="N515">
        <f t="shared" ref="N515:W518" ca="1" si="58">M515</f>
        <v>0.67</v>
      </c>
      <c r="O515">
        <f t="shared" ca="1" si="58"/>
        <v>0.67</v>
      </c>
      <c r="P515">
        <f t="shared" ca="1" si="58"/>
        <v>0.67</v>
      </c>
      <c r="Q515">
        <f t="shared" ca="1" si="58"/>
        <v>0.67</v>
      </c>
      <c r="R515">
        <f t="shared" ca="1" si="58"/>
        <v>0.67</v>
      </c>
      <c r="S515">
        <f t="shared" ca="1" si="58"/>
        <v>0.67</v>
      </c>
      <c r="T515">
        <f t="shared" ca="1" si="58"/>
        <v>0.67</v>
      </c>
      <c r="U515">
        <f t="shared" ca="1" si="58"/>
        <v>0.67</v>
      </c>
      <c r="V515">
        <f t="shared" ca="1" si="58"/>
        <v>0.67</v>
      </c>
      <c r="W515">
        <f t="shared" ca="1" si="58"/>
        <v>0.67</v>
      </c>
    </row>
    <row r="516" spans="1:24" x14ac:dyDescent="0.3">
      <c r="A516" t="s">
        <v>35</v>
      </c>
      <c r="B516" t="s">
        <v>5</v>
      </c>
      <c r="C516" t="s">
        <v>15</v>
      </c>
      <c r="D516" t="s">
        <v>32</v>
      </c>
      <c r="E516" t="s">
        <v>36</v>
      </c>
      <c r="F516" t="s">
        <v>183</v>
      </c>
      <c r="G516" t="s">
        <v>55</v>
      </c>
      <c r="L516" t="s">
        <v>54</v>
      </c>
      <c r="M516">
        <v>0.01</v>
      </c>
      <c r="N516">
        <f t="shared" ca="1" si="58"/>
        <v>0.01</v>
      </c>
      <c r="O516">
        <f t="shared" ca="1" si="58"/>
        <v>0.01</v>
      </c>
      <c r="P516">
        <f t="shared" ca="1" si="58"/>
        <v>0.01</v>
      </c>
      <c r="Q516">
        <f t="shared" ca="1" si="58"/>
        <v>0.01</v>
      </c>
      <c r="R516">
        <f t="shared" ca="1" si="58"/>
        <v>0.01</v>
      </c>
      <c r="S516">
        <f t="shared" ca="1" si="58"/>
        <v>0.01</v>
      </c>
      <c r="T516">
        <f t="shared" ca="1" si="58"/>
        <v>0.01</v>
      </c>
      <c r="U516">
        <f t="shared" ca="1" si="58"/>
        <v>0.01</v>
      </c>
      <c r="V516">
        <f t="shared" ca="1" si="58"/>
        <v>0.01</v>
      </c>
      <c r="W516">
        <f t="shared" ca="1" si="58"/>
        <v>0.01</v>
      </c>
    </row>
    <row r="517" spans="1:24" x14ac:dyDescent="0.3">
      <c r="A517" t="s">
        <v>35</v>
      </c>
      <c r="B517" t="s">
        <v>5</v>
      </c>
      <c r="C517" t="s">
        <v>15</v>
      </c>
      <c r="D517" t="s">
        <v>32</v>
      </c>
      <c r="E517" t="s">
        <v>36</v>
      </c>
      <c r="F517" t="s">
        <v>183</v>
      </c>
      <c r="G517" t="s">
        <v>56</v>
      </c>
      <c r="L517" t="s">
        <v>186</v>
      </c>
      <c r="M517">
        <f ca="1">86358000*16*1000/1000</f>
        <v>1381728000</v>
      </c>
      <c r="N517">
        <f t="shared" ca="1" si="58"/>
        <v>1381728000</v>
      </c>
      <c r="O517">
        <f t="shared" ca="1" si="58"/>
        <v>1381728000</v>
      </c>
      <c r="P517">
        <f t="shared" ca="1" si="58"/>
        <v>1381728000</v>
      </c>
      <c r="Q517">
        <f t="shared" ca="1" si="58"/>
        <v>1381728000</v>
      </c>
      <c r="R517">
        <f t="shared" ca="1" si="58"/>
        <v>1381728000</v>
      </c>
      <c r="S517">
        <f t="shared" ca="1" si="58"/>
        <v>1381728000</v>
      </c>
      <c r="T517">
        <f t="shared" ca="1" si="58"/>
        <v>1381728000</v>
      </c>
      <c r="U517">
        <f t="shared" ca="1" si="58"/>
        <v>1381728000</v>
      </c>
      <c r="V517">
        <f t="shared" ca="1" si="58"/>
        <v>1381728000</v>
      </c>
      <c r="W517">
        <f t="shared" ca="1" si="58"/>
        <v>1381728000</v>
      </c>
      <c r="X517" t="s">
        <v>187</v>
      </c>
    </row>
    <row r="518" spans="1:24" x14ac:dyDescent="0.3">
      <c r="A518" t="s">
        <v>35</v>
      </c>
      <c r="B518" t="s">
        <v>5</v>
      </c>
      <c r="C518" t="s">
        <v>15</v>
      </c>
      <c r="D518" t="s">
        <v>32</v>
      </c>
      <c r="E518" t="s">
        <v>36</v>
      </c>
      <c r="F518" t="s">
        <v>183</v>
      </c>
      <c r="G518" t="s">
        <v>58</v>
      </c>
      <c r="L518" t="s">
        <v>54</v>
      </c>
      <c r="M518">
        <v>0.92</v>
      </c>
      <c r="N518">
        <f t="shared" ca="1" si="58"/>
        <v>0.92</v>
      </c>
      <c r="O518">
        <f t="shared" ca="1" si="58"/>
        <v>0.92</v>
      </c>
      <c r="P518">
        <f t="shared" ca="1" si="58"/>
        <v>0.92</v>
      </c>
      <c r="Q518">
        <f t="shared" ca="1" si="58"/>
        <v>0.92</v>
      </c>
      <c r="R518">
        <f t="shared" ca="1" si="58"/>
        <v>0.92</v>
      </c>
      <c r="S518">
        <f t="shared" ca="1" si="58"/>
        <v>0.92</v>
      </c>
      <c r="T518">
        <f t="shared" ca="1" si="58"/>
        <v>0.92</v>
      </c>
      <c r="U518">
        <f t="shared" ca="1" si="58"/>
        <v>0.92</v>
      </c>
      <c r="V518">
        <f t="shared" ca="1" si="58"/>
        <v>0.92</v>
      </c>
      <c r="W518">
        <f t="shared" ca="1" si="58"/>
        <v>0.92</v>
      </c>
    </row>
    <row r="519" spans="1:24" x14ac:dyDescent="0.3">
      <c r="A519" t="s">
        <v>35</v>
      </c>
      <c r="B519" t="s">
        <v>5</v>
      </c>
      <c r="C519" t="s">
        <v>15</v>
      </c>
      <c r="D519" t="s">
        <v>32</v>
      </c>
      <c r="E519" t="s">
        <v>36</v>
      </c>
      <c r="F519" t="s">
        <v>194</v>
      </c>
      <c r="G519" t="s">
        <v>52</v>
      </c>
      <c r="H519" t="s">
        <v>194</v>
      </c>
    </row>
    <row r="520" spans="1:24" x14ac:dyDescent="0.3">
      <c r="A520" t="s">
        <v>35</v>
      </c>
      <c r="B520" t="s">
        <v>5</v>
      </c>
      <c r="C520" t="s">
        <v>15</v>
      </c>
      <c r="D520" t="s">
        <v>32</v>
      </c>
      <c r="E520" t="s">
        <v>36</v>
      </c>
      <c r="F520" t="s">
        <v>194</v>
      </c>
      <c r="G520" t="s">
        <v>53</v>
      </c>
      <c r="L520" t="s">
        <v>54</v>
      </c>
      <c r="M520">
        <v>0.6</v>
      </c>
      <c r="N520">
        <f t="shared" ref="N520:W523" ca="1" si="59">M520</f>
        <v>0.6</v>
      </c>
      <c r="O520">
        <f t="shared" ca="1" si="59"/>
        <v>0.6</v>
      </c>
      <c r="P520">
        <f t="shared" ca="1" si="59"/>
        <v>0.6</v>
      </c>
      <c r="Q520">
        <f t="shared" ca="1" si="59"/>
        <v>0.6</v>
      </c>
      <c r="R520">
        <f t="shared" ca="1" si="59"/>
        <v>0.6</v>
      </c>
      <c r="S520">
        <f t="shared" ca="1" si="59"/>
        <v>0.6</v>
      </c>
      <c r="T520">
        <f t="shared" ca="1" si="59"/>
        <v>0.6</v>
      </c>
      <c r="U520">
        <f t="shared" ca="1" si="59"/>
        <v>0.6</v>
      </c>
      <c r="V520">
        <f t="shared" ca="1" si="59"/>
        <v>0.6</v>
      </c>
      <c r="W520">
        <f t="shared" ca="1" si="59"/>
        <v>0.6</v>
      </c>
    </row>
    <row r="521" spans="1:24" x14ac:dyDescent="0.3">
      <c r="A521" t="s">
        <v>35</v>
      </c>
      <c r="B521" t="s">
        <v>5</v>
      </c>
      <c r="C521" t="s">
        <v>15</v>
      </c>
      <c r="D521" t="s">
        <v>32</v>
      </c>
      <c r="E521" t="s">
        <v>36</v>
      </c>
      <c r="F521" t="s">
        <v>194</v>
      </c>
      <c r="G521" t="s">
        <v>55</v>
      </c>
      <c r="L521" t="s">
        <v>54</v>
      </c>
      <c r="M521">
        <v>4.0000000000000001E-3</v>
      </c>
      <c r="N521">
        <f t="shared" ca="1" si="59"/>
        <v>4.0000000000000001E-3</v>
      </c>
      <c r="O521">
        <f t="shared" ca="1" si="59"/>
        <v>4.0000000000000001E-3</v>
      </c>
      <c r="P521">
        <f t="shared" ca="1" si="59"/>
        <v>4.0000000000000001E-3</v>
      </c>
      <c r="Q521">
        <f t="shared" ca="1" si="59"/>
        <v>4.0000000000000001E-3</v>
      </c>
      <c r="R521">
        <f t="shared" ca="1" si="59"/>
        <v>4.0000000000000001E-3</v>
      </c>
      <c r="S521">
        <f t="shared" ca="1" si="59"/>
        <v>4.0000000000000001E-3</v>
      </c>
      <c r="T521">
        <f t="shared" ca="1" si="59"/>
        <v>4.0000000000000001E-3</v>
      </c>
      <c r="U521">
        <f t="shared" ca="1" si="59"/>
        <v>4.0000000000000001E-3</v>
      </c>
      <c r="V521">
        <f t="shared" ca="1" si="59"/>
        <v>4.0000000000000001E-3</v>
      </c>
      <c r="W521">
        <f t="shared" ca="1" si="59"/>
        <v>4.0000000000000001E-3</v>
      </c>
    </row>
    <row r="522" spans="1:24" x14ac:dyDescent="0.3">
      <c r="A522" t="s">
        <v>35</v>
      </c>
      <c r="B522" t="s">
        <v>5</v>
      </c>
      <c r="C522" t="s">
        <v>15</v>
      </c>
      <c r="D522" t="s">
        <v>32</v>
      </c>
      <c r="E522" t="s">
        <v>36</v>
      </c>
      <c r="F522" t="s">
        <v>194</v>
      </c>
      <c r="G522" t="s">
        <v>56</v>
      </c>
      <c r="L522" t="s">
        <v>186</v>
      </c>
      <c r="M522">
        <f ca="1">86358000*16*1000/1000</f>
        <v>1381728000</v>
      </c>
      <c r="N522">
        <f t="shared" ca="1" si="59"/>
        <v>1381728000</v>
      </c>
      <c r="O522">
        <f t="shared" ca="1" si="59"/>
        <v>1381728000</v>
      </c>
      <c r="P522">
        <f t="shared" ca="1" si="59"/>
        <v>1381728000</v>
      </c>
      <c r="Q522">
        <f t="shared" ca="1" si="59"/>
        <v>1381728000</v>
      </c>
      <c r="R522">
        <f t="shared" ca="1" si="59"/>
        <v>1381728000</v>
      </c>
      <c r="S522">
        <f t="shared" ca="1" si="59"/>
        <v>1381728000</v>
      </c>
      <c r="T522">
        <f t="shared" ca="1" si="59"/>
        <v>1381728000</v>
      </c>
      <c r="U522">
        <f t="shared" ca="1" si="59"/>
        <v>1381728000</v>
      </c>
      <c r="V522">
        <f t="shared" ca="1" si="59"/>
        <v>1381728000</v>
      </c>
      <c r="W522">
        <f t="shared" ca="1" si="59"/>
        <v>1381728000</v>
      </c>
      <c r="X522" t="s">
        <v>187</v>
      </c>
    </row>
    <row r="523" spans="1:24" x14ac:dyDescent="0.3">
      <c r="A523" t="s">
        <v>35</v>
      </c>
      <c r="B523" t="s">
        <v>5</v>
      </c>
      <c r="C523" t="s">
        <v>15</v>
      </c>
      <c r="D523" t="s">
        <v>32</v>
      </c>
      <c r="E523" t="s">
        <v>36</v>
      </c>
      <c r="F523" t="s">
        <v>194</v>
      </c>
      <c r="G523" t="s">
        <v>58</v>
      </c>
      <c r="L523" t="s">
        <v>54</v>
      </c>
      <c r="M523">
        <v>0.9</v>
      </c>
      <c r="N523">
        <f t="shared" ca="1" si="59"/>
        <v>0.9</v>
      </c>
      <c r="O523">
        <f t="shared" ca="1" si="59"/>
        <v>0.9</v>
      </c>
      <c r="P523">
        <f t="shared" ca="1" si="59"/>
        <v>0.9</v>
      </c>
      <c r="Q523">
        <f t="shared" ca="1" si="59"/>
        <v>0.9</v>
      </c>
      <c r="R523">
        <f t="shared" ca="1" si="59"/>
        <v>0.9</v>
      </c>
      <c r="S523">
        <f t="shared" ca="1" si="59"/>
        <v>0.9</v>
      </c>
      <c r="T523">
        <f t="shared" ca="1" si="59"/>
        <v>0.9</v>
      </c>
      <c r="U523">
        <f t="shared" ca="1" si="59"/>
        <v>0.9</v>
      </c>
      <c r="V523">
        <f t="shared" ca="1" si="59"/>
        <v>0.9</v>
      </c>
      <c r="W523">
        <f t="shared" ca="1" si="59"/>
        <v>0.9</v>
      </c>
    </row>
    <row r="524" spans="1:24" x14ac:dyDescent="0.3">
      <c r="A524" t="s">
        <v>37</v>
      </c>
      <c r="B524" t="s">
        <v>5</v>
      </c>
      <c r="C524" t="s">
        <v>15</v>
      </c>
      <c r="D524" t="s">
        <v>32</v>
      </c>
      <c r="E524" t="s">
        <v>38</v>
      </c>
      <c r="F524" t="s">
        <v>189</v>
      </c>
      <c r="G524" t="s">
        <v>52</v>
      </c>
      <c r="H524" t="s">
        <v>190</v>
      </c>
    </row>
    <row r="525" spans="1:24" x14ac:dyDescent="0.3">
      <c r="A525" t="s">
        <v>37</v>
      </c>
      <c r="B525" t="s">
        <v>5</v>
      </c>
      <c r="C525" t="s">
        <v>15</v>
      </c>
      <c r="D525" t="s">
        <v>32</v>
      </c>
      <c r="E525" t="s">
        <v>38</v>
      </c>
      <c r="F525" t="s">
        <v>189</v>
      </c>
      <c r="G525" t="s">
        <v>53</v>
      </c>
      <c r="L525" t="s">
        <v>54</v>
      </c>
      <c r="M525">
        <v>0.4</v>
      </c>
      <c r="N525">
        <f t="shared" ref="N525:W528" ca="1" si="60">M525</f>
        <v>0.4</v>
      </c>
      <c r="O525">
        <f t="shared" ca="1" si="60"/>
        <v>0.4</v>
      </c>
      <c r="P525">
        <f t="shared" ca="1" si="60"/>
        <v>0.4</v>
      </c>
      <c r="Q525">
        <f t="shared" ca="1" si="60"/>
        <v>0.4</v>
      </c>
      <c r="R525">
        <f t="shared" ca="1" si="60"/>
        <v>0.4</v>
      </c>
      <c r="S525">
        <f t="shared" ca="1" si="60"/>
        <v>0.4</v>
      </c>
      <c r="T525">
        <f t="shared" ca="1" si="60"/>
        <v>0.4</v>
      </c>
      <c r="U525">
        <f t="shared" ca="1" si="60"/>
        <v>0.4</v>
      </c>
      <c r="V525">
        <f t="shared" ca="1" si="60"/>
        <v>0.4</v>
      </c>
      <c r="W525">
        <f t="shared" ca="1" si="60"/>
        <v>0.4</v>
      </c>
    </row>
    <row r="526" spans="1:24" x14ac:dyDescent="0.3">
      <c r="A526" t="s">
        <v>37</v>
      </c>
      <c r="B526" t="s">
        <v>5</v>
      </c>
      <c r="C526" t="s">
        <v>15</v>
      </c>
      <c r="D526" t="s">
        <v>32</v>
      </c>
      <c r="E526" t="s">
        <v>38</v>
      </c>
      <c r="F526" t="s">
        <v>189</v>
      </c>
      <c r="G526" t="s">
        <v>55</v>
      </c>
      <c r="L526" t="s">
        <v>54</v>
      </c>
      <c r="M526">
        <v>5.0000000000000001E-3</v>
      </c>
      <c r="N526">
        <f t="shared" ca="1" si="60"/>
        <v>5.0000000000000001E-3</v>
      </c>
      <c r="O526">
        <f t="shared" ca="1" si="60"/>
        <v>5.0000000000000001E-3</v>
      </c>
      <c r="P526">
        <f t="shared" ca="1" si="60"/>
        <v>5.0000000000000001E-3</v>
      </c>
      <c r="Q526">
        <f t="shared" ca="1" si="60"/>
        <v>5.0000000000000001E-3</v>
      </c>
      <c r="R526">
        <f t="shared" ca="1" si="60"/>
        <v>5.0000000000000001E-3</v>
      </c>
      <c r="S526">
        <f t="shared" ca="1" si="60"/>
        <v>5.0000000000000001E-3</v>
      </c>
      <c r="T526">
        <f t="shared" ca="1" si="60"/>
        <v>5.0000000000000001E-3</v>
      </c>
      <c r="U526">
        <f t="shared" ca="1" si="60"/>
        <v>5.0000000000000001E-3</v>
      </c>
      <c r="V526">
        <f t="shared" ca="1" si="60"/>
        <v>5.0000000000000001E-3</v>
      </c>
      <c r="W526">
        <f t="shared" ca="1" si="60"/>
        <v>5.0000000000000001E-3</v>
      </c>
    </row>
    <row r="527" spans="1:24" x14ac:dyDescent="0.3">
      <c r="A527" t="s">
        <v>37</v>
      </c>
      <c r="B527" t="s">
        <v>5</v>
      </c>
      <c r="C527" t="s">
        <v>15</v>
      </c>
      <c r="D527" t="s">
        <v>32</v>
      </c>
      <c r="E527" t="s">
        <v>38</v>
      </c>
      <c r="F527" t="s">
        <v>189</v>
      </c>
      <c r="G527" t="s">
        <v>56</v>
      </c>
      <c r="L527" t="s">
        <v>186</v>
      </c>
      <c r="M527">
        <f ca="1">80000000*25*100/1000</f>
        <v>200000000</v>
      </c>
      <c r="N527">
        <f t="shared" ca="1" si="60"/>
        <v>200000000</v>
      </c>
      <c r="O527">
        <f t="shared" ca="1" si="60"/>
        <v>200000000</v>
      </c>
      <c r="P527">
        <f t="shared" ca="1" si="60"/>
        <v>200000000</v>
      </c>
      <c r="Q527">
        <f t="shared" ca="1" si="60"/>
        <v>200000000</v>
      </c>
      <c r="R527">
        <f t="shared" ca="1" si="60"/>
        <v>200000000</v>
      </c>
      <c r="S527">
        <f t="shared" ca="1" si="60"/>
        <v>200000000</v>
      </c>
      <c r="T527">
        <f t="shared" ca="1" si="60"/>
        <v>200000000</v>
      </c>
      <c r="U527">
        <f t="shared" ca="1" si="60"/>
        <v>200000000</v>
      </c>
      <c r="V527">
        <f t="shared" ca="1" si="60"/>
        <v>200000000</v>
      </c>
      <c r="W527">
        <f t="shared" ca="1" si="60"/>
        <v>200000000</v>
      </c>
      <c r="X527" t="s">
        <v>195</v>
      </c>
    </row>
    <row r="528" spans="1:24" x14ac:dyDescent="0.3">
      <c r="A528" t="s">
        <v>37</v>
      </c>
      <c r="B528" t="s">
        <v>5</v>
      </c>
      <c r="C528" t="s">
        <v>15</v>
      </c>
      <c r="D528" t="s">
        <v>32</v>
      </c>
      <c r="E528" t="s">
        <v>38</v>
      </c>
      <c r="F528" t="s">
        <v>189</v>
      </c>
      <c r="G528" t="s">
        <v>58</v>
      </c>
      <c r="L528" t="s">
        <v>54</v>
      </c>
      <c r="M528">
        <v>0.95</v>
      </c>
      <c r="N528">
        <f t="shared" ca="1" si="60"/>
        <v>0.95</v>
      </c>
      <c r="O528">
        <f t="shared" ca="1" si="60"/>
        <v>0.95</v>
      </c>
      <c r="P528">
        <f t="shared" ca="1" si="60"/>
        <v>0.95</v>
      </c>
      <c r="Q528">
        <f t="shared" ca="1" si="60"/>
        <v>0.95</v>
      </c>
      <c r="R528">
        <f t="shared" ca="1" si="60"/>
        <v>0.95</v>
      </c>
      <c r="S528">
        <f t="shared" ca="1" si="60"/>
        <v>0.95</v>
      </c>
      <c r="T528">
        <f t="shared" ca="1" si="60"/>
        <v>0.95</v>
      </c>
      <c r="U528">
        <f t="shared" ca="1" si="60"/>
        <v>0.95</v>
      </c>
      <c r="V528">
        <f t="shared" ca="1" si="60"/>
        <v>0.95</v>
      </c>
      <c r="W528">
        <f t="shared" ca="1" si="60"/>
        <v>0.95</v>
      </c>
    </row>
    <row r="529" spans="1:24" x14ac:dyDescent="0.3">
      <c r="A529" t="s">
        <v>37</v>
      </c>
      <c r="B529" t="s">
        <v>5</v>
      </c>
      <c r="C529" t="s">
        <v>15</v>
      </c>
      <c r="D529" t="s">
        <v>32</v>
      </c>
      <c r="E529" t="s">
        <v>38</v>
      </c>
      <c r="F529" t="s">
        <v>89</v>
      </c>
      <c r="G529" t="s">
        <v>52</v>
      </c>
      <c r="H529" t="s">
        <v>163</v>
      </c>
    </row>
    <row r="530" spans="1:24" x14ac:dyDescent="0.3">
      <c r="A530" t="s">
        <v>37</v>
      </c>
      <c r="B530" t="s">
        <v>5</v>
      </c>
      <c r="C530" t="s">
        <v>15</v>
      </c>
      <c r="D530" t="s">
        <v>32</v>
      </c>
      <c r="E530" t="s">
        <v>38</v>
      </c>
      <c r="F530" t="s">
        <v>89</v>
      </c>
      <c r="G530" t="s">
        <v>53</v>
      </c>
      <c r="L530" t="s">
        <v>54</v>
      </c>
      <c r="M530">
        <v>0.45</v>
      </c>
      <c r="N530">
        <f t="shared" ref="N530:W533" ca="1" si="61">M530</f>
        <v>0.45</v>
      </c>
      <c r="O530">
        <f t="shared" ca="1" si="61"/>
        <v>0.45</v>
      </c>
      <c r="P530">
        <f t="shared" ca="1" si="61"/>
        <v>0.45</v>
      </c>
      <c r="Q530">
        <f t="shared" ca="1" si="61"/>
        <v>0.45</v>
      </c>
      <c r="R530">
        <f t="shared" ca="1" si="61"/>
        <v>0.45</v>
      </c>
      <c r="S530">
        <f t="shared" ca="1" si="61"/>
        <v>0.45</v>
      </c>
      <c r="T530">
        <f t="shared" ca="1" si="61"/>
        <v>0.45</v>
      </c>
      <c r="U530">
        <f t="shared" ca="1" si="61"/>
        <v>0.45</v>
      </c>
      <c r="V530">
        <f t="shared" ca="1" si="61"/>
        <v>0.45</v>
      </c>
      <c r="W530">
        <f t="shared" ca="1" si="61"/>
        <v>0.45</v>
      </c>
    </row>
    <row r="531" spans="1:24" x14ac:dyDescent="0.3">
      <c r="A531" t="s">
        <v>37</v>
      </c>
      <c r="B531" t="s">
        <v>5</v>
      </c>
      <c r="C531" t="s">
        <v>15</v>
      </c>
      <c r="D531" t="s">
        <v>32</v>
      </c>
      <c r="E531" t="s">
        <v>38</v>
      </c>
      <c r="F531" t="s">
        <v>89</v>
      </c>
      <c r="G531" t="s">
        <v>55</v>
      </c>
      <c r="L531" t="s">
        <v>54</v>
      </c>
      <c r="M531">
        <v>1.4999999999999999E-2</v>
      </c>
      <c r="N531">
        <f t="shared" ca="1" si="61"/>
        <v>1.4999999999999999E-2</v>
      </c>
      <c r="O531">
        <f t="shared" ca="1" si="61"/>
        <v>1.4999999999999999E-2</v>
      </c>
      <c r="P531">
        <f t="shared" ca="1" si="61"/>
        <v>1.4999999999999999E-2</v>
      </c>
      <c r="Q531">
        <f t="shared" ca="1" si="61"/>
        <v>1.4999999999999999E-2</v>
      </c>
      <c r="R531">
        <f t="shared" ca="1" si="61"/>
        <v>1.4999999999999999E-2</v>
      </c>
      <c r="S531">
        <f t="shared" ca="1" si="61"/>
        <v>1.4999999999999999E-2</v>
      </c>
      <c r="T531">
        <f t="shared" ca="1" si="61"/>
        <v>1.4999999999999999E-2</v>
      </c>
      <c r="U531">
        <f t="shared" ca="1" si="61"/>
        <v>1.4999999999999999E-2</v>
      </c>
      <c r="V531">
        <f t="shared" ca="1" si="61"/>
        <v>1.4999999999999999E-2</v>
      </c>
      <c r="W531">
        <f t="shared" ca="1" si="61"/>
        <v>1.4999999999999999E-2</v>
      </c>
    </row>
    <row r="532" spans="1:24" x14ac:dyDescent="0.3">
      <c r="A532" t="s">
        <v>37</v>
      </c>
      <c r="B532" t="s">
        <v>5</v>
      </c>
      <c r="C532" t="s">
        <v>15</v>
      </c>
      <c r="D532" t="s">
        <v>32</v>
      </c>
      <c r="E532" t="s">
        <v>38</v>
      </c>
      <c r="F532" t="s">
        <v>89</v>
      </c>
      <c r="G532" t="s">
        <v>56</v>
      </c>
      <c r="L532" t="s">
        <v>186</v>
      </c>
      <c r="M532">
        <f ca="1">80000000*25*100/1000</f>
        <v>200000000</v>
      </c>
      <c r="N532">
        <f t="shared" ca="1" si="61"/>
        <v>200000000</v>
      </c>
      <c r="O532">
        <f t="shared" ca="1" si="61"/>
        <v>200000000</v>
      </c>
      <c r="P532">
        <f t="shared" ca="1" si="61"/>
        <v>200000000</v>
      </c>
      <c r="Q532">
        <f t="shared" ca="1" si="61"/>
        <v>200000000</v>
      </c>
      <c r="R532">
        <f t="shared" ca="1" si="61"/>
        <v>200000000</v>
      </c>
      <c r="S532">
        <f t="shared" ca="1" si="61"/>
        <v>200000000</v>
      </c>
      <c r="T532">
        <f t="shared" ca="1" si="61"/>
        <v>200000000</v>
      </c>
      <c r="U532">
        <f t="shared" ca="1" si="61"/>
        <v>200000000</v>
      </c>
      <c r="V532">
        <f t="shared" ca="1" si="61"/>
        <v>200000000</v>
      </c>
      <c r="W532">
        <f t="shared" ca="1" si="61"/>
        <v>200000000</v>
      </c>
      <c r="X532" t="s">
        <v>195</v>
      </c>
    </row>
    <row r="533" spans="1:24" x14ac:dyDescent="0.3">
      <c r="A533" t="s">
        <v>37</v>
      </c>
      <c r="B533" t="s">
        <v>5</v>
      </c>
      <c r="C533" t="s">
        <v>15</v>
      </c>
      <c r="D533" t="s">
        <v>32</v>
      </c>
      <c r="E533" t="s">
        <v>38</v>
      </c>
      <c r="F533" t="s">
        <v>89</v>
      </c>
      <c r="G533" t="s">
        <v>58</v>
      </c>
      <c r="L533" t="s">
        <v>54</v>
      </c>
      <c r="M533">
        <v>0.85</v>
      </c>
      <c r="N533">
        <f t="shared" ca="1" si="61"/>
        <v>0.85</v>
      </c>
      <c r="O533">
        <f t="shared" ca="1" si="61"/>
        <v>0.85</v>
      </c>
      <c r="P533">
        <f t="shared" ca="1" si="61"/>
        <v>0.85</v>
      </c>
      <c r="Q533">
        <f t="shared" ca="1" si="61"/>
        <v>0.85</v>
      </c>
      <c r="R533">
        <f t="shared" ca="1" si="61"/>
        <v>0.85</v>
      </c>
      <c r="S533">
        <f t="shared" ca="1" si="61"/>
        <v>0.85</v>
      </c>
      <c r="T533">
        <f t="shared" ca="1" si="61"/>
        <v>0.85</v>
      </c>
      <c r="U533">
        <f t="shared" ca="1" si="61"/>
        <v>0.85</v>
      </c>
      <c r="V533">
        <f t="shared" ca="1" si="61"/>
        <v>0.85</v>
      </c>
      <c r="W533">
        <f t="shared" ca="1" si="61"/>
        <v>0.85</v>
      </c>
    </row>
    <row r="534" spans="1:24" x14ac:dyDescent="0.3">
      <c r="A534" t="s">
        <v>37</v>
      </c>
      <c r="B534" t="s">
        <v>5</v>
      </c>
      <c r="C534" t="s">
        <v>15</v>
      </c>
      <c r="D534" t="s">
        <v>32</v>
      </c>
      <c r="E534" t="s">
        <v>38</v>
      </c>
      <c r="F534" t="s">
        <v>191</v>
      </c>
      <c r="G534" t="s">
        <v>52</v>
      </c>
      <c r="H534" t="s">
        <v>156</v>
      </c>
    </row>
    <row r="535" spans="1:24" x14ac:dyDescent="0.3">
      <c r="A535" t="s">
        <v>37</v>
      </c>
      <c r="B535" t="s">
        <v>5</v>
      </c>
      <c r="C535" t="s">
        <v>15</v>
      </c>
      <c r="D535" t="s">
        <v>32</v>
      </c>
      <c r="E535" t="s">
        <v>38</v>
      </c>
      <c r="F535" t="s">
        <v>191</v>
      </c>
      <c r="G535" t="s">
        <v>53</v>
      </c>
      <c r="L535" t="s">
        <v>54</v>
      </c>
      <c r="M535">
        <v>0.4</v>
      </c>
      <c r="N535">
        <f t="shared" ref="N535:W538" ca="1" si="62">M535</f>
        <v>0.4</v>
      </c>
      <c r="O535">
        <f t="shared" ca="1" si="62"/>
        <v>0.4</v>
      </c>
      <c r="P535">
        <f t="shared" ca="1" si="62"/>
        <v>0.4</v>
      </c>
      <c r="Q535">
        <f t="shared" ca="1" si="62"/>
        <v>0.4</v>
      </c>
      <c r="R535">
        <f t="shared" ca="1" si="62"/>
        <v>0.4</v>
      </c>
      <c r="S535">
        <f t="shared" ca="1" si="62"/>
        <v>0.4</v>
      </c>
      <c r="T535">
        <f t="shared" ca="1" si="62"/>
        <v>0.4</v>
      </c>
      <c r="U535">
        <f t="shared" ca="1" si="62"/>
        <v>0.4</v>
      </c>
      <c r="V535">
        <f t="shared" ca="1" si="62"/>
        <v>0.4</v>
      </c>
      <c r="W535">
        <f t="shared" ca="1" si="62"/>
        <v>0.4</v>
      </c>
    </row>
    <row r="536" spans="1:24" x14ac:dyDescent="0.3">
      <c r="A536" t="s">
        <v>37</v>
      </c>
      <c r="B536" t="s">
        <v>5</v>
      </c>
      <c r="C536" t="s">
        <v>15</v>
      </c>
      <c r="D536" t="s">
        <v>32</v>
      </c>
      <c r="E536" t="s">
        <v>38</v>
      </c>
      <c r="F536" t="s">
        <v>191</v>
      </c>
      <c r="G536" t="s">
        <v>55</v>
      </c>
      <c r="L536" t="s">
        <v>54</v>
      </c>
      <c r="M536">
        <v>1.4999999999999999E-2</v>
      </c>
      <c r="N536">
        <f t="shared" ca="1" si="62"/>
        <v>1.4999999999999999E-2</v>
      </c>
      <c r="O536">
        <f t="shared" ca="1" si="62"/>
        <v>1.4999999999999999E-2</v>
      </c>
      <c r="P536">
        <f t="shared" ca="1" si="62"/>
        <v>1.4999999999999999E-2</v>
      </c>
      <c r="Q536">
        <f t="shared" ca="1" si="62"/>
        <v>1.4999999999999999E-2</v>
      </c>
      <c r="R536">
        <f t="shared" ca="1" si="62"/>
        <v>1.4999999999999999E-2</v>
      </c>
      <c r="S536">
        <f t="shared" ca="1" si="62"/>
        <v>1.4999999999999999E-2</v>
      </c>
      <c r="T536">
        <f t="shared" ca="1" si="62"/>
        <v>1.4999999999999999E-2</v>
      </c>
      <c r="U536">
        <f t="shared" ca="1" si="62"/>
        <v>1.4999999999999999E-2</v>
      </c>
      <c r="V536">
        <f t="shared" ca="1" si="62"/>
        <v>1.4999999999999999E-2</v>
      </c>
      <c r="W536">
        <f t="shared" ca="1" si="62"/>
        <v>1.4999999999999999E-2</v>
      </c>
    </row>
    <row r="537" spans="1:24" x14ac:dyDescent="0.3">
      <c r="A537" t="s">
        <v>37</v>
      </c>
      <c r="B537" t="s">
        <v>5</v>
      </c>
      <c r="C537" t="s">
        <v>15</v>
      </c>
      <c r="D537" t="s">
        <v>32</v>
      </c>
      <c r="E537" t="s">
        <v>38</v>
      </c>
      <c r="F537" t="s">
        <v>191</v>
      </c>
      <c r="G537" t="s">
        <v>56</v>
      </c>
      <c r="L537" t="s">
        <v>186</v>
      </c>
      <c r="M537">
        <f ca="1">80000000*25*100/1000</f>
        <v>200000000</v>
      </c>
      <c r="N537">
        <f t="shared" ca="1" si="62"/>
        <v>200000000</v>
      </c>
      <c r="O537">
        <f t="shared" ca="1" si="62"/>
        <v>200000000</v>
      </c>
      <c r="P537">
        <f t="shared" ca="1" si="62"/>
        <v>200000000</v>
      </c>
      <c r="Q537">
        <f t="shared" ca="1" si="62"/>
        <v>200000000</v>
      </c>
      <c r="R537">
        <f t="shared" ca="1" si="62"/>
        <v>200000000</v>
      </c>
      <c r="S537">
        <f t="shared" ca="1" si="62"/>
        <v>200000000</v>
      </c>
      <c r="T537">
        <f t="shared" ca="1" si="62"/>
        <v>200000000</v>
      </c>
      <c r="U537">
        <f t="shared" ca="1" si="62"/>
        <v>200000000</v>
      </c>
      <c r="V537">
        <f t="shared" ca="1" si="62"/>
        <v>200000000</v>
      </c>
      <c r="W537">
        <f t="shared" ca="1" si="62"/>
        <v>200000000</v>
      </c>
      <c r="X537" t="s">
        <v>195</v>
      </c>
    </row>
    <row r="538" spans="1:24" x14ac:dyDescent="0.3">
      <c r="A538" t="s">
        <v>37</v>
      </c>
      <c r="B538" t="s">
        <v>5</v>
      </c>
      <c r="C538" t="s">
        <v>15</v>
      </c>
      <c r="D538" t="s">
        <v>32</v>
      </c>
      <c r="E538" t="s">
        <v>38</v>
      </c>
      <c r="F538" t="s">
        <v>191</v>
      </c>
      <c r="G538" t="s">
        <v>58</v>
      </c>
      <c r="L538" t="s">
        <v>54</v>
      </c>
      <c r="M538">
        <v>0.85</v>
      </c>
      <c r="N538">
        <f t="shared" ca="1" si="62"/>
        <v>0.85</v>
      </c>
      <c r="O538">
        <f t="shared" ca="1" si="62"/>
        <v>0.85</v>
      </c>
      <c r="P538">
        <f t="shared" ca="1" si="62"/>
        <v>0.85</v>
      </c>
      <c r="Q538">
        <f t="shared" ca="1" si="62"/>
        <v>0.85</v>
      </c>
      <c r="R538">
        <f t="shared" ca="1" si="62"/>
        <v>0.85</v>
      </c>
      <c r="S538">
        <f t="shared" ca="1" si="62"/>
        <v>0.85</v>
      </c>
      <c r="T538">
        <f t="shared" ca="1" si="62"/>
        <v>0.85</v>
      </c>
      <c r="U538">
        <f t="shared" ca="1" si="62"/>
        <v>0.85</v>
      </c>
      <c r="V538">
        <f t="shared" ca="1" si="62"/>
        <v>0.85</v>
      </c>
      <c r="W538">
        <f t="shared" ca="1" si="62"/>
        <v>0.85</v>
      </c>
    </row>
    <row r="539" spans="1:24" x14ac:dyDescent="0.3">
      <c r="A539" t="s">
        <v>40</v>
      </c>
      <c r="B539" t="s">
        <v>5</v>
      </c>
      <c r="C539" t="s">
        <v>15</v>
      </c>
      <c r="D539" t="s">
        <v>32</v>
      </c>
      <c r="E539" t="s">
        <v>41</v>
      </c>
      <c r="F539" t="s">
        <v>189</v>
      </c>
      <c r="G539" t="s">
        <v>52</v>
      </c>
      <c r="H539" t="s">
        <v>190</v>
      </c>
    </row>
    <row r="540" spans="1:24" x14ac:dyDescent="0.3">
      <c r="A540" t="s">
        <v>40</v>
      </c>
      <c r="B540" t="s">
        <v>5</v>
      </c>
      <c r="C540" t="s">
        <v>15</v>
      </c>
      <c r="D540" t="s">
        <v>32</v>
      </c>
      <c r="E540" t="s">
        <v>41</v>
      </c>
      <c r="F540" t="s">
        <v>189</v>
      </c>
      <c r="G540" t="s">
        <v>53</v>
      </c>
      <c r="L540" t="s">
        <v>54</v>
      </c>
      <c r="M540">
        <v>0.87</v>
      </c>
      <c r="N540">
        <f t="shared" ref="N540:W543" ca="1" si="63">M540</f>
        <v>0.87</v>
      </c>
      <c r="O540">
        <f t="shared" ca="1" si="63"/>
        <v>0.87</v>
      </c>
      <c r="P540">
        <f t="shared" ca="1" si="63"/>
        <v>0.87</v>
      </c>
      <c r="Q540">
        <f t="shared" ca="1" si="63"/>
        <v>0.87</v>
      </c>
      <c r="R540">
        <f t="shared" ca="1" si="63"/>
        <v>0.87</v>
      </c>
      <c r="S540">
        <f t="shared" ca="1" si="63"/>
        <v>0.87</v>
      </c>
      <c r="T540">
        <f t="shared" ca="1" si="63"/>
        <v>0.87</v>
      </c>
      <c r="U540">
        <f t="shared" ca="1" si="63"/>
        <v>0.87</v>
      </c>
      <c r="V540">
        <f t="shared" ca="1" si="63"/>
        <v>0.87</v>
      </c>
      <c r="W540">
        <f t="shared" ca="1" si="63"/>
        <v>0.87</v>
      </c>
    </row>
    <row r="541" spans="1:24" x14ac:dyDescent="0.3">
      <c r="A541" t="s">
        <v>40</v>
      </c>
      <c r="B541" t="s">
        <v>5</v>
      </c>
      <c r="C541" t="s">
        <v>15</v>
      </c>
      <c r="D541" t="s">
        <v>32</v>
      </c>
      <c r="E541" t="s">
        <v>41</v>
      </c>
      <c r="F541" t="s">
        <v>189</v>
      </c>
      <c r="G541" t="s">
        <v>55</v>
      </c>
      <c r="L541" t="s">
        <v>54</v>
      </c>
      <c r="M541">
        <v>1E-3</v>
      </c>
      <c r="N541">
        <f t="shared" ca="1" si="63"/>
        <v>1E-3</v>
      </c>
      <c r="O541">
        <f t="shared" ca="1" si="63"/>
        <v>1E-3</v>
      </c>
      <c r="P541">
        <f t="shared" ca="1" si="63"/>
        <v>1E-3</v>
      </c>
      <c r="Q541">
        <f t="shared" ca="1" si="63"/>
        <v>1E-3</v>
      </c>
      <c r="R541">
        <f t="shared" ca="1" si="63"/>
        <v>1E-3</v>
      </c>
      <c r="S541">
        <f t="shared" ca="1" si="63"/>
        <v>1E-3</v>
      </c>
      <c r="T541">
        <f t="shared" ca="1" si="63"/>
        <v>1E-3</v>
      </c>
      <c r="U541">
        <f t="shared" ca="1" si="63"/>
        <v>1E-3</v>
      </c>
      <c r="V541">
        <f t="shared" ca="1" si="63"/>
        <v>1E-3</v>
      </c>
      <c r="W541">
        <f t="shared" ca="1" si="63"/>
        <v>1E-3</v>
      </c>
    </row>
    <row r="542" spans="1:24" x14ac:dyDescent="0.3">
      <c r="A542" t="s">
        <v>40</v>
      </c>
      <c r="B542" t="s">
        <v>5</v>
      </c>
      <c r="C542" t="s">
        <v>15</v>
      </c>
      <c r="D542" t="s">
        <v>32</v>
      </c>
      <c r="E542" t="s">
        <v>41</v>
      </c>
      <c r="F542" t="s">
        <v>189</v>
      </c>
      <c r="G542" t="s">
        <v>56</v>
      </c>
      <c r="L542" t="s">
        <v>186</v>
      </c>
      <c r="M542">
        <f ca="1">800000000*35*100/1000</f>
        <v>2800000000</v>
      </c>
      <c r="N542">
        <f t="shared" ca="1" si="63"/>
        <v>2800000000</v>
      </c>
      <c r="O542">
        <f t="shared" ca="1" si="63"/>
        <v>2800000000</v>
      </c>
      <c r="P542">
        <f t="shared" ca="1" si="63"/>
        <v>2800000000</v>
      </c>
      <c r="Q542">
        <f t="shared" ca="1" si="63"/>
        <v>2800000000</v>
      </c>
      <c r="R542">
        <f t="shared" ca="1" si="63"/>
        <v>2800000000</v>
      </c>
      <c r="S542">
        <f t="shared" ca="1" si="63"/>
        <v>2800000000</v>
      </c>
      <c r="T542">
        <f t="shared" ca="1" si="63"/>
        <v>2800000000</v>
      </c>
      <c r="U542">
        <f t="shared" ca="1" si="63"/>
        <v>2800000000</v>
      </c>
      <c r="V542">
        <f t="shared" ca="1" si="63"/>
        <v>2800000000</v>
      </c>
      <c r="W542">
        <f t="shared" ca="1" si="63"/>
        <v>2800000000</v>
      </c>
      <c r="X542" t="s">
        <v>196</v>
      </c>
    </row>
    <row r="543" spans="1:24" x14ac:dyDescent="0.3">
      <c r="A543" t="s">
        <v>40</v>
      </c>
      <c r="B543" t="s">
        <v>5</v>
      </c>
      <c r="C543" t="s">
        <v>15</v>
      </c>
      <c r="D543" t="s">
        <v>32</v>
      </c>
      <c r="E543" t="s">
        <v>41</v>
      </c>
      <c r="F543" t="s">
        <v>189</v>
      </c>
      <c r="G543" t="s">
        <v>58</v>
      </c>
      <c r="L543" t="s">
        <v>54</v>
      </c>
      <c r="M543">
        <v>0.91</v>
      </c>
      <c r="N543">
        <f t="shared" ca="1" si="63"/>
        <v>0.91</v>
      </c>
      <c r="O543">
        <f t="shared" ca="1" si="63"/>
        <v>0.91</v>
      </c>
      <c r="P543">
        <f t="shared" ca="1" si="63"/>
        <v>0.91</v>
      </c>
      <c r="Q543">
        <f t="shared" ca="1" si="63"/>
        <v>0.91</v>
      </c>
      <c r="R543">
        <f t="shared" ca="1" si="63"/>
        <v>0.91</v>
      </c>
      <c r="S543">
        <f t="shared" ca="1" si="63"/>
        <v>0.91</v>
      </c>
      <c r="T543">
        <f t="shared" ca="1" si="63"/>
        <v>0.91</v>
      </c>
      <c r="U543">
        <f t="shared" ca="1" si="63"/>
        <v>0.91</v>
      </c>
      <c r="V543">
        <f t="shared" ca="1" si="63"/>
        <v>0.91</v>
      </c>
      <c r="W543">
        <f t="shared" ca="1" si="63"/>
        <v>0.91</v>
      </c>
    </row>
    <row r="544" spans="1:24" x14ac:dyDescent="0.3">
      <c r="A544" t="s">
        <v>40</v>
      </c>
      <c r="B544" t="s">
        <v>5</v>
      </c>
      <c r="C544" t="s">
        <v>15</v>
      </c>
      <c r="D544" t="s">
        <v>32</v>
      </c>
      <c r="E544" t="s">
        <v>41</v>
      </c>
      <c r="F544" t="s">
        <v>89</v>
      </c>
      <c r="G544" t="s">
        <v>52</v>
      </c>
      <c r="H544" t="s">
        <v>163</v>
      </c>
    </row>
    <row r="545" spans="1:24" x14ac:dyDescent="0.3">
      <c r="A545" t="s">
        <v>40</v>
      </c>
      <c r="B545" t="s">
        <v>5</v>
      </c>
      <c r="C545" t="s">
        <v>15</v>
      </c>
      <c r="D545" t="s">
        <v>32</v>
      </c>
      <c r="E545" t="s">
        <v>41</v>
      </c>
      <c r="F545" t="s">
        <v>89</v>
      </c>
      <c r="G545" t="s">
        <v>53</v>
      </c>
      <c r="L545" t="s">
        <v>54</v>
      </c>
      <c r="M545">
        <v>0.2</v>
      </c>
      <c r="N545">
        <f t="shared" ref="N545:W548" ca="1" si="64">M545</f>
        <v>0.2</v>
      </c>
      <c r="O545">
        <f t="shared" ca="1" si="64"/>
        <v>0.2</v>
      </c>
      <c r="P545">
        <f t="shared" ca="1" si="64"/>
        <v>0.2</v>
      </c>
      <c r="Q545">
        <f t="shared" ca="1" si="64"/>
        <v>0.2</v>
      </c>
      <c r="R545">
        <f t="shared" ca="1" si="64"/>
        <v>0.2</v>
      </c>
      <c r="S545">
        <f t="shared" ca="1" si="64"/>
        <v>0.2</v>
      </c>
      <c r="T545">
        <f t="shared" ca="1" si="64"/>
        <v>0.2</v>
      </c>
      <c r="U545">
        <f t="shared" ca="1" si="64"/>
        <v>0.2</v>
      </c>
      <c r="V545">
        <f t="shared" ca="1" si="64"/>
        <v>0.2</v>
      </c>
      <c r="W545">
        <f t="shared" ca="1" si="64"/>
        <v>0.2</v>
      </c>
    </row>
    <row r="546" spans="1:24" x14ac:dyDescent="0.3">
      <c r="A546" t="s">
        <v>40</v>
      </c>
      <c r="B546" t="s">
        <v>5</v>
      </c>
      <c r="C546" t="s">
        <v>15</v>
      </c>
      <c r="D546" t="s">
        <v>32</v>
      </c>
      <c r="E546" t="s">
        <v>41</v>
      </c>
      <c r="F546" t="s">
        <v>89</v>
      </c>
      <c r="G546" t="s">
        <v>55</v>
      </c>
      <c r="L546" t="s">
        <v>54</v>
      </c>
      <c r="M546">
        <v>1.4999999999999999E-2</v>
      </c>
      <c r="N546">
        <f t="shared" ca="1" si="64"/>
        <v>1.4999999999999999E-2</v>
      </c>
      <c r="O546">
        <f t="shared" ca="1" si="64"/>
        <v>1.4999999999999999E-2</v>
      </c>
      <c r="P546">
        <f t="shared" ca="1" si="64"/>
        <v>1.4999999999999999E-2</v>
      </c>
      <c r="Q546">
        <f t="shared" ca="1" si="64"/>
        <v>1.4999999999999999E-2</v>
      </c>
      <c r="R546">
        <f t="shared" ca="1" si="64"/>
        <v>1.4999999999999999E-2</v>
      </c>
      <c r="S546">
        <f t="shared" ca="1" si="64"/>
        <v>1.4999999999999999E-2</v>
      </c>
      <c r="T546">
        <f t="shared" ca="1" si="64"/>
        <v>1.4999999999999999E-2</v>
      </c>
      <c r="U546">
        <f t="shared" ca="1" si="64"/>
        <v>1.4999999999999999E-2</v>
      </c>
      <c r="V546">
        <f t="shared" ca="1" si="64"/>
        <v>1.4999999999999999E-2</v>
      </c>
      <c r="W546">
        <f t="shared" ca="1" si="64"/>
        <v>1.4999999999999999E-2</v>
      </c>
    </row>
    <row r="547" spans="1:24" x14ac:dyDescent="0.3">
      <c r="A547" t="s">
        <v>40</v>
      </c>
      <c r="B547" t="s">
        <v>5</v>
      </c>
      <c r="C547" t="s">
        <v>15</v>
      </c>
      <c r="D547" t="s">
        <v>32</v>
      </c>
      <c r="E547" t="s">
        <v>41</v>
      </c>
      <c r="F547" t="s">
        <v>89</v>
      </c>
      <c r="G547" t="s">
        <v>56</v>
      </c>
      <c r="L547" t="s">
        <v>186</v>
      </c>
      <c r="M547">
        <f ca="1">800000000*35*100/1000</f>
        <v>2800000000</v>
      </c>
      <c r="N547">
        <f t="shared" ca="1" si="64"/>
        <v>2800000000</v>
      </c>
      <c r="O547">
        <f t="shared" ca="1" si="64"/>
        <v>2800000000</v>
      </c>
      <c r="P547">
        <f t="shared" ca="1" si="64"/>
        <v>2800000000</v>
      </c>
      <c r="Q547">
        <f t="shared" ca="1" si="64"/>
        <v>2800000000</v>
      </c>
      <c r="R547">
        <f t="shared" ca="1" si="64"/>
        <v>2800000000</v>
      </c>
      <c r="S547">
        <f t="shared" ca="1" si="64"/>
        <v>2800000000</v>
      </c>
      <c r="T547">
        <f t="shared" ca="1" si="64"/>
        <v>2800000000</v>
      </c>
      <c r="U547">
        <f t="shared" ca="1" si="64"/>
        <v>2800000000</v>
      </c>
      <c r="V547">
        <f t="shared" ca="1" si="64"/>
        <v>2800000000</v>
      </c>
      <c r="W547">
        <f t="shared" ca="1" si="64"/>
        <v>2800000000</v>
      </c>
      <c r="X547" t="s">
        <v>196</v>
      </c>
    </row>
    <row r="548" spans="1:24" x14ac:dyDescent="0.3">
      <c r="A548" t="s">
        <v>40</v>
      </c>
      <c r="B548" t="s">
        <v>5</v>
      </c>
      <c r="C548" t="s">
        <v>15</v>
      </c>
      <c r="D548" t="s">
        <v>32</v>
      </c>
      <c r="E548" t="s">
        <v>41</v>
      </c>
      <c r="F548" t="s">
        <v>89</v>
      </c>
      <c r="G548" t="s">
        <v>58</v>
      </c>
      <c r="L548" t="s">
        <v>54</v>
      </c>
      <c r="M548">
        <v>0.85</v>
      </c>
      <c r="N548">
        <f t="shared" ca="1" si="64"/>
        <v>0.85</v>
      </c>
      <c r="O548">
        <f t="shared" ca="1" si="64"/>
        <v>0.85</v>
      </c>
      <c r="P548">
        <f t="shared" ca="1" si="64"/>
        <v>0.85</v>
      </c>
      <c r="Q548">
        <f t="shared" ca="1" si="64"/>
        <v>0.85</v>
      </c>
      <c r="R548">
        <f t="shared" ca="1" si="64"/>
        <v>0.85</v>
      </c>
      <c r="S548">
        <f t="shared" ca="1" si="64"/>
        <v>0.85</v>
      </c>
      <c r="T548">
        <f t="shared" ca="1" si="64"/>
        <v>0.85</v>
      </c>
      <c r="U548">
        <f t="shared" ca="1" si="64"/>
        <v>0.85</v>
      </c>
      <c r="V548">
        <f t="shared" ca="1" si="64"/>
        <v>0.85</v>
      </c>
      <c r="W548">
        <f t="shared" ca="1" si="64"/>
        <v>0.85</v>
      </c>
    </row>
    <row r="549" spans="1:24" x14ac:dyDescent="0.3">
      <c r="A549" t="s">
        <v>197</v>
      </c>
      <c r="B549" t="s">
        <v>5</v>
      </c>
      <c r="C549" t="s">
        <v>15</v>
      </c>
      <c r="D549" t="s">
        <v>198</v>
      </c>
      <c r="E549" t="s">
        <v>199</v>
      </c>
      <c r="F549" t="s">
        <v>89</v>
      </c>
      <c r="G549" t="s">
        <v>52</v>
      </c>
      <c r="H549" t="s">
        <v>163</v>
      </c>
    </row>
    <row r="550" spans="1:24" x14ac:dyDescent="0.3">
      <c r="A550" t="s">
        <v>197</v>
      </c>
      <c r="B550" t="s">
        <v>5</v>
      </c>
      <c r="C550" t="s">
        <v>15</v>
      </c>
      <c r="D550" t="s">
        <v>198</v>
      </c>
      <c r="E550" t="s">
        <v>199</v>
      </c>
      <c r="F550" t="s">
        <v>89</v>
      </c>
      <c r="G550" t="s">
        <v>53</v>
      </c>
      <c r="L550" t="s">
        <v>54</v>
      </c>
      <c r="M550">
        <v>0.2</v>
      </c>
      <c r="N550">
        <f t="shared" ref="N550:W553" ca="1" si="65">M550</f>
        <v>0.2</v>
      </c>
      <c r="O550">
        <f t="shared" ca="1" si="65"/>
        <v>0.2</v>
      </c>
      <c r="P550">
        <f t="shared" ca="1" si="65"/>
        <v>0.2</v>
      </c>
      <c r="Q550">
        <f t="shared" ca="1" si="65"/>
        <v>0.2</v>
      </c>
      <c r="R550">
        <f t="shared" ca="1" si="65"/>
        <v>0.2</v>
      </c>
      <c r="S550">
        <f t="shared" ca="1" si="65"/>
        <v>0.2</v>
      </c>
      <c r="T550">
        <f t="shared" ca="1" si="65"/>
        <v>0.2</v>
      </c>
      <c r="U550">
        <f t="shared" ca="1" si="65"/>
        <v>0.2</v>
      </c>
      <c r="V550">
        <f t="shared" ca="1" si="65"/>
        <v>0.2</v>
      </c>
      <c r="W550">
        <f t="shared" ca="1" si="65"/>
        <v>0.2</v>
      </c>
    </row>
    <row r="551" spans="1:24" x14ac:dyDescent="0.3">
      <c r="A551" t="s">
        <v>197</v>
      </c>
      <c r="B551" t="s">
        <v>5</v>
      </c>
      <c r="C551" t="s">
        <v>15</v>
      </c>
      <c r="D551" t="s">
        <v>198</v>
      </c>
      <c r="E551" t="s">
        <v>199</v>
      </c>
      <c r="F551" t="s">
        <v>89</v>
      </c>
      <c r="G551" t="s">
        <v>55</v>
      </c>
      <c r="L551" t="s">
        <v>54</v>
      </c>
      <c r="M551">
        <v>1.4999999999999999E-2</v>
      </c>
      <c r="N551">
        <f t="shared" ca="1" si="65"/>
        <v>1.4999999999999999E-2</v>
      </c>
      <c r="O551">
        <f t="shared" ca="1" si="65"/>
        <v>1.4999999999999999E-2</v>
      </c>
      <c r="P551">
        <f t="shared" ca="1" si="65"/>
        <v>1.4999999999999999E-2</v>
      </c>
      <c r="Q551">
        <f t="shared" ca="1" si="65"/>
        <v>1.4999999999999999E-2</v>
      </c>
      <c r="R551">
        <f t="shared" ca="1" si="65"/>
        <v>1.4999999999999999E-2</v>
      </c>
      <c r="S551">
        <f t="shared" ca="1" si="65"/>
        <v>1.4999999999999999E-2</v>
      </c>
      <c r="T551">
        <f t="shared" ca="1" si="65"/>
        <v>1.4999999999999999E-2</v>
      </c>
      <c r="U551">
        <f t="shared" ca="1" si="65"/>
        <v>1.4999999999999999E-2</v>
      </c>
      <c r="V551">
        <f t="shared" ca="1" si="65"/>
        <v>1.4999999999999999E-2</v>
      </c>
      <c r="W551">
        <f t="shared" ca="1" si="65"/>
        <v>1.4999999999999999E-2</v>
      </c>
    </row>
    <row r="552" spans="1:24" x14ac:dyDescent="0.3">
      <c r="A552" t="s">
        <v>197</v>
      </c>
      <c r="B552" t="s">
        <v>5</v>
      </c>
      <c r="C552" t="s">
        <v>15</v>
      </c>
      <c r="D552" t="s">
        <v>198</v>
      </c>
      <c r="E552" t="s">
        <v>199</v>
      </c>
      <c r="F552" t="s">
        <v>89</v>
      </c>
      <c r="G552" t="s">
        <v>56</v>
      </c>
      <c r="L552" t="s">
        <v>200</v>
      </c>
      <c r="M552">
        <v>92227251.175370395</v>
      </c>
      <c r="N552">
        <f t="shared" ca="1" si="65"/>
        <v>92227251.175370395</v>
      </c>
      <c r="O552">
        <f t="shared" ca="1" si="65"/>
        <v>92227251.175370395</v>
      </c>
      <c r="P552">
        <f t="shared" ca="1" si="65"/>
        <v>92227251.175370395</v>
      </c>
      <c r="Q552">
        <f t="shared" ca="1" si="65"/>
        <v>92227251.175370395</v>
      </c>
      <c r="R552">
        <f t="shared" ca="1" si="65"/>
        <v>92227251.175370395</v>
      </c>
      <c r="S552">
        <f t="shared" ca="1" si="65"/>
        <v>92227251.175370395</v>
      </c>
      <c r="T552">
        <f t="shared" ca="1" si="65"/>
        <v>92227251.175370395</v>
      </c>
      <c r="U552">
        <f t="shared" ca="1" si="65"/>
        <v>92227251.175370395</v>
      </c>
      <c r="V552">
        <f t="shared" ca="1" si="65"/>
        <v>92227251.175370395</v>
      </c>
      <c r="W552">
        <f t="shared" ca="1" si="65"/>
        <v>92227251.175370395</v>
      </c>
    </row>
    <row r="553" spans="1:24" x14ac:dyDescent="0.3">
      <c r="A553" t="s">
        <v>197</v>
      </c>
      <c r="B553" t="s">
        <v>5</v>
      </c>
      <c r="C553" t="s">
        <v>15</v>
      </c>
      <c r="D553" t="s">
        <v>198</v>
      </c>
      <c r="E553" t="s">
        <v>199</v>
      </c>
      <c r="F553" t="s">
        <v>89</v>
      </c>
      <c r="G553" t="s">
        <v>58</v>
      </c>
      <c r="L553" t="s">
        <v>54</v>
      </c>
      <c r="M553">
        <v>0.85</v>
      </c>
      <c r="N553">
        <f t="shared" ca="1" si="65"/>
        <v>0.85</v>
      </c>
      <c r="O553">
        <f t="shared" ca="1" si="65"/>
        <v>0.85</v>
      </c>
      <c r="P553">
        <f t="shared" ca="1" si="65"/>
        <v>0.85</v>
      </c>
      <c r="Q553">
        <f t="shared" ca="1" si="65"/>
        <v>0.85</v>
      </c>
      <c r="R553">
        <f t="shared" ca="1" si="65"/>
        <v>0.85</v>
      </c>
      <c r="S553">
        <f t="shared" ca="1" si="65"/>
        <v>0.85</v>
      </c>
      <c r="T553">
        <f t="shared" ca="1" si="65"/>
        <v>0.85</v>
      </c>
      <c r="U553">
        <f t="shared" ca="1" si="65"/>
        <v>0.85</v>
      </c>
      <c r="V553">
        <f t="shared" ca="1" si="65"/>
        <v>0.85</v>
      </c>
      <c r="W553">
        <f t="shared" ca="1" si="65"/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Bradford Griffin</dc:creator>
  <cp:lastModifiedBy>Bradford Griffin</cp:lastModifiedBy>
  <dcterms:created xsi:type="dcterms:W3CDTF">2025-11-23T06:58:38Z</dcterms:created>
  <dcterms:modified xsi:type="dcterms:W3CDTF">2025-11-23T06:58:38Z</dcterms:modified>
</cp:coreProperties>
</file>