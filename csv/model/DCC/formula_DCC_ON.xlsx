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463"/>
  <sheetViews>
    <sheetView tabSelected="1" workbookViewId="0">
      <selection activeCell="A1" sqref="A1:X463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CIMS.CAN.ON.Transportation Personal.Mode.Intercity Air</t>
        </is>
      </c>
      <c r="B3" t="inlineStr">
        <is>
          <t>Service</t>
        </is>
      </c>
      <c r="C3" t="inlineStr">
        <is>
          <t>ON</t>
        </is>
      </c>
      <c r="D3" t="inlineStr">
        <is>
          <t>Transportation Personal</t>
        </is>
      </c>
      <c r="E3" t="inlineStr">
        <is>
          <t>Intercity Air</t>
        </is>
      </c>
      <c r="G3" t="inlineStr">
        <is>
          <t>multiplier_load_factor</t>
        </is>
      </c>
      <c r="K3" t="inlineStr">
        <is>
          <t>Air Canada</t>
        </is>
      </c>
      <c r="L3" t="inlineStr">
        <is>
          <t>person/vehicle</t>
        </is>
      </c>
      <c r="M3" t="n">
        <v>200</v>
      </c>
      <c r="N3" t="n">
        <v>200</v>
      </c>
      <c r="O3" t="n">
        <v>200</v>
      </c>
      <c r="P3" t="n">
        <v>200</v>
      </c>
      <c r="Q3" t="n">
        <v>200</v>
      </c>
      <c r="R3" t="n">
        <v>200</v>
      </c>
      <c r="S3" t="n">
        <v>200</v>
      </c>
      <c r="T3" t="n">
        <v>200</v>
      </c>
      <c r="U3" t="n">
        <v>200</v>
      </c>
      <c r="V3" t="n">
        <v>200</v>
      </c>
      <c r="W3" t="n">
        <v>200</v>
      </c>
    </row>
    <row r="4">
      <c r="A4" t="inlineStr">
        <is>
          <t>CIMS.CAN.ON.Transportation Personal.Transit.Public Bus</t>
        </is>
      </c>
      <c r="B4" t="inlineStr">
        <is>
          <t>Service</t>
        </is>
      </c>
      <c r="C4" t="inlineStr">
        <is>
          <t>ON</t>
        </is>
      </c>
      <c r="D4" t="inlineStr">
        <is>
          <t>Transportation Personal</t>
        </is>
      </c>
      <c r="E4" t="inlineStr">
        <is>
          <t>Public Bus</t>
        </is>
      </c>
      <c r="G4" t="inlineStr">
        <is>
          <t>multiplier_load_factor</t>
        </is>
      </c>
      <c r="K4" t="inlineStr">
        <is>
          <t>CIMS</t>
        </is>
      </c>
      <c r="L4" t="inlineStr">
        <is>
          <t>person/vehicle</t>
        </is>
      </c>
      <c r="M4" t="n">
        <v>10.6</v>
      </c>
      <c r="N4" t="n">
        <v>10.6</v>
      </c>
      <c r="O4" t="n">
        <v>10.6</v>
      </c>
      <c r="P4" t="n">
        <v>10.6</v>
      </c>
      <c r="Q4" t="n">
        <v>10.6</v>
      </c>
      <c r="R4" t="n">
        <v>10.6</v>
      </c>
      <c r="S4" t="n">
        <v>10.6</v>
      </c>
      <c r="T4" t="n">
        <v>10.6</v>
      </c>
      <c r="U4" t="n">
        <v>10.6</v>
      </c>
      <c r="V4" t="n">
        <v>10.6</v>
      </c>
      <c r="W4" t="n">
        <v>10.6</v>
      </c>
    </row>
    <row r="5">
      <c r="A5" t="inlineStr">
        <is>
          <t>CIMS.CAN.ON.Transportation Personal.Transit.Rapid Transit</t>
        </is>
      </c>
      <c r="B5" t="inlineStr">
        <is>
          <t>Service</t>
        </is>
      </c>
      <c r="C5" t="inlineStr">
        <is>
          <t>ON</t>
        </is>
      </c>
      <c r="D5" t="inlineStr">
        <is>
          <t>Transportation Personal</t>
        </is>
      </c>
      <c r="E5" t="inlineStr">
        <is>
          <t>Rapid Transit</t>
        </is>
      </c>
      <c r="G5" t="inlineStr">
        <is>
          <t>multiplier_load_factor</t>
        </is>
      </c>
      <c r="K5" t="inlineStr">
        <is>
          <t>Translink</t>
        </is>
      </c>
      <c r="L5" t="inlineStr">
        <is>
          <t>person/vehicle</t>
        </is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</row>
    <row r="6">
      <c r="A6" t="inlineStr">
        <is>
          <t>CIMS.CAN.ON.Transportation Personal.Intercity Bus</t>
        </is>
      </c>
      <c r="B6" t="inlineStr">
        <is>
          <t>Service</t>
        </is>
      </c>
      <c r="C6" t="inlineStr">
        <is>
          <t>ON</t>
        </is>
      </c>
      <c r="D6" t="inlineStr">
        <is>
          <t>Transportation Personal</t>
        </is>
      </c>
      <c r="E6" t="inlineStr">
        <is>
          <t>Intercity Bus</t>
        </is>
      </c>
      <c r="G6" t="inlineStr">
        <is>
          <t>multiplier_load_factor</t>
        </is>
      </c>
      <c r="K6" t="inlineStr">
        <is>
          <t>CIMS</t>
        </is>
      </c>
      <c r="L6" t="inlineStr">
        <is>
          <t>person/vehicle</t>
        </is>
      </c>
      <c r="M6" t="n">
        <v>18.2</v>
      </c>
      <c r="N6" t="n">
        <v>18.2</v>
      </c>
      <c r="O6" t="n">
        <v>18.2</v>
      </c>
      <c r="P6" t="n">
        <v>18.2</v>
      </c>
      <c r="Q6" t="n">
        <v>18.2</v>
      </c>
      <c r="R6" t="n">
        <v>18.2</v>
      </c>
      <c r="S6" t="n">
        <v>18.2</v>
      </c>
      <c r="T6" t="n">
        <v>18.2</v>
      </c>
      <c r="U6" t="n">
        <v>18.2</v>
      </c>
      <c r="V6" t="n">
        <v>18.2</v>
      </c>
      <c r="W6" t="n">
        <v>18.2</v>
      </c>
    </row>
    <row r="7">
      <c r="A7" t="inlineStr">
        <is>
          <t>CIMS.CAN.ON.Transportation Personal.Intercity Rail</t>
        </is>
      </c>
      <c r="B7" t="inlineStr">
        <is>
          <t>Service</t>
        </is>
      </c>
      <c r="C7" t="inlineStr">
        <is>
          <t>ON</t>
        </is>
      </c>
      <c r="D7" t="inlineStr">
        <is>
          <t>Transportation Personal</t>
        </is>
      </c>
      <c r="E7" t="inlineStr">
        <is>
          <t>Intercity Rail</t>
        </is>
      </c>
      <c r="G7" t="inlineStr">
        <is>
          <t>multiplier_load_factor</t>
        </is>
      </c>
      <c r="K7" t="inlineStr">
        <is>
          <t>Translink</t>
        </is>
      </c>
      <c r="L7" t="inlineStr">
        <is>
          <t>person/vehicle</t>
        </is>
      </c>
      <c r="M7" t="n">
        <v>120</v>
      </c>
      <c r="N7" t="n">
        <v>120</v>
      </c>
      <c r="O7" t="n">
        <v>120</v>
      </c>
      <c r="P7" t="n">
        <v>120</v>
      </c>
      <c r="Q7" t="n">
        <v>120</v>
      </c>
      <c r="R7" t="n">
        <v>120</v>
      </c>
      <c r="S7" t="n">
        <v>120</v>
      </c>
      <c r="T7" t="n">
        <v>120</v>
      </c>
      <c r="U7" t="n">
        <v>120</v>
      </c>
      <c r="V7" t="n">
        <v>120</v>
      </c>
      <c r="W7" t="n">
        <v>120</v>
      </c>
    </row>
    <row r="8">
      <c r="A8" t="inlineStr">
        <is>
          <t>CIMS.CAN.ON.Transportation Freight.Freight.Land.Light Medium</t>
        </is>
      </c>
      <c r="B8" t="inlineStr">
        <is>
          <t>Service</t>
        </is>
      </c>
      <c r="C8" t="inlineStr">
        <is>
          <t>ON</t>
        </is>
      </c>
      <c r="D8" t="inlineStr">
        <is>
          <t>Transportation Freight</t>
        </is>
      </c>
      <c r="E8" t="inlineStr">
        <is>
          <t>Light Medium</t>
        </is>
      </c>
      <c r="G8" t="inlineStr">
        <is>
          <t>multiplier_load_factor</t>
        </is>
      </c>
      <c r="K8" t="inlineStr">
        <is>
          <t>CIMS</t>
        </is>
      </c>
      <c r="L8" t="inlineStr">
        <is>
          <t>tonne/vehicle</t>
        </is>
      </c>
      <c r="M8" t="n">
        <v>3.62</v>
      </c>
      <c r="N8" t="n">
        <v>3.62</v>
      </c>
      <c r="O8" t="n">
        <v>3.62</v>
      </c>
      <c r="P8" t="n">
        <v>3.62</v>
      </c>
      <c r="Q8" t="n">
        <v>3.62</v>
      </c>
      <c r="R8" t="n">
        <v>3.62</v>
      </c>
      <c r="S8" t="n">
        <v>3.62</v>
      </c>
      <c r="T8" t="n">
        <v>3.62</v>
      </c>
      <c r="U8" t="n">
        <v>3.62</v>
      </c>
      <c r="V8" t="n">
        <v>3.62</v>
      </c>
      <c r="W8" t="n">
        <v>3.62</v>
      </c>
    </row>
    <row r="9">
      <c r="A9" t="inlineStr">
        <is>
          <t>CIMS.CAN.ON.Transportation Freight.Freight.Land.Heavy.Trucks</t>
        </is>
      </c>
      <c r="B9" t="inlineStr">
        <is>
          <t>Service</t>
        </is>
      </c>
      <c r="C9" t="inlineStr">
        <is>
          <t>ON</t>
        </is>
      </c>
      <c r="D9" t="inlineStr">
        <is>
          <t>Transportation Freight</t>
        </is>
      </c>
      <c r="E9" t="inlineStr">
        <is>
          <t>Trucks</t>
        </is>
      </c>
      <c r="G9" t="inlineStr">
        <is>
          <t>multiplier_load_factor</t>
        </is>
      </c>
      <c r="K9" t="inlineStr">
        <is>
          <t>CIMS</t>
        </is>
      </c>
      <c r="L9" t="inlineStr">
        <is>
          <t>tonne/vehicle</t>
        </is>
      </c>
      <c r="M9" t="n">
        <v>17.0097</v>
      </c>
      <c r="N9" t="n">
        <v>17.0097</v>
      </c>
      <c r="O9" t="n">
        <v>17.0097</v>
      </c>
      <c r="P9" t="n">
        <v>17.0097</v>
      </c>
      <c r="Q9" t="n">
        <v>17.0097</v>
      </c>
      <c r="R9" t="n">
        <v>17.0097</v>
      </c>
      <c r="S9" t="n">
        <v>17.0097</v>
      </c>
      <c r="T9" t="n">
        <v>17.0097</v>
      </c>
      <c r="U9" t="n">
        <v>17.0097</v>
      </c>
      <c r="V9" t="n">
        <v>17.0097</v>
      </c>
      <c r="W9" t="n">
        <v>17.0097</v>
      </c>
    </row>
    <row r="10">
      <c r="A10" t="inlineStr">
        <is>
          <t>CIMS.CAN.ON.Transportation Freight.Freight.Land.Heavy.Rail</t>
        </is>
      </c>
      <c r="B10" t="inlineStr">
        <is>
          <t>Service</t>
        </is>
      </c>
      <c r="C10" t="inlineStr">
        <is>
          <t>ON</t>
        </is>
      </c>
      <c r="D10" t="inlineStr">
        <is>
          <t>Transportation Freight</t>
        </is>
      </c>
      <c r="E10" t="inlineStr">
        <is>
          <t>Rail</t>
        </is>
      </c>
      <c r="G10" t="inlineStr">
        <is>
          <t>multiplier_load_factor</t>
        </is>
      </c>
      <c r="K10" t="inlineStr">
        <is>
          <t>Rail Assoc Canada</t>
        </is>
      </c>
      <c r="L10" t="inlineStr">
        <is>
          <t>tonne/vehicle</t>
        </is>
      </c>
      <c r="M10" t="n">
        <v>6840</v>
      </c>
      <c r="N10" t="n">
        <v>6840</v>
      </c>
      <c r="O10" t="n">
        <v>6840</v>
      </c>
      <c r="P10" t="n">
        <v>6840</v>
      </c>
      <c r="Q10" t="n">
        <v>6840</v>
      </c>
      <c r="R10" t="n">
        <v>6840</v>
      </c>
      <c r="S10" t="n">
        <v>6840</v>
      </c>
      <c r="T10" t="n">
        <v>6840</v>
      </c>
      <c r="U10" t="n">
        <v>6840</v>
      </c>
      <c r="V10" t="n">
        <v>6840</v>
      </c>
      <c r="W10" t="n">
        <v>6840</v>
      </c>
    </row>
    <row r="11">
      <c r="A11" t="inlineStr">
        <is>
          <t>CIMS.CAN.ON.Transportation Freight.Freight.Marine</t>
        </is>
      </c>
      <c r="B11" t="inlineStr">
        <is>
          <t>Service</t>
        </is>
      </c>
      <c r="C11" t="inlineStr">
        <is>
          <t>ON</t>
        </is>
      </c>
      <c r="D11" t="inlineStr">
        <is>
          <t>Transportation Freight</t>
        </is>
      </c>
      <c r="E11" t="inlineStr">
        <is>
          <t>Marine</t>
        </is>
      </c>
      <c r="G11" t="inlineStr">
        <is>
          <t>multiplier_load_factor</t>
        </is>
      </c>
      <c r="K11" t="inlineStr">
        <is>
          <t>Wikipedia</t>
        </is>
      </c>
      <c r="L11" t="inlineStr">
        <is>
          <t>tonne/vehicle</t>
        </is>
      </c>
      <c r="M11" t="n">
        <v>25000</v>
      </c>
      <c r="N11" t="n">
        <v>25000</v>
      </c>
      <c r="O11" t="n">
        <v>25000</v>
      </c>
      <c r="P11" t="n">
        <v>25000</v>
      </c>
      <c r="Q11" t="n">
        <v>25000</v>
      </c>
      <c r="R11" t="n">
        <v>25000</v>
      </c>
      <c r="S11" t="n">
        <v>25000</v>
      </c>
      <c r="T11" t="n">
        <v>25000</v>
      </c>
      <c r="U11" t="n">
        <v>25000</v>
      </c>
      <c r="V11" t="n">
        <v>25000</v>
      </c>
      <c r="W11" t="n">
        <v>25000</v>
      </c>
    </row>
    <row r="12">
      <c r="A12" t="inlineStr">
        <is>
          <t>CIMS.CAN.ON.Transportation Freight.Freight.Air</t>
        </is>
      </c>
      <c r="B12" t="inlineStr">
        <is>
          <t>Service</t>
        </is>
      </c>
      <c r="C12" t="inlineStr">
        <is>
          <t>ON</t>
        </is>
      </c>
      <c r="D12" t="inlineStr">
        <is>
          <t>Transportation Freight</t>
        </is>
      </c>
      <c r="E12" t="inlineStr">
        <is>
          <t>Air</t>
        </is>
      </c>
      <c r="G12" t="inlineStr">
        <is>
          <t>multiplier_load_factor</t>
        </is>
      </c>
      <c r="K12" t="inlineStr">
        <is>
          <t>Wikipedia</t>
        </is>
      </c>
      <c r="L12" t="inlineStr">
        <is>
          <t>tonne/vehicle</t>
        </is>
      </c>
      <c r="M12" t="n">
        <v>50</v>
      </c>
      <c r="N12" t="n">
        <v>50</v>
      </c>
      <c r="O12" t="n">
        <v>50</v>
      </c>
      <c r="P12" t="n">
        <v>50</v>
      </c>
      <c r="Q12" t="n">
        <v>50</v>
      </c>
      <c r="R12" t="n">
        <v>50</v>
      </c>
      <c r="S12" t="n">
        <v>50</v>
      </c>
      <c r="T12" t="n">
        <v>50</v>
      </c>
      <c r="U12" t="n">
        <v>50</v>
      </c>
      <c r="V12" t="n">
        <v>50</v>
      </c>
      <c r="W12" t="n">
        <v>50</v>
      </c>
    </row>
    <row r="13">
      <c r="A13" t="inlineStr">
        <is>
          <t>CIMS.CAN.ON.Transportation Freight.Off Road</t>
        </is>
      </c>
      <c r="B13" t="inlineStr">
        <is>
          <t>Service</t>
        </is>
      </c>
      <c r="C13" t="inlineStr">
        <is>
          <t>ON</t>
        </is>
      </c>
      <c r="D13" t="inlineStr">
        <is>
          <t>Transportation Freight</t>
        </is>
      </c>
      <c r="E13" t="inlineStr">
        <is>
          <t>Off Road</t>
        </is>
      </c>
      <c r="G13" t="inlineStr">
        <is>
          <t>multiplier_load_factor</t>
        </is>
      </c>
      <c r="K13" t="inlineStr">
        <is>
          <t>Guess</t>
        </is>
      </c>
      <c r="L13" t="inlineStr">
        <is>
          <t>tonne/vehicle</t>
        </is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</row>
    <row r="14">
      <c r="A14" t="inlineStr">
        <is>
          <t>CIMS.CAN.ON.Electricity.Utility Generation.Base Load</t>
        </is>
      </c>
      <c r="B14" t="inlineStr">
        <is>
          <t>Service</t>
        </is>
      </c>
      <c r="C14" t="inlineStr">
        <is>
          <t>ON</t>
        </is>
      </c>
      <c r="D14" t="inlineStr">
        <is>
          <t>Electricity</t>
        </is>
      </c>
      <c r="E14" t="inlineStr">
        <is>
          <t>Base Load</t>
        </is>
      </c>
      <c r="F14" t="inlineStr">
        <is>
          <t>Solar PV</t>
        </is>
      </c>
      <c r="G14" t="inlineStr">
        <is>
          <t>dcc_class</t>
        </is>
      </c>
      <c r="H14" t="inlineStr">
        <is>
          <t>Solar PV</t>
        </is>
      </c>
    </row>
    <row r="15">
      <c r="A15" t="inlineStr">
        <is>
          <t>CIMS.CAN.ON.Electricity.Utility Generation.Base Load</t>
        </is>
      </c>
      <c r="B15" t="inlineStr">
        <is>
          <t>Service</t>
        </is>
      </c>
      <c r="C15" t="inlineStr">
        <is>
          <t>ON</t>
        </is>
      </c>
      <c r="D15" t="inlineStr">
        <is>
          <t>Electricity</t>
        </is>
      </c>
      <c r="E15" t="inlineStr">
        <is>
          <t>Base Load</t>
        </is>
      </c>
      <c r="F15" t="inlineStr">
        <is>
          <t>Solar PV</t>
        </is>
      </c>
      <c r="G15" t="inlineStr">
        <is>
          <t>dcc_limit</t>
        </is>
      </c>
      <c r="L15" t="inlineStr">
        <is>
          <t>%</t>
        </is>
      </c>
      <c r="M15" t="n">
        <v>0.4</v>
      </c>
      <c r="N15">
        <f>M15</f>
        <v/>
      </c>
      <c r="O15">
        <f>N15</f>
        <v/>
      </c>
      <c r="P15">
        <f>O15</f>
        <v/>
      </c>
      <c r="Q15">
        <f>P15</f>
        <v/>
      </c>
      <c r="R15">
        <f>Q15</f>
        <v/>
      </c>
      <c r="S15">
        <f>R15</f>
        <v/>
      </c>
      <c r="T15">
        <f>S15</f>
        <v/>
      </c>
      <c r="U15">
        <f>T15</f>
        <v/>
      </c>
      <c r="V15">
        <f>U15</f>
        <v/>
      </c>
      <c r="W15">
        <f>V15</f>
        <v/>
      </c>
    </row>
    <row r="16">
      <c r="A16" t="inlineStr">
        <is>
          <t>CIMS.CAN.ON.Electricity.Utility Generation.Base Load</t>
        </is>
      </c>
      <c r="B16" t="inlineStr">
        <is>
          <t>Service</t>
        </is>
      </c>
      <c r="C16" t="inlineStr">
        <is>
          <t>ON</t>
        </is>
      </c>
      <c r="D16" t="inlineStr">
        <is>
          <t>Electricity</t>
        </is>
      </c>
      <c r="E16" t="inlineStr">
        <is>
          <t>Base Load</t>
        </is>
      </c>
      <c r="F16" t="inlineStr">
        <is>
          <t>Solar PV</t>
        </is>
      </c>
      <c r="G16" t="inlineStr">
        <is>
          <t>dcc_learning_min</t>
        </is>
      </c>
      <c r="L16" t="inlineStr">
        <is>
          <t>%</t>
        </is>
      </c>
      <c r="M16" t="n">
        <v>0.01</v>
      </c>
      <c r="N16">
        <f>M16</f>
        <v/>
      </c>
      <c r="O16">
        <f>N16</f>
        <v/>
      </c>
      <c r="P16">
        <f>O16</f>
        <v/>
      </c>
      <c r="Q16">
        <f>P16</f>
        <v/>
      </c>
      <c r="R16">
        <f>Q16</f>
        <v/>
      </c>
      <c r="S16">
        <f>R16</f>
        <v/>
      </c>
      <c r="T16">
        <f>S16</f>
        <v/>
      </c>
      <c r="U16">
        <f>T16</f>
        <v/>
      </c>
      <c r="V16">
        <f>U16</f>
        <v/>
      </c>
      <c r="W16">
        <f>V16</f>
        <v/>
      </c>
    </row>
    <row r="17">
      <c r="A17" t="inlineStr">
        <is>
          <t>CIMS.CAN.ON.Electricity.Utility Generation.Base Load</t>
        </is>
      </c>
      <c r="B17" t="inlineStr">
        <is>
          <t>Service</t>
        </is>
      </c>
      <c r="C17" t="inlineStr">
        <is>
          <t>ON</t>
        </is>
      </c>
      <c r="D17" t="inlineStr">
        <is>
          <t>Electricity</t>
        </is>
      </c>
      <c r="E17" t="inlineStr">
        <is>
          <t>Base Load</t>
        </is>
      </c>
      <c r="F17" t="inlineStr">
        <is>
          <t>Solar PV</t>
        </is>
      </c>
      <c r="G17" t="inlineStr">
        <is>
          <t>dcc_capacity_1</t>
        </is>
      </c>
      <c r="L17" t="inlineStr">
        <is>
          <t>MWh</t>
        </is>
      </c>
      <c r="M17" t="n">
        <v>54000000</v>
      </c>
      <c r="N17">
        <f>M17</f>
        <v/>
      </c>
      <c r="O17">
        <f>N17</f>
        <v/>
      </c>
      <c r="P17">
        <f>O17</f>
        <v/>
      </c>
      <c r="Q17">
        <f>P17</f>
        <v/>
      </c>
      <c r="R17">
        <f>Q17</f>
        <v/>
      </c>
      <c r="S17">
        <f>R17</f>
        <v/>
      </c>
      <c r="T17">
        <f>S17</f>
        <v/>
      </c>
      <c r="U17">
        <f>T17</f>
        <v/>
      </c>
      <c r="V17">
        <f>U17</f>
        <v/>
      </c>
      <c r="W17">
        <f>V17</f>
        <v/>
      </c>
    </row>
    <row r="18">
      <c r="A18" t="inlineStr">
        <is>
          <t>CIMS.CAN.ON.Electricity.Utility Generation.Base Load</t>
        </is>
      </c>
      <c r="B18" t="inlineStr">
        <is>
          <t>Service</t>
        </is>
      </c>
      <c r="C18" t="inlineStr">
        <is>
          <t>ON</t>
        </is>
      </c>
      <c r="D18" t="inlineStr">
        <is>
          <t>Electricity</t>
        </is>
      </c>
      <c r="E18" t="inlineStr">
        <is>
          <t>Base Load</t>
        </is>
      </c>
      <c r="F18" t="inlineStr">
        <is>
          <t>Solar PV</t>
        </is>
      </c>
      <c r="G18" t="inlineStr">
        <is>
          <t>dcc_progress_ratio_1</t>
        </is>
      </c>
      <c r="L18" t="inlineStr">
        <is>
          <t>%</t>
        </is>
      </c>
      <c r="M18" t="n">
        <v>0.9</v>
      </c>
      <c r="N18">
        <f>M18</f>
        <v/>
      </c>
      <c r="O18">
        <f>N18</f>
        <v/>
      </c>
      <c r="P18">
        <f>O18</f>
        <v/>
      </c>
      <c r="Q18">
        <f>P18</f>
        <v/>
      </c>
      <c r="R18">
        <f>Q18</f>
        <v/>
      </c>
      <c r="S18">
        <f>R18</f>
        <v/>
      </c>
      <c r="T18">
        <f>S18</f>
        <v/>
      </c>
      <c r="U18">
        <f>T18</f>
        <v/>
      </c>
      <c r="V18">
        <f>U18</f>
        <v/>
      </c>
      <c r="W18">
        <f>V18</f>
        <v/>
      </c>
    </row>
    <row r="19">
      <c r="A19" t="inlineStr">
        <is>
          <t>CIMS.CAN.ON.Electricity.Utility Generation.Base Load</t>
        </is>
      </c>
      <c r="B19" t="inlineStr">
        <is>
          <t>Service</t>
        </is>
      </c>
      <c r="C19" t="inlineStr">
        <is>
          <t>ON</t>
        </is>
      </c>
      <c r="D19" t="inlineStr">
        <is>
          <t>Electricity</t>
        </is>
      </c>
      <c r="E19" t="inlineStr">
        <is>
          <t>Base Load</t>
        </is>
      </c>
      <c r="F19" t="inlineStr">
        <is>
          <t>Wind Onshore</t>
        </is>
      </c>
      <c r="G19" t="inlineStr">
        <is>
          <t>dcc_class</t>
        </is>
      </c>
      <c r="H19" t="inlineStr">
        <is>
          <t>Wind</t>
        </is>
      </c>
    </row>
    <row r="20">
      <c r="A20" t="inlineStr">
        <is>
          <t>CIMS.CAN.ON.Electricity.Utility Generation.Base Load</t>
        </is>
      </c>
      <c r="B20" t="inlineStr">
        <is>
          <t>Service</t>
        </is>
      </c>
      <c r="C20" t="inlineStr">
        <is>
          <t>ON</t>
        </is>
      </c>
      <c r="D20" t="inlineStr">
        <is>
          <t>Electricity</t>
        </is>
      </c>
      <c r="E20" t="inlineStr">
        <is>
          <t>Base Load</t>
        </is>
      </c>
      <c r="F20" t="inlineStr">
        <is>
          <t>Wind Onshore</t>
        </is>
      </c>
      <c r="G20" t="inlineStr">
        <is>
          <t>dcc_limit</t>
        </is>
      </c>
      <c r="L20" t="inlineStr">
        <is>
          <t>%</t>
        </is>
      </c>
      <c r="M20" t="n">
        <v>0.4</v>
      </c>
      <c r="N20">
        <f>M20</f>
        <v/>
      </c>
      <c r="O20">
        <f>N20</f>
        <v/>
      </c>
      <c r="P20">
        <f>O20</f>
        <v/>
      </c>
      <c r="Q20">
        <f>P20</f>
        <v/>
      </c>
      <c r="R20">
        <f>Q20</f>
        <v/>
      </c>
      <c r="S20">
        <f>R20</f>
        <v/>
      </c>
      <c r="T20">
        <f>S20</f>
        <v/>
      </c>
      <c r="U20">
        <f>T20</f>
        <v/>
      </c>
      <c r="V20">
        <f>U20</f>
        <v/>
      </c>
      <c r="W20">
        <f>V20</f>
        <v/>
      </c>
    </row>
    <row r="21">
      <c r="A21" t="inlineStr">
        <is>
          <t>CIMS.CAN.ON.Electricity.Utility Generation.Base Load</t>
        </is>
      </c>
      <c r="B21" t="inlineStr">
        <is>
          <t>Service</t>
        </is>
      </c>
      <c r="C21" t="inlineStr">
        <is>
          <t>ON</t>
        </is>
      </c>
      <c r="D21" t="inlineStr">
        <is>
          <t>Electricity</t>
        </is>
      </c>
      <c r="E21" t="inlineStr">
        <is>
          <t>Base Load</t>
        </is>
      </c>
      <c r="F21" t="inlineStr">
        <is>
          <t>Wind Onshore</t>
        </is>
      </c>
      <c r="G21" t="inlineStr">
        <is>
          <t>dcc_learning_min</t>
        </is>
      </c>
      <c r="L21" t="inlineStr">
        <is>
          <t>%</t>
        </is>
      </c>
      <c r="M21" t="n">
        <v>0.01</v>
      </c>
      <c r="N21">
        <f>M21</f>
        <v/>
      </c>
      <c r="O21">
        <f>N21</f>
        <v/>
      </c>
      <c r="P21">
        <f>O21</f>
        <v/>
      </c>
      <c r="Q21">
        <f>P21</f>
        <v/>
      </c>
      <c r="R21">
        <f>Q21</f>
        <v/>
      </c>
      <c r="S21">
        <f>R21</f>
        <v/>
      </c>
      <c r="T21">
        <f>S21</f>
        <v/>
      </c>
      <c r="U21">
        <f>T21</f>
        <v/>
      </c>
      <c r="V21">
        <f>U21</f>
        <v/>
      </c>
      <c r="W21">
        <f>V21</f>
        <v/>
      </c>
    </row>
    <row r="22">
      <c r="A22" t="inlineStr">
        <is>
          <t>CIMS.CAN.ON.Electricity.Utility Generation.Base Load</t>
        </is>
      </c>
      <c r="B22" t="inlineStr">
        <is>
          <t>Service</t>
        </is>
      </c>
      <c r="C22" t="inlineStr">
        <is>
          <t>ON</t>
        </is>
      </c>
      <c r="D22" t="inlineStr">
        <is>
          <t>Electricity</t>
        </is>
      </c>
      <c r="E22" t="inlineStr">
        <is>
          <t>Base Load</t>
        </is>
      </c>
      <c r="F22" t="inlineStr">
        <is>
          <t>Wind Onshore</t>
        </is>
      </c>
      <c r="G22" t="inlineStr">
        <is>
          <t>dcc_capacity_1</t>
        </is>
      </c>
      <c r="L22" t="inlineStr">
        <is>
          <t>MWh</t>
        </is>
      </c>
      <c r="M22" t="n">
        <v>54000000</v>
      </c>
      <c r="N22">
        <f>M22</f>
        <v/>
      </c>
      <c r="O22">
        <f>N22</f>
        <v/>
      </c>
      <c r="P22">
        <f>O22</f>
        <v/>
      </c>
      <c r="Q22">
        <f>P22</f>
        <v/>
      </c>
      <c r="R22">
        <f>Q22</f>
        <v/>
      </c>
      <c r="S22">
        <f>R22</f>
        <v/>
      </c>
      <c r="T22">
        <f>S22</f>
        <v/>
      </c>
      <c r="U22">
        <f>T22</f>
        <v/>
      </c>
      <c r="V22">
        <f>U22</f>
        <v/>
      </c>
      <c r="W22">
        <f>V22</f>
        <v/>
      </c>
    </row>
    <row r="23">
      <c r="A23" t="inlineStr">
        <is>
          <t>CIMS.CAN.ON.Electricity.Utility Generation.Base Load</t>
        </is>
      </c>
      <c r="B23" t="inlineStr">
        <is>
          <t>Service</t>
        </is>
      </c>
      <c r="C23" t="inlineStr">
        <is>
          <t>ON</t>
        </is>
      </c>
      <c r="D23" t="inlineStr">
        <is>
          <t>Electricity</t>
        </is>
      </c>
      <c r="E23" t="inlineStr">
        <is>
          <t>Base Load</t>
        </is>
      </c>
      <c r="F23" t="inlineStr">
        <is>
          <t>Wind Onshore</t>
        </is>
      </c>
      <c r="G23" t="inlineStr">
        <is>
          <t>dcc_progress_ratio_1</t>
        </is>
      </c>
      <c r="L23" t="inlineStr">
        <is>
          <t>%</t>
        </is>
      </c>
      <c r="M23" t="n">
        <v>0.9</v>
      </c>
      <c r="N23">
        <f>M23</f>
        <v/>
      </c>
      <c r="O23">
        <f>N23</f>
        <v/>
      </c>
      <c r="P23">
        <f>O23</f>
        <v/>
      </c>
      <c r="Q23">
        <f>P23</f>
        <v/>
      </c>
      <c r="R23">
        <f>Q23</f>
        <v/>
      </c>
      <c r="S23">
        <f>R23</f>
        <v/>
      </c>
      <c r="T23">
        <f>S23</f>
        <v/>
      </c>
      <c r="U23">
        <f>T23</f>
        <v/>
      </c>
      <c r="V23">
        <f>U23</f>
        <v/>
      </c>
      <c r="W23">
        <f>V23</f>
        <v/>
      </c>
    </row>
    <row r="24">
      <c r="A24" t="inlineStr">
        <is>
          <t>CIMS.CAN.ON.Electricity.Utility Generation.Base Load</t>
        </is>
      </c>
      <c r="B24" t="inlineStr">
        <is>
          <t>Service</t>
        </is>
      </c>
      <c r="C24" t="inlineStr">
        <is>
          <t>ON</t>
        </is>
      </c>
      <c r="D24" t="inlineStr">
        <is>
          <t>Electricity</t>
        </is>
      </c>
      <c r="E24" t="inlineStr">
        <is>
          <t>Base Load</t>
        </is>
      </c>
      <c r="F24" t="inlineStr">
        <is>
          <t>Wind Offshore</t>
        </is>
      </c>
      <c r="G24" t="inlineStr">
        <is>
          <t>dcc_class</t>
        </is>
      </c>
      <c r="H24" t="inlineStr">
        <is>
          <t>Wind</t>
        </is>
      </c>
    </row>
    <row r="25">
      <c r="A25" t="inlineStr">
        <is>
          <t>CIMS.CAN.ON.Electricity.Utility Generation.Base Load</t>
        </is>
      </c>
      <c r="B25" t="inlineStr">
        <is>
          <t>Service</t>
        </is>
      </c>
      <c r="C25" t="inlineStr">
        <is>
          <t>ON</t>
        </is>
      </c>
      <c r="D25" t="inlineStr">
        <is>
          <t>Electricity</t>
        </is>
      </c>
      <c r="E25" t="inlineStr">
        <is>
          <t>Base Load</t>
        </is>
      </c>
      <c r="F25" t="inlineStr">
        <is>
          <t>Wind Offshore</t>
        </is>
      </c>
      <c r="G25" t="inlineStr">
        <is>
          <t>dcc_limit</t>
        </is>
      </c>
      <c r="L25" t="inlineStr">
        <is>
          <t>%</t>
        </is>
      </c>
      <c r="M25" t="n">
        <v>0.4</v>
      </c>
      <c r="N25">
        <f>M25</f>
        <v/>
      </c>
      <c r="O25">
        <f>N25</f>
        <v/>
      </c>
      <c r="P25">
        <f>O25</f>
        <v/>
      </c>
      <c r="Q25">
        <f>P25</f>
        <v/>
      </c>
      <c r="R25">
        <f>Q25</f>
        <v/>
      </c>
      <c r="S25">
        <f>R25</f>
        <v/>
      </c>
      <c r="T25">
        <f>S25</f>
        <v/>
      </c>
      <c r="U25">
        <f>T25</f>
        <v/>
      </c>
      <c r="V25">
        <f>U25</f>
        <v/>
      </c>
      <c r="W25">
        <f>V25</f>
        <v/>
      </c>
    </row>
    <row r="26">
      <c r="A26" t="inlineStr">
        <is>
          <t>CIMS.CAN.ON.Electricity.Utility Generation.Base Load</t>
        </is>
      </c>
      <c r="B26" t="inlineStr">
        <is>
          <t>Service</t>
        </is>
      </c>
      <c r="C26" t="inlineStr">
        <is>
          <t>ON</t>
        </is>
      </c>
      <c r="D26" t="inlineStr">
        <is>
          <t>Electricity</t>
        </is>
      </c>
      <c r="E26" t="inlineStr">
        <is>
          <t>Base Load</t>
        </is>
      </c>
      <c r="F26" t="inlineStr">
        <is>
          <t>Wind Offshore</t>
        </is>
      </c>
      <c r="G26" t="inlineStr">
        <is>
          <t>dcc_learning_min</t>
        </is>
      </c>
      <c r="L26" t="inlineStr">
        <is>
          <t>%</t>
        </is>
      </c>
      <c r="M26" t="n">
        <v>0.01</v>
      </c>
      <c r="N26">
        <f>M26</f>
        <v/>
      </c>
      <c r="O26">
        <f>N26</f>
        <v/>
      </c>
      <c r="P26">
        <f>O26</f>
        <v/>
      </c>
      <c r="Q26">
        <f>P26</f>
        <v/>
      </c>
      <c r="R26">
        <f>Q26</f>
        <v/>
      </c>
      <c r="S26">
        <f>R26</f>
        <v/>
      </c>
      <c r="T26">
        <f>S26</f>
        <v/>
      </c>
      <c r="U26">
        <f>T26</f>
        <v/>
      </c>
      <c r="V26">
        <f>U26</f>
        <v/>
      </c>
      <c r="W26">
        <f>V26</f>
        <v/>
      </c>
    </row>
    <row r="27">
      <c r="A27" t="inlineStr">
        <is>
          <t>CIMS.CAN.ON.Electricity.Utility Generation.Base Load</t>
        </is>
      </c>
      <c r="B27" t="inlineStr">
        <is>
          <t>Service</t>
        </is>
      </c>
      <c r="C27" t="inlineStr">
        <is>
          <t>ON</t>
        </is>
      </c>
      <c r="D27" t="inlineStr">
        <is>
          <t>Electricity</t>
        </is>
      </c>
      <c r="E27" t="inlineStr">
        <is>
          <t>Base Load</t>
        </is>
      </c>
      <c r="F27" t="inlineStr">
        <is>
          <t>Wind Offshore</t>
        </is>
      </c>
      <c r="G27" t="inlineStr">
        <is>
          <t>dcc_capacity_1</t>
        </is>
      </c>
      <c r="L27" t="inlineStr">
        <is>
          <t>MWh</t>
        </is>
      </c>
      <c r="M27" t="n">
        <v>54000000</v>
      </c>
      <c r="N27">
        <f>M27</f>
        <v/>
      </c>
      <c r="O27">
        <f>N27</f>
        <v/>
      </c>
      <c r="P27">
        <f>O27</f>
        <v/>
      </c>
      <c r="Q27">
        <f>P27</f>
        <v/>
      </c>
      <c r="R27">
        <f>Q27</f>
        <v/>
      </c>
      <c r="S27">
        <f>R27</f>
        <v/>
      </c>
      <c r="T27">
        <f>S27</f>
        <v/>
      </c>
      <c r="U27">
        <f>T27</f>
        <v/>
      </c>
      <c r="V27">
        <f>U27</f>
        <v/>
      </c>
      <c r="W27">
        <f>V27</f>
        <v/>
      </c>
    </row>
    <row r="28">
      <c r="A28" t="inlineStr">
        <is>
          <t>CIMS.CAN.ON.Electricity.Utility Generation.Base Load</t>
        </is>
      </c>
      <c r="B28" t="inlineStr">
        <is>
          <t>Service</t>
        </is>
      </c>
      <c r="C28" t="inlineStr">
        <is>
          <t>ON</t>
        </is>
      </c>
      <c r="D28" t="inlineStr">
        <is>
          <t>Electricity</t>
        </is>
      </c>
      <c r="E28" t="inlineStr">
        <is>
          <t>Base Load</t>
        </is>
      </c>
      <c r="F28" t="inlineStr">
        <is>
          <t>Wind Offshore</t>
        </is>
      </c>
      <c r="G28" t="inlineStr">
        <is>
          <t>dcc_progress_ratio_1</t>
        </is>
      </c>
      <c r="L28" t="inlineStr">
        <is>
          <t>%</t>
        </is>
      </c>
      <c r="M28" t="n">
        <v>0.9</v>
      </c>
      <c r="N28">
        <f>M28</f>
        <v/>
      </c>
      <c r="O28">
        <f>N28</f>
        <v/>
      </c>
      <c r="P28">
        <f>O28</f>
        <v/>
      </c>
      <c r="Q28">
        <f>P28</f>
        <v/>
      </c>
      <c r="R28">
        <f>Q28</f>
        <v/>
      </c>
      <c r="S28">
        <f>R28</f>
        <v/>
      </c>
      <c r="T28">
        <f>S28</f>
        <v/>
      </c>
      <c r="U28">
        <f>T28</f>
        <v/>
      </c>
      <c r="V28">
        <f>U28</f>
        <v/>
      </c>
      <c r="W28">
        <f>V28</f>
        <v/>
      </c>
    </row>
    <row r="29">
      <c r="A29" t="inlineStr">
        <is>
          <t>CIMS.CAN.ON.Electricity.Utility Generation.Base Load</t>
        </is>
      </c>
      <c r="B29" t="inlineStr">
        <is>
          <t>Service</t>
        </is>
      </c>
      <c r="C29" t="inlineStr">
        <is>
          <t>ON</t>
        </is>
      </c>
      <c r="D29" t="inlineStr">
        <is>
          <t>Electricity</t>
        </is>
      </c>
      <c r="E29" t="inlineStr">
        <is>
          <t>Base Load</t>
        </is>
      </c>
      <c r="F29" t="inlineStr">
        <is>
          <t>Nuclear SMR</t>
        </is>
      </c>
      <c r="G29" t="inlineStr">
        <is>
          <t>dcc_class</t>
        </is>
      </c>
      <c r="H29" t="inlineStr">
        <is>
          <t>SMR</t>
        </is>
      </c>
    </row>
    <row r="30">
      <c r="A30" t="inlineStr">
        <is>
          <t>CIMS.CAN.ON.Electricity.Utility Generation.Base Load</t>
        </is>
      </c>
      <c r="B30" t="inlineStr">
        <is>
          <t>Service</t>
        </is>
      </c>
      <c r="C30" t="inlineStr">
        <is>
          <t>ON</t>
        </is>
      </c>
      <c r="D30" t="inlineStr">
        <is>
          <t>Electricity</t>
        </is>
      </c>
      <c r="E30" t="inlineStr">
        <is>
          <t>Base Load</t>
        </is>
      </c>
      <c r="F30" t="inlineStr">
        <is>
          <t>Nuclear SMR</t>
        </is>
      </c>
      <c r="G30" t="inlineStr">
        <is>
          <t>dcc_limit</t>
        </is>
      </c>
      <c r="L30" t="inlineStr">
        <is>
          <t>%</t>
        </is>
      </c>
      <c r="M30" t="n">
        <v>0.4</v>
      </c>
      <c r="N30">
        <f>M30</f>
        <v/>
      </c>
      <c r="O30">
        <f>N30</f>
        <v/>
      </c>
      <c r="P30">
        <f>O30</f>
        <v/>
      </c>
      <c r="Q30">
        <f>P30</f>
        <v/>
      </c>
      <c r="R30">
        <f>Q30</f>
        <v/>
      </c>
      <c r="S30">
        <f>R30</f>
        <v/>
      </c>
      <c r="T30">
        <f>S30</f>
        <v/>
      </c>
      <c r="U30">
        <f>T30</f>
        <v/>
      </c>
      <c r="V30">
        <f>U30</f>
        <v/>
      </c>
      <c r="W30">
        <f>V30</f>
        <v/>
      </c>
    </row>
    <row r="31">
      <c r="A31" t="inlineStr">
        <is>
          <t>CIMS.CAN.ON.Electricity.Utility Generation.Base Load</t>
        </is>
      </c>
      <c r="B31" t="inlineStr">
        <is>
          <t>Service</t>
        </is>
      </c>
      <c r="C31" t="inlineStr">
        <is>
          <t>ON</t>
        </is>
      </c>
      <c r="D31" t="inlineStr">
        <is>
          <t>Electricity</t>
        </is>
      </c>
      <c r="E31" t="inlineStr">
        <is>
          <t>Base Load</t>
        </is>
      </c>
      <c r="F31" t="inlineStr">
        <is>
          <t>Nuclear SMR</t>
        </is>
      </c>
      <c r="G31" t="inlineStr">
        <is>
          <t>dcc_learning_min</t>
        </is>
      </c>
      <c r="L31" t="inlineStr">
        <is>
          <t>%</t>
        </is>
      </c>
      <c r="M31" t="n">
        <v>0.01</v>
      </c>
      <c r="N31">
        <f>M31</f>
        <v/>
      </c>
      <c r="O31">
        <f>N31</f>
        <v/>
      </c>
      <c r="P31">
        <f>O31</f>
        <v/>
      </c>
      <c r="Q31">
        <f>P31</f>
        <v/>
      </c>
      <c r="R31">
        <f>Q31</f>
        <v/>
      </c>
      <c r="S31">
        <f>R31</f>
        <v/>
      </c>
      <c r="T31">
        <f>S31</f>
        <v/>
      </c>
      <c r="U31">
        <f>T31</f>
        <v/>
      </c>
      <c r="V31">
        <f>U31</f>
        <v/>
      </c>
      <c r="W31">
        <f>V31</f>
        <v/>
      </c>
    </row>
    <row r="32">
      <c r="A32" t="inlineStr">
        <is>
          <t>CIMS.CAN.ON.Electricity.Utility Generation.Base Load</t>
        </is>
      </c>
      <c r="B32" t="inlineStr">
        <is>
          <t>Service</t>
        </is>
      </c>
      <c r="C32" t="inlineStr">
        <is>
          <t>ON</t>
        </is>
      </c>
      <c r="D32" t="inlineStr">
        <is>
          <t>Electricity</t>
        </is>
      </c>
      <c r="E32" t="inlineStr">
        <is>
          <t>Base Load</t>
        </is>
      </c>
      <c r="F32" t="inlineStr">
        <is>
          <t>Nuclear SMR</t>
        </is>
      </c>
      <c r="G32" t="inlineStr">
        <is>
          <t>dcc_capacity_1</t>
        </is>
      </c>
      <c r="L32" t="inlineStr">
        <is>
          <t>MWh</t>
        </is>
      </c>
      <c r="M32" t="n">
        <v>54000000</v>
      </c>
      <c r="N32">
        <f>M32</f>
        <v/>
      </c>
      <c r="O32">
        <f>N32</f>
        <v/>
      </c>
      <c r="P32">
        <f>O32</f>
        <v/>
      </c>
      <c r="Q32">
        <f>P32</f>
        <v/>
      </c>
      <c r="R32">
        <f>Q32</f>
        <v/>
      </c>
      <c r="S32">
        <f>R32</f>
        <v/>
      </c>
      <c r="T32">
        <f>S32</f>
        <v/>
      </c>
      <c r="U32">
        <f>T32</f>
        <v/>
      </c>
      <c r="V32">
        <f>U32</f>
        <v/>
      </c>
      <c r="W32">
        <f>V32</f>
        <v/>
      </c>
    </row>
    <row r="33">
      <c r="A33" t="inlineStr">
        <is>
          <t>CIMS.CAN.ON.Electricity.Utility Generation.Base Load</t>
        </is>
      </c>
      <c r="B33" t="inlineStr">
        <is>
          <t>Service</t>
        </is>
      </c>
      <c r="C33" t="inlineStr">
        <is>
          <t>ON</t>
        </is>
      </c>
      <c r="D33" t="inlineStr">
        <is>
          <t>Electricity</t>
        </is>
      </c>
      <c r="E33" t="inlineStr">
        <is>
          <t>Base Load</t>
        </is>
      </c>
      <c r="F33" t="inlineStr">
        <is>
          <t>Nuclear SMR</t>
        </is>
      </c>
      <c r="G33" t="inlineStr">
        <is>
          <t>dcc_progress_ratio_1</t>
        </is>
      </c>
      <c r="L33" t="inlineStr">
        <is>
          <t>%</t>
        </is>
      </c>
      <c r="M33" t="n">
        <v>0.9</v>
      </c>
      <c r="N33">
        <f>M33</f>
        <v/>
      </c>
      <c r="O33">
        <f>N33</f>
        <v/>
      </c>
      <c r="P33">
        <f>O33</f>
        <v/>
      </c>
      <c r="Q33">
        <f>P33</f>
        <v/>
      </c>
      <c r="R33">
        <f>Q33</f>
        <v/>
      </c>
      <c r="S33">
        <f>R33</f>
        <v/>
      </c>
      <c r="T33">
        <f>S33</f>
        <v/>
      </c>
      <c r="U33">
        <f>T33</f>
        <v/>
      </c>
      <c r="V33">
        <f>U33</f>
        <v/>
      </c>
      <c r="W33">
        <f>V33</f>
        <v/>
      </c>
    </row>
    <row r="34">
      <c r="A34" t="inlineStr">
        <is>
          <t>CIMS.CAN.ON.Electricity.Utility Generation.Base Load</t>
        </is>
      </c>
      <c r="B34" t="inlineStr">
        <is>
          <t>Service</t>
        </is>
      </c>
      <c r="C34" t="inlineStr">
        <is>
          <t>ON</t>
        </is>
      </c>
      <c r="D34" t="inlineStr">
        <is>
          <t>Electricity</t>
        </is>
      </c>
      <c r="E34" t="inlineStr">
        <is>
          <t>Base Load</t>
        </is>
      </c>
      <c r="F34" t="inlineStr">
        <is>
          <t>Solar PV + Battery</t>
        </is>
      </c>
      <c r="G34" t="inlineStr">
        <is>
          <t>dcc_class</t>
        </is>
      </c>
      <c r="H34" t="inlineStr">
        <is>
          <t>Solar PV</t>
        </is>
      </c>
    </row>
    <row r="35">
      <c r="A35" t="inlineStr">
        <is>
          <t>CIMS.CAN.ON.Electricity.Utility Generation.Base Load</t>
        </is>
      </c>
      <c r="B35" t="inlineStr">
        <is>
          <t>Service</t>
        </is>
      </c>
      <c r="C35" t="inlineStr">
        <is>
          <t>ON</t>
        </is>
      </c>
      <c r="D35" t="inlineStr">
        <is>
          <t>Electricity</t>
        </is>
      </c>
      <c r="E35" t="inlineStr">
        <is>
          <t>Base Load</t>
        </is>
      </c>
      <c r="F35" t="inlineStr">
        <is>
          <t>Solar PV + Battery</t>
        </is>
      </c>
      <c r="G35" t="inlineStr">
        <is>
          <t>dcc_limit</t>
        </is>
      </c>
      <c r="L35" t="inlineStr">
        <is>
          <t>%</t>
        </is>
      </c>
      <c r="M35" t="n">
        <v>0.4</v>
      </c>
      <c r="N35">
        <f>M35</f>
        <v/>
      </c>
      <c r="O35">
        <f>N35</f>
        <v/>
      </c>
      <c r="P35">
        <f>O35</f>
        <v/>
      </c>
      <c r="Q35">
        <f>P35</f>
        <v/>
      </c>
      <c r="R35">
        <f>Q35</f>
        <v/>
      </c>
      <c r="S35">
        <f>R35</f>
        <v/>
      </c>
      <c r="T35">
        <f>S35</f>
        <v/>
      </c>
      <c r="U35">
        <f>T35</f>
        <v/>
      </c>
      <c r="V35">
        <f>U35</f>
        <v/>
      </c>
      <c r="W35">
        <f>V35</f>
        <v/>
      </c>
    </row>
    <row r="36">
      <c r="A36" t="inlineStr">
        <is>
          <t>CIMS.CAN.ON.Electricity.Utility Generation.Base Load</t>
        </is>
      </c>
      <c r="B36" t="inlineStr">
        <is>
          <t>Service</t>
        </is>
      </c>
      <c r="C36" t="inlineStr">
        <is>
          <t>ON</t>
        </is>
      </c>
      <c r="D36" t="inlineStr">
        <is>
          <t>Electricity</t>
        </is>
      </c>
      <c r="E36" t="inlineStr">
        <is>
          <t>Base Load</t>
        </is>
      </c>
      <c r="F36" t="inlineStr">
        <is>
          <t>Solar PV + Battery</t>
        </is>
      </c>
      <c r="G36" t="inlineStr">
        <is>
          <t>dcc_learning_min</t>
        </is>
      </c>
      <c r="L36" t="inlineStr">
        <is>
          <t>%</t>
        </is>
      </c>
      <c r="M36" t="n">
        <v>0.01</v>
      </c>
      <c r="N36">
        <f>M36</f>
        <v/>
      </c>
      <c r="O36">
        <f>N36</f>
        <v/>
      </c>
      <c r="P36">
        <f>O36</f>
        <v/>
      </c>
      <c r="Q36">
        <f>P36</f>
        <v/>
      </c>
      <c r="R36">
        <f>Q36</f>
        <v/>
      </c>
      <c r="S36">
        <f>R36</f>
        <v/>
      </c>
      <c r="T36">
        <f>S36</f>
        <v/>
      </c>
      <c r="U36">
        <f>T36</f>
        <v/>
      </c>
      <c r="V36">
        <f>U36</f>
        <v/>
      </c>
      <c r="W36">
        <f>V36</f>
        <v/>
      </c>
    </row>
    <row r="37">
      <c r="A37" t="inlineStr">
        <is>
          <t>CIMS.CAN.ON.Electricity.Utility Generation.Base Load</t>
        </is>
      </c>
      <c r="B37" t="inlineStr">
        <is>
          <t>Service</t>
        </is>
      </c>
      <c r="C37" t="inlineStr">
        <is>
          <t>ON</t>
        </is>
      </c>
      <c r="D37" t="inlineStr">
        <is>
          <t>Electricity</t>
        </is>
      </c>
      <c r="E37" t="inlineStr">
        <is>
          <t>Base Load</t>
        </is>
      </c>
      <c r="F37" t="inlineStr">
        <is>
          <t>Solar PV + Battery</t>
        </is>
      </c>
      <c r="G37" t="inlineStr">
        <is>
          <t>dcc_capacity_1</t>
        </is>
      </c>
      <c r="L37" t="inlineStr">
        <is>
          <t>MWh</t>
        </is>
      </c>
      <c r="M37" t="n">
        <v>54000000</v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CIMS.CAN.ON.Electricity.Utility Generation.Base Load</t>
        </is>
      </c>
      <c r="B38" t="inlineStr">
        <is>
          <t>Service</t>
        </is>
      </c>
      <c r="C38" t="inlineStr">
        <is>
          <t>ON</t>
        </is>
      </c>
      <c r="D38" t="inlineStr">
        <is>
          <t>Electricity</t>
        </is>
      </c>
      <c r="E38" t="inlineStr">
        <is>
          <t>Base Load</t>
        </is>
      </c>
      <c r="F38" t="inlineStr">
        <is>
          <t>Solar PV + Battery</t>
        </is>
      </c>
      <c r="G38" t="inlineStr">
        <is>
          <t>dcc_progress_ratio_1</t>
        </is>
      </c>
      <c r="L38" t="inlineStr">
        <is>
          <t>%</t>
        </is>
      </c>
      <c r="M38" t="n">
        <v>0.9</v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CIMS.CAN.ON.Electricity.Utility Generation.Base Load</t>
        </is>
      </c>
      <c r="B39" t="inlineStr">
        <is>
          <t>Service</t>
        </is>
      </c>
      <c r="C39" t="inlineStr">
        <is>
          <t>ON</t>
        </is>
      </c>
      <c r="D39" t="inlineStr">
        <is>
          <t>Electricity</t>
        </is>
      </c>
      <c r="E39" t="inlineStr">
        <is>
          <t>Base Load</t>
        </is>
      </c>
      <c r="F39" t="inlineStr">
        <is>
          <t>Wind + Battery</t>
        </is>
      </c>
      <c r="G39" t="inlineStr">
        <is>
          <t>dcc_class</t>
        </is>
      </c>
      <c r="H39" t="inlineStr">
        <is>
          <t>Wind</t>
        </is>
      </c>
    </row>
    <row r="40">
      <c r="A40" t="inlineStr">
        <is>
          <t>CIMS.CAN.ON.Electricity.Utility Generation.Base Load</t>
        </is>
      </c>
      <c r="B40" t="inlineStr">
        <is>
          <t>Service</t>
        </is>
      </c>
      <c r="C40" t="inlineStr">
        <is>
          <t>ON</t>
        </is>
      </c>
      <c r="D40" t="inlineStr">
        <is>
          <t>Electricity</t>
        </is>
      </c>
      <c r="E40" t="inlineStr">
        <is>
          <t>Base Load</t>
        </is>
      </c>
      <c r="F40" t="inlineStr">
        <is>
          <t>Wind + Battery</t>
        </is>
      </c>
      <c r="G40" t="inlineStr">
        <is>
          <t>dcc_limit</t>
        </is>
      </c>
      <c r="L40" t="inlineStr">
        <is>
          <t>%</t>
        </is>
      </c>
      <c r="M40" t="n">
        <v>0.4</v>
      </c>
      <c r="N40">
        <f>M40</f>
        <v/>
      </c>
      <c r="O40">
        <f>N40</f>
        <v/>
      </c>
      <c r="P40">
        <f>O40</f>
        <v/>
      </c>
      <c r="Q40">
        <f>P40</f>
        <v/>
      </c>
      <c r="R40">
        <f>Q40</f>
        <v/>
      </c>
      <c r="S40">
        <f>R40</f>
        <v/>
      </c>
      <c r="T40">
        <f>S40</f>
        <v/>
      </c>
      <c r="U40">
        <f>T40</f>
        <v/>
      </c>
      <c r="V40">
        <f>U40</f>
        <v/>
      </c>
      <c r="W40">
        <f>V40</f>
        <v/>
      </c>
    </row>
    <row r="41">
      <c r="A41" t="inlineStr">
        <is>
          <t>CIMS.CAN.ON.Electricity.Utility Generation.Base Load</t>
        </is>
      </c>
      <c r="B41" t="inlineStr">
        <is>
          <t>Service</t>
        </is>
      </c>
      <c r="C41" t="inlineStr">
        <is>
          <t>ON</t>
        </is>
      </c>
      <c r="D41" t="inlineStr">
        <is>
          <t>Electricity</t>
        </is>
      </c>
      <c r="E41" t="inlineStr">
        <is>
          <t>Base Load</t>
        </is>
      </c>
      <c r="F41" t="inlineStr">
        <is>
          <t>Wind + Battery</t>
        </is>
      </c>
      <c r="G41" t="inlineStr">
        <is>
          <t>dcc_learning_min</t>
        </is>
      </c>
      <c r="L41" t="inlineStr">
        <is>
          <t>%</t>
        </is>
      </c>
      <c r="M41" t="n">
        <v>0.01</v>
      </c>
      <c r="N41">
        <f>M41</f>
        <v/>
      </c>
      <c r="O41">
        <f>N41</f>
        <v/>
      </c>
      <c r="P41">
        <f>O41</f>
        <v/>
      </c>
      <c r="Q41">
        <f>P41</f>
        <v/>
      </c>
      <c r="R41">
        <f>Q41</f>
        <v/>
      </c>
      <c r="S41">
        <f>R41</f>
        <v/>
      </c>
      <c r="T41">
        <f>S41</f>
        <v/>
      </c>
      <c r="U41">
        <f>T41</f>
        <v/>
      </c>
      <c r="V41">
        <f>U41</f>
        <v/>
      </c>
      <c r="W41">
        <f>V41</f>
        <v/>
      </c>
    </row>
    <row r="42">
      <c r="A42" t="inlineStr">
        <is>
          <t>CIMS.CAN.ON.Electricity.Utility Generation.Base Load</t>
        </is>
      </c>
      <c r="B42" t="inlineStr">
        <is>
          <t>Service</t>
        </is>
      </c>
      <c r="C42" t="inlineStr">
        <is>
          <t>ON</t>
        </is>
      </c>
      <c r="D42" t="inlineStr">
        <is>
          <t>Electricity</t>
        </is>
      </c>
      <c r="E42" t="inlineStr">
        <is>
          <t>Base Load</t>
        </is>
      </c>
      <c r="F42" t="inlineStr">
        <is>
          <t>Wind + Battery</t>
        </is>
      </c>
      <c r="G42" t="inlineStr">
        <is>
          <t>dcc_capacity_1</t>
        </is>
      </c>
      <c r="L42" t="inlineStr">
        <is>
          <t>MWh</t>
        </is>
      </c>
      <c r="M42" t="n">
        <v>54000000</v>
      </c>
      <c r="N42">
        <f>M42</f>
        <v/>
      </c>
      <c r="O42">
        <f>N42</f>
        <v/>
      </c>
      <c r="P42">
        <f>O42</f>
        <v/>
      </c>
      <c r="Q42">
        <f>P42</f>
        <v/>
      </c>
      <c r="R42">
        <f>Q42</f>
        <v/>
      </c>
      <c r="S42">
        <f>R42</f>
        <v/>
      </c>
      <c r="T42">
        <f>S42</f>
        <v/>
      </c>
      <c r="U42">
        <f>T42</f>
        <v/>
      </c>
      <c r="V42">
        <f>U42</f>
        <v/>
      </c>
      <c r="W42">
        <f>V42</f>
        <v/>
      </c>
    </row>
    <row r="43">
      <c r="A43" t="inlineStr">
        <is>
          <t>CIMS.CAN.ON.Electricity.Utility Generation.Base Load</t>
        </is>
      </c>
      <c r="B43" t="inlineStr">
        <is>
          <t>Service</t>
        </is>
      </c>
      <c r="C43" t="inlineStr">
        <is>
          <t>ON</t>
        </is>
      </c>
      <c r="D43" t="inlineStr">
        <is>
          <t>Electricity</t>
        </is>
      </c>
      <c r="E43" t="inlineStr">
        <is>
          <t>Base Load</t>
        </is>
      </c>
      <c r="F43" t="inlineStr">
        <is>
          <t>Wind + Battery</t>
        </is>
      </c>
      <c r="G43" t="inlineStr">
        <is>
          <t>dcc_progress_ratio_1</t>
        </is>
      </c>
      <c r="L43" t="inlineStr">
        <is>
          <t>%</t>
        </is>
      </c>
      <c r="M43" t="n">
        <v>0.9</v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CIMS.CAN.ON.Electricity.Utility Generation.Base Load</t>
        </is>
      </c>
      <c r="B44" t="inlineStr">
        <is>
          <t>Service</t>
        </is>
      </c>
      <c r="C44" t="inlineStr">
        <is>
          <t>ON</t>
        </is>
      </c>
      <c r="D44" t="inlineStr">
        <is>
          <t>Electricity</t>
        </is>
      </c>
      <c r="E44" t="inlineStr">
        <is>
          <t>Base Load</t>
        </is>
      </c>
      <c r="F44" t="inlineStr">
        <is>
          <t>Wind + Seasonal</t>
        </is>
      </c>
      <c r="G44" t="inlineStr">
        <is>
          <t>dcc_class</t>
        </is>
      </c>
      <c r="H44" t="inlineStr">
        <is>
          <t>Wind</t>
        </is>
      </c>
    </row>
    <row r="45">
      <c r="A45" t="inlineStr">
        <is>
          <t>CIMS.CAN.ON.Electricity.Utility Generation.Base Load</t>
        </is>
      </c>
      <c r="B45" t="inlineStr">
        <is>
          <t>Service</t>
        </is>
      </c>
      <c r="C45" t="inlineStr">
        <is>
          <t>ON</t>
        </is>
      </c>
      <c r="D45" t="inlineStr">
        <is>
          <t>Electricity</t>
        </is>
      </c>
      <c r="E45" t="inlineStr">
        <is>
          <t>Base Load</t>
        </is>
      </c>
      <c r="F45" t="inlineStr">
        <is>
          <t>Wind + Seasonal</t>
        </is>
      </c>
      <c r="G45" t="inlineStr">
        <is>
          <t>dcc_limit</t>
        </is>
      </c>
      <c r="L45" t="inlineStr">
        <is>
          <t>%</t>
        </is>
      </c>
      <c r="M45" t="n">
        <v>0.4</v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CIMS.CAN.ON.Electricity.Utility Generation.Base Load</t>
        </is>
      </c>
      <c r="B46" t="inlineStr">
        <is>
          <t>Service</t>
        </is>
      </c>
      <c r="C46" t="inlineStr">
        <is>
          <t>ON</t>
        </is>
      </c>
      <c r="D46" t="inlineStr">
        <is>
          <t>Electricity</t>
        </is>
      </c>
      <c r="E46" t="inlineStr">
        <is>
          <t>Base Load</t>
        </is>
      </c>
      <c r="F46" t="inlineStr">
        <is>
          <t>Wind + Seasonal</t>
        </is>
      </c>
      <c r="G46" t="inlineStr">
        <is>
          <t>dcc_learning_min</t>
        </is>
      </c>
      <c r="L46" t="inlineStr">
        <is>
          <t>%</t>
        </is>
      </c>
      <c r="M46" t="n">
        <v>0.01</v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CIMS.CAN.ON.Electricity.Utility Generation.Base Load</t>
        </is>
      </c>
      <c r="B47" t="inlineStr">
        <is>
          <t>Service</t>
        </is>
      </c>
      <c r="C47" t="inlineStr">
        <is>
          <t>ON</t>
        </is>
      </c>
      <c r="D47" t="inlineStr">
        <is>
          <t>Electricity</t>
        </is>
      </c>
      <c r="E47" t="inlineStr">
        <is>
          <t>Base Load</t>
        </is>
      </c>
      <c r="F47" t="inlineStr">
        <is>
          <t>Wind + Seasonal</t>
        </is>
      </c>
      <c r="G47" t="inlineStr">
        <is>
          <t>dcc_capacity_1</t>
        </is>
      </c>
      <c r="L47" t="inlineStr">
        <is>
          <t>MWh</t>
        </is>
      </c>
      <c r="M47" t="n">
        <v>54000000</v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</row>
    <row r="48">
      <c r="A48" t="inlineStr">
        <is>
          <t>CIMS.CAN.ON.Electricity.Utility Generation.Base Load</t>
        </is>
      </c>
      <c r="B48" t="inlineStr">
        <is>
          <t>Service</t>
        </is>
      </c>
      <c r="C48" t="inlineStr">
        <is>
          <t>ON</t>
        </is>
      </c>
      <c r="D48" t="inlineStr">
        <is>
          <t>Electricity</t>
        </is>
      </c>
      <c r="E48" t="inlineStr">
        <is>
          <t>Base Load</t>
        </is>
      </c>
      <c r="F48" t="inlineStr">
        <is>
          <t>Wind + Seasonal</t>
        </is>
      </c>
      <c r="G48" t="inlineStr">
        <is>
          <t>dcc_progress_ratio_1</t>
        </is>
      </c>
      <c r="L48" t="inlineStr">
        <is>
          <t>%</t>
        </is>
      </c>
      <c r="M48" t="n">
        <v>0.9</v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CIMS.CAN.ON.Electricity.Utility Generation.Shoulder Load</t>
        </is>
      </c>
      <c r="B49" t="inlineStr">
        <is>
          <t>Service</t>
        </is>
      </c>
      <c r="C49" t="inlineStr">
        <is>
          <t>ON</t>
        </is>
      </c>
      <c r="D49" t="inlineStr">
        <is>
          <t>Electricity</t>
        </is>
      </c>
      <c r="E49" t="inlineStr">
        <is>
          <t>Shoulder Load</t>
        </is>
      </c>
      <c r="F49" t="inlineStr">
        <is>
          <t>Solar PV + Battery</t>
        </is>
      </c>
      <c r="G49" t="inlineStr">
        <is>
          <t>dcc_class</t>
        </is>
      </c>
      <c r="H49" t="inlineStr">
        <is>
          <t>Solar PV</t>
        </is>
      </c>
    </row>
    <row r="50">
      <c r="A50" t="inlineStr">
        <is>
          <t>CIMS.CAN.ON.Electricity.Utility Generation.Shoulder Load</t>
        </is>
      </c>
      <c r="B50" t="inlineStr">
        <is>
          <t>Service</t>
        </is>
      </c>
      <c r="C50" t="inlineStr">
        <is>
          <t>ON</t>
        </is>
      </c>
      <c r="D50" t="inlineStr">
        <is>
          <t>Electricity</t>
        </is>
      </c>
      <c r="E50" t="inlineStr">
        <is>
          <t>Shoulder Load</t>
        </is>
      </c>
      <c r="F50" t="inlineStr">
        <is>
          <t>Solar PV + Battery</t>
        </is>
      </c>
      <c r="G50" t="inlineStr">
        <is>
          <t>dcc_limit</t>
        </is>
      </c>
      <c r="L50" t="inlineStr">
        <is>
          <t>%</t>
        </is>
      </c>
      <c r="M50" t="n">
        <v>0.4</v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CIMS.CAN.ON.Electricity.Utility Generation.Shoulder Load</t>
        </is>
      </c>
      <c r="B51" t="inlineStr">
        <is>
          <t>Service</t>
        </is>
      </c>
      <c r="C51" t="inlineStr">
        <is>
          <t>ON</t>
        </is>
      </c>
      <c r="D51" t="inlineStr">
        <is>
          <t>Electricity</t>
        </is>
      </c>
      <c r="E51" t="inlineStr">
        <is>
          <t>Shoulder Load</t>
        </is>
      </c>
      <c r="F51" t="inlineStr">
        <is>
          <t>Solar PV + Battery</t>
        </is>
      </c>
      <c r="G51" t="inlineStr">
        <is>
          <t>dcc_learning_min</t>
        </is>
      </c>
      <c r="L51" t="inlineStr">
        <is>
          <t>%</t>
        </is>
      </c>
      <c r="M51" t="n">
        <v>0.01</v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CIMS.CAN.ON.Electricity.Utility Generation.Shoulder Load</t>
        </is>
      </c>
      <c r="B52" t="inlineStr">
        <is>
          <t>Service</t>
        </is>
      </c>
      <c r="C52" t="inlineStr">
        <is>
          <t>ON</t>
        </is>
      </c>
      <c r="D52" t="inlineStr">
        <is>
          <t>Electricity</t>
        </is>
      </c>
      <c r="E52" t="inlineStr">
        <is>
          <t>Shoulder Load</t>
        </is>
      </c>
      <c r="F52" t="inlineStr">
        <is>
          <t>Solar PV + Battery</t>
        </is>
      </c>
      <c r="G52" t="inlineStr">
        <is>
          <t>dcc_capacity_1</t>
        </is>
      </c>
      <c r="L52" t="inlineStr">
        <is>
          <t>MWh</t>
        </is>
      </c>
      <c r="M52" t="n">
        <v>54000000</v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CIMS.CAN.ON.Electricity.Utility Generation.Shoulder Load</t>
        </is>
      </c>
      <c r="B53" t="inlineStr">
        <is>
          <t>Service</t>
        </is>
      </c>
      <c r="C53" t="inlineStr">
        <is>
          <t>ON</t>
        </is>
      </c>
      <c r="D53" t="inlineStr">
        <is>
          <t>Electricity</t>
        </is>
      </c>
      <c r="E53" t="inlineStr">
        <is>
          <t>Shoulder Load</t>
        </is>
      </c>
      <c r="F53" t="inlineStr">
        <is>
          <t>Solar PV + Battery</t>
        </is>
      </c>
      <c r="G53" t="inlineStr">
        <is>
          <t>dcc_progress_ratio_1</t>
        </is>
      </c>
      <c r="L53" t="inlineStr">
        <is>
          <t>%</t>
        </is>
      </c>
      <c r="M53" t="n">
        <v>0.9</v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CIMS.CAN.ON.Electricity.Utility Generation.Shoulder Load</t>
        </is>
      </c>
      <c r="B54" t="inlineStr">
        <is>
          <t>Service</t>
        </is>
      </c>
      <c r="C54" t="inlineStr">
        <is>
          <t>ON</t>
        </is>
      </c>
      <c r="D54" t="inlineStr">
        <is>
          <t>Electricity</t>
        </is>
      </c>
      <c r="E54" t="inlineStr">
        <is>
          <t>Shoulder Load</t>
        </is>
      </c>
      <c r="F54" t="inlineStr">
        <is>
          <t>Wind + Battery</t>
        </is>
      </c>
      <c r="G54" t="inlineStr">
        <is>
          <t>dcc_class</t>
        </is>
      </c>
      <c r="H54" t="inlineStr">
        <is>
          <t>Wind</t>
        </is>
      </c>
    </row>
    <row r="55">
      <c r="A55" t="inlineStr">
        <is>
          <t>CIMS.CAN.ON.Electricity.Utility Generation.Shoulder Load</t>
        </is>
      </c>
      <c r="B55" t="inlineStr">
        <is>
          <t>Service</t>
        </is>
      </c>
      <c r="C55" t="inlineStr">
        <is>
          <t>ON</t>
        </is>
      </c>
      <c r="D55" t="inlineStr">
        <is>
          <t>Electricity</t>
        </is>
      </c>
      <c r="E55" t="inlineStr">
        <is>
          <t>Shoulder Load</t>
        </is>
      </c>
      <c r="F55" t="inlineStr">
        <is>
          <t>Wind + Battery</t>
        </is>
      </c>
      <c r="G55" t="inlineStr">
        <is>
          <t>dcc_limit</t>
        </is>
      </c>
      <c r="L55" t="inlineStr">
        <is>
          <t>%</t>
        </is>
      </c>
      <c r="M55" t="n">
        <v>0.4</v>
      </c>
      <c r="N55">
        <f>M55</f>
        <v/>
      </c>
      <c r="O55">
        <f>N55</f>
        <v/>
      </c>
      <c r="P55">
        <f>O55</f>
        <v/>
      </c>
      <c r="Q55">
        <f>P55</f>
        <v/>
      </c>
      <c r="R55">
        <f>Q55</f>
        <v/>
      </c>
      <c r="S55">
        <f>R55</f>
        <v/>
      </c>
      <c r="T55">
        <f>S55</f>
        <v/>
      </c>
      <c r="U55">
        <f>T55</f>
        <v/>
      </c>
      <c r="V55">
        <f>U55</f>
        <v/>
      </c>
      <c r="W55">
        <f>V55</f>
        <v/>
      </c>
    </row>
    <row r="56">
      <c r="A56" t="inlineStr">
        <is>
          <t>CIMS.CAN.ON.Electricity.Utility Generation.Shoulder Load</t>
        </is>
      </c>
      <c r="B56" t="inlineStr">
        <is>
          <t>Service</t>
        </is>
      </c>
      <c r="C56" t="inlineStr">
        <is>
          <t>ON</t>
        </is>
      </c>
      <c r="D56" t="inlineStr">
        <is>
          <t>Electricity</t>
        </is>
      </c>
      <c r="E56" t="inlineStr">
        <is>
          <t>Shoulder Load</t>
        </is>
      </c>
      <c r="F56" t="inlineStr">
        <is>
          <t>Wind + Battery</t>
        </is>
      </c>
      <c r="G56" t="inlineStr">
        <is>
          <t>dcc_learning_min</t>
        </is>
      </c>
      <c r="L56" t="inlineStr">
        <is>
          <t>%</t>
        </is>
      </c>
      <c r="M56" t="n">
        <v>0.01</v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CIMS.CAN.ON.Electricity.Utility Generation.Shoulder Load</t>
        </is>
      </c>
      <c r="B57" t="inlineStr">
        <is>
          <t>Service</t>
        </is>
      </c>
      <c r="C57" t="inlineStr">
        <is>
          <t>ON</t>
        </is>
      </c>
      <c r="D57" t="inlineStr">
        <is>
          <t>Electricity</t>
        </is>
      </c>
      <c r="E57" t="inlineStr">
        <is>
          <t>Shoulder Load</t>
        </is>
      </c>
      <c r="F57" t="inlineStr">
        <is>
          <t>Wind + Battery</t>
        </is>
      </c>
      <c r="G57" t="inlineStr">
        <is>
          <t>dcc_capacity_1</t>
        </is>
      </c>
      <c r="L57" t="inlineStr">
        <is>
          <t>MWh</t>
        </is>
      </c>
      <c r="M57" t="n">
        <v>54000000</v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CIMS.CAN.ON.Electricity.Utility Generation.Shoulder Load</t>
        </is>
      </c>
      <c r="B58" t="inlineStr">
        <is>
          <t>Service</t>
        </is>
      </c>
      <c r="C58" t="inlineStr">
        <is>
          <t>ON</t>
        </is>
      </c>
      <c r="D58" t="inlineStr">
        <is>
          <t>Electricity</t>
        </is>
      </c>
      <c r="E58" t="inlineStr">
        <is>
          <t>Shoulder Load</t>
        </is>
      </c>
      <c r="F58" t="inlineStr">
        <is>
          <t>Wind + Battery</t>
        </is>
      </c>
      <c r="G58" t="inlineStr">
        <is>
          <t>dcc_progress_ratio_1</t>
        </is>
      </c>
      <c r="L58" t="inlineStr">
        <is>
          <t>%</t>
        </is>
      </c>
      <c r="M58" t="n">
        <v>0.9</v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CIMS.CAN.ON.Electricity.Utility Generation.Shoulder Load</t>
        </is>
      </c>
      <c r="B59" t="inlineStr">
        <is>
          <t>Service</t>
        </is>
      </c>
      <c r="C59" t="inlineStr">
        <is>
          <t>ON</t>
        </is>
      </c>
      <c r="D59" t="inlineStr">
        <is>
          <t>Electricity</t>
        </is>
      </c>
      <c r="E59" t="inlineStr">
        <is>
          <t>Shoulder Load</t>
        </is>
      </c>
      <c r="F59" t="inlineStr">
        <is>
          <t>Wind + Seasonal</t>
        </is>
      </c>
      <c r="G59" t="inlineStr">
        <is>
          <t>dcc_class</t>
        </is>
      </c>
      <c r="H59" t="inlineStr">
        <is>
          <t>Wind</t>
        </is>
      </c>
    </row>
    <row r="60">
      <c r="A60" t="inlineStr">
        <is>
          <t>CIMS.CAN.ON.Electricity.Utility Generation.Shoulder Load</t>
        </is>
      </c>
      <c r="B60" t="inlineStr">
        <is>
          <t>Service</t>
        </is>
      </c>
      <c r="C60" t="inlineStr">
        <is>
          <t>ON</t>
        </is>
      </c>
      <c r="D60" t="inlineStr">
        <is>
          <t>Electricity</t>
        </is>
      </c>
      <c r="E60" t="inlineStr">
        <is>
          <t>Shoulder Load</t>
        </is>
      </c>
      <c r="F60" t="inlineStr">
        <is>
          <t>Wind + Seasonal</t>
        </is>
      </c>
      <c r="G60" t="inlineStr">
        <is>
          <t>dcc_limit</t>
        </is>
      </c>
      <c r="L60" t="inlineStr">
        <is>
          <t>%</t>
        </is>
      </c>
      <c r="M60" t="n">
        <v>0.4</v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CIMS.CAN.ON.Electricity.Utility Generation.Shoulder Load</t>
        </is>
      </c>
      <c r="B61" t="inlineStr">
        <is>
          <t>Service</t>
        </is>
      </c>
      <c r="C61" t="inlineStr">
        <is>
          <t>ON</t>
        </is>
      </c>
      <c r="D61" t="inlineStr">
        <is>
          <t>Electricity</t>
        </is>
      </c>
      <c r="E61" t="inlineStr">
        <is>
          <t>Shoulder Load</t>
        </is>
      </c>
      <c r="F61" t="inlineStr">
        <is>
          <t>Wind + Seasonal</t>
        </is>
      </c>
      <c r="G61" t="inlineStr">
        <is>
          <t>dcc_learning_min</t>
        </is>
      </c>
      <c r="L61" t="inlineStr">
        <is>
          <t>%</t>
        </is>
      </c>
      <c r="M61" t="n">
        <v>0.01</v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CIMS.CAN.ON.Electricity.Utility Generation.Shoulder Load</t>
        </is>
      </c>
      <c r="B62" t="inlineStr">
        <is>
          <t>Service</t>
        </is>
      </c>
      <c r="C62" t="inlineStr">
        <is>
          <t>ON</t>
        </is>
      </c>
      <c r="D62" t="inlineStr">
        <is>
          <t>Electricity</t>
        </is>
      </c>
      <c r="E62" t="inlineStr">
        <is>
          <t>Shoulder Load</t>
        </is>
      </c>
      <c r="F62" t="inlineStr">
        <is>
          <t>Wind + Seasonal</t>
        </is>
      </c>
      <c r="G62" t="inlineStr">
        <is>
          <t>dcc_capacity_1</t>
        </is>
      </c>
      <c r="L62" t="inlineStr">
        <is>
          <t>MWh</t>
        </is>
      </c>
      <c r="M62" t="n">
        <v>54000000</v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CIMS.CAN.ON.Electricity.Utility Generation.Shoulder Load</t>
        </is>
      </c>
      <c r="B63" t="inlineStr">
        <is>
          <t>Service</t>
        </is>
      </c>
      <c r="C63" t="inlineStr">
        <is>
          <t>ON</t>
        </is>
      </c>
      <c r="D63" t="inlineStr">
        <is>
          <t>Electricity</t>
        </is>
      </c>
      <c r="E63" t="inlineStr">
        <is>
          <t>Shoulder Load</t>
        </is>
      </c>
      <c r="F63" t="inlineStr">
        <is>
          <t>Wind + Seasonal</t>
        </is>
      </c>
      <c r="G63" t="inlineStr">
        <is>
          <t>dcc_progress_ratio_1</t>
        </is>
      </c>
      <c r="L63" t="inlineStr">
        <is>
          <t>%</t>
        </is>
      </c>
      <c r="M63" t="n">
        <v>0.9</v>
      </c>
      <c r="N63">
        <f>M63</f>
        <v/>
      </c>
      <c r="O63">
        <f>N63</f>
        <v/>
      </c>
      <c r="P63">
        <f>O63</f>
        <v/>
      </c>
      <c r="Q63">
        <f>P63</f>
        <v/>
      </c>
      <c r="R63">
        <f>Q63</f>
        <v/>
      </c>
      <c r="S63">
        <f>R63</f>
        <v/>
      </c>
      <c r="T63">
        <f>S63</f>
        <v/>
      </c>
      <c r="U63">
        <f>T63</f>
        <v/>
      </c>
      <c r="V63">
        <f>U63</f>
        <v/>
      </c>
      <c r="W63">
        <f>V63</f>
        <v/>
      </c>
    </row>
    <row r="64">
      <c r="A64" t="inlineStr">
        <is>
          <t>CIMS.CAN.ON.Electricity.Utility Generation.Peak Load</t>
        </is>
      </c>
      <c r="B64" t="inlineStr">
        <is>
          <t>Service</t>
        </is>
      </c>
      <c r="C64" t="inlineStr">
        <is>
          <t>ON</t>
        </is>
      </c>
      <c r="D64" t="inlineStr">
        <is>
          <t>Electricity</t>
        </is>
      </c>
      <c r="E64" t="inlineStr">
        <is>
          <t>Peak Load</t>
        </is>
      </c>
      <c r="F64" t="inlineStr">
        <is>
          <t>Wind + Seasonal</t>
        </is>
      </c>
      <c r="G64" t="inlineStr">
        <is>
          <t>dcc_class</t>
        </is>
      </c>
      <c r="H64" t="inlineStr">
        <is>
          <t>Wind</t>
        </is>
      </c>
    </row>
    <row r="65">
      <c r="A65" t="inlineStr">
        <is>
          <t>CIMS.CAN.ON.Electricity.Utility Generation.Peak Load</t>
        </is>
      </c>
      <c r="B65" t="inlineStr">
        <is>
          <t>Service</t>
        </is>
      </c>
      <c r="C65" t="inlineStr">
        <is>
          <t>ON</t>
        </is>
      </c>
      <c r="D65" t="inlineStr">
        <is>
          <t>Electricity</t>
        </is>
      </c>
      <c r="E65" t="inlineStr">
        <is>
          <t>Peak Load</t>
        </is>
      </c>
      <c r="F65" t="inlineStr">
        <is>
          <t>Wind + Seasonal</t>
        </is>
      </c>
      <c r="G65" t="inlineStr">
        <is>
          <t>dcc_limit</t>
        </is>
      </c>
      <c r="L65" t="inlineStr">
        <is>
          <t>%</t>
        </is>
      </c>
      <c r="M65" t="n">
        <v>0.4</v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CIMS.CAN.ON.Electricity.Utility Generation.Peak Load</t>
        </is>
      </c>
      <c r="B66" t="inlineStr">
        <is>
          <t>Service</t>
        </is>
      </c>
      <c r="C66" t="inlineStr">
        <is>
          <t>ON</t>
        </is>
      </c>
      <c r="D66" t="inlineStr">
        <is>
          <t>Electricity</t>
        </is>
      </c>
      <c r="E66" t="inlineStr">
        <is>
          <t>Peak Load</t>
        </is>
      </c>
      <c r="F66" t="inlineStr">
        <is>
          <t>Wind + Seasonal</t>
        </is>
      </c>
      <c r="G66" t="inlineStr">
        <is>
          <t>dcc_learning_min</t>
        </is>
      </c>
      <c r="L66" t="inlineStr">
        <is>
          <t>%</t>
        </is>
      </c>
      <c r="M66" t="n">
        <v>0.01</v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CIMS.CAN.ON.Electricity.Utility Generation.Peak Load</t>
        </is>
      </c>
      <c r="B67" t="inlineStr">
        <is>
          <t>Service</t>
        </is>
      </c>
      <c r="C67" t="inlineStr">
        <is>
          <t>ON</t>
        </is>
      </c>
      <c r="D67" t="inlineStr">
        <is>
          <t>Electricity</t>
        </is>
      </c>
      <c r="E67" t="inlineStr">
        <is>
          <t>Peak Load</t>
        </is>
      </c>
      <c r="F67" t="inlineStr">
        <is>
          <t>Wind + Seasonal</t>
        </is>
      </c>
      <c r="G67" t="inlineStr">
        <is>
          <t>dcc_capacity_1</t>
        </is>
      </c>
      <c r="L67" t="inlineStr">
        <is>
          <t>MWh</t>
        </is>
      </c>
      <c r="M67" t="n">
        <v>54000000</v>
      </c>
      <c r="N67">
        <f>M67</f>
        <v/>
      </c>
      <c r="O67">
        <f>N67</f>
        <v/>
      </c>
      <c r="P67">
        <f>O67</f>
        <v/>
      </c>
      <c r="Q67">
        <f>P67</f>
        <v/>
      </c>
      <c r="R67">
        <f>Q67</f>
        <v/>
      </c>
      <c r="S67">
        <f>R67</f>
        <v/>
      </c>
      <c r="T67">
        <f>S67</f>
        <v/>
      </c>
      <c r="U67">
        <f>T67</f>
        <v/>
      </c>
      <c r="V67">
        <f>U67</f>
        <v/>
      </c>
      <c r="W67">
        <f>V67</f>
        <v/>
      </c>
    </row>
    <row r="68">
      <c r="A68" t="inlineStr">
        <is>
          <t>CIMS.CAN.ON.Electricity.Utility Generation.Peak Load</t>
        </is>
      </c>
      <c r="B68" t="inlineStr">
        <is>
          <t>Service</t>
        </is>
      </c>
      <c r="C68" t="inlineStr">
        <is>
          <t>ON</t>
        </is>
      </c>
      <c r="D68" t="inlineStr">
        <is>
          <t>Electricity</t>
        </is>
      </c>
      <c r="E68" t="inlineStr">
        <is>
          <t>Peak Load</t>
        </is>
      </c>
      <c r="F68" t="inlineStr">
        <is>
          <t>Wind + Seasonal</t>
        </is>
      </c>
      <c r="G68" t="inlineStr">
        <is>
          <t>dcc_progress_ratio_1</t>
        </is>
      </c>
      <c r="L68" t="inlineStr">
        <is>
          <t>%</t>
        </is>
      </c>
      <c r="M68" t="n">
        <v>0.9</v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CIMS.CAN.ON.Electricity.Storage.Battery</t>
        </is>
      </c>
      <c r="B69" t="inlineStr">
        <is>
          <t>Service</t>
        </is>
      </c>
      <c r="C69" t="inlineStr">
        <is>
          <t>ON</t>
        </is>
      </c>
      <c r="D69" t="inlineStr">
        <is>
          <t>Electricity</t>
        </is>
      </c>
      <c r="E69" t="inlineStr">
        <is>
          <t>Battery</t>
        </is>
      </c>
      <c r="F69" t="inlineStr">
        <is>
          <t>Battery</t>
        </is>
      </c>
      <c r="G69" t="inlineStr">
        <is>
          <t>dcc_class</t>
        </is>
      </c>
      <c r="H69" t="inlineStr">
        <is>
          <t>Battery</t>
        </is>
      </c>
    </row>
    <row r="70">
      <c r="A70" t="inlineStr">
        <is>
          <t>CIMS.CAN.ON.Electricity.Storage.Battery</t>
        </is>
      </c>
      <c r="B70" t="inlineStr">
        <is>
          <t>Service</t>
        </is>
      </c>
      <c r="C70" t="inlineStr">
        <is>
          <t>ON</t>
        </is>
      </c>
      <c r="D70" t="inlineStr">
        <is>
          <t>Electricity</t>
        </is>
      </c>
      <c r="E70" t="inlineStr">
        <is>
          <t>Battery</t>
        </is>
      </c>
      <c r="F70" t="inlineStr">
        <is>
          <t>Battery</t>
        </is>
      </c>
      <c r="G70" t="inlineStr">
        <is>
          <t>dcc_limit</t>
        </is>
      </c>
      <c r="L70" t="inlineStr">
        <is>
          <t>%</t>
        </is>
      </c>
      <c r="M70" t="n">
        <v>0.4</v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CIMS.CAN.ON.Electricity.Storage.Battery</t>
        </is>
      </c>
      <c r="B71" t="inlineStr">
        <is>
          <t>Service</t>
        </is>
      </c>
      <c r="C71" t="inlineStr">
        <is>
          <t>ON</t>
        </is>
      </c>
      <c r="D71" t="inlineStr">
        <is>
          <t>Electricity</t>
        </is>
      </c>
      <c r="E71" t="inlineStr">
        <is>
          <t>Battery</t>
        </is>
      </c>
      <c r="F71" t="inlineStr">
        <is>
          <t>Battery</t>
        </is>
      </c>
      <c r="G71" t="inlineStr">
        <is>
          <t>dcc_learning_min</t>
        </is>
      </c>
      <c r="L71" t="inlineStr">
        <is>
          <t>%</t>
        </is>
      </c>
      <c r="M71" t="n">
        <v>0.01</v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CIMS.CAN.ON.Electricity.Storage.Battery</t>
        </is>
      </c>
      <c r="B72" t="inlineStr">
        <is>
          <t>Service</t>
        </is>
      </c>
      <c r="C72" t="inlineStr">
        <is>
          <t>ON</t>
        </is>
      </c>
      <c r="D72" t="inlineStr">
        <is>
          <t>Electricity</t>
        </is>
      </c>
      <c r="E72" t="inlineStr">
        <is>
          <t>Battery</t>
        </is>
      </c>
      <c r="F72" t="inlineStr">
        <is>
          <t>Battery</t>
        </is>
      </c>
      <c r="G72" t="inlineStr">
        <is>
          <t>dcc_capacity_1</t>
        </is>
      </c>
      <c r="L72" t="inlineStr">
        <is>
          <t>MWh</t>
        </is>
      </c>
      <c r="M72" t="n">
        <v>54000000</v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CIMS.CAN.ON.Electricity.Storage.Battery</t>
        </is>
      </c>
      <c r="B73" t="inlineStr">
        <is>
          <t>Service</t>
        </is>
      </c>
      <c r="C73" t="inlineStr">
        <is>
          <t>ON</t>
        </is>
      </c>
      <c r="D73" t="inlineStr">
        <is>
          <t>Electricity</t>
        </is>
      </c>
      <c r="E73" t="inlineStr">
        <is>
          <t>Battery</t>
        </is>
      </c>
      <c r="F73" t="inlineStr">
        <is>
          <t>Battery</t>
        </is>
      </c>
      <c r="G73" t="inlineStr">
        <is>
          <t>dcc_progress_ratio_1</t>
        </is>
      </c>
      <c r="L73" t="inlineStr">
        <is>
          <t>%</t>
        </is>
      </c>
      <c r="M73" t="n">
        <v>0.9</v>
      </c>
      <c r="N73">
        <f>M73</f>
        <v/>
      </c>
      <c r="O73">
        <f>N73</f>
        <v/>
      </c>
      <c r="P73">
        <f>O73</f>
        <v/>
      </c>
      <c r="Q73">
        <f>P73</f>
        <v/>
      </c>
      <c r="R73">
        <f>Q73</f>
        <v/>
      </c>
      <c r="S73">
        <f>R73</f>
        <v/>
      </c>
      <c r="T73">
        <f>S73</f>
        <v/>
      </c>
      <c r="U73">
        <f>T73</f>
        <v/>
      </c>
      <c r="V73">
        <f>U73</f>
        <v/>
      </c>
      <c r="W73">
        <f>V73</f>
        <v/>
      </c>
    </row>
    <row r="74">
      <c r="A74" t="inlineStr">
        <is>
          <t>CIMS.CAN.ON.Electricity.Storage.Seasonal</t>
        </is>
      </c>
      <c r="B74" t="inlineStr">
        <is>
          <t>Service</t>
        </is>
      </c>
      <c r="C74" t="inlineStr">
        <is>
          <t>ON</t>
        </is>
      </c>
      <c r="D74" t="inlineStr">
        <is>
          <t>Electricity</t>
        </is>
      </c>
      <c r="E74" t="inlineStr">
        <is>
          <t>Seasonal</t>
        </is>
      </c>
      <c r="F74" t="inlineStr">
        <is>
          <t>Seasonal</t>
        </is>
      </c>
      <c r="G74" t="inlineStr">
        <is>
          <t>dcc_class</t>
        </is>
      </c>
      <c r="H74" t="inlineStr">
        <is>
          <t>Seasonal</t>
        </is>
      </c>
    </row>
    <row r="75">
      <c r="A75" t="inlineStr">
        <is>
          <t>CIMS.CAN.ON.Electricity.Storage.Seasonal</t>
        </is>
      </c>
      <c r="B75" t="inlineStr">
        <is>
          <t>Service</t>
        </is>
      </c>
      <c r="C75" t="inlineStr">
        <is>
          <t>ON</t>
        </is>
      </c>
      <c r="D75" t="inlineStr">
        <is>
          <t>Electricity</t>
        </is>
      </c>
      <c r="E75" t="inlineStr">
        <is>
          <t>Seasonal</t>
        </is>
      </c>
      <c r="F75" t="inlineStr">
        <is>
          <t>Seasonal</t>
        </is>
      </c>
      <c r="G75" t="inlineStr">
        <is>
          <t>dcc_limit</t>
        </is>
      </c>
      <c r="L75" t="inlineStr">
        <is>
          <t>%</t>
        </is>
      </c>
      <c r="M75" t="n">
        <v>0.4</v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CIMS.CAN.ON.Electricity.Storage.Seasonal</t>
        </is>
      </c>
      <c r="B76" t="inlineStr">
        <is>
          <t>Service</t>
        </is>
      </c>
      <c r="C76" t="inlineStr">
        <is>
          <t>ON</t>
        </is>
      </c>
      <c r="D76" t="inlineStr">
        <is>
          <t>Electricity</t>
        </is>
      </c>
      <c r="E76" t="inlineStr">
        <is>
          <t>Seasonal</t>
        </is>
      </c>
      <c r="F76" t="inlineStr">
        <is>
          <t>Seasonal</t>
        </is>
      </c>
      <c r="G76" t="inlineStr">
        <is>
          <t>dcc_learning_min</t>
        </is>
      </c>
      <c r="L76" t="inlineStr">
        <is>
          <t>%</t>
        </is>
      </c>
      <c r="M76" t="n">
        <v>0.01</v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CIMS.CAN.ON.Electricity.Storage.Seasonal</t>
        </is>
      </c>
      <c r="B77" t="inlineStr">
        <is>
          <t>Service</t>
        </is>
      </c>
      <c r="C77" t="inlineStr">
        <is>
          <t>ON</t>
        </is>
      </c>
      <c r="D77" t="inlineStr">
        <is>
          <t>Electricity</t>
        </is>
      </c>
      <c r="E77" t="inlineStr">
        <is>
          <t>Seasonal</t>
        </is>
      </c>
      <c r="F77" t="inlineStr">
        <is>
          <t>Seasonal</t>
        </is>
      </c>
      <c r="G77" t="inlineStr">
        <is>
          <t>dcc_capacity_1</t>
        </is>
      </c>
      <c r="L77" t="inlineStr">
        <is>
          <t>MWh</t>
        </is>
      </c>
      <c r="M77" t="n">
        <v>54000000</v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CIMS.CAN.ON.Electricity.Storage.Seasonal</t>
        </is>
      </c>
      <c r="B78" t="inlineStr">
        <is>
          <t>Service</t>
        </is>
      </c>
      <c r="C78" t="inlineStr">
        <is>
          <t>ON</t>
        </is>
      </c>
      <c r="D78" t="inlineStr">
        <is>
          <t>Electricity</t>
        </is>
      </c>
      <c r="E78" t="inlineStr">
        <is>
          <t>Seasonal</t>
        </is>
      </c>
      <c r="F78" t="inlineStr">
        <is>
          <t>Seasonal</t>
        </is>
      </c>
      <c r="G78" t="inlineStr">
        <is>
          <t>dcc_progress_ratio_1</t>
        </is>
      </c>
      <c r="L78" t="inlineStr">
        <is>
          <t>%</t>
        </is>
      </c>
      <c r="M78" t="n">
        <v>0.9</v>
      </c>
      <c r="N78">
        <f>M78</f>
        <v/>
      </c>
      <c r="O78">
        <f>N78</f>
        <v/>
      </c>
      <c r="P78">
        <f>O78</f>
        <v/>
      </c>
      <c r="Q78">
        <f>P78</f>
        <v/>
      </c>
      <c r="R78">
        <f>Q78</f>
        <v/>
      </c>
      <c r="S78">
        <f>R78</f>
        <v/>
      </c>
      <c r="T78">
        <f>S78</f>
        <v/>
      </c>
      <c r="U78">
        <f>T78</f>
        <v/>
      </c>
      <c r="V78">
        <f>U78</f>
        <v/>
      </c>
      <c r="W78">
        <f>V78</f>
        <v/>
      </c>
    </row>
    <row r="79">
      <c r="A79" t="inlineStr">
        <is>
          <t>CIMS.CAN.ON.Electricity.CCS.CCS_Coal</t>
        </is>
      </c>
      <c r="B79" t="inlineStr">
        <is>
          <t>Service</t>
        </is>
      </c>
      <c r="C79" t="inlineStr">
        <is>
          <t>ON</t>
        </is>
      </c>
      <c r="D79" t="inlineStr">
        <is>
          <t>Electricity</t>
        </is>
      </c>
      <c r="E79" t="inlineStr">
        <is>
          <t>CCS_Coal</t>
        </is>
      </c>
      <c r="F79" t="inlineStr">
        <is>
          <t>CCS</t>
        </is>
      </c>
      <c r="G79" t="inlineStr">
        <is>
          <t>dcc_class</t>
        </is>
      </c>
      <c r="H79" t="inlineStr">
        <is>
          <t>CCS</t>
        </is>
      </c>
    </row>
    <row r="80">
      <c r="A80" t="inlineStr">
        <is>
          <t>CIMS.CAN.ON.Electricity.CCS.CCS_Coal</t>
        </is>
      </c>
      <c r="B80" t="inlineStr">
        <is>
          <t>Service</t>
        </is>
      </c>
      <c r="C80" t="inlineStr">
        <is>
          <t>ON</t>
        </is>
      </c>
      <c r="D80" t="inlineStr">
        <is>
          <t>Electricity</t>
        </is>
      </c>
      <c r="E80" t="inlineStr">
        <is>
          <t>CCS_Coal</t>
        </is>
      </c>
      <c r="F80" t="inlineStr">
        <is>
          <t>CCS</t>
        </is>
      </c>
      <c r="G80" t="inlineStr">
        <is>
          <t>dcc_limit</t>
        </is>
      </c>
      <c r="L80" t="inlineStr">
        <is>
          <t>%</t>
        </is>
      </c>
      <c r="M80" t="n">
        <v>0.4</v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CIMS.CAN.ON.Electricity.CCS.CCS_Coal</t>
        </is>
      </c>
      <c r="B81" t="inlineStr">
        <is>
          <t>Service</t>
        </is>
      </c>
      <c r="C81" t="inlineStr">
        <is>
          <t>ON</t>
        </is>
      </c>
      <c r="D81" t="inlineStr">
        <is>
          <t>Electricity</t>
        </is>
      </c>
      <c r="E81" t="inlineStr">
        <is>
          <t>CCS_Coal</t>
        </is>
      </c>
      <c r="F81" t="inlineStr">
        <is>
          <t>CCS</t>
        </is>
      </c>
      <c r="G81" t="inlineStr">
        <is>
          <t>dcc_learning_min</t>
        </is>
      </c>
      <c r="L81" t="inlineStr">
        <is>
          <t>%</t>
        </is>
      </c>
      <c r="M81" t="n">
        <v>0.01</v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CIMS.CAN.ON.Electricity.CCS.CCS_Coal</t>
        </is>
      </c>
      <c r="B82" t="inlineStr">
        <is>
          <t>Service</t>
        </is>
      </c>
      <c r="C82" t="inlineStr">
        <is>
          <t>ON</t>
        </is>
      </c>
      <c r="D82" t="inlineStr">
        <is>
          <t>Electricity</t>
        </is>
      </c>
      <c r="E82" t="inlineStr">
        <is>
          <t>CCS_Coal</t>
        </is>
      </c>
      <c r="F82" t="inlineStr">
        <is>
          <t>CCS</t>
        </is>
      </c>
      <c r="G82" t="inlineStr">
        <is>
          <t>dcc_capacity_1</t>
        </is>
      </c>
      <c r="L82" t="inlineStr">
        <is>
          <t>tCO2</t>
        </is>
      </c>
      <c r="M82" t="n">
        <v>1000000</v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CIMS.CAN.ON.Electricity.CCS.CCS_Coal</t>
        </is>
      </c>
      <c r="B83" t="inlineStr">
        <is>
          <t>Service</t>
        </is>
      </c>
      <c r="C83" t="inlineStr">
        <is>
          <t>ON</t>
        </is>
      </c>
      <c r="D83" t="inlineStr">
        <is>
          <t>Electricity</t>
        </is>
      </c>
      <c r="E83" t="inlineStr">
        <is>
          <t>CCS_Coal</t>
        </is>
      </c>
      <c r="F83" t="inlineStr">
        <is>
          <t>CCS</t>
        </is>
      </c>
      <c r="G83" t="inlineStr">
        <is>
          <t>dcc_progress_ratio_1</t>
        </is>
      </c>
      <c r="L83" t="inlineStr">
        <is>
          <t>%</t>
        </is>
      </c>
      <c r="M83" t="n">
        <v>0.95</v>
      </c>
      <c r="N83">
        <f>M83</f>
        <v/>
      </c>
      <c r="O83">
        <f>N83</f>
        <v/>
      </c>
      <c r="P83">
        <f>O83</f>
        <v/>
      </c>
      <c r="Q83">
        <f>P83</f>
        <v/>
      </c>
      <c r="R83">
        <f>Q83</f>
        <v/>
      </c>
      <c r="S83">
        <f>R83</f>
        <v/>
      </c>
      <c r="T83">
        <f>S83</f>
        <v/>
      </c>
      <c r="U83">
        <f>T83</f>
        <v/>
      </c>
      <c r="V83">
        <f>U83</f>
        <v/>
      </c>
      <c r="W83">
        <f>V83</f>
        <v/>
      </c>
    </row>
    <row r="84">
      <c r="A84" t="inlineStr">
        <is>
          <t>CIMS.CAN.ON.Electricity.CCS.CCS_Biomass</t>
        </is>
      </c>
      <c r="B84" t="inlineStr">
        <is>
          <t>Service</t>
        </is>
      </c>
      <c r="C84" t="inlineStr">
        <is>
          <t>ON</t>
        </is>
      </c>
      <c r="D84" t="inlineStr">
        <is>
          <t>Electricity</t>
        </is>
      </c>
      <c r="E84" t="inlineStr">
        <is>
          <t>CCS_Biomass</t>
        </is>
      </c>
      <c r="F84" t="inlineStr">
        <is>
          <t>CCS</t>
        </is>
      </c>
      <c r="G84" t="inlineStr">
        <is>
          <t>dcc_class</t>
        </is>
      </c>
      <c r="H84" t="inlineStr">
        <is>
          <t>CCS</t>
        </is>
      </c>
    </row>
    <row r="85">
      <c r="A85" t="inlineStr">
        <is>
          <t>CIMS.CAN.ON.Electricity.CCS.CCS_Biomass</t>
        </is>
      </c>
      <c r="B85" t="inlineStr">
        <is>
          <t>Service</t>
        </is>
      </c>
      <c r="C85" t="inlineStr">
        <is>
          <t>ON</t>
        </is>
      </c>
      <c r="D85" t="inlineStr">
        <is>
          <t>Electricity</t>
        </is>
      </c>
      <c r="E85" t="inlineStr">
        <is>
          <t>CCS_Biomass</t>
        </is>
      </c>
      <c r="F85" t="inlineStr">
        <is>
          <t>CCS</t>
        </is>
      </c>
      <c r="G85" t="inlineStr">
        <is>
          <t>dcc_limit</t>
        </is>
      </c>
      <c r="L85" t="inlineStr">
        <is>
          <t>%</t>
        </is>
      </c>
      <c r="M85" t="n">
        <v>0.4</v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CIMS.CAN.ON.Electricity.CCS.CCS_Biomass</t>
        </is>
      </c>
      <c r="B86" t="inlineStr">
        <is>
          <t>Service</t>
        </is>
      </c>
      <c r="C86" t="inlineStr">
        <is>
          <t>ON</t>
        </is>
      </c>
      <c r="D86" t="inlineStr">
        <is>
          <t>Electricity</t>
        </is>
      </c>
      <c r="E86" t="inlineStr">
        <is>
          <t>CCS_Biomass</t>
        </is>
      </c>
      <c r="F86" t="inlineStr">
        <is>
          <t>CCS</t>
        </is>
      </c>
      <c r="G86" t="inlineStr">
        <is>
          <t>dcc_learning_min</t>
        </is>
      </c>
      <c r="L86" t="inlineStr">
        <is>
          <t>%</t>
        </is>
      </c>
      <c r="M86" t="n">
        <v>0.01</v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CIMS.CAN.ON.Electricity.CCS.CCS_Biomass</t>
        </is>
      </c>
      <c r="B87" t="inlineStr">
        <is>
          <t>Service</t>
        </is>
      </c>
      <c r="C87" t="inlineStr">
        <is>
          <t>ON</t>
        </is>
      </c>
      <c r="D87" t="inlineStr">
        <is>
          <t>Electricity</t>
        </is>
      </c>
      <c r="E87" t="inlineStr">
        <is>
          <t>CCS_Biomass</t>
        </is>
      </c>
      <c r="F87" t="inlineStr">
        <is>
          <t>CCS</t>
        </is>
      </c>
      <c r="G87" t="inlineStr">
        <is>
          <t>dcc_capacity_1</t>
        </is>
      </c>
      <c r="L87" t="inlineStr">
        <is>
          <t>tCO2</t>
        </is>
      </c>
      <c r="M87" t="n">
        <v>1000000</v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CIMS.CAN.ON.Electricity.CCS.CCS_Biomass</t>
        </is>
      </c>
      <c r="B88" t="inlineStr">
        <is>
          <t>Service</t>
        </is>
      </c>
      <c r="C88" t="inlineStr">
        <is>
          <t>ON</t>
        </is>
      </c>
      <c r="D88" t="inlineStr">
        <is>
          <t>Electricity</t>
        </is>
      </c>
      <c r="E88" t="inlineStr">
        <is>
          <t>CCS_Biomass</t>
        </is>
      </c>
      <c r="F88" t="inlineStr">
        <is>
          <t>CCS</t>
        </is>
      </c>
      <c r="G88" t="inlineStr">
        <is>
          <t>dcc_progress_ratio_1</t>
        </is>
      </c>
      <c r="L88" t="inlineStr">
        <is>
          <t>%</t>
        </is>
      </c>
      <c r="M88" t="n">
        <v>0.95</v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CIMS.CAN.ON.Electricity.CCS.CCS_Natural Gas</t>
        </is>
      </c>
      <c r="B89" t="inlineStr">
        <is>
          <t>Service</t>
        </is>
      </c>
      <c r="C89" t="inlineStr">
        <is>
          <t>ON</t>
        </is>
      </c>
      <c r="D89" t="inlineStr">
        <is>
          <t>Electricity</t>
        </is>
      </c>
      <c r="E89" t="inlineStr">
        <is>
          <t>CCS_Natural Gas</t>
        </is>
      </c>
      <c r="F89" t="inlineStr">
        <is>
          <t>CCS</t>
        </is>
      </c>
      <c r="G89" t="inlineStr">
        <is>
          <t>dcc_class</t>
        </is>
      </c>
      <c r="H89" t="inlineStr">
        <is>
          <t>CCS</t>
        </is>
      </c>
    </row>
    <row r="90">
      <c r="A90" t="inlineStr">
        <is>
          <t>CIMS.CAN.ON.Electricity.CCS.CCS_Natural Gas</t>
        </is>
      </c>
      <c r="B90" t="inlineStr">
        <is>
          <t>Service</t>
        </is>
      </c>
      <c r="C90" t="inlineStr">
        <is>
          <t>ON</t>
        </is>
      </c>
      <c r="D90" t="inlineStr">
        <is>
          <t>Electricity</t>
        </is>
      </c>
      <c r="E90" t="inlineStr">
        <is>
          <t>CCS_Natural Gas</t>
        </is>
      </c>
      <c r="F90" t="inlineStr">
        <is>
          <t>CCS</t>
        </is>
      </c>
      <c r="G90" t="inlineStr">
        <is>
          <t>dcc_limit</t>
        </is>
      </c>
      <c r="L90" t="inlineStr">
        <is>
          <t>%</t>
        </is>
      </c>
      <c r="M90" t="n">
        <v>0.4</v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CIMS.CAN.ON.Electricity.CCS.CCS_Natural Gas</t>
        </is>
      </c>
      <c r="B91" t="inlineStr">
        <is>
          <t>Service</t>
        </is>
      </c>
      <c r="C91" t="inlineStr">
        <is>
          <t>ON</t>
        </is>
      </c>
      <c r="D91" t="inlineStr">
        <is>
          <t>Electricity</t>
        </is>
      </c>
      <c r="E91" t="inlineStr">
        <is>
          <t>CCS_Natural Gas</t>
        </is>
      </c>
      <c r="F91" t="inlineStr">
        <is>
          <t>CCS</t>
        </is>
      </c>
      <c r="G91" t="inlineStr">
        <is>
          <t>dcc_learning_min</t>
        </is>
      </c>
      <c r="L91" t="inlineStr">
        <is>
          <t>%</t>
        </is>
      </c>
      <c r="M91" t="n">
        <v>0.01</v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CIMS.CAN.ON.Electricity.CCS.CCS_Natural Gas</t>
        </is>
      </c>
      <c r="B92" t="inlineStr">
        <is>
          <t>Service</t>
        </is>
      </c>
      <c r="C92" t="inlineStr">
        <is>
          <t>ON</t>
        </is>
      </c>
      <c r="D92" t="inlineStr">
        <is>
          <t>Electricity</t>
        </is>
      </c>
      <c r="E92" t="inlineStr">
        <is>
          <t>CCS_Natural Gas</t>
        </is>
      </c>
      <c r="F92" t="inlineStr">
        <is>
          <t>CCS</t>
        </is>
      </c>
      <c r="G92" t="inlineStr">
        <is>
          <t>dcc_capacity_1</t>
        </is>
      </c>
      <c r="L92" t="inlineStr">
        <is>
          <t>tCO2</t>
        </is>
      </c>
      <c r="M92" t="n">
        <v>1000000</v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CIMS.CAN.ON.Electricity.CCS.CCS_Natural Gas</t>
        </is>
      </c>
      <c r="B93" t="inlineStr">
        <is>
          <t>Service</t>
        </is>
      </c>
      <c r="C93" t="inlineStr">
        <is>
          <t>ON</t>
        </is>
      </c>
      <c r="D93" t="inlineStr">
        <is>
          <t>Electricity</t>
        </is>
      </c>
      <c r="E93" t="inlineStr">
        <is>
          <t>CCS_Natural Gas</t>
        </is>
      </c>
      <c r="F93" t="inlineStr">
        <is>
          <t>CCS</t>
        </is>
      </c>
      <c r="G93" t="inlineStr">
        <is>
          <t>dcc_progress_ratio_1</t>
        </is>
      </c>
      <c r="L93" t="inlineStr">
        <is>
          <t>%</t>
        </is>
      </c>
      <c r="M93" t="n">
        <v>0.95</v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CIMS.CAN.ON.Ethanol.Production.Cellulosic</t>
        </is>
      </c>
      <c r="B94" t="inlineStr">
        <is>
          <t>Service</t>
        </is>
      </c>
      <c r="C94" t="inlineStr">
        <is>
          <t>ON</t>
        </is>
      </c>
      <c r="D94" t="inlineStr">
        <is>
          <t>Ethanol</t>
        </is>
      </c>
      <c r="E94" t="inlineStr">
        <is>
          <t>Cellulosic</t>
        </is>
      </c>
      <c r="F94" t="inlineStr">
        <is>
          <t>Cellulosic</t>
        </is>
      </c>
      <c r="G94" t="inlineStr">
        <is>
          <t>dcc_class</t>
        </is>
      </c>
      <c r="H94" t="inlineStr">
        <is>
          <t>Cellulosic ethanol</t>
        </is>
      </c>
    </row>
    <row r="95">
      <c r="A95" t="inlineStr">
        <is>
          <t>CIMS.CAN.ON.Ethanol.Production.Cellulosic</t>
        </is>
      </c>
      <c r="B95" t="inlineStr">
        <is>
          <t>Service</t>
        </is>
      </c>
      <c r="C95" t="inlineStr">
        <is>
          <t>ON</t>
        </is>
      </c>
      <c r="D95" t="inlineStr">
        <is>
          <t>Ethanol</t>
        </is>
      </c>
      <c r="E95" t="inlineStr">
        <is>
          <t>Cellulosic</t>
        </is>
      </c>
      <c r="F95" t="inlineStr">
        <is>
          <t>Cellulosic</t>
        </is>
      </c>
      <c r="G95" t="inlineStr">
        <is>
          <t>dcc_limit</t>
        </is>
      </c>
      <c r="L95" t="inlineStr">
        <is>
          <t>%</t>
        </is>
      </c>
      <c r="M95" t="n">
        <v>0.4</v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CIMS.CAN.ON.Ethanol.Production.Cellulosic</t>
        </is>
      </c>
      <c r="B96" t="inlineStr">
        <is>
          <t>Service</t>
        </is>
      </c>
      <c r="C96" t="inlineStr">
        <is>
          <t>ON</t>
        </is>
      </c>
      <c r="D96" t="inlineStr">
        <is>
          <t>Ethanol</t>
        </is>
      </c>
      <c r="E96" t="inlineStr">
        <is>
          <t>Cellulosic</t>
        </is>
      </c>
      <c r="F96" t="inlineStr">
        <is>
          <t>Cellulosic</t>
        </is>
      </c>
      <c r="G96" t="inlineStr">
        <is>
          <t>dcc_learning_min</t>
        </is>
      </c>
      <c r="L96" t="inlineStr">
        <is>
          <t>%</t>
        </is>
      </c>
      <c r="M96" t="n">
        <v>0.01</v>
      </c>
      <c r="N96">
        <f>M96</f>
        <v/>
      </c>
      <c r="O96">
        <f>N96</f>
        <v/>
      </c>
      <c r="P96">
        <f>O96</f>
        <v/>
      </c>
      <c r="Q96">
        <f>P96</f>
        <v/>
      </c>
      <c r="R96">
        <f>Q96</f>
        <v/>
      </c>
      <c r="S96">
        <f>R96</f>
        <v/>
      </c>
      <c r="T96">
        <f>S96</f>
        <v/>
      </c>
      <c r="U96">
        <f>T96</f>
        <v/>
      </c>
      <c r="V96">
        <f>U96</f>
        <v/>
      </c>
      <c r="W96">
        <f>V96</f>
        <v/>
      </c>
    </row>
    <row r="97">
      <c r="A97" t="inlineStr">
        <is>
          <t>CIMS.CAN.ON.Ethanol.Production.Cellulosic</t>
        </is>
      </c>
      <c r="B97" t="inlineStr">
        <is>
          <t>Service</t>
        </is>
      </c>
      <c r="C97" t="inlineStr">
        <is>
          <t>ON</t>
        </is>
      </c>
      <c r="D97" t="inlineStr">
        <is>
          <t>Ethanol</t>
        </is>
      </c>
      <c r="E97" t="inlineStr">
        <is>
          <t>Cellulosic</t>
        </is>
      </c>
      <c r="F97" t="inlineStr">
        <is>
          <t>Cellulosic</t>
        </is>
      </c>
      <c r="G97" t="inlineStr">
        <is>
          <t>dcc_capacity_1</t>
        </is>
      </c>
      <c r="L97" t="inlineStr">
        <is>
          <t>GJ</t>
        </is>
      </c>
      <c r="M97" t="n">
        <v>7668000</v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CIMS.CAN.ON.Ethanol.Production.Cellulosic</t>
        </is>
      </c>
      <c r="B98" t="inlineStr">
        <is>
          <t>Service</t>
        </is>
      </c>
      <c r="C98" t="inlineStr">
        <is>
          <t>ON</t>
        </is>
      </c>
      <c r="D98" t="inlineStr">
        <is>
          <t>Ethanol</t>
        </is>
      </c>
      <c r="E98" t="inlineStr">
        <is>
          <t>Cellulosic</t>
        </is>
      </c>
      <c r="F98" t="inlineStr">
        <is>
          <t>Cellulosic</t>
        </is>
      </c>
      <c r="G98" t="inlineStr">
        <is>
          <t>dcc_progress_ratio_1</t>
        </is>
      </c>
      <c r="L98" t="inlineStr">
        <is>
          <t>%</t>
        </is>
      </c>
      <c r="M98" t="n">
        <v>0.9</v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CIMS.CAN.ON.Hydrogen.Production</t>
        </is>
      </c>
      <c r="B99" t="inlineStr">
        <is>
          <t>Service</t>
        </is>
      </c>
      <c r="C99" t="inlineStr">
        <is>
          <t>ON</t>
        </is>
      </c>
      <c r="D99" t="inlineStr">
        <is>
          <t>Hydrogen</t>
        </is>
      </c>
      <c r="E99" t="inlineStr">
        <is>
          <t>Production</t>
        </is>
      </c>
      <c r="F99" t="inlineStr">
        <is>
          <t>Coal gasification_centralised_CCS</t>
        </is>
      </c>
      <c r="G99" t="inlineStr">
        <is>
          <t>dcc_class</t>
        </is>
      </c>
      <c r="H99" t="inlineStr">
        <is>
          <t>Gasification</t>
        </is>
      </c>
    </row>
    <row r="100">
      <c r="A100" t="inlineStr">
        <is>
          <t>CIMS.CAN.ON.Hydrogen.Production</t>
        </is>
      </c>
      <c r="B100" t="inlineStr">
        <is>
          <t>Service</t>
        </is>
      </c>
      <c r="C100" t="inlineStr">
        <is>
          <t>ON</t>
        </is>
      </c>
      <c r="D100" t="inlineStr">
        <is>
          <t>Hydrogen</t>
        </is>
      </c>
      <c r="E100" t="inlineStr">
        <is>
          <t>Production</t>
        </is>
      </c>
      <c r="F100" t="inlineStr">
        <is>
          <t>Coal gasification_centralised_CCS</t>
        </is>
      </c>
      <c r="G100" t="inlineStr">
        <is>
          <t>dcc_limit</t>
        </is>
      </c>
      <c r="L100" t="inlineStr">
        <is>
          <t>%</t>
        </is>
      </c>
      <c r="M100" t="n">
        <v>0.4</v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CIMS.CAN.ON.Hydrogen.Production</t>
        </is>
      </c>
      <c r="B101" t="inlineStr">
        <is>
          <t>Service</t>
        </is>
      </c>
      <c r="C101" t="inlineStr">
        <is>
          <t>ON</t>
        </is>
      </c>
      <c r="D101" t="inlineStr">
        <is>
          <t>Hydrogen</t>
        </is>
      </c>
      <c r="E101" t="inlineStr">
        <is>
          <t>Production</t>
        </is>
      </c>
      <c r="F101" t="inlineStr">
        <is>
          <t>Coal gasification_centralised_CCS</t>
        </is>
      </c>
      <c r="G101" t="inlineStr">
        <is>
          <t>dcc_learning_min</t>
        </is>
      </c>
      <c r="L101" t="inlineStr">
        <is>
          <t>%</t>
        </is>
      </c>
      <c r="M101" t="n">
        <v>0.01</v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CIMS.CAN.ON.Hydrogen.Production</t>
        </is>
      </c>
      <c r="B102" t="inlineStr">
        <is>
          <t>Service</t>
        </is>
      </c>
      <c r="C102" t="inlineStr">
        <is>
          <t>ON</t>
        </is>
      </c>
      <c r="D102" t="inlineStr">
        <is>
          <t>Hydrogen</t>
        </is>
      </c>
      <c r="E102" t="inlineStr">
        <is>
          <t>Production</t>
        </is>
      </c>
      <c r="F102" t="inlineStr">
        <is>
          <t>Coal gasification_centralised_CCS</t>
        </is>
      </c>
      <c r="G102" t="inlineStr">
        <is>
          <t>dcc_capacity_1</t>
        </is>
      </c>
      <c r="K102" t="inlineStr">
        <is>
          <t>NREL H2A</t>
        </is>
      </c>
      <c r="L102" t="inlineStr">
        <is>
          <t>kg</t>
        </is>
      </c>
      <c r="M102" t="n">
        <v>50000000</v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CIMS.CAN.ON.Hydrogen.Production</t>
        </is>
      </c>
      <c r="B103" t="inlineStr">
        <is>
          <t>Service</t>
        </is>
      </c>
      <c r="C103" t="inlineStr">
        <is>
          <t>ON</t>
        </is>
      </c>
      <c r="D103" t="inlineStr">
        <is>
          <t>Hydrogen</t>
        </is>
      </c>
      <c r="E103" t="inlineStr">
        <is>
          <t>Production</t>
        </is>
      </c>
      <c r="F103" t="inlineStr">
        <is>
          <t>Coal gasification_centralised_CCS</t>
        </is>
      </c>
      <c r="G103" t="inlineStr">
        <is>
          <t>dcc_progress_ratio_1</t>
        </is>
      </c>
      <c r="L103" t="inlineStr">
        <is>
          <t>%</t>
        </is>
      </c>
      <c r="M103" t="n">
        <v>0.9</v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CIMS.CAN.ON.Hydrogen.Production</t>
        </is>
      </c>
      <c r="B104" t="inlineStr">
        <is>
          <t>Service</t>
        </is>
      </c>
      <c r="C104" t="inlineStr">
        <is>
          <t>ON</t>
        </is>
      </c>
      <c r="D104" t="inlineStr">
        <is>
          <t>Hydrogen</t>
        </is>
      </c>
      <c r="E104" t="inlineStr">
        <is>
          <t>Production</t>
        </is>
      </c>
      <c r="F104" t="inlineStr">
        <is>
          <t>Steam methane reforming_centralised</t>
        </is>
      </c>
      <c r="G104" t="inlineStr">
        <is>
          <t>dcc_class</t>
        </is>
      </c>
      <c r="H104" t="inlineStr">
        <is>
          <t>Steam methane reforming</t>
        </is>
      </c>
    </row>
    <row r="105">
      <c r="A105" t="inlineStr">
        <is>
          <t>CIMS.CAN.ON.Hydrogen.Production</t>
        </is>
      </c>
      <c r="B105" t="inlineStr">
        <is>
          <t>Service</t>
        </is>
      </c>
      <c r="C105" t="inlineStr">
        <is>
          <t>ON</t>
        </is>
      </c>
      <c r="D105" t="inlineStr">
        <is>
          <t>Hydrogen</t>
        </is>
      </c>
      <c r="E105" t="inlineStr">
        <is>
          <t>Production</t>
        </is>
      </c>
      <c r="F105" t="inlineStr">
        <is>
          <t>Steam methane reforming_centralised</t>
        </is>
      </c>
      <c r="G105" t="inlineStr">
        <is>
          <t>dcc_limit</t>
        </is>
      </c>
      <c r="L105" t="inlineStr">
        <is>
          <t>%</t>
        </is>
      </c>
      <c r="M105" t="n">
        <v>0.4</v>
      </c>
      <c r="N105">
        <f>M105</f>
        <v/>
      </c>
      <c r="O105">
        <f>N105</f>
        <v/>
      </c>
      <c r="P105">
        <f>O105</f>
        <v/>
      </c>
      <c r="Q105">
        <f>P105</f>
        <v/>
      </c>
      <c r="R105">
        <f>Q105</f>
        <v/>
      </c>
      <c r="S105">
        <f>R105</f>
        <v/>
      </c>
      <c r="T105">
        <f>S105</f>
        <v/>
      </c>
      <c r="U105">
        <f>T105</f>
        <v/>
      </c>
      <c r="V105">
        <f>U105</f>
        <v/>
      </c>
      <c r="W105">
        <f>V105</f>
        <v/>
      </c>
    </row>
    <row r="106">
      <c r="A106" t="inlineStr">
        <is>
          <t>CIMS.CAN.ON.Hydrogen.Production</t>
        </is>
      </c>
      <c r="B106" t="inlineStr">
        <is>
          <t>Service</t>
        </is>
      </c>
      <c r="C106" t="inlineStr">
        <is>
          <t>ON</t>
        </is>
      </c>
      <c r="D106" t="inlineStr">
        <is>
          <t>Hydrogen</t>
        </is>
      </c>
      <c r="E106" t="inlineStr">
        <is>
          <t>Production</t>
        </is>
      </c>
      <c r="F106" t="inlineStr">
        <is>
          <t>Steam methane reforming_centralised</t>
        </is>
      </c>
      <c r="G106" t="inlineStr">
        <is>
          <t>dcc_learning_min</t>
        </is>
      </c>
      <c r="L106" t="inlineStr">
        <is>
          <t>%</t>
        </is>
      </c>
      <c r="M106" t="n">
        <v>0.01</v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CIMS.CAN.ON.Hydrogen.Production</t>
        </is>
      </c>
      <c r="B107" t="inlineStr">
        <is>
          <t>Service</t>
        </is>
      </c>
      <c r="C107" t="inlineStr">
        <is>
          <t>ON</t>
        </is>
      </c>
      <c r="D107" t="inlineStr">
        <is>
          <t>Hydrogen</t>
        </is>
      </c>
      <c r="E107" t="inlineStr">
        <is>
          <t>Production</t>
        </is>
      </c>
      <c r="F107" t="inlineStr">
        <is>
          <t>Steam methane reforming_centralised</t>
        </is>
      </c>
      <c r="G107" t="inlineStr">
        <is>
          <t>dcc_capacity_1</t>
        </is>
      </c>
      <c r="K107" t="inlineStr">
        <is>
          <t>NREL H2A</t>
        </is>
      </c>
      <c r="L107" t="inlineStr">
        <is>
          <t>kg</t>
        </is>
      </c>
      <c r="M107" t="n">
        <v>125000000</v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CIMS.CAN.ON.Hydrogen.Production</t>
        </is>
      </c>
      <c r="B108" t="inlineStr">
        <is>
          <t>Service</t>
        </is>
      </c>
      <c r="C108" t="inlineStr">
        <is>
          <t>ON</t>
        </is>
      </c>
      <c r="D108" t="inlineStr">
        <is>
          <t>Hydrogen</t>
        </is>
      </c>
      <c r="E108" t="inlineStr">
        <is>
          <t>Production</t>
        </is>
      </c>
      <c r="F108" t="inlineStr">
        <is>
          <t>Steam methane reforming_centralised</t>
        </is>
      </c>
      <c r="G108" t="inlineStr">
        <is>
          <t>dcc_progress_ratio_1</t>
        </is>
      </c>
      <c r="L108" t="inlineStr">
        <is>
          <t>%</t>
        </is>
      </c>
      <c r="M108" t="n">
        <v>0.9</v>
      </c>
      <c r="N108">
        <f>M108</f>
        <v/>
      </c>
      <c r="O108">
        <f>N108</f>
        <v/>
      </c>
      <c r="P108">
        <f>O108</f>
        <v/>
      </c>
      <c r="Q108">
        <f>P108</f>
        <v/>
      </c>
      <c r="R108">
        <f>Q108</f>
        <v/>
      </c>
      <c r="S108">
        <f>R108</f>
        <v/>
      </c>
      <c r="T108">
        <f>S108</f>
        <v/>
      </c>
      <c r="U108">
        <f>T108</f>
        <v/>
      </c>
      <c r="V108">
        <f>U108</f>
        <v/>
      </c>
      <c r="W108">
        <f>V108</f>
        <v/>
      </c>
    </row>
    <row r="109">
      <c r="A109" t="inlineStr">
        <is>
          <t>CIMS.CAN.ON.Hydrogen.Production</t>
        </is>
      </c>
      <c r="B109" t="inlineStr">
        <is>
          <t>Service</t>
        </is>
      </c>
      <c r="C109" t="inlineStr">
        <is>
          <t>ON</t>
        </is>
      </c>
      <c r="D109" t="inlineStr">
        <is>
          <t>Hydrogen</t>
        </is>
      </c>
      <c r="E109" t="inlineStr">
        <is>
          <t>Production</t>
        </is>
      </c>
      <c r="F109" t="inlineStr">
        <is>
          <t>Steam methane reforming_centralised_CCS</t>
        </is>
      </c>
      <c r="G109" t="inlineStr">
        <is>
          <t>dcc_class</t>
        </is>
      </c>
      <c r="H109" t="inlineStr">
        <is>
          <t>Steam methane reforming</t>
        </is>
      </c>
    </row>
    <row r="110">
      <c r="A110" t="inlineStr">
        <is>
          <t>CIMS.CAN.ON.Hydrogen.Production</t>
        </is>
      </c>
      <c r="B110" t="inlineStr">
        <is>
          <t>Service</t>
        </is>
      </c>
      <c r="C110" t="inlineStr">
        <is>
          <t>ON</t>
        </is>
      </c>
      <c r="D110" t="inlineStr">
        <is>
          <t>Hydrogen</t>
        </is>
      </c>
      <c r="E110" t="inlineStr">
        <is>
          <t>Production</t>
        </is>
      </c>
      <c r="F110" t="inlineStr">
        <is>
          <t>Steam methane reforming_centralised_CCS</t>
        </is>
      </c>
      <c r="G110" t="inlineStr">
        <is>
          <t>dcc_limit</t>
        </is>
      </c>
      <c r="L110" t="inlineStr">
        <is>
          <t>%</t>
        </is>
      </c>
      <c r="M110" t="n">
        <v>0.4</v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CIMS.CAN.ON.Hydrogen.Production</t>
        </is>
      </c>
      <c r="B111" t="inlineStr">
        <is>
          <t>Service</t>
        </is>
      </c>
      <c r="C111" t="inlineStr">
        <is>
          <t>ON</t>
        </is>
      </c>
      <c r="D111" t="inlineStr">
        <is>
          <t>Hydrogen</t>
        </is>
      </c>
      <c r="E111" t="inlineStr">
        <is>
          <t>Production</t>
        </is>
      </c>
      <c r="F111" t="inlineStr">
        <is>
          <t>Steam methane reforming_centralised_CCS</t>
        </is>
      </c>
      <c r="G111" t="inlineStr">
        <is>
          <t>dcc_learning_min</t>
        </is>
      </c>
      <c r="L111" t="inlineStr">
        <is>
          <t>%</t>
        </is>
      </c>
      <c r="M111" t="n">
        <v>0.01</v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CIMS.CAN.ON.Hydrogen.Production</t>
        </is>
      </c>
      <c r="B112" t="inlineStr">
        <is>
          <t>Service</t>
        </is>
      </c>
      <c r="C112" t="inlineStr">
        <is>
          <t>ON</t>
        </is>
      </c>
      <c r="D112" t="inlineStr">
        <is>
          <t>Hydrogen</t>
        </is>
      </c>
      <c r="E112" t="inlineStr">
        <is>
          <t>Production</t>
        </is>
      </c>
      <c r="F112" t="inlineStr">
        <is>
          <t>Steam methane reforming_centralised_CCS</t>
        </is>
      </c>
      <c r="G112" t="inlineStr">
        <is>
          <t>dcc_capacity_1</t>
        </is>
      </c>
      <c r="K112" t="inlineStr">
        <is>
          <t>NREL H2A</t>
        </is>
      </c>
      <c r="L112" t="inlineStr">
        <is>
          <t>kg</t>
        </is>
      </c>
      <c r="M112" t="n">
        <v>125000000</v>
      </c>
      <c r="N112">
        <f>M112</f>
        <v/>
      </c>
      <c r="O112">
        <f>N112</f>
        <v/>
      </c>
      <c r="P112">
        <f>O112</f>
        <v/>
      </c>
      <c r="Q112">
        <f>P112</f>
        <v/>
      </c>
      <c r="R112">
        <f>Q112</f>
        <v/>
      </c>
      <c r="S112">
        <f>R112</f>
        <v/>
      </c>
      <c r="T112">
        <f>S112</f>
        <v/>
      </c>
      <c r="U112">
        <f>T112</f>
        <v/>
      </c>
      <c r="V112">
        <f>U112</f>
        <v/>
      </c>
      <c r="W112">
        <f>V112</f>
        <v/>
      </c>
    </row>
    <row r="113">
      <c r="A113" t="inlineStr">
        <is>
          <t>CIMS.CAN.ON.Hydrogen.Production</t>
        </is>
      </c>
      <c r="B113" t="inlineStr">
        <is>
          <t>Service</t>
        </is>
      </c>
      <c r="C113" t="inlineStr">
        <is>
          <t>ON</t>
        </is>
      </c>
      <c r="D113" t="inlineStr">
        <is>
          <t>Hydrogen</t>
        </is>
      </c>
      <c r="E113" t="inlineStr">
        <is>
          <t>Production</t>
        </is>
      </c>
      <c r="F113" t="inlineStr">
        <is>
          <t>Steam methane reforming_centralised_CCS</t>
        </is>
      </c>
      <c r="G113" t="inlineStr">
        <is>
          <t>dcc_progress_ratio_1</t>
        </is>
      </c>
      <c r="L113" t="inlineStr">
        <is>
          <t>%</t>
        </is>
      </c>
      <c r="M113" t="n">
        <v>0.9</v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CIMS.CAN.ON.Hydrogen.Production</t>
        </is>
      </c>
      <c r="B114" t="inlineStr">
        <is>
          <t>Service</t>
        </is>
      </c>
      <c r="C114" t="inlineStr">
        <is>
          <t>ON</t>
        </is>
      </c>
      <c r="D114" t="inlineStr">
        <is>
          <t>Hydrogen</t>
        </is>
      </c>
      <c r="E114" t="inlineStr">
        <is>
          <t>Production</t>
        </is>
      </c>
      <c r="F114" t="inlineStr">
        <is>
          <t>Biomass gasification_centralised</t>
        </is>
      </c>
      <c r="G114" t="inlineStr">
        <is>
          <t>dcc_class</t>
        </is>
      </c>
      <c r="H114" t="inlineStr">
        <is>
          <t>Gasification</t>
        </is>
      </c>
    </row>
    <row r="115">
      <c r="A115" t="inlineStr">
        <is>
          <t>CIMS.CAN.ON.Hydrogen.Production</t>
        </is>
      </c>
      <c r="B115" t="inlineStr">
        <is>
          <t>Service</t>
        </is>
      </c>
      <c r="C115" t="inlineStr">
        <is>
          <t>ON</t>
        </is>
      </c>
      <c r="D115" t="inlineStr">
        <is>
          <t>Hydrogen</t>
        </is>
      </c>
      <c r="E115" t="inlineStr">
        <is>
          <t>Production</t>
        </is>
      </c>
      <c r="F115" t="inlineStr">
        <is>
          <t>Biomass gasification_centralised</t>
        </is>
      </c>
      <c r="G115" t="inlineStr">
        <is>
          <t>dcc_limit</t>
        </is>
      </c>
      <c r="L115" t="inlineStr">
        <is>
          <t>%</t>
        </is>
      </c>
      <c r="M115" t="n">
        <v>0.4</v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CIMS.CAN.ON.Hydrogen.Production</t>
        </is>
      </c>
      <c r="B116" t="inlineStr">
        <is>
          <t>Service</t>
        </is>
      </c>
      <c r="C116" t="inlineStr">
        <is>
          <t>ON</t>
        </is>
      </c>
      <c r="D116" t="inlineStr">
        <is>
          <t>Hydrogen</t>
        </is>
      </c>
      <c r="E116" t="inlineStr">
        <is>
          <t>Production</t>
        </is>
      </c>
      <c r="F116" t="inlineStr">
        <is>
          <t>Biomass gasification_centralised</t>
        </is>
      </c>
      <c r="G116" t="inlineStr">
        <is>
          <t>dcc_learning_min</t>
        </is>
      </c>
      <c r="L116" t="inlineStr">
        <is>
          <t>%</t>
        </is>
      </c>
      <c r="M116" t="n">
        <v>0.01</v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CIMS.CAN.ON.Hydrogen.Production</t>
        </is>
      </c>
      <c r="B117" t="inlineStr">
        <is>
          <t>Service</t>
        </is>
      </c>
      <c r="C117" t="inlineStr">
        <is>
          <t>ON</t>
        </is>
      </c>
      <c r="D117" t="inlineStr">
        <is>
          <t>Hydrogen</t>
        </is>
      </c>
      <c r="E117" t="inlineStr">
        <is>
          <t>Production</t>
        </is>
      </c>
      <c r="F117" t="inlineStr">
        <is>
          <t>Biomass gasification_centralised</t>
        </is>
      </c>
      <c r="G117" t="inlineStr">
        <is>
          <t>dcc_capacity_1</t>
        </is>
      </c>
      <c r="K117" t="inlineStr">
        <is>
          <t>NREL H2A</t>
        </is>
      </c>
      <c r="L117" t="inlineStr">
        <is>
          <t>kg</t>
        </is>
      </c>
      <c r="M117" t="n">
        <v>50000000</v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CIMS.CAN.ON.Hydrogen.Production</t>
        </is>
      </c>
      <c r="B118" t="inlineStr">
        <is>
          <t>Service</t>
        </is>
      </c>
      <c r="C118" t="inlineStr">
        <is>
          <t>ON</t>
        </is>
      </c>
      <c r="D118" t="inlineStr">
        <is>
          <t>Hydrogen</t>
        </is>
      </c>
      <c r="E118" t="inlineStr">
        <is>
          <t>Production</t>
        </is>
      </c>
      <c r="F118" t="inlineStr">
        <is>
          <t>Biomass gasification_centralised</t>
        </is>
      </c>
      <c r="G118" t="inlineStr">
        <is>
          <t>dcc_progress_ratio_1</t>
        </is>
      </c>
      <c r="L118" t="inlineStr">
        <is>
          <t>%</t>
        </is>
      </c>
      <c r="M118" t="n">
        <v>0.9</v>
      </c>
      <c r="N118">
        <f>M118</f>
        <v/>
      </c>
      <c r="O118">
        <f>N118</f>
        <v/>
      </c>
      <c r="P118">
        <f>O118</f>
        <v/>
      </c>
      <c r="Q118">
        <f>P118</f>
        <v/>
      </c>
      <c r="R118">
        <f>Q118</f>
        <v/>
      </c>
      <c r="S118">
        <f>R118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</row>
    <row r="119">
      <c r="A119" t="inlineStr">
        <is>
          <t>CIMS.CAN.ON.Hydrogen.Production</t>
        </is>
      </c>
      <c r="B119" t="inlineStr">
        <is>
          <t>Service</t>
        </is>
      </c>
      <c r="C119" t="inlineStr">
        <is>
          <t>ON</t>
        </is>
      </c>
      <c r="D119" t="inlineStr">
        <is>
          <t>Hydrogen</t>
        </is>
      </c>
      <c r="E119" t="inlineStr">
        <is>
          <t>Production</t>
        </is>
      </c>
      <c r="F119" t="inlineStr">
        <is>
          <t>Biomass gasification_centralised_CCS</t>
        </is>
      </c>
      <c r="G119" t="inlineStr">
        <is>
          <t>dcc_class</t>
        </is>
      </c>
      <c r="H119" t="inlineStr">
        <is>
          <t>Gasification</t>
        </is>
      </c>
    </row>
    <row r="120">
      <c r="A120" t="inlineStr">
        <is>
          <t>CIMS.CAN.ON.Hydrogen.Production</t>
        </is>
      </c>
      <c r="B120" t="inlineStr">
        <is>
          <t>Service</t>
        </is>
      </c>
      <c r="C120" t="inlineStr">
        <is>
          <t>ON</t>
        </is>
      </c>
      <c r="D120" t="inlineStr">
        <is>
          <t>Hydrogen</t>
        </is>
      </c>
      <c r="E120" t="inlineStr">
        <is>
          <t>Production</t>
        </is>
      </c>
      <c r="F120" t="inlineStr">
        <is>
          <t>Biomass gasification_centralised_CCS</t>
        </is>
      </c>
      <c r="G120" t="inlineStr">
        <is>
          <t>dcc_limit</t>
        </is>
      </c>
      <c r="L120" t="inlineStr">
        <is>
          <t>%</t>
        </is>
      </c>
      <c r="M120" t="n">
        <v>0.4</v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CIMS.CAN.ON.Hydrogen.Production</t>
        </is>
      </c>
      <c r="B121" t="inlineStr">
        <is>
          <t>Service</t>
        </is>
      </c>
      <c r="C121" t="inlineStr">
        <is>
          <t>ON</t>
        </is>
      </c>
      <c r="D121" t="inlineStr">
        <is>
          <t>Hydrogen</t>
        </is>
      </c>
      <c r="E121" t="inlineStr">
        <is>
          <t>Production</t>
        </is>
      </c>
      <c r="F121" t="inlineStr">
        <is>
          <t>Biomass gasification_centralised_CCS</t>
        </is>
      </c>
      <c r="G121" t="inlineStr">
        <is>
          <t>dcc_learning_min</t>
        </is>
      </c>
      <c r="L121" t="inlineStr">
        <is>
          <t>%</t>
        </is>
      </c>
      <c r="M121" t="n">
        <v>0.01</v>
      </c>
      <c r="N121">
        <f>M121</f>
        <v/>
      </c>
      <c r="O121">
        <f>N121</f>
        <v/>
      </c>
      <c r="P121">
        <f>O121</f>
        <v/>
      </c>
      <c r="Q121">
        <f>P121</f>
        <v/>
      </c>
      <c r="R121">
        <f>Q121</f>
        <v/>
      </c>
      <c r="S121">
        <f>R121</f>
        <v/>
      </c>
      <c r="T121">
        <f>S121</f>
        <v/>
      </c>
      <c r="U121">
        <f>T121</f>
        <v/>
      </c>
      <c r="V121">
        <f>U121</f>
        <v/>
      </c>
      <c r="W121">
        <f>V121</f>
        <v/>
      </c>
    </row>
    <row r="122">
      <c r="A122" t="inlineStr">
        <is>
          <t>CIMS.CAN.ON.Hydrogen.Production</t>
        </is>
      </c>
      <c r="B122" t="inlineStr">
        <is>
          <t>Service</t>
        </is>
      </c>
      <c r="C122" t="inlineStr">
        <is>
          <t>ON</t>
        </is>
      </c>
      <c r="D122" t="inlineStr">
        <is>
          <t>Hydrogen</t>
        </is>
      </c>
      <c r="E122" t="inlineStr">
        <is>
          <t>Production</t>
        </is>
      </c>
      <c r="F122" t="inlineStr">
        <is>
          <t>Biomass gasification_centralised_CCS</t>
        </is>
      </c>
      <c r="G122" t="inlineStr">
        <is>
          <t>dcc_capacity_1</t>
        </is>
      </c>
      <c r="K122" t="inlineStr">
        <is>
          <t>NREL H2A</t>
        </is>
      </c>
      <c r="L122" t="inlineStr">
        <is>
          <t>kg</t>
        </is>
      </c>
      <c r="M122" t="n">
        <v>50000000</v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CIMS.CAN.ON.Hydrogen.Production</t>
        </is>
      </c>
      <c r="B123" t="inlineStr">
        <is>
          <t>Service</t>
        </is>
      </c>
      <c r="C123" t="inlineStr">
        <is>
          <t>ON</t>
        </is>
      </c>
      <c r="D123" t="inlineStr">
        <is>
          <t>Hydrogen</t>
        </is>
      </c>
      <c r="E123" t="inlineStr">
        <is>
          <t>Production</t>
        </is>
      </c>
      <c r="F123" t="inlineStr">
        <is>
          <t>Biomass gasification_centralised_CCS</t>
        </is>
      </c>
      <c r="G123" t="inlineStr">
        <is>
          <t>dcc_progress_ratio_1</t>
        </is>
      </c>
      <c r="L123" t="inlineStr">
        <is>
          <t>%</t>
        </is>
      </c>
      <c r="M123" t="n">
        <v>0.9</v>
      </c>
      <c r="N123">
        <f>M123</f>
        <v/>
      </c>
      <c r="O123">
        <f>N123</f>
        <v/>
      </c>
      <c r="P123">
        <f>O123</f>
        <v/>
      </c>
      <c r="Q123">
        <f>P123</f>
        <v/>
      </c>
      <c r="R123">
        <f>Q123</f>
        <v/>
      </c>
      <c r="S123">
        <f>R123</f>
        <v/>
      </c>
      <c r="T123">
        <f>S123</f>
        <v/>
      </c>
      <c r="U123">
        <f>T123</f>
        <v/>
      </c>
      <c r="V123">
        <f>U123</f>
        <v/>
      </c>
      <c r="W123">
        <f>V123</f>
        <v/>
      </c>
    </row>
    <row r="124">
      <c r="A124" t="inlineStr">
        <is>
          <t>CIMS.CAN.ON.Hydrogen.Production</t>
        </is>
      </c>
      <c r="B124" t="inlineStr">
        <is>
          <t>Service</t>
        </is>
      </c>
      <c r="C124" t="inlineStr">
        <is>
          <t>ON</t>
        </is>
      </c>
      <c r="D124" t="inlineStr">
        <is>
          <t>Hydrogen</t>
        </is>
      </c>
      <c r="E124" t="inlineStr">
        <is>
          <t>Production</t>
        </is>
      </c>
      <c r="F124" t="inlineStr">
        <is>
          <t>Electrolysis_centralised</t>
        </is>
      </c>
      <c r="G124" t="inlineStr">
        <is>
          <t>dcc_class</t>
        </is>
      </c>
      <c r="H124" t="inlineStr">
        <is>
          <t>Electrolysis</t>
        </is>
      </c>
    </row>
    <row r="125">
      <c r="A125" t="inlineStr">
        <is>
          <t>CIMS.CAN.ON.Hydrogen.Production</t>
        </is>
      </c>
      <c r="B125" t="inlineStr">
        <is>
          <t>Service</t>
        </is>
      </c>
      <c r="C125" t="inlineStr">
        <is>
          <t>ON</t>
        </is>
      </c>
      <c r="D125" t="inlineStr">
        <is>
          <t>Hydrogen</t>
        </is>
      </c>
      <c r="E125" t="inlineStr">
        <is>
          <t>Production</t>
        </is>
      </c>
      <c r="F125" t="inlineStr">
        <is>
          <t>Electrolysis_centralised</t>
        </is>
      </c>
      <c r="G125" t="inlineStr">
        <is>
          <t>dcc_limit</t>
        </is>
      </c>
      <c r="L125" t="inlineStr">
        <is>
          <t>%</t>
        </is>
      </c>
      <c r="M125" t="n">
        <v>0.4</v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CIMS.CAN.ON.Hydrogen.Production</t>
        </is>
      </c>
      <c r="B126" t="inlineStr">
        <is>
          <t>Service</t>
        </is>
      </c>
      <c r="C126" t="inlineStr">
        <is>
          <t>ON</t>
        </is>
      </c>
      <c r="D126" t="inlineStr">
        <is>
          <t>Hydrogen</t>
        </is>
      </c>
      <c r="E126" t="inlineStr">
        <is>
          <t>Production</t>
        </is>
      </c>
      <c r="F126" t="inlineStr">
        <is>
          <t>Electrolysis_centralised</t>
        </is>
      </c>
      <c r="G126" t="inlineStr">
        <is>
          <t>dcc_learning_min</t>
        </is>
      </c>
      <c r="L126" t="inlineStr">
        <is>
          <t>%</t>
        </is>
      </c>
      <c r="M126" t="n">
        <v>0.01</v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CIMS.CAN.ON.Hydrogen.Production</t>
        </is>
      </c>
      <c r="B127" t="inlineStr">
        <is>
          <t>Service</t>
        </is>
      </c>
      <c r="C127" t="inlineStr">
        <is>
          <t>ON</t>
        </is>
      </c>
      <c r="D127" t="inlineStr">
        <is>
          <t>Hydrogen</t>
        </is>
      </c>
      <c r="E127" t="inlineStr">
        <is>
          <t>Production</t>
        </is>
      </c>
      <c r="F127" t="inlineStr">
        <is>
          <t>Electrolysis_centralised</t>
        </is>
      </c>
      <c r="G127" t="inlineStr">
        <is>
          <t>dcc_capacity_1</t>
        </is>
      </c>
      <c r="K127" t="inlineStr">
        <is>
          <t>NREL H2A</t>
        </is>
      </c>
      <c r="L127" t="inlineStr">
        <is>
          <t>kg</t>
        </is>
      </c>
      <c r="M127" t="n">
        <v>20000000</v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CIMS.CAN.ON.Hydrogen.Production</t>
        </is>
      </c>
      <c r="B128" t="inlineStr">
        <is>
          <t>Service</t>
        </is>
      </c>
      <c r="C128" t="inlineStr">
        <is>
          <t>ON</t>
        </is>
      </c>
      <c r="D128" t="inlineStr">
        <is>
          <t>Hydrogen</t>
        </is>
      </c>
      <c r="E128" t="inlineStr">
        <is>
          <t>Production</t>
        </is>
      </c>
      <c r="F128" t="inlineStr">
        <is>
          <t>Electrolysis_centralised</t>
        </is>
      </c>
      <c r="G128" t="inlineStr">
        <is>
          <t>dcc_progress_ratio_1</t>
        </is>
      </c>
      <c r="L128" t="inlineStr">
        <is>
          <t>%</t>
        </is>
      </c>
      <c r="M128" t="n">
        <v>0.9</v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CIMS.CAN.ON.Hydrogen.Production</t>
        </is>
      </c>
      <c r="B129" t="inlineStr">
        <is>
          <t>Service</t>
        </is>
      </c>
      <c r="C129" t="inlineStr">
        <is>
          <t>ON</t>
        </is>
      </c>
      <c r="D129" t="inlineStr">
        <is>
          <t>Hydrogen</t>
        </is>
      </c>
      <c r="E129" t="inlineStr">
        <is>
          <t>Production</t>
        </is>
      </c>
      <c r="F129" t="inlineStr">
        <is>
          <t>Steam methane reforming_distributed</t>
        </is>
      </c>
      <c r="G129" t="inlineStr">
        <is>
          <t>dcc_class</t>
        </is>
      </c>
      <c r="H129" t="inlineStr">
        <is>
          <t>Steam methane reforming</t>
        </is>
      </c>
    </row>
    <row r="130">
      <c r="A130" t="inlineStr">
        <is>
          <t>CIMS.CAN.ON.Hydrogen.Production</t>
        </is>
      </c>
      <c r="B130" t="inlineStr">
        <is>
          <t>Service</t>
        </is>
      </c>
      <c r="C130" t="inlineStr">
        <is>
          <t>ON</t>
        </is>
      </c>
      <c r="D130" t="inlineStr">
        <is>
          <t>Hydrogen</t>
        </is>
      </c>
      <c r="E130" t="inlineStr">
        <is>
          <t>Production</t>
        </is>
      </c>
      <c r="F130" t="inlineStr">
        <is>
          <t>Steam methane reforming_distributed</t>
        </is>
      </c>
      <c r="G130" t="inlineStr">
        <is>
          <t>dcc_limit</t>
        </is>
      </c>
      <c r="L130" t="inlineStr">
        <is>
          <t>%</t>
        </is>
      </c>
      <c r="M130" t="n">
        <v>0.4</v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CIMS.CAN.ON.Hydrogen.Production</t>
        </is>
      </c>
      <c r="B131" t="inlineStr">
        <is>
          <t>Service</t>
        </is>
      </c>
      <c r="C131" t="inlineStr">
        <is>
          <t>ON</t>
        </is>
      </c>
      <c r="D131" t="inlineStr">
        <is>
          <t>Hydrogen</t>
        </is>
      </c>
      <c r="E131" t="inlineStr">
        <is>
          <t>Production</t>
        </is>
      </c>
      <c r="F131" t="inlineStr">
        <is>
          <t>Steam methane reforming_distributed</t>
        </is>
      </c>
      <c r="G131" t="inlineStr">
        <is>
          <t>dcc_learning_min</t>
        </is>
      </c>
      <c r="L131" t="inlineStr">
        <is>
          <t>%</t>
        </is>
      </c>
      <c r="M131" t="n">
        <v>0.01</v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CIMS.CAN.ON.Hydrogen.Production</t>
        </is>
      </c>
      <c r="B132" t="inlineStr">
        <is>
          <t>Service</t>
        </is>
      </c>
      <c r="C132" t="inlineStr">
        <is>
          <t>ON</t>
        </is>
      </c>
      <c r="D132" t="inlineStr">
        <is>
          <t>Hydrogen</t>
        </is>
      </c>
      <c r="E132" t="inlineStr">
        <is>
          <t>Production</t>
        </is>
      </c>
      <c r="F132" t="inlineStr">
        <is>
          <t>Steam methane reforming_distributed</t>
        </is>
      </c>
      <c r="G132" t="inlineStr">
        <is>
          <t>dcc_capacity_1</t>
        </is>
      </c>
      <c r="K132" t="inlineStr">
        <is>
          <t>NREL H2A</t>
        </is>
      </c>
      <c r="L132" t="inlineStr">
        <is>
          <t>kg</t>
        </is>
      </c>
      <c r="M132" t="n">
        <v>125000000</v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CIMS.CAN.ON.Hydrogen.Production</t>
        </is>
      </c>
      <c r="B133" t="inlineStr">
        <is>
          <t>Service</t>
        </is>
      </c>
      <c r="C133" t="inlineStr">
        <is>
          <t>ON</t>
        </is>
      </c>
      <c r="D133" t="inlineStr">
        <is>
          <t>Hydrogen</t>
        </is>
      </c>
      <c r="E133" t="inlineStr">
        <is>
          <t>Production</t>
        </is>
      </c>
      <c r="F133" t="inlineStr">
        <is>
          <t>Steam methane reforming_distributed</t>
        </is>
      </c>
      <c r="G133" t="inlineStr">
        <is>
          <t>dcc_progress_ratio_1</t>
        </is>
      </c>
      <c r="L133" t="inlineStr">
        <is>
          <t>%</t>
        </is>
      </c>
      <c r="M133" t="n">
        <v>0.9</v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CIMS.CAN.ON.Hydrogen.Production</t>
        </is>
      </c>
      <c r="B134" t="inlineStr">
        <is>
          <t>Service</t>
        </is>
      </c>
      <c r="C134" t="inlineStr">
        <is>
          <t>ON</t>
        </is>
      </c>
      <c r="D134" t="inlineStr">
        <is>
          <t>Hydrogen</t>
        </is>
      </c>
      <c r="E134" t="inlineStr">
        <is>
          <t>Production</t>
        </is>
      </c>
      <c r="F134" t="inlineStr">
        <is>
          <t>Ethanol_distributed</t>
        </is>
      </c>
      <c r="G134" t="inlineStr">
        <is>
          <t>dcc_class</t>
        </is>
      </c>
      <c r="H134" t="inlineStr">
        <is>
          <t>Steam methane reforming</t>
        </is>
      </c>
    </row>
    <row r="135">
      <c r="A135" t="inlineStr">
        <is>
          <t>CIMS.CAN.ON.Hydrogen.Production</t>
        </is>
      </c>
      <c r="B135" t="inlineStr">
        <is>
          <t>Service</t>
        </is>
      </c>
      <c r="C135" t="inlineStr">
        <is>
          <t>ON</t>
        </is>
      </c>
      <c r="D135" t="inlineStr">
        <is>
          <t>Hydrogen</t>
        </is>
      </c>
      <c r="E135" t="inlineStr">
        <is>
          <t>Production</t>
        </is>
      </c>
      <c r="F135" t="inlineStr">
        <is>
          <t>Ethanol_distributed</t>
        </is>
      </c>
      <c r="G135" t="inlineStr">
        <is>
          <t>dcc_limit</t>
        </is>
      </c>
      <c r="L135" t="inlineStr">
        <is>
          <t>%</t>
        </is>
      </c>
      <c r="M135" t="n">
        <v>0.4</v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CIMS.CAN.ON.Hydrogen.Production</t>
        </is>
      </c>
      <c r="B136" t="inlineStr">
        <is>
          <t>Service</t>
        </is>
      </c>
      <c r="C136" t="inlineStr">
        <is>
          <t>ON</t>
        </is>
      </c>
      <c r="D136" t="inlineStr">
        <is>
          <t>Hydrogen</t>
        </is>
      </c>
      <c r="E136" t="inlineStr">
        <is>
          <t>Production</t>
        </is>
      </c>
      <c r="F136" t="inlineStr">
        <is>
          <t>Ethanol_distributed</t>
        </is>
      </c>
      <c r="G136" t="inlineStr">
        <is>
          <t>dcc_learning_min</t>
        </is>
      </c>
      <c r="L136" t="inlineStr">
        <is>
          <t>%</t>
        </is>
      </c>
      <c r="M136" t="n">
        <v>0.01</v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CIMS.CAN.ON.Hydrogen.Production</t>
        </is>
      </c>
      <c r="B137" t="inlineStr">
        <is>
          <t>Service</t>
        </is>
      </c>
      <c r="C137" t="inlineStr">
        <is>
          <t>ON</t>
        </is>
      </c>
      <c r="D137" t="inlineStr">
        <is>
          <t>Hydrogen</t>
        </is>
      </c>
      <c r="E137" t="inlineStr">
        <is>
          <t>Production</t>
        </is>
      </c>
      <c r="F137" t="inlineStr">
        <is>
          <t>Ethanol_distributed</t>
        </is>
      </c>
      <c r="G137" t="inlineStr">
        <is>
          <t>dcc_capacity_1</t>
        </is>
      </c>
      <c r="K137" t="inlineStr">
        <is>
          <t>NREL H2A</t>
        </is>
      </c>
      <c r="L137" t="inlineStr">
        <is>
          <t>kg</t>
        </is>
      </c>
      <c r="M137" t="n">
        <v>50000000</v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CIMS.CAN.ON.Hydrogen.Production</t>
        </is>
      </c>
      <c r="B138" t="inlineStr">
        <is>
          <t>Service</t>
        </is>
      </c>
      <c r="C138" t="inlineStr">
        <is>
          <t>ON</t>
        </is>
      </c>
      <c r="D138" t="inlineStr">
        <is>
          <t>Hydrogen</t>
        </is>
      </c>
      <c r="E138" t="inlineStr">
        <is>
          <t>Production</t>
        </is>
      </c>
      <c r="F138" t="inlineStr">
        <is>
          <t>Ethanol_distributed</t>
        </is>
      </c>
      <c r="G138" t="inlineStr">
        <is>
          <t>dcc_progress_ratio_1</t>
        </is>
      </c>
      <c r="L138" t="inlineStr">
        <is>
          <t>%</t>
        </is>
      </c>
      <c r="M138" t="n">
        <v>0.9</v>
      </c>
      <c r="N138">
        <f>M138</f>
        <v/>
      </c>
      <c r="O138">
        <f>N138</f>
        <v/>
      </c>
      <c r="P138">
        <f>O138</f>
        <v/>
      </c>
      <c r="Q138">
        <f>P138</f>
        <v/>
      </c>
      <c r="R138">
        <f>Q138</f>
        <v/>
      </c>
      <c r="S138">
        <f>R138</f>
        <v/>
      </c>
      <c r="T138">
        <f>S138</f>
        <v/>
      </c>
      <c r="U138">
        <f>T138</f>
        <v/>
      </c>
      <c r="V138">
        <f>U138</f>
        <v/>
      </c>
      <c r="W138">
        <f>V138</f>
        <v/>
      </c>
    </row>
    <row r="139">
      <c r="A139" t="inlineStr">
        <is>
          <t>CIMS.CAN.ON.Hydrogen.Production</t>
        </is>
      </c>
      <c r="B139" t="inlineStr">
        <is>
          <t>Service</t>
        </is>
      </c>
      <c r="C139" t="inlineStr">
        <is>
          <t>ON</t>
        </is>
      </c>
      <c r="D139" t="inlineStr">
        <is>
          <t>Hydrogen</t>
        </is>
      </c>
      <c r="E139" t="inlineStr">
        <is>
          <t>Production</t>
        </is>
      </c>
      <c r="F139" t="inlineStr">
        <is>
          <t>Electrolysis_distributed</t>
        </is>
      </c>
      <c r="G139" t="inlineStr">
        <is>
          <t>dcc_class</t>
        </is>
      </c>
      <c r="H139" t="inlineStr">
        <is>
          <t>Electrolysis</t>
        </is>
      </c>
    </row>
    <row r="140">
      <c r="A140" t="inlineStr">
        <is>
          <t>CIMS.CAN.ON.Hydrogen.Production</t>
        </is>
      </c>
      <c r="B140" t="inlineStr">
        <is>
          <t>Service</t>
        </is>
      </c>
      <c r="C140" t="inlineStr">
        <is>
          <t>ON</t>
        </is>
      </c>
      <c r="D140" t="inlineStr">
        <is>
          <t>Hydrogen</t>
        </is>
      </c>
      <c r="E140" t="inlineStr">
        <is>
          <t>Production</t>
        </is>
      </c>
      <c r="F140" t="inlineStr">
        <is>
          <t>Electrolysis_distributed</t>
        </is>
      </c>
      <c r="G140" t="inlineStr">
        <is>
          <t>dcc_limit</t>
        </is>
      </c>
      <c r="L140" t="inlineStr">
        <is>
          <t>%</t>
        </is>
      </c>
      <c r="M140" t="n">
        <v>0.4</v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CIMS.CAN.ON.Hydrogen.Production</t>
        </is>
      </c>
      <c r="B141" t="inlineStr">
        <is>
          <t>Service</t>
        </is>
      </c>
      <c r="C141" t="inlineStr">
        <is>
          <t>ON</t>
        </is>
      </c>
      <c r="D141" t="inlineStr">
        <is>
          <t>Hydrogen</t>
        </is>
      </c>
      <c r="E141" t="inlineStr">
        <is>
          <t>Production</t>
        </is>
      </c>
      <c r="F141" t="inlineStr">
        <is>
          <t>Electrolysis_distributed</t>
        </is>
      </c>
      <c r="G141" t="inlineStr">
        <is>
          <t>dcc_learning_min</t>
        </is>
      </c>
      <c r="L141" t="inlineStr">
        <is>
          <t>%</t>
        </is>
      </c>
      <c r="M141" t="n">
        <v>0.01</v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CIMS.CAN.ON.Hydrogen.Production</t>
        </is>
      </c>
      <c r="B142" t="inlineStr">
        <is>
          <t>Service</t>
        </is>
      </c>
      <c r="C142" t="inlineStr">
        <is>
          <t>ON</t>
        </is>
      </c>
      <c r="D142" t="inlineStr">
        <is>
          <t>Hydrogen</t>
        </is>
      </c>
      <c r="E142" t="inlineStr">
        <is>
          <t>Production</t>
        </is>
      </c>
      <c r="F142" t="inlineStr">
        <is>
          <t>Electrolysis_distributed</t>
        </is>
      </c>
      <c r="G142" t="inlineStr">
        <is>
          <t>dcc_capacity_1</t>
        </is>
      </c>
      <c r="K142" t="inlineStr">
        <is>
          <t>NREL H2A</t>
        </is>
      </c>
      <c r="L142" t="inlineStr">
        <is>
          <t>kg</t>
        </is>
      </c>
      <c r="M142" t="n">
        <v>20000000</v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CIMS.CAN.ON.Hydrogen.Production</t>
        </is>
      </c>
      <c r="B143" t="inlineStr">
        <is>
          <t>Service</t>
        </is>
      </c>
      <c r="C143" t="inlineStr">
        <is>
          <t>ON</t>
        </is>
      </c>
      <c r="D143" t="inlineStr">
        <is>
          <t>Hydrogen</t>
        </is>
      </c>
      <c r="E143" t="inlineStr">
        <is>
          <t>Production</t>
        </is>
      </c>
      <c r="F143" t="inlineStr">
        <is>
          <t>Electrolysis_distributed</t>
        </is>
      </c>
      <c r="G143" t="inlineStr">
        <is>
          <t>dcc_progress_ratio_1</t>
        </is>
      </c>
      <c r="L143" t="inlineStr">
        <is>
          <t>%</t>
        </is>
      </c>
      <c r="M143" t="n">
        <v>0.9</v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CIMS.CAN.ON.Hydrogen.Infrastructure</t>
        </is>
      </c>
      <c r="B144" t="inlineStr">
        <is>
          <t>Service</t>
        </is>
      </c>
      <c r="C144" t="inlineStr">
        <is>
          <t>ON</t>
        </is>
      </c>
      <c r="D144" t="inlineStr">
        <is>
          <t>Hydrogen</t>
        </is>
      </c>
      <c r="E144" t="inlineStr">
        <is>
          <t>Infrastructure</t>
        </is>
      </c>
      <c r="F144" t="inlineStr">
        <is>
          <t>Infrastructure</t>
        </is>
      </c>
      <c r="G144" t="inlineStr">
        <is>
          <t>dcc_class</t>
        </is>
      </c>
      <c r="H144" t="inlineStr">
        <is>
          <t>H2 pipeline</t>
        </is>
      </c>
    </row>
    <row r="145">
      <c r="A145" t="inlineStr">
        <is>
          <t>CIMS.CAN.ON.Hydrogen.Infrastructure</t>
        </is>
      </c>
      <c r="B145" t="inlineStr">
        <is>
          <t>Service</t>
        </is>
      </c>
      <c r="C145" t="inlineStr">
        <is>
          <t>ON</t>
        </is>
      </c>
      <c r="D145" t="inlineStr">
        <is>
          <t>Hydrogen</t>
        </is>
      </c>
      <c r="E145" t="inlineStr">
        <is>
          <t>Infrastructure</t>
        </is>
      </c>
      <c r="F145" t="inlineStr">
        <is>
          <t>Infrastructure</t>
        </is>
      </c>
      <c r="G145" t="inlineStr">
        <is>
          <t>dcc_limit</t>
        </is>
      </c>
      <c r="L145" t="inlineStr">
        <is>
          <t>%</t>
        </is>
      </c>
      <c r="M145" t="n">
        <v>0.4</v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CIMS.CAN.ON.Hydrogen.Infrastructure</t>
        </is>
      </c>
      <c r="B146" t="inlineStr">
        <is>
          <t>Service</t>
        </is>
      </c>
      <c r="C146" t="inlineStr">
        <is>
          <t>ON</t>
        </is>
      </c>
      <c r="D146" t="inlineStr">
        <is>
          <t>Hydrogen</t>
        </is>
      </c>
      <c r="E146" t="inlineStr">
        <is>
          <t>Infrastructure</t>
        </is>
      </c>
      <c r="F146" t="inlineStr">
        <is>
          <t>Infrastructure</t>
        </is>
      </c>
      <c r="G146" t="inlineStr">
        <is>
          <t>dcc_learning_min</t>
        </is>
      </c>
      <c r="L146" t="inlineStr">
        <is>
          <t>%</t>
        </is>
      </c>
      <c r="M146" t="n">
        <v>0.01</v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CIMS.CAN.ON.Hydrogen.Infrastructure</t>
        </is>
      </c>
      <c r="B147" t="inlineStr">
        <is>
          <t>Service</t>
        </is>
      </c>
      <c r="C147" t="inlineStr">
        <is>
          <t>ON</t>
        </is>
      </c>
      <c r="D147" t="inlineStr">
        <is>
          <t>Hydrogen</t>
        </is>
      </c>
      <c r="E147" t="inlineStr">
        <is>
          <t>Infrastructure</t>
        </is>
      </c>
      <c r="F147" t="inlineStr">
        <is>
          <t>Infrastructure</t>
        </is>
      </c>
      <c r="G147" t="inlineStr">
        <is>
          <t>dcc_capacity_1</t>
        </is>
      </c>
      <c r="K147" t="inlineStr">
        <is>
          <t>EMRG assumption</t>
        </is>
      </c>
      <c r="L147" t="inlineStr">
        <is>
          <t>kg</t>
        </is>
      </c>
      <c r="M147" t="n">
        <v>200000000</v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CIMS.CAN.ON.Hydrogen.Infrastructure</t>
        </is>
      </c>
      <c r="B148" t="inlineStr">
        <is>
          <t>Service</t>
        </is>
      </c>
      <c r="C148" t="inlineStr">
        <is>
          <t>ON</t>
        </is>
      </c>
      <c r="D148" t="inlineStr">
        <is>
          <t>Hydrogen</t>
        </is>
      </c>
      <c r="E148" t="inlineStr">
        <is>
          <t>Infrastructure</t>
        </is>
      </c>
      <c r="F148" t="inlineStr">
        <is>
          <t>Infrastructure</t>
        </is>
      </c>
      <c r="G148" t="inlineStr">
        <is>
          <t>dcc_progress_ratio_1</t>
        </is>
      </c>
      <c r="L148" t="inlineStr">
        <is>
          <t>%</t>
        </is>
      </c>
      <c r="M148" t="n">
        <v>0.9</v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CIMS.CAN.ON.Hydrogen.CCS</t>
        </is>
      </c>
      <c r="B149" t="inlineStr">
        <is>
          <t>Service</t>
        </is>
      </c>
      <c r="C149" t="inlineStr">
        <is>
          <t>ON</t>
        </is>
      </c>
      <c r="D149" t="inlineStr">
        <is>
          <t>Hydrogen</t>
        </is>
      </c>
      <c r="E149" t="inlineStr">
        <is>
          <t>CCS</t>
        </is>
      </c>
      <c r="F149" t="inlineStr">
        <is>
          <t>CCS</t>
        </is>
      </c>
      <c r="G149" t="inlineStr">
        <is>
          <t>dcc_class</t>
        </is>
      </c>
      <c r="H149" t="inlineStr">
        <is>
          <t>CCS</t>
        </is>
      </c>
    </row>
    <row r="150">
      <c r="A150" t="inlineStr">
        <is>
          <t>CIMS.CAN.ON.Hydrogen.CCS</t>
        </is>
      </c>
      <c r="B150" t="inlineStr">
        <is>
          <t>Service</t>
        </is>
      </c>
      <c r="C150" t="inlineStr">
        <is>
          <t>ON</t>
        </is>
      </c>
      <c r="D150" t="inlineStr">
        <is>
          <t>Hydrogen</t>
        </is>
      </c>
      <c r="E150" t="inlineStr">
        <is>
          <t>CCS</t>
        </is>
      </c>
      <c r="F150" t="inlineStr">
        <is>
          <t>CCS</t>
        </is>
      </c>
      <c r="G150" t="inlineStr">
        <is>
          <t>dcc_limit</t>
        </is>
      </c>
      <c r="L150" t="inlineStr">
        <is>
          <t>%</t>
        </is>
      </c>
      <c r="M150" t="n">
        <v>0.85</v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CIMS.CAN.ON.Hydrogen.CCS</t>
        </is>
      </c>
      <c r="B151" t="inlineStr">
        <is>
          <t>Service</t>
        </is>
      </c>
      <c r="C151" t="inlineStr">
        <is>
          <t>ON</t>
        </is>
      </c>
      <c r="D151" t="inlineStr">
        <is>
          <t>Hydrogen</t>
        </is>
      </c>
      <c r="E151" t="inlineStr">
        <is>
          <t>CCS</t>
        </is>
      </c>
      <c r="F151" t="inlineStr">
        <is>
          <t>CCS</t>
        </is>
      </c>
      <c r="G151" t="inlineStr">
        <is>
          <t>dcc_learning_min</t>
        </is>
      </c>
      <c r="L151" t="inlineStr">
        <is>
          <t>%</t>
        </is>
      </c>
      <c r="M151" t="n">
        <v>0.0025</v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CIMS.CAN.ON.Hydrogen.CCS</t>
        </is>
      </c>
      <c r="B152" t="inlineStr">
        <is>
          <t>Service</t>
        </is>
      </c>
      <c r="C152" t="inlineStr">
        <is>
          <t>ON</t>
        </is>
      </c>
      <c r="D152" t="inlineStr">
        <is>
          <t>Hydrogen</t>
        </is>
      </c>
      <c r="E152" t="inlineStr">
        <is>
          <t>CCS</t>
        </is>
      </c>
      <c r="F152" t="inlineStr">
        <is>
          <t>CCS</t>
        </is>
      </c>
      <c r="G152" t="inlineStr">
        <is>
          <t>dcc_capacity_1</t>
        </is>
      </c>
      <c r="L152" t="inlineStr">
        <is>
          <t>tCO2</t>
        </is>
      </c>
      <c r="M152">
        <f>2861100</f>
        <v/>
      </c>
      <c r="N152">
        <f>M152</f>
        <v/>
      </c>
      <c r="O152">
        <f>N152</f>
        <v/>
      </c>
      <c r="P152">
        <f>O152</f>
        <v/>
      </c>
      <c r="Q152">
        <f>P152</f>
        <v/>
      </c>
      <c r="R152">
        <f>Q152</f>
        <v/>
      </c>
      <c r="S152">
        <f>R152</f>
        <v/>
      </c>
      <c r="T152">
        <f>S152</f>
        <v/>
      </c>
      <c r="U152">
        <f>T152</f>
        <v/>
      </c>
      <c r="V152">
        <f>U152</f>
        <v/>
      </c>
      <c r="W152">
        <f>V152</f>
        <v/>
      </c>
    </row>
    <row r="153">
      <c r="A153" t="inlineStr">
        <is>
          <t>CIMS.CAN.ON.Hydrogen.CCS</t>
        </is>
      </c>
      <c r="B153" t="inlineStr">
        <is>
          <t>Service</t>
        </is>
      </c>
      <c r="C153" t="inlineStr">
        <is>
          <t>ON</t>
        </is>
      </c>
      <c r="D153" t="inlineStr">
        <is>
          <t>Hydrogen</t>
        </is>
      </c>
      <c r="E153" t="inlineStr">
        <is>
          <t>CCS</t>
        </is>
      </c>
      <c r="F153" t="inlineStr">
        <is>
          <t>CCS</t>
        </is>
      </c>
      <c r="G153" t="inlineStr">
        <is>
          <t>dcc_progress_ratio_1</t>
        </is>
      </c>
      <c r="L153" t="inlineStr">
        <is>
          <t>%</t>
        </is>
      </c>
      <c r="M153" t="n">
        <v>0.95</v>
      </c>
      <c r="N153">
        <f>M153</f>
        <v/>
      </c>
      <c r="O153">
        <f>N153</f>
        <v/>
      </c>
      <c r="P153">
        <f>O153</f>
        <v/>
      </c>
      <c r="Q153">
        <f>P153</f>
        <v/>
      </c>
      <c r="R153">
        <f>Q153</f>
        <v/>
      </c>
      <c r="S153">
        <f>R153</f>
        <v/>
      </c>
      <c r="T153">
        <f>S153</f>
        <v/>
      </c>
      <c r="U153">
        <f>T153</f>
        <v/>
      </c>
      <c r="V153">
        <f>U153</f>
        <v/>
      </c>
      <c r="W153">
        <f>V153</f>
        <v/>
      </c>
    </row>
    <row r="154">
      <c r="A154" t="inlineStr">
        <is>
          <t>CIMS.CAN.ON.Petroleum Refining.CCS</t>
        </is>
      </c>
      <c r="B154" t="inlineStr">
        <is>
          <t>Service</t>
        </is>
      </c>
      <c r="C154" t="inlineStr">
        <is>
          <t>ON</t>
        </is>
      </c>
      <c r="D154" t="inlineStr">
        <is>
          <t>Petroleum Refining</t>
        </is>
      </c>
      <c r="E154" t="inlineStr">
        <is>
          <t>CCS</t>
        </is>
      </c>
      <c r="F154" t="inlineStr">
        <is>
          <t>CCS</t>
        </is>
      </c>
      <c r="G154" t="inlineStr">
        <is>
          <t>dcc_class</t>
        </is>
      </c>
      <c r="H154" t="inlineStr">
        <is>
          <t>CCS</t>
        </is>
      </c>
    </row>
    <row r="155">
      <c r="A155" t="inlineStr">
        <is>
          <t>CIMS.CAN.ON.Petroleum Refining.CCS</t>
        </is>
      </c>
      <c r="B155" t="inlineStr">
        <is>
          <t>Service</t>
        </is>
      </c>
      <c r="C155" t="inlineStr">
        <is>
          <t>ON</t>
        </is>
      </c>
      <c r="D155" t="inlineStr">
        <is>
          <t>Petroleum Refining</t>
        </is>
      </c>
      <c r="E155" t="inlineStr">
        <is>
          <t>CCS</t>
        </is>
      </c>
      <c r="F155" t="inlineStr">
        <is>
          <t>CCS</t>
        </is>
      </c>
      <c r="G155" t="inlineStr">
        <is>
          <t>dcc_limit</t>
        </is>
      </c>
      <c r="L155" t="inlineStr">
        <is>
          <t>%</t>
        </is>
      </c>
      <c r="M155" t="n">
        <v>0.85</v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CIMS.CAN.ON.Petroleum Refining.CCS</t>
        </is>
      </c>
      <c r="B156" t="inlineStr">
        <is>
          <t>Service</t>
        </is>
      </c>
      <c r="C156" t="inlineStr">
        <is>
          <t>ON</t>
        </is>
      </c>
      <c r="D156" t="inlineStr">
        <is>
          <t>Petroleum Refining</t>
        </is>
      </c>
      <c r="E156" t="inlineStr">
        <is>
          <t>CCS</t>
        </is>
      </c>
      <c r="F156" t="inlineStr">
        <is>
          <t>CCS</t>
        </is>
      </c>
      <c r="G156" t="inlineStr">
        <is>
          <t>dcc_learning_min</t>
        </is>
      </c>
      <c r="L156" t="inlineStr">
        <is>
          <t>%</t>
        </is>
      </c>
      <c r="M156" t="n">
        <v>0.0025</v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</row>
    <row r="157">
      <c r="A157" t="inlineStr">
        <is>
          <t>CIMS.CAN.ON.Petroleum Refining.CCS</t>
        </is>
      </c>
      <c r="B157" t="inlineStr">
        <is>
          <t>Service</t>
        </is>
      </c>
      <c r="C157" t="inlineStr">
        <is>
          <t>ON</t>
        </is>
      </c>
      <c r="D157" t="inlineStr">
        <is>
          <t>Petroleum Refining</t>
        </is>
      </c>
      <c r="E157" t="inlineStr">
        <is>
          <t>CCS</t>
        </is>
      </c>
      <c r="F157" t="inlineStr">
        <is>
          <t>CCS</t>
        </is>
      </c>
      <c r="G157" t="inlineStr">
        <is>
          <t>dcc_capacity_1</t>
        </is>
      </c>
      <c r="L157" t="inlineStr">
        <is>
          <t>tCO2</t>
        </is>
      </c>
      <c r="M157">
        <f>2861100</f>
        <v/>
      </c>
      <c r="N157">
        <f>M157</f>
        <v/>
      </c>
      <c r="O157">
        <f>N157</f>
        <v/>
      </c>
      <c r="P157">
        <f>O157</f>
        <v/>
      </c>
      <c r="Q157">
        <f>P157</f>
        <v/>
      </c>
      <c r="R157">
        <f>Q157</f>
        <v/>
      </c>
      <c r="S157">
        <f>R157</f>
        <v/>
      </c>
      <c r="T157">
        <f>S157</f>
        <v/>
      </c>
      <c r="U157">
        <f>T157</f>
        <v/>
      </c>
      <c r="V157">
        <f>U157</f>
        <v/>
      </c>
      <c r="W157">
        <f>V157</f>
        <v/>
      </c>
    </row>
    <row r="158">
      <c r="A158" t="inlineStr">
        <is>
          <t>CIMS.CAN.ON.Petroleum Refining.CCS</t>
        </is>
      </c>
      <c r="B158" t="inlineStr">
        <is>
          <t>Service</t>
        </is>
      </c>
      <c r="C158" t="inlineStr">
        <is>
          <t>ON</t>
        </is>
      </c>
      <c r="D158" t="inlineStr">
        <is>
          <t>Petroleum Refining</t>
        </is>
      </c>
      <c r="E158" t="inlineStr">
        <is>
          <t>CCS</t>
        </is>
      </c>
      <c r="F158" t="inlineStr">
        <is>
          <t>CCS</t>
        </is>
      </c>
      <c r="G158" t="inlineStr">
        <is>
          <t>dcc_progress_ratio_1</t>
        </is>
      </c>
      <c r="L158" t="inlineStr">
        <is>
          <t>%</t>
        </is>
      </c>
      <c r="M158" t="n">
        <v>0.95</v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CIMS.CAN.ON.Industrial Minerals.CCS</t>
        </is>
      </c>
      <c r="B159" t="inlineStr">
        <is>
          <t>Service</t>
        </is>
      </c>
      <c r="C159" t="inlineStr">
        <is>
          <t>ON</t>
        </is>
      </c>
      <c r="D159" t="inlineStr">
        <is>
          <t>Industrial Minerals</t>
        </is>
      </c>
      <c r="E159" t="inlineStr">
        <is>
          <t>CCS</t>
        </is>
      </c>
      <c r="F159" t="inlineStr">
        <is>
          <t>CCS</t>
        </is>
      </c>
      <c r="G159" t="inlineStr">
        <is>
          <t>dcc_class</t>
        </is>
      </c>
      <c r="H159" t="inlineStr">
        <is>
          <t>CCS</t>
        </is>
      </c>
    </row>
    <row r="160">
      <c r="A160" t="inlineStr">
        <is>
          <t>CIMS.CAN.ON.Industrial Minerals.CCS</t>
        </is>
      </c>
      <c r="B160" t="inlineStr">
        <is>
          <t>Service</t>
        </is>
      </c>
      <c r="C160" t="inlineStr">
        <is>
          <t>ON</t>
        </is>
      </c>
      <c r="D160" t="inlineStr">
        <is>
          <t>Industrial Minerals</t>
        </is>
      </c>
      <c r="E160" t="inlineStr">
        <is>
          <t>CCS</t>
        </is>
      </c>
      <c r="F160" t="inlineStr">
        <is>
          <t>CCS</t>
        </is>
      </c>
      <c r="G160" t="inlineStr">
        <is>
          <t>dcc_limit</t>
        </is>
      </c>
      <c r="L160" t="inlineStr">
        <is>
          <t>%</t>
        </is>
      </c>
      <c r="M160" t="n">
        <v>0.85</v>
      </c>
      <c r="N160">
        <f>M160</f>
        <v/>
      </c>
      <c r="O160">
        <f>N160</f>
        <v/>
      </c>
      <c r="P160">
        <f>O160</f>
        <v/>
      </c>
      <c r="Q160">
        <f>P160</f>
        <v/>
      </c>
      <c r="R160">
        <f>Q160</f>
        <v/>
      </c>
      <c r="S160">
        <f>R160</f>
        <v/>
      </c>
      <c r="T160">
        <f>S160</f>
        <v/>
      </c>
      <c r="U160">
        <f>T160</f>
        <v/>
      </c>
      <c r="V160">
        <f>U160</f>
        <v/>
      </c>
      <c r="W160">
        <f>V160</f>
        <v/>
      </c>
    </row>
    <row r="161">
      <c r="A161" t="inlineStr">
        <is>
          <t>CIMS.CAN.ON.Industrial Minerals.CCS</t>
        </is>
      </c>
      <c r="B161" t="inlineStr">
        <is>
          <t>Service</t>
        </is>
      </c>
      <c r="C161" t="inlineStr">
        <is>
          <t>ON</t>
        </is>
      </c>
      <c r="D161" t="inlineStr">
        <is>
          <t>Industrial Minerals</t>
        </is>
      </c>
      <c r="E161" t="inlineStr">
        <is>
          <t>CCS</t>
        </is>
      </c>
      <c r="F161" t="inlineStr">
        <is>
          <t>CCS</t>
        </is>
      </c>
      <c r="G161" t="inlineStr">
        <is>
          <t>dcc_learning_min</t>
        </is>
      </c>
      <c r="L161" t="inlineStr">
        <is>
          <t>%</t>
        </is>
      </c>
      <c r="M161" t="n">
        <v>0.0025</v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CIMS.CAN.ON.Industrial Minerals.CCS</t>
        </is>
      </c>
      <c r="B162" t="inlineStr">
        <is>
          <t>Service</t>
        </is>
      </c>
      <c r="C162" t="inlineStr">
        <is>
          <t>ON</t>
        </is>
      </c>
      <c r="D162" t="inlineStr">
        <is>
          <t>Industrial Minerals</t>
        </is>
      </c>
      <c r="E162" t="inlineStr">
        <is>
          <t>CCS</t>
        </is>
      </c>
      <c r="F162" t="inlineStr">
        <is>
          <t>CCS</t>
        </is>
      </c>
      <c r="G162" t="inlineStr">
        <is>
          <t>dcc_capacity_1</t>
        </is>
      </c>
      <c r="L162" t="inlineStr">
        <is>
          <t>tCO2</t>
        </is>
      </c>
      <c r="M162">
        <f>2861100</f>
        <v/>
      </c>
      <c r="N162">
        <f>M162</f>
        <v/>
      </c>
      <c r="O162">
        <f>N162</f>
        <v/>
      </c>
      <c r="P162">
        <f>O162</f>
        <v/>
      </c>
      <c r="Q162">
        <f>P162</f>
        <v/>
      </c>
      <c r="R162">
        <f>Q162</f>
        <v/>
      </c>
      <c r="S162">
        <f>R162</f>
        <v/>
      </c>
      <c r="T162">
        <f>S162</f>
        <v/>
      </c>
      <c r="U162">
        <f>T162</f>
        <v/>
      </c>
      <c r="V162">
        <f>U162</f>
        <v/>
      </c>
      <c r="W162">
        <f>V162</f>
        <v/>
      </c>
    </row>
    <row r="163">
      <c r="A163" t="inlineStr">
        <is>
          <t>CIMS.CAN.ON.Industrial Minerals.CCS</t>
        </is>
      </c>
      <c r="B163" t="inlineStr">
        <is>
          <t>Service</t>
        </is>
      </c>
      <c r="C163" t="inlineStr">
        <is>
          <t>ON</t>
        </is>
      </c>
      <c r="D163" t="inlineStr">
        <is>
          <t>Industrial Minerals</t>
        </is>
      </c>
      <c r="E163" t="inlineStr">
        <is>
          <t>CCS</t>
        </is>
      </c>
      <c r="F163" t="inlineStr">
        <is>
          <t>CCS</t>
        </is>
      </c>
      <c r="G163" t="inlineStr">
        <is>
          <t>dcc_progress_ratio_1</t>
        </is>
      </c>
      <c r="L163" t="inlineStr">
        <is>
          <t>%</t>
        </is>
      </c>
      <c r="M163" t="n">
        <v>0.95</v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CIMS.CAN.ON.Iron and Steel.CCS</t>
        </is>
      </c>
      <c r="B164" t="inlineStr">
        <is>
          <t>Service</t>
        </is>
      </c>
      <c r="C164" t="inlineStr">
        <is>
          <t>ON</t>
        </is>
      </c>
      <c r="D164" t="inlineStr">
        <is>
          <t>Iron and Steel</t>
        </is>
      </c>
      <c r="E164" t="inlineStr">
        <is>
          <t>CCS</t>
        </is>
      </c>
      <c r="F164" t="inlineStr">
        <is>
          <t>CCS</t>
        </is>
      </c>
      <c r="G164" t="inlineStr">
        <is>
          <t>dcc_class</t>
        </is>
      </c>
      <c r="H164" t="inlineStr">
        <is>
          <t>CCS</t>
        </is>
      </c>
    </row>
    <row r="165">
      <c r="A165" t="inlineStr">
        <is>
          <t>CIMS.CAN.ON.Iron and Steel.CCS</t>
        </is>
      </c>
      <c r="B165" t="inlineStr">
        <is>
          <t>Service</t>
        </is>
      </c>
      <c r="C165" t="inlineStr">
        <is>
          <t>ON</t>
        </is>
      </c>
      <c r="D165" t="inlineStr">
        <is>
          <t>Iron and Steel</t>
        </is>
      </c>
      <c r="E165" t="inlineStr">
        <is>
          <t>CCS</t>
        </is>
      </c>
      <c r="F165" t="inlineStr">
        <is>
          <t>CCS</t>
        </is>
      </c>
      <c r="G165" t="inlineStr">
        <is>
          <t>dcc_limit</t>
        </is>
      </c>
      <c r="L165" t="inlineStr">
        <is>
          <t>%</t>
        </is>
      </c>
      <c r="M165" t="n">
        <v>0.85</v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CIMS.CAN.ON.Iron and Steel.CCS</t>
        </is>
      </c>
      <c r="B166" t="inlineStr">
        <is>
          <t>Service</t>
        </is>
      </c>
      <c r="C166" t="inlineStr">
        <is>
          <t>ON</t>
        </is>
      </c>
      <c r="D166" t="inlineStr">
        <is>
          <t>Iron and Steel</t>
        </is>
      </c>
      <c r="E166" t="inlineStr">
        <is>
          <t>CCS</t>
        </is>
      </c>
      <c r="F166" t="inlineStr">
        <is>
          <t>CCS</t>
        </is>
      </c>
      <c r="G166" t="inlineStr">
        <is>
          <t>dcc_learning_min</t>
        </is>
      </c>
      <c r="L166" t="inlineStr">
        <is>
          <t>%</t>
        </is>
      </c>
      <c r="M166" t="n">
        <v>0.0025</v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CIMS.CAN.ON.Iron and Steel.CCS</t>
        </is>
      </c>
      <c r="B167" t="inlineStr">
        <is>
          <t>Service</t>
        </is>
      </c>
      <c r="C167" t="inlineStr">
        <is>
          <t>ON</t>
        </is>
      </c>
      <c r="D167" t="inlineStr">
        <is>
          <t>Iron and Steel</t>
        </is>
      </c>
      <c r="E167" t="inlineStr">
        <is>
          <t>CCS</t>
        </is>
      </c>
      <c r="F167" t="inlineStr">
        <is>
          <t>CCS</t>
        </is>
      </c>
      <c r="G167" t="inlineStr">
        <is>
          <t>dcc_capacity_1</t>
        </is>
      </c>
      <c r="L167" t="inlineStr">
        <is>
          <t>tCO2</t>
        </is>
      </c>
      <c r="M167">
        <f>2861100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CIMS.CAN.ON.Iron and Steel.CCS</t>
        </is>
      </c>
      <c r="B168" t="inlineStr">
        <is>
          <t>Service</t>
        </is>
      </c>
      <c r="C168" t="inlineStr">
        <is>
          <t>ON</t>
        </is>
      </c>
      <c r="D168" t="inlineStr">
        <is>
          <t>Iron and Steel</t>
        </is>
      </c>
      <c r="E168" t="inlineStr">
        <is>
          <t>CCS</t>
        </is>
      </c>
      <c r="F168" t="inlineStr">
        <is>
          <t>CCS</t>
        </is>
      </c>
      <c r="G168" t="inlineStr">
        <is>
          <t>dcc_progress_ratio_1</t>
        </is>
      </c>
      <c r="L168" t="inlineStr">
        <is>
          <t>%</t>
        </is>
      </c>
      <c r="M168" t="n">
        <v>0.95</v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CIMS.CAN.ON.Residential.Dwellings.Building Type.High Density.Vintage.&lt;1960 Bldg Code.Heating (Cold)</t>
        </is>
      </c>
      <c r="B169" t="inlineStr">
        <is>
          <t>Sector</t>
        </is>
      </c>
      <c r="C169" t="inlineStr">
        <is>
          <t>ON</t>
        </is>
      </c>
      <c r="D169" t="inlineStr">
        <is>
          <t>Residential</t>
        </is>
      </c>
      <c r="E169" t="inlineStr">
        <is>
          <t>Heating (Cold)</t>
        </is>
      </c>
      <c r="F169" t="inlineStr">
        <is>
          <t>Electric - ASHP / NG - backup</t>
        </is>
      </c>
      <c r="G169" t="inlineStr">
        <is>
          <t>dcc_class</t>
        </is>
      </c>
      <c r="H169" t="inlineStr">
        <is>
          <t>Heat pump</t>
        </is>
      </c>
    </row>
    <row r="170">
      <c r="A170" t="inlineStr">
        <is>
          <t>CIMS.CAN.ON.Residential.Dwellings.Building Type.High Density.Vintage.&lt;1960 Bldg Code.Heating (Cold)</t>
        </is>
      </c>
      <c r="B170" t="inlineStr">
        <is>
          <t>Sector</t>
        </is>
      </c>
      <c r="C170" t="inlineStr">
        <is>
          <t>ON</t>
        </is>
      </c>
      <c r="D170" t="inlineStr">
        <is>
          <t>Residential</t>
        </is>
      </c>
      <c r="E170" t="inlineStr">
        <is>
          <t>Heating (Cold)</t>
        </is>
      </c>
      <c r="F170" t="inlineStr">
        <is>
          <t>Electric - ASHP / Electric - backup</t>
        </is>
      </c>
      <c r="G170" t="inlineStr">
        <is>
          <t>dcc_class</t>
        </is>
      </c>
      <c r="H170" t="inlineStr">
        <is>
          <t>Heat pump</t>
        </is>
      </c>
    </row>
    <row r="171">
      <c r="A171" t="inlineStr">
        <is>
          <t>CIMS.CAN.ON.Residential.Dwellings.Building Type.High Density.Vintage.1961-1980 Bldg Code.Heating (Cold)</t>
        </is>
      </c>
      <c r="B171" t="inlineStr">
        <is>
          <t>Sector</t>
        </is>
      </c>
      <c r="C171" t="inlineStr">
        <is>
          <t>ON</t>
        </is>
      </c>
      <c r="D171" t="inlineStr">
        <is>
          <t>Residential</t>
        </is>
      </c>
      <c r="E171" t="inlineStr">
        <is>
          <t>Heating (Cold)</t>
        </is>
      </c>
      <c r="F171" t="inlineStr">
        <is>
          <t>Electric - ASHP / NG - backup</t>
        </is>
      </c>
      <c r="G171" t="inlineStr">
        <is>
          <t>dcc_class</t>
        </is>
      </c>
      <c r="H171" t="inlineStr">
        <is>
          <t>Heat pump</t>
        </is>
      </c>
    </row>
    <row r="172">
      <c r="A172" t="inlineStr">
        <is>
          <t>CIMS.CAN.ON.Residential.Dwellings.Building Type.High Density.Vintage.1961-1980 Bldg Code.Heating (Cold)</t>
        </is>
      </c>
      <c r="B172" t="inlineStr">
        <is>
          <t>Sector</t>
        </is>
      </c>
      <c r="C172" t="inlineStr">
        <is>
          <t>ON</t>
        </is>
      </c>
      <c r="D172" t="inlineStr">
        <is>
          <t>Residential</t>
        </is>
      </c>
      <c r="E172" t="inlineStr">
        <is>
          <t>Heating (Cold)</t>
        </is>
      </c>
      <c r="F172" t="inlineStr">
        <is>
          <t>Electric - ASHP / Electric - backup</t>
        </is>
      </c>
      <c r="G172" t="inlineStr">
        <is>
          <t>dcc_class</t>
        </is>
      </c>
      <c r="H172" t="inlineStr">
        <is>
          <t>Heat pump</t>
        </is>
      </c>
    </row>
    <row r="173">
      <c r="A173" t="inlineStr">
        <is>
          <t>CIMS.CAN.ON.Residential.Dwellings.Building Type.High Density.Vintage.1981-2000 Bldg Code.Heating (Cold)</t>
        </is>
      </c>
      <c r="B173" t="inlineStr">
        <is>
          <t>Sector</t>
        </is>
      </c>
      <c r="C173" t="inlineStr">
        <is>
          <t>ON</t>
        </is>
      </c>
      <c r="D173" t="inlineStr">
        <is>
          <t>Residential</t>
        </is>
      </c>
      <c r="E173" t="inlineStr">
        <is>
          <t>Heating (Cold)</t>
        </is>
      </c>
      <c r="F173" t="inlineStr">
        <is>
          <t>Electric - ASHP / NG - backup</t>
        </is>
      </c>
      <c r="G173" t="inlineStr">
        <is>
          <t>dcc_class</t>
        </is>
      </c>
      <c r="H173" t="inlineStr">
        <is>
          <t>Heat pump</t>
        </is>
      </c>
    </row>
    <row r="174">
      <c r="A174" t="inlineStr">
        <is>
          <t>CIMS.CAN.ON.Residential.Dwellings.Building Type.High Density.Vintage.1981-2000 Bldg Code.Heating (Cold)</t>
        </is>
      </c>
      <c r="B174" t="inlineStr">
        <is>
          <t>Sector</t>
        </is>
      </c>
      <c r="C174" t="inlineStr">
        <is>
          <t>ON</t>
        </is>
      </c>
      <c r="D174" t="inlineStr">
        <is>
          <t>Residential</t>
        </is>
      </c>
      <c r="E174" t="inlineStr">
        <is>
          <t>Heating (Cold)</t>
        </is>
      </c>
      <c r="F174" t="inlineStr">
        <is>
          <t>Electric - ASHP / Electric - backup</t>
        </is>
      </c>
      <c r="G174" t="inlineStr">
        <is>
          <t>dcc_class</t>
        </is>
      </c>
      <c r="H174" t="inlineStr">
        <is>
          <t>Heat pump</t>
        </is>
      </c>
    </row>
    <row r="175">
      <c r="A175" t="inlineStr">
        <is>
          <t>CIMS.CAN.ON.Residential.Dwellings.Building Type.High Density.Vintage.2001-2020 Bldg Code.Heating (Cold)</t>
        </is>
      </c>
      <c r="B175" t="inlineStr">
        <is>
          <t>Sector</t>
        </is>
      </c>
      <c r="C175" t="inlineStr">
        <is>
          <t>ON</t>
        </is>
      </c>
      <c r="D175" t="inlineStr">
        <is>
          <t>Residential</t>
        </is>
      </c>
      <c r="E175" t="inlineStr">
        <is>
          <t>Heating (Cold)</t>
        </is>
      </c>
      <c r="F175" t="inlineStr">
        <is>
          <t>Electric - ASHP / NG - backup</t>
        </is>
      </c>
      <c r="G175" t="inlineStr">
        <is>
          <t>dcc_class</t>
        </is>
      </c>
      <c r="H175" t="inlineStr">
        <is>
          <t>Heat pump</t>
        </is>
      </c>
    </row>
    <row r="176">
      <c r="A176" t="inlineStr">
        <is>
          <t>CIMS.CAN.ON.Residential.Dwellings.Building Type.High Density.Vintage.2001-2020 Bldg Code.Heating (Cold)</t>
        </is>
      </c>
      <c r="B176" t="inlineStr">
        <is>
          <t>Sector</t>
        </is>
      </c>
      <c r="C176" t="inlineStr">
        <is>
          <t>ON</t>
        </is>
      </c>
      <c r="D176" t="inlineStr">
        <is>
          <t>Residential</t>
        </is>
      </c>
      <c r="E176" t="inlineStr">
        <is>
          <t>Heating (Cold)</t>
        </is>
      </c>
      <c r="F176" t="inlineStr">
        <is>
          <t>Electric - ASHP / Electric - backup</t>
        </is>
      </c>
      <c r="G176" t="inlineStr">
        <is>
          <t>dcc_class</t>
        </is>
      </c>
      <c r="H176" t="inlineStr">
        <is>
          <t>Heat pump</t>
        </is>
      </c>
    </row>
    <row r="177">
      <c r="A177" t="inlineStr">
        <is>
          <t>CIMS.CAN.ON.Residential.Dwellings.Building Type.High Density.Vintage.2001-2020 Bldg Code.Heating (Cold)</t>
        </is>
      </c>
      <c r="B177" t="inlineStr">
        <is>
          <t>Sector</t>
        </is>
      </c>
      <c r="C177" t="inlineStr">
        <is>
          <t>ON</t>
        </is>
      </c>
      <c r="D177" t="inlineStr">
        <is>
          <t>Residential</t>
        </is>
      </c>
      <c r="E177" t="inlineStr">
        <is>
          <t>Heating (Cold)</t>
        </is>
      </c>
      <c r="F177" t="inlineStr">
        <is>
          <t>Electric - GSHP</t>
        </is>
      </c>
      <c r="G177" t="inlineStr">
        <is>
          <t>dcc_class</t>
        </is>
      </c>
      <c r="H177" t="inlineStr">
        <is>
          <t>Heat pump</t>
        </is>
      </c>
    </row>
    <row r="178">
      <c r="A178" t="inlineStr">
        <is>
          <t>CIMS.CAN.ON.Residential.Dwellings.Building Type.High Density.Vintage.2021-2035 Bldg Code.Heating (Cold)</t>
        </is>
      </c>
      <c r="B178" t="inlineStr">
        <is>
          <t>Sector</t>
        </is>
      </c>
      <c r="C178" t="inlineStr">
        <is>
          <t>ON</t>
        </is>
      </c>
      <c r="D178" t="inlineStr">
        <is>
          <t>Residential</t>
        </is>
      </c>
      <c r="E178" t="inlineStr">
        <is>
          <t>Heating (Cold)</t>
        </is>
      </c>
      <c r="F178" t="inlineStr">
        <is>
          <t>Electric - ASHP / NG - backup</t>
        </is>
      </c>
      <c r="G178" t="inlineStr">
        <is>
          <t>dcc_class</t>
        </is>
      </c>
      <c r="H178" t="inlineStr">
        <is>
          <t>Heat pump</t>
        </is>
      </c>
    </row>
    <row r="179">
      <c r="A179" t="inlineStr">
        <is>
          <t>CIMS.CAN.ON.Residential.Dwellings.Building Type.High Density.Vintage.2021-2035 Bldg Code.Heating (Cold)</t>
        </is>
      </c>
      <c r="B179" t="inlineStr">
        <is>
          <t>Sector</t>
        </is>
      </c>
      <c r="C179" t="inlineStr">
        <is>
          <t>ON</t>
        </is>
      </c>
      <c r="D179" t="inlineStr">
        <is>
          <t>Residential</t>
        </is>
      </c>
      <c r="E179" t="inlineStr">
        <is>
          <t>Heating (Cold)</t>
        </is>
      </c>
      <c r="F179" t="inlineStr">
        <is>
          <t>Electric - ASHP / Electric - backup</t>
        </is>
      </c>
      <c r="G179" t="inlineStr">
        <is>
          <t>dcc_class</t>
        </is>
      </c>
      <c r="H179" t="inlineStr">
        <is>
          <t>Heat pump</t>
        </is>
      </c>
    </row>
    <row r="180">
      <c r="A180" t="inlineStr">
        <is>
          <t>CIMS.CAN.ON.Residential.Dwellings.Building Type.High Density.Vintage.2021-2035 Bldg Code.Heating (Cold)</t>
        </is>
      </c>
      <c r="B180" t="inlineStr">
        <is>
          <t>Sector</t>
        </is>
      </c>
      <c r="C180" t="inlineStr">
        <is>
          <t>ON</t>
        </is>
      </c>
      <c r="D180" t="inlineStr">
        <is>
          <t>Residential</t>
        </is>
      </c>
      <c r="E180" t="inlineStr">
        <is>
          <t>Heating (Cold)</t>
        </is>
      </c>
      <c r="F180" t="inlineStr">
        <is>
          <t>Electric - GSHP</t>
        </is>
      </c>
      <c r="G180" t="inlineStr">
        <is>
          <t>dcc_class</t>
        </is>
      </c>
      <c r="H180" t="inlineStr">
        <is>
          <t>Heat pump</t>
        </is>
      </c>
    </row>
    <row r="181">
      <c r="A181" t="inlineStr">
        <is>
          <t>CIMS.CAN.ON.Residential.Dwellings.Building Type.High Density.Vintage.&gt;2035 Bldg Code.Heating (Cold)</t>
        </is>
      </c>
      <c r="B181" t="inlineStr">
        <is>
          <t>Sector</t>
        </is>
      </c>
      <c r="C181" t="inlineStr">
        <is>
          <t>ON</t>
        </is>
      </c>
      <c r="D181" t="inlineStr">
        <is>
          <t>Residential</t>
        </is>
      </c>
      <c r="E181" t="inlineStr">
        <is>
          <t>Heating (Cold)</t>
        </is>
      </c>
      <c r="F181" t="inlineStr">
        <is>
          <t>Electric - ASHP / NG - backup</t>
        </is>
      </c>
      <c r="G181" t="inlineStr">
        <is>
          <t>dcc_class</t>
        </is>
      </c>
      <c r="H181" t="inlineStr">
        <is>
          <t>Heat pump</t>
        </is>
      </c>
    </row>
    <row r="182">
      <c r="A182" t="inlineStr">
        <is>
          <t>CIMS.CAN.ON.Residential.Dwellings.Building Type.High Density.Vintage.&gt;2035 Bldg Code.Heating (Cold)</t>
        </is>
      </c>
      <c r="B182" t="inlineStr">
        <is>
          <t>Sector</t>
        </is>
      </c>
      <c r="C182" t="inlineStr">
        <is>
          <t>ON</t>
        </is>
      </c>
      <c r="D182" t="inlineStr">
        <is>
          <t>Residential</t>
        </is>
      </c>
      <c r="E182" t="inlineStr">
        <is>
          <t>Heating (Cold)</t>
        </is>
      </c>
      <c r="F182" t="inlineStr">
        <is>
          <t>Electric - ASHP / Electric - backup</t>
        </is>
      </c>
      <c r="G182" t="inlineStr">
        <is>
          <t>dcc_class</t>
        </is>
      </c>
      <c r="H182" t="inlineStr">
        <is>
          <t>Heat pump</t>
        </is>
      </c>
    </row>
    <row r="183">
      <c r="A183" t="inlineStr">
        <is>
          <t>CIMS.CAN.ON.Residential.Dwellings.Building Type.High Density.Vintage.&gt;2035 Bldg Code.Heating (Cold)</t>
        </is>
      </c>
      <c r="B183" t="inlineStr">
        <is>
          <t>Sector</t>
        </is>
      </c>
      <c r="C183" t="inlineStr">
        <is>
          <t>ON</t>
        </is>
      </c>
      <c r="D183" t="inlineStr">
        <is>
          <t>Residential</t>
        </is>
      </c>
      <c r="E183" t="inlineStr">
        <is>
          <t>Heating (Cold)</t>
        </is>
      </c>
      <c r="F183" t="inlineStr">
        <is>
          <t>Electric - GSHP</t>
        </is>
      </c>
      <c r="G183" t="inlineStr">
        <is>
          <t>dcc_class</t>
        </is>
      </c>
      <c r="H183" t="inlineStr">
        <is>
          <t>Heat pump</t>
        </is>
      </c>
    </row>
    <row r="184">
      <c r="A184" t="inlineStr">
        <is>
          <t>CIMS.CAN.ON.Residential.Dwellings.Building Type.LowMed Density.Vintage.&lt;1960 Bldg Code.Heating (Cold)</t>
        </is>
      </c>
      <c r="B184" t="inlineStr">
        <is>
          <t>Sector</t>
        </is>
      </c>
      <c r="C184" t="inlineStr">
        <is>
          <t>ON</t>
        </is>
      </c>
      <c r="D184" t="inlineStr">
        <is>
          <t>Residential</t>
        </is>
      </c>
      <c r="E184" t="inlineStr">
        <is>
          <t>Heating (Cold)</t>
        </is>
      </c>
      <c r="F184" t="inlineStr">
        <is>
          <t>Electric - ASHP / NG - backup</t>
        </is>
      </c>
      <c r="G184" t="inlineStr">
        <is>
          <t>dcc_class</t>
        </is>
      </c>
      <c r="H184" t="inlineStr">
        <is>
          <t>Heat pump</t>
        </is>
      </c>
    </row>
    <row r="185">
      <c r="A185" t="inlineStr">
        <is>
          <t>CIMS.CAN.ON.Residential.Dwellings.Building Type.LowMed Density.Vintage.&lt;1960 Bldg Code.Heating (Cold)</t>
        </is>
      </c>
      <c r="B185" t="inlineStr">
        <is>
          <t>Sector</t>
        </is>
      </c>
      <c r="C185" t="inlineStr">
        <is>
          <t>ON</t>
        </is>
      </c>
      <c r="D185" t="inlineStr">
        <is>
          <t>Residential</t>
        </is>
      </c>
      <c r="E185" t="inlineStr">
        <is>
          <t>Heating (Cold)</t>
        </is>
      </c>
      <c r="F185" t="inlineStr">
        <is>
          <t>Electric - ASHP / Electric - backup</t>
        </is>
      </c>
      <c r="G185" t="inlineStr">
        <is>
          <t>dcc_class</t>
        </is>
      </c>
      <c r="H185" t="inlineStr">
        <is>
          <t>Heat pump</t>
        </is>
      </c>
    </row>
    <row r="186">
      <c r="A186" t="inlineStr">
        <is>
          <t>CIMS.CAN.ON.Residential.Dwellings.Building Type.LowMed Density.Vintage.1961-1980 Bldg Code.Heating (Cold)</t>
        </is>
      </c>
      <c r="B186" t="inlineStr">
        <is>
          <t>Sector</t>
        </is>
      </c>
      <c r="C186" t="inlineStr">
        <is>
          <t>ON</t>
        </is>
      </c>
      <c r="D186" t="inlineStr">
        <is>
          <t>Residential</t>
        </is>
      </c>
      <c r="E186" t="inlineStr">
        <is>
          <t>Heating (Cold)</t>
        </is>
      </c>
      <c r="F186" t="inlineStr">
        <is>
          <t>Electric - ASHP / NG - backup</t>
        </is>
      </c>
      <c r="G186" t="inlineStr">
        <is>
          <t>dcc_class</t>
        </is>
      </c>
      <c r="H186" t="inlineStr">
        <is>
          <t>Heat pump</t>
        </is>
      </c>
    </row>
    <row r="187">
      <c r="A187" t="inlineStr">
        <is>
          <t>CIMS.CAN.ON.Residential.Dwellings.Building Type.LowMed Density.Vintage.1961-1980 Bldg Code.Heating (Cold)</t>
        </is>
      </c>
      <c r="B187" t="inlineStr">
        <is>
          <t>Sector</t>
        </is>
      </c>
      <c r="C187" t="inlineStr">
        <is>
          <t>ON</t>
        </is>
      </c>
      <c r="D187" t="inlineStr">
        <is>
          <t>Residential</t>
        </is>
      </c>
      <c r="E187" t="inlineStr">
        <is>
          <t>Heating (Cold)</t>
        </is>
      </c>
      <c r="F187" t="inlineStr">
        <is>
          <t>Electric - ASHP / Electric - backup</t>
        </is>
      </c>
      <c r="G187" t="inlineStr">
        <is>
          <t>dcc_class</t>
        </is>
      </c>
      <c r="H187" t="inlineStr">
        <is>
          <t>Heat pump</t>
        </is>
      </c>
    </row>
    <row r="188">
      <c r="A188" t="inlineStr">
        <is>
          <t>CIMS.CAN.ON.Residential.Dwellings.Building Type.LowMed Density.Vintage.1981-2000 Bldg Code.Heating (Cold)</t>
        </is>
      </c>
      <c r="B188" t="inlineStr">
        <is>
          <t>Sector</t>
        </is>
      </c>
      <c r="C188" t="inlineStr">
        <is>
          <t>ON</t>
        </is>
      </c>
      <c r="D188" t="inlineStr">
        <is>
          <t>Residential</t>
        </is>
      </c>
      <c r="E188" t="inlineStr">
        <is>
          <t>Heating (Cold)</t>
        </is>
      </c>
      <c r="F188" t="inlineStr">
        <is>
          <t>Electric - ASHP / NG - backup</t>
        </is>
      </c>
      <c r="G188" t="inlineStr">
        <is>
          <t>dcc_class</t>
        </is>
      </c>
      <c r="H188" t="inlineStr">
        <is>
          <t>Heat pump</t>
        </is>
      </c>
    </row>
    <row r="189">
      <c r="A189" t="inlineStr">
        <is>
          <t>CIMS.CAN.ON.Residential.Dwellings.Building Type.LowMed Density.Vintage.1981-2000 Bldg Code.Heating (Cold)</t>
        </is>
      </c>
      <c r="B189" t="inlineStr">
        <is>
          <t>Sector</t>
        </is>
      </c>
      <c r="C189" t="inlineStr">
        <is>
          <t>ON</t>
        </is>
      </c>
      <c r="D189" t="inlineStr">
        <is>
          <t>Residential</t>
        </is>
      </c>
      <c r="E189" t="inlineStr">
        <is>
          <t>Heating (Cold)</t>
        </is>
      </c>
      <c r="F189" t="inlineStr">
        <is>
          <t>Electric - ASHP / Electric - backup</t>
        </is>
      </c>
      <c r="G189" t="inlineStr">
        <is>
          <t>dcc_class</t>
        </is>
      </c>
      <c r="H189" t="inlineStr">
        <is>
          <t>Heat pump</t>
        </is>
      </c>
    </row>
    <row r="190">
      <c r="A190" t="inlineStr">
        <is>
          <t>CIMS.CAN.ON.Residential.Dwellings.Building Type.LowMed Density.Vintage.2001-2020 Bldg Code.Heating (Cold)</t>
        </is>
      </c>
      <c r="B190" t="inlineStr">
        <is>
          <t>Sector</t>
        </is>
      </c>
      <c r="C190" t="inlineStr">
        <is>
          <t>ON</t>
        </is>
      </c>
      <c r="D190" t="inlineStr">
        <is>
          <t>Residential</t>
        </is>
      </c>
      <c r="E190" t="inlineStr">
        <is>
          <t>Heating (Cold)</t>
        </is>
      </c>
      <c r="F190" t="inlineStr">
        <is>
          <t>Electric - ASHP / NG - backup</t>
        </is>
      </c>
      <c r="G190" t="inlineStr">
        <is>
          <t>dcc_class</t>
        </is>
      </c>
      <c r="H190" t="inlineStr">
        <is>
          <t>Heat pump</t>
        </is>
      </c>
    </row>
    <row r="191">
      <c r="A191" t="inlineStr">
        <is>
          <t>CIMS.CAN.ON.Residential.Dwellings.Building Type.LowMed Density.Vintage.2001-2020 Bldg Code.Heating (Cold)</t>
        </is>
      </c>
      <c r="B191" t="inlineStr">
        <is>
          <t>Sector</t>
        </is>
      </c>
      <c r="C191" t="inlineStr">
        <is>
          <t>ON</t>
        </is>
      </c>
      <c r="D191" t="inlineStr">
        <is>
          <t>Residential</t>
        </is>
      </c>
      <c r="E191" t="inlineStr">
        <is>
          <t>Heating (Cold)</t>
        </is>
      </c>
      <c r="F191" t="inlineStr">
        <is>
          <t>Electric - ASHP / Electric - backup</t>
        </is>
      </c>
      <c r="G191" t="inlineStr">
        <is>
          <t>dcc_class</t>
        </is>
      </c>
      <c r="H191" t="inlineStr">
        <is>
          <t>Heat pump</t>
        </is>
      </c>
    </row>
    <row r="192">
      <c r="A192" t="inlineStr">
        <is>
          <t>CIMS.CAN.ON.Residential.Dwellings.Building Type.LowMed Density.Vintage.2021-2035 Bldg Code.Heating (Cold)</t>
        </is>
      </c>
      <c r="B192" t="inlineStr">
        <is>
          <t>Sector</t>
        </is>
      </c>
      <c r="C192" t="inlineStr">
        <is>
          <t>ON</t>
        </is>
      </c>
      <c r="D192" t="inlineStr">
        <is>
          <t>Residential</t>
        </is>
      </c>
      <c r="E192" t="inlineStr">
        <is>
          <t>Heating (Cold)</t>
        </is>
      </c>
      <c r="F192" t="inlineStr">
        <is>
          <t>Electric - ASHP / NG - backup</t>
        </is>
      </c>
      <c r="G192" t="inlineStr">
        <is>
          <t>dcc_class</t>
        </is>
      </c>
      <c r="H192" t="inlineStr">
        <is>
          <t>Heat pump</t>
        </is>
      </c>
    </row>
    <row r="193">
      <c r="A193" t="inlineStr">
        <is>
          <t>CIMS.CAN.ON.Residential.Dwellings.Building Type.LowMed Density.Vintage.2021-2035 Bldg Code.Heating (Cold)</t>
        </is>
      </c>
      <c r="B193" t="inlineStr">
        <is>
          <t>Sector</t>
        </is>
      </c>
      <c r="C193" t="inlineStr">
        <is>
          <t>ON</t>
        </is>
      </c>
      <c r="D193" t="inlineStr">
        <is>
          <t>Residential</t>
        </is>
      </c>
      <c r="E193" t="inlineStr">
        <is>
          <t>Heating (Cold)</t>
        </is>
      </c>
      <c r="F193" t="inlineStr">
        <is>
          <t>Electric - ASHP / Electric - backup</t>
        </is>
      </c>
      <c r="G193" t="inlineStr">
        <is>
          <t>dcc_class</t>
        </is>
      </c>
      <c r="H193" t="inlineStr">
        <is>
          <t>Heat pump</t>
        </is>
      </c>
    </row>
    <row r="194">
      <c r="A194" t="inlineStr">
        <is>
          <t>CIMS.CAN.ON.Residential.Dwellings.Building Type.LowMed Density.Vintage.&gt;2035 Bldg Code.Heating (Cold)</t>
        </is>
      </c>
      <c r="B194" t="inlineStr">
        <is>
          <t>Sector</t>
        </is>
      </c>
      <c r="C194" t="inlineStr">
        <is>
          <t>ON</t>
        </is>
      </c>
      <c r="D194" t="inlineStr">
        <is>
          <t>Residential</t>
        </is>
      </c>
      <c r="E194" t="inlineStr">
        <is>
          <t>Heating (Cold)</t>
        </is>
      </c>
      <c r="F194" t="inlineStr">
        <is>
          <t>Electric - ASHP / NG - backup</t>
        </is>
      </c>
      <c r="G194" t="inlineStr">
        <is>
          <t>dcc_class</t>
        </is>
      </c>
      <c r="H194" t="inlineStr">
        <is>
          <t>Heat pump</t>
        </is>
      </c>
    </row>
    <row r="195">
      <c r="A195" t="inlineStr">
        <is>
          <t>CIMS.CAN.ON.Residential.Dwellings.Building Type.LowMed Density.Vintage.&gt;2035 Bldg Code.Heating (Cold)</t>
        </is>
      </c>
      <c r="B195" t="inlineStr">
        <is>
          <t>Sector</t>
        </is>
      </c>
      <c r="C195" t="inlineStr">
        <is>
          <t>ON</t>
        </is>
      </c>
      <c r="D195" t="inlineStr">
        <is>
          <t>Residential</t>
        </is>
      </c>
      <c r="E195" t="inlineStr">
        <is>
          <t>Heating (Cold)</t>
        </is>
      </c>
      <c r="F195" t="inlineStr">
        <is>
          <t>Electric - ASHP / Electric - backup</t>
        </is>
      </c>
      <c r="G195" t="inlineStr">
        <is>
          <t>dcc_class</t>
        </is>
      </c>
      <c r="H195" t="inlineStr">
        <is>
          <t>Heat pump</t>
        </is>
      </c>
    </row>
    <row r="196">
      <c r="A196" t="inlineStr">
        <is>
          <t>CIMS.CAN.ON.Residential.Dwellings.Building Type.High Density.Vintage.&lt;1960 Bldg Code.Heating (Cold)</t>
        </is>
      </c>
      <c r="B196" t="inlineStr">
        <is>
          <t>Sector</t>
        </is>
      </c>
      <c r="C196" t="inlineStr">
        <is>
          <t>ON</t>
        </is>
      </c>
      <c r="D196" t="inlineStr">
        <is>
          <t>Residential</t>
        </is>
      </c>
      <c r="E196" t="inlineStr">
        <is>
          <t>Heating (Cold)</t>
        </is>
      </c>
      <c r="F196" t="inlineStr">
        <is>
          <t>Electric - ASHP / NG - backup</t>
        </is>
      </c>
      <c r="G196" t="inlineStr">
        <is>
          <t>dcc_limit</t>
        </is>
      </c>
      <c r="M196" t="n">
        <v>0.4</v>
      </c>
      <c r="N196" t="n">
        <v>0.4</v>
      </c>
      <c r="O196" t="n">
        <v>0.4</v>
      </c>
      <c r="P196" t="n">
        <v>0.4</v>
      </c>
      <c r="Q196" t="n">
        <v>0.4</v>
      </c>
      <c r="R196" t="n">
        <v>0.4</v>
      </c>
      <c r="S196" t="n">
        <v>0.4</v>
      </c>
      <c r="T196" t="n">
        <v>0.4</v>
      </c>
      <c r="U196" t="n">
        <v>0.4</v>
      </c>
      <c r="V196" t="n">
        <v>0.4</v>
      </c>
      <c r="W196" t="n">
        <v>0.4</v>
      </c>
    </row>
    <row r="197">
      <c r="A197" t="inlineStr">
        <is>
          <t>CIMS.CAN.ON.Residential.Dwellings.Building Type.High Density.Vintage.&lt;1960 Bldg Code.Heating (Cold)</t>
        </is>
      </c>
      <c r="B197" t="inlineStr">
        <is>
          <t>Sector</t>
        </is>
      </c>
      <c r="C197" t="inlineStr">
        <is>
          <t>ON</t>
        </is>
      </c>
      <c r="D197" t="inlineStr">
        <is>
          <t>Residential</t>
        </is>
      </c>
      <c r="E197" t="inlineStr">
        <is>
          <t>Heating (Cold)</t>
        </is>
      </c>
      <c r="F197" t="inlineStr">
        <is>
          <t>Electric - ASHP / Electric - backup</t>
        </is>
      </c>
      <c r="G197" t="inlineStr">
        <is>
          <t>dcc_limit</t>
        </is>
      </c>
      <c r="M197" t="n">
        <v>0.4</v>
      </c>
      <c r="N197" t="n">
        <v>0.4</v>
      </c>
      <c r="O197" t="n">
        <v>0.4</v>
      </c>
      <c r="P197" t="n">
        <v>0.4</v>
      </c>
      <c r="Q197" t="n">
        <v>0.4</v>
      </c>
      <c r="R197" t="n">
        <v>0.4</v>
      </c>
      <c r="S197" t="n">
        <v>0.4</v>
      </c>
      <c r="T197" t="n">
        <v>0.4</v>
      </c>
      <c r="U197" t="n">
        <v>0.4</v>
      </c>
      <c r="V197" t="n">
        <v>0.4</v>
      </c>
      <c r="W197" t="n">
        <v>0.4</v>
      </c>
    </row>
    <row r="198">
      <c r="A198" t="inlineStr">
        <is>
          <t>CIMS.CAN.ON.Residential.Dwellings.Building Type.High Density.Vintage.1961-1980 Bldg Code.Heating (Cold)</t>
        </is>
      </c>
      <c r="B198" t="inlineStr">
        <is>
          <t>Sector</t>
        </is>
      </c>
      <c r="C198" t="inlineStr">
        <is>
          <t>ON</t>
        </is>
      </c>
      <c r="D198" t="inlineStr">
        <is>
          <t>Residential</t>
        </is>
      </c>
      <c r="E198" t="inlineStr">
        <is>
          <t>Heating (Cold)</t>
        </is>
      </c>
      <c r="F198" t="inlineStr">
        <is>
          <t>Electric - ASHP / NG - backup</t>
        </is>
      </c>
      <c r="G198" t="inlineStr">
        <is>
          <t>dcc_limit</t>
        </is>
      </c>
      <c r="M198" t="n">
        <v>0.4</v>
      </c>
      <c r="N198" t="n">
        <v>0.4</v>
      </c>
      <c r="O198" t="n">
        <v>0.4</v>
      </c>
      <c r="P198" t="n">
        <v>0.4</v>
      </c>
      <c r="Q198" t="n">
        <v>0.4</v>
      </c>
      <c r="R198" t="n">
        <v>0.4</v>
      </c>
      <c r="S198" t="n">
        <v>0.4</v>
      </c>
      <c r="T198" t="n">
        <v>0.4</v>
      </c>
      <c r="U198" t="n">
        <v>0.4</v>
      </c>
      <c r="V198" t="n">
        <v>0.4</v>
      </c>
      <c r="W198" t="n">
        <v>0.4</v>
      </c>
    </row>
    <row r="199">
      <c r="A199" t="inlineStr">
        <is>
          <t>CIMS.CAN.ON.Residential.Dwellings.Building Type.High Density.Vintage.1961-1980 Bldg Code.Heating (Cold)</t>
        </is>
      </c>
      <c r="B199" t="inlineStr">
        <is>
          <t>Sector</t>
        </is>
      </c>
      <c r="C199" t="inlineStr">
        <is>
          <t>ON</t>
        </is>
      </c>
      <c r="D199" t="inlineStr">
        <is>
          <t>Residential</t>
        </is>
      </c>
      <c r="E199" t="inlineStr">
        <is>
          <t>Heating (Cold)</t>
        </is>
      </c>
      <c r="F199" t="inlineStr">
        <is>
          <t>Electric - ASHP / Electric - backup</t>
        </is>
      </c>
      <c r="G199" t="inlineStr">
        <is>
          <t>dcc_limit</t>
        </is>
      </c>
      <c r="M199" t="n">
        <v>0.4</v>
      </c>
      <c r="N199" t="n">
        <v>0.4</v>
      </c>
      <c r="O199" t="n">
        <v>0.4</v>
      </c>
      <c r="P199" t="n">
        <v>0.4</v>
      </c>
      <c r="Q199" t="n">
        <v>0.4</v>
      </c>
      <c r="R199" t="n">
        <v>0.4</v>
      </c>
      <c r="S199" t="n">
        <v>0.4</v>
      </c>
      <c r="T199" t="n">
        <v>0.4</v>
      </c>
      <c r="U199" t="n">
        <v>0.4</v>
      </c>
      <c r="V199" t="n">
        <v>0.4</v>
      </c>
      <c r="W199" t="n">
        <v>0.4</v>
      </c>
    </row>
    <row r="200">
      <c r="A200" t="inlineStr">
        <is>
          <t>CIMS.CAN.ON.Residential.Dwellings.Building Type.High Density.Vintage.1981-2000 Bldg Code.Heating (Cold)</t>
        </is>
      </c>
      <c r="B200" t="inlineStr">
        <is>
          <t>Sector</t>
        </is>
      </c>
      <c r="C200" t="inlineStr">
        <is>
          <t>ON</t>
        </is>
      </c>
      <c r="D200" t="inlineStr">
        <is>
          <t>Residential</t>
        </is>
      </c>
      <c r="E200" t="inlineStr">
        <is>
          <t>Heating (Cold)</t>
        </is>
      </c>
      <c r="F200" t="inlineStr">
        <is>
          <t>Electric - ASHP / NG - backup</t>
        </is>
      </c>
      <c r="G200" t="inlineStr">
        <is>
          <t>dcc_limit</t>
        </is>
      </c>
      <c r="M200" t="n">
        <v>0.4</v>
      </c>
      <c r="N200" t="n">
        <v>0.4</v>
      </c>
      <c r="O200" t="n">
        <v>0.4</v>
      </c>
      <c r="P200" t="n">
        <v>0.4</v>
      </c>
      <c r="Q200" t="n">
        <v>0.4</v>
      </c>
      <c r="R200" t="n">
        <v>0.4</v>
      </c>
      <c r="S200" t="n">
        <v>0.4</v>
      </c>
      <c r="T200" t="n">
        <v>0.4</v>
      </c>
      <c r="U200" t="n">
        <v>0.4</v>
      </c>
      <c r="V200" t="n">
        <v>0.4</v>
      </c>
      <c r="W200" t="n">
        <v>0.4</v>
      </c>
    </row>
    <row r="201">
      <c r="A201" t="inlineStr">
        <is>
          <t>CIMS.CAN.ON.Residential.Dwellings.Building Type.High Density.Vintage.1981-2000 Bldg Code.Heating (Cold)</t>
        </is>
      </c>
      <c r="B201" t="inlineStr">
        <is>
          <t>Sector</t>
        </is>
      </c>
      <c r="C201" t="inlineStr">
        <is>
          <t>ON</t>
        </is>
      </c>
      <c r="D201" t="inlineStr">
        <is>
          <t>Residential</t>
        </is>
      </c>
      <c r="E201" t="inlineStr">
        <is>
          <t>Heating (Cold)</t>
        </is>
      </c>
      <c r="F201" t="inlineStr">
        <is>
          <t>Electric - ASHP / Electric - backup</t>
        </is>
      </c>
      <c r="G201" t="inlineStr">
        <is>
          <t>dcc_limit</t>
        </is>
      </c>
      <c r="M201" t="n">
        <v>0.4</v>
      </c>
      <c r="N201" t="n">
        <v>0.4</v>
      </c>
      <c r="O201" t="n">
        <v>0.4</v>
      </c>
      <c r="P201" t="n">
        <v>0.4</v>
      </c>
      <c r="Q201" t="n">
        <v>0.4</v>
      </c>
      <c r="R201" t="n">
        <v>0.4</v>
      </c>
      <c r="S201" t="n">
        <v>0.4</v>
      </c>
      <c r="T201" t="n">
        <v>0.4</v>
      </c>
      <c r="U201" t="n">
        <v>0.4</v>
      </c>
      <c r="V201" t="n">
        <v>0.4</v>
      </c>
      <c r="W201" t="n">
        <v>0.4</v>
      </c>
    </row>
    <row r="202">
      <c r="A202" t="inlineStr">
        <is>
          <t>CIMS.CAN.ON.Residential.Dwellings.Building Type.High Density.Vintage.2001-2020 Bldg Code.Heating (Cold)</t>
        </is>
      </c>
      <c r="B202" t="inlineStr">
        <is>
          <t>Sector</t>
        </is>
      </c>
      <c r="C202" t="inlineStr">
        <is>
          <t>ON</t>
        </is>
      </c>
      <c r="D202" t="inlineStr">
        <is>
          <t>Residential</t>
        </is>
      </c>
      <c r="E202" t="inlineStr">
        <is>
          <t>Heating (Cold)</t>
        </is>
      </c>
      <c r="F202" t="inlineStr">
        <is>
          <t>Electric - ASHP / NG - backup</t>
        </is>
      </c>
      <c r="G202" t="inlineStr">
        <is>
          <t>dcc_limit</t>
        </is>
      </c>
      <c r="M202" t="n">
        <v>0.4</v>
      </c>
      <c r="N202" t="n">
        <v>0.4</v>
      </c>
      <c r="O202" t="n">
        <v>0.4</v>
      </c>
      <c r="P202" t="n">
        <v>0.4</v>
      </c>
      <c r="Q202" t="n">
        <v>0.4</v>
      </c>
      <c r="R202" t="n">
        <v>0.4</v>
      </c>
      <c r="S202" t="n">
        <v>0.4</v>
      </c>
      <c r="T202" t="n">
        <v>0.4</v>
      </c>
      <c r="U202" t="n">
        <v>0.4</v>
      </c>
      <c r="V202" t="n">
        <v>0.4</v>
      </c>
      <c r="W202" t="n">
        <v>0.4</v>
      </c>
    </row>
    <row r="203">
      <c r="A203" t="inlineStr">
        <is>
          <t>CIMS.CAN.ON.Residential.Dwellings.Building Type.High Density.Vintage.2001-2020 Bldg Code.Heating (Cold)</t>
        </is>
      </c>
      <c r="B203" t="inlineStr">
        <is>
          <t>Sector</t>
        </is>
      </c>
      <c r="C203" t="inlineStr">
        <is>
          <t>ON</t>
        </is>
      </c>
      <c r="D203" t="inlineStr">
        <is>
          <t>Residential</t>
        </is>
      </c>
      <c r="E203" t="inlineStr">
        <is>
          <t>Heating (Cold)</t>
        </is>
      </c>
      <c r="F203" t="inlineStr">
        <is>
          <t>Electric - ASHP / Electric - backup</t>
        </is>
      </c>
      <c r="G203" t="inlineStr">
        <is>
          <t>dcc_limit</t>
        </is>
      </c>
      <c r="M203" t="n">
        <v>0.4</v>
      </c>
      <c r="N203" t="n">
        <v>0.4</v>
      </c>
      <c r="O203" t="n">
        <v>0.4</v>
      </c>
      <c r="P203" t="n">
        <v>0.4</v>
      </c>
      <c r="Q203" t="n">
        <v>0.4</v>
      </c>
      <c r="R203" t="n">
        <v>0.4</v>
      </c>
      <c r="S203" t="n">
        <v>0.4</v>
      </c>
      <c r="T203" t="n">
        <v>0.4</v>
      </c>
      <c r="U203" t="n">
        <v>0.4</v>
      </c>
      <c r="V203" t="n">
        <v>0.4</v>
      </c>
      <c r="W203" t="n">
        <v>0.4</v>
      </c>
    </row>
    <row r="204">
      <c r="A204" t="inlineStr">
        <is>
          <t>CIMS.CAN.ON.Residential.Dwellings.Building Type.High Density.Vintage.2001-2020 Bldg Code.Heating (Cold)</t>
        </is>
      </c>
      <c r="B204" t="inlineStr">
        <is>
          <t>Sector</t>
        </is>
      </c>
      <c r="C204" t="inlineStr">
        <is>
          <t>ON</t>
        </is>
      </c>
      <c r="D204" t="inlineStr">
        <is>
          <t>Residential</t>
        </is>
      </c>
      <c r="E204" t="inlineStr">
        <is>
          <t>Heating (Cold)</t>
        </is>
      </c>
      <c r="F204" t="inlineStr">
        <is>
          <t>Electric - GSHP</t>
        </is>
      </c>
      <c r="G204" t="inlineStr">
        <is>
          <t>dcc_limit</t>
        </is>
      </c>
      <c r="M204" t="n">
        <v>0.4</v>
      </c>
      <c r="N204" t="n">
        <v>0.4</v>
      </c>
      <c r="O204" t="n">
        <v>0.4</v>
      </c>
      <c r="P204" t="n">
        <v>0.4</v>
      </c>
      <c r="Q204" t="n">
        <v>0.4</v>
      </c>
      <c r="R204" t="n">
        <v>0.4</v>
      </c>
      <c r="S204" t="n">
        <v>0.4</v>
      </c>
      <c r="T204" t="n">
        <v>0.4</v>
      </c>
      <c r="U204" t="n">
        <v>0.4</v>
      </c>
      <c r="V204" t="n">
        <v>0.4</v>
      </c>
      <c r="W204" t="n">
        <v>0.4</v>
      </c>
    </row>
    <row r="205">
      <c r="A205" t="inlineStr">
        <is>
          <t>CIMS.CAN.ON.Residential.Dwellings.Building Type.High Density.Vintage.2021-2035 Bldg Code.Heating (Cold)</t>
        </is>
      </c>
      <c r="B205" t="inlineStr">
        <is>
          <t>Sector</t>
        </is>
      </c>
      <c r="C205" t="inlineStr">
        <is>
          <t>ON</t>
        </is>
      </c>
      <c r="D205" t="inlineStr">
        <is>
          <t>Residential</t>
        </is>
      </c>
      <c r="E205" t="inlineStr">
        <is>
          <t>Heating (Cold)</t>
        </is>
      </c>
      <c r="F205" t="inlineStr">
        <is>
          <t>Electric - ASHP / NG - backup</t>
        </is>
      </c>
      <c r="G205" t="inlineStr">
        <is>
          <t>dcc_limit</t>
        </is>
      </c>
      <c r="M205" t="n">
        <v>0.4</v>
      </c>
      <c r="N205" t="n">
        <v>0.4</v>
      </c>
      <c r="O205" t="n">
        <v>0.4</v>
      </c>
      <c r="P205" t="n">
        <v>0.4</v>
      </c>
      <c r="Q205" t="n">
        <v>0.4</v>
      </c>
      <c r="R205" t="n">
        <v>0.4</v>
      </c>
      <c r="S205" t="n">
        <v>0.4</v>
      </c>
      <c r="T205" t="n">
        <v>0.4</v>
      </c>
      <c r="U205" t="n">
        <v>0.4</v>
      </c>
      <c r="V205" t="n">
        <v>0.4</v>
      </c>
      <c r="W205" t="n">
        <v>0.4</v>
      </c>
    </row>
    <row r="206">
      <c r="A206" t="inlineStr">
        <is>
          <t>CIMS.CAN.ON.Residential.Dwellings.Building Type.High Density.Vintage.2021-2035 Bldg Code.Heating (Cold)</t>
        </is>
      </c>
      <c r="B206" t="inlineStr">
        <is>
          <t>Sector</t>
        </is>
      </c>
      <c r="C206" t="inlineStr">
        <is>
          <t>ON</t>
        </is>
      </c>
      <c r="D206" t="inlineStr">
        <is>
          <t>Residential</t>
        </is>
      </c>
      <c r="E206" t="inlineStr">
        <is>
          <t>Heating (Cold)</t>
        </is>
      </c>
      <c r="F206" t="inlineStr">
        <is>
          <t>Electric - ASHP / Electric - backup</t>
        </is>
      </c>
      <c r="G206" t="inlineStr">
        <is>
          <t>dcc_limit</t>
        </is>
      </c>
      <c r="M206" t="n">
        <v>0.4</v>
      </c>
      <c r="N206" t="n">
        <v>0.4</v>
      </c>
      <c r="O206" t="n">
        <v>0.4</v>
      </c>
      <c r="P206" t="n">
        <v>0.4</v>
      </c>
      <c r="Q206" t="n">
        <v>0.4</v>
      </c>
      <c r="R206" t="n">
        <v>0.4</v>
      </c>
      <c r="S206" t="n">
        <v>0.4</v>
      </c>
      <c r="T206" t="n">
        <v>0.4</v>
      </c>
      <c r="U206" t="n">
        <v>0.4</v>
      </c>
      <c r="V206" t="n">
        <v>0.4</v>
      </c>
      <c r="W206" t="n">
        <v>0.4</v>
      </c>
    </row>
    <row r="207">
      <c r="A207" t="inlineStr">
        <is>
          <t>CIMS.CAN.ON.Residential.Dwellings.Building Type.High Density.Vintage.2021-2035 Bldg Code.Heating (Cold)</t>
        </is>
      </c>
      <c r="B207" t="inlineStr">
        <is>
          <t>Sector</t>
        </is>
      </c>
      <c r="C207" t="inlineStr">
        <is>
          <t>ON</t>
        </is>
      </c>
      <c r="D207" t="inlineStr">
        <is>
          <t>Residential</t>
        </is>
      </c>
      <c r="E207" t="inlineStr">
        <is>
          <t>Heating (Cold)</t>
        </is>
      </c>
      <c r="F207" t="inlineStr">
        <is>
          <t>Electric - GSHP</t>
        </is>
      </c>
      <c r="G207" t="inlineStr">
        <is>
          <t>dcc_limit</t>
        </is>
      </c>
      <c r="M207" t="n">
        <v>0.4</v>
      </c>
      <c r="N207" t="n">
        <v>0.4</v>
      </c>
      <c r="O207" t="n">
        <v>0.4</v>
      </c>
      <c r="P207" t="n">
        <v>0.4</v>
      </c>
      <c r="Q207" t="n">
        <v>0.4</v>
      </c>
      <c r="R207" t="n">
        <v>0.4</v>
      </c>
      <c r="S207" t="n">
        <v>0.4</v>
      </c>
      <c r="T207" t="n">
        <v>0.4</v>
      </c>
      <c r="U207" t="n">
        <v>0.4</v>
      </c>
      <c r="V207" t="n">
        <v>0.4</v>
      </c>
      <c r="W207" t="n">
        <v>0.4</v>
      </c>
    </row>
    <row r="208">
      <c r="A208" t="inlineStr">
        <is>
          <t>CIMS.CAN.ON.Residential.Dwellings.Building Type.High Density.Vintage.&gt;2035 Bldg Code.Heating (Cold)</t>
        </is>
      </c>
      <c r="B208" t="inlineStr">
        <is>
          <t>Sector</t>
        </is>
      </c>
      <c r="C208" t="inlineStr">
        <is>
          <t>ON</t>
        </is>
      </c>
      <c r="D208" t="inlineStr">
        <is>
          <t>Residential</t>
        </is>
      </c>
      <c r="E208" t="inlineStr">
        <is>
          <t>Heating (Cold)</t>
        </is>
      </c>
      <c r="F208" t="inlineStr">
        <is>
          <t>Electric - ASHP / NG - backup</t>
        </is>
      </c>
      <c r="G208" t="inlineStr">
        <is>
          <t>dcc_limit</t>
        </is>
      </c>
      <c r="M208" t="n">
        <v>0.4</v>
      </c>
      <c r="N208" t="n">
        <v>0.4</v>
      </c>
      <c r="O208" t="n">
        <v>0.4</v>
      </c>
      <c r="P208" t="n">
        <v>0.4</v>
      </c>
      <c r="Q208" t="n">
        <v>0.4</v>
      </c>
      <c r="R208" t="n">
        <v>0.4</v>
      </c>
      <c r="S208" t="n">
        <v>0.4</v>
      </c>
      <c r="T208" t="n">
        <v>0.4</v>
      </c>
      <c r="U208" t="n">
        <v>0.4</v>
      </c>
      <c r="V208" t="n">
        <v>0.4</v>
      </c>
      <c r="W208" t="n">
        <v>0.4</v>
      </c>
    </row>
    <row r="209">
      <c r="A209" t="inlineStr">
        <is>
          <t>CIMS.CAN.ON.Residential.Dwellings.Building Type.High Density.Vintage.&gt;2035 Bldg Code.Heating (Cold)</t>
        </is>
      </c>
      <c r="B209" t="inlineStr">
        <is>
          <t>Sector</t>
        </is>
      </c>
      <c r="C209" t="inlineStr">
        <is>
          <t>ON</t>
        </is>
      </c>
      <c r="D209" t="inlineStr">
        <is>
          <t>Residential</t>
        </is>
      </c>
      <c r="E209" t="inlineStr">
        <is>
          <t>Heating (Cold)</t>
        </is>
      </c>
      <c r="F209" t="inlineStr">
        <is>
          <t>Electric - ASHP / Electric - backup</t>
        </is>
      </c>
      <c r="G209" t="inlineStr">
        <is>
          <t>dcc_limit</t>
        </is>
      </c>
      <c r="M209" t="n">
        <v>0.4</v>
      </c>
      <c r="N209" t="n">
        <v>0.4</v>
      </c>
      <c r="O209" t="n">
        <v>0.4</v>
      </c>
      <c r="P209" t="n">
        <v>0.4</v>
      </c>
      <c r="Q209" t="n">
        <v>0.4</v>
      </c>
      <c r="R209" t="n">
        <v>0.4</v>
      </c>
      <c r="S209" t="n">
        <v>0.4</v>
      </c>
      <c r="T209" t="n">
        <v>0.4</v>
      </c>
      <c r="U209" t="n">
        <v>0.4</v>
      </c>
      <c r="V209" t="n">
        <v>0.4</v>
      </c>
      <c r="W209" t="n">
        <v>0.4</v>
      </c>
    </row>
    <row r="210">
      <c r="A210" t="inlineStr">
        <is>
          <t>CIMS.CAN.ON.Residential.Dwellings.Building Type.High Density.Vintage.&gt;2035 Bldg Code.Heating (Cold)</t>
        </is>
      </c>
      <c r="B210" t="inlineStr">
        <is>
          <t>Sector</t>
        </is>
      </c>
      <c r="C210" t="inlineStr">
        <is>
          <t>ON</t>
        </is>
      </c>
      <c r="D210" t="inlineStr">
        <is>
          <t>Residential</t>
        </is>
      </c>
      <c r="E210" t="inlineStr">
        <is>
          <t>Heating (Cold)</t>
        </is>
      </c>
      <c r="F210" t="inlineStr">
        <is>
          <t>Electric - GSHP</t>
        </is>
      </c>
      <c r="G210" t="inlineStr">
        <is>
          <t>dcc_limit</t>
        </is>
      </c>
      <c r="M210" t="n">
        <v>0.4</v>
      </c>
      <c r="N210" t="n">
        <v>0.4</v>
      </c>
      <c r="O210" t="n">
        <v>0.4</v>
      </c>
      <c r="P210" t="n">
        <v>0.4</v>
      </c>
      <c r="Q210" t="n">
        <v>0.4</v>
      </c>
      <c r="R210" t="n">
        <v>0.4</v>
      </c>
      <c r="S210" t="n">
        <v>0.4</v>
      </c>
      <c r="T210" t="n">
        <v>0.4</v>
      </c>
      <c r="U210" t="n">
        <v>0.4</v>
      </c>
      <c r="V210" t="n">
        <v>0.4</v>
      </c>
      <c r="W210" t="n">
        <v>0.4</v>
      </c>
    </row>
    <row r="211">
      <c r="A211" t="inlineStr">
        <is>
          <t>CIMS.CAN.ON.Residential.Dwellings.Building Type.LowMed Density.Vintage.&lt;1960 Bldg Code.Heating (Cold)</t>
        </is>
      </c>
      <c r="B211" t="inlineStr">
        <is>
          <t>Sector</t>
        </is>
      </c>
      <c r="C211" t="inlineStr">
        <is>
          <t>ON</t>
        </is>
      </c>
      <c r="D211" t="inlineStr">
        <is>
          <t>Residential</t>
        </is>
      </c>
      <c r="E211" t="inlineStr">
        <is>
          <t>Heating (Cold)</t>
        </is>
      </c>
      <c r="F211" t="inlineStr">
        <is>
          <t>Electric - ASHP / NG - backup</t>
        </is>
      </c>
      <c r="G211" t="inlineStr">
        <is>
          <t>dcc_limit</t>
        </is>
      </c>
      <c r="M211" t="n">
        <v>0.4</v>
      </c>
      <c r="N211" t="n">
        <v>0.4</v>
      </c>
      <c r="O211" t="n">
        <v>0.4</v>
      </c>
      <c r="P211" t="n">
        <v>0.4</v>
      </c>
      <c r="Q211" t="n">
        <v>0.4</v>
      </c>
      <c r="R211" t="n">
        <v>0.4</v>
      </c>
      <c r="S211" t="n">
        <v>0.4</v>
      </c>
      <c r="T211" t="n">
        <v>0.4</v>
      </c>
      <c r="U211" t="n">
        <v>0.4</v>
      </c>
      <c r="V211" t="n">
        <v>0.4</v>
      </c>
      <c r="W211" t="n">
        <v>0.4</v>
      </c>
    </row>
    <row r="212">
      <c r="A212" t="inlineStr">
        <is>
          <t>CIMS.CAN.ON.Residential.Dwellings.Building Type.LowMed Density.Vintage.&lt;1960 Bldg Code.Heating (Cold)</t>
        </is>
      </c>
      <c r="B212" t="inlineStr">
        <is>
          <t>Sector</t>
        </is>
      </c>
      <c r="C212" t="inlineStr">
        <is>
          <t>ON</t>
        </is>
      </c>
      <c r="D212" t="inlineStr">
        <is>
          <t>Residential</t>
        </is>
      </c>
      <c r="E212" t="inlineStr">
        <is>
          <t>Heating (Cold)</t>
        </is>
      </c>
      <c r="F212" t="inlineStr">
        <is>
          <t>Electric - ASHP / Electric - backup</t>
        </is>
      </c>
      <c r="G212" t="inlineStr">
        <is>
          <t>dcc_limit</t>
        </is>
      </c>
      <c r="M212" t="n">
        <v>0.4</v>
      </c>
      <c r="N212" t="n">
        <v>0.4</v>
      </c>
      <c r="O212" t="n">
        <v>0.4</v>
      </c>
      <c r="P212" t="n">
        <v>0.4</v>
      </c>
      <c r="Q212" t="n">
        <v>0.4</v>
      </c>
      <c r="R212" t="n">
        <v>0.4</v>
      </c>
      <c r="S212" t="n">
        <v>0.4</v>
      </c>
      <c r="T212" t="n">
        <v>0.4</v>
      </c>
      <c r="U212" t="n">
        <v>0.4</v>
      </c>
      <c r="V212" t="n">
        <v>0.4</v>
      </c>
      <c r="W212" t="n">
        <v>0.4</v>
      </c>
    </row>
    <row r="213">
      <c r="A213" t="inlineStr">
        <is>
          <t>CIMS.CAN.ON.Residential.Dwellings.Building Type.LowMed Density.Vintage.1961-1980 Bldg Code.Heating (Cold)</t>
        </is>
      </c>
      <c r="B213" t="inlineStr">
        <is>
          <t>Sector</t>
        </is>
      </c>
      <c r="C213" t="inlineStr">
        <is>
          <t>ON</t>
        </is>
      </c>
      <c r="D213" t="inlineStr">
        <is>
          <t>Residential</t>
        </is>
      </c>
      <c r="E213" t="inlineStr">
        <is>
          <t>Heating (Cold)</t>
        </is>
      </c>
      <c r="F213" t="inlineStr">
        <is>
          <t>Electric - ASHP / NG - backup</t>
        </is>
      </c>
      <c r="G213" t="inlineStr">
        <is>
          <t>dcc_limit</t>
        </is>
      </c>
      <c r="M213" t="n">
        <v>0.4</v>
      </c>
      <c r="N213" t="n">
        <v>0.4</v>
      </c>
      <c r="O213" t="n">
        <v>0.4</v>
      </c>
      <c r="P213" t="n">
        <v>0.4</v>
      </c>
      <c r="Q213" t="n">
        <v>0.4</v>
      </c>
      <c r="R213" t="n">
        <v>0.4</v>
      </c>
      <c r="S213" t="n">
        <v>0.4</v>
      </c>
      <c r="T213" t="n">
        <v>0.4</v>
      </c>
      <c r="U213" t="n">
        <v>0.4</v>
      </c>
      <c r="V213" t="n">
        <v>0.4</v>
      </c>
      <c r="W213" t="n">
        <v>0.4</v>
      </c>
    </row>
    <row r="214">
      <c r="A214" t="inlineStr">
        <is>
          <t>CIMS.CAN.ON.Residential.Dwellings.Building Type.LowMed Density.Vintage.1961-1980 Bldg Code.Heating (Cold)</t>
        </is>
      </c>
      <c r="B214" t="inlineStr">
        <is>
          <t>Sector</t>
        </is>
      </c>
      <c r="C214" t="inlineStr">
        <is>
          <t>ON</t>
        </is>
      </c>
      <c r="D214" t="inlineStr">
        <is>
          <t>Residential</t>
        </is>
      </c>
      <c r="E214" t="inlineStr">
        <is>
          <t>Heating (Cold)</t>
        </is>
      </c>
      <c r="F214" t="inlineStr">
        <is>
          <t>Electric - ASHP / Electric - backup</t>
        </is>
      </c>
      <c r="G214" t="inlineStr">
        <is>
          <t>dcc_limit</t>
        </is>
      </c>
      <c r="M214" t="n">
        <v>0.4</v>
      </c>
      <c r="N214" t="n">
        <v>0.4</v>
      </c>
      <c r="O214" t="n">
        <v>0.4</v>
      </c>
      <c r="P214" t="n">
        <v>0.4</v>
      </c>
      <c r="Q214" t="n">
        <v>0.4</v>
      </c>
      <c r="R214" t="n">
        <v>0.4</v>
      </c>
      <c r="S214" t="n">
        <v>0.4</v>
      </c>
      <c r="T214" t="n">
        <v>0.4</v>
      </c>
      <c r="U214" t="n">
        <v>0.4</v>
      </c>
      <c r="V214" t="n">
        <v>0.4</v>
      </c>
      <c r="W214" t="n">
        <v>0.4</v>
      </c>
    </row>
    <row r="215">
      <c r="A215" t="inlineStr">
        <is>
          <t>CIMS.CAN.ON.Residential.Dwellings.Building Type.LowMed Density.Vintage.1981-2000 Bldg Code.Heating (Cold)</t>
        </is>
      </c>
      <c r="B215" t="inlineStr">
        <is>
          <t>Sector</t>
        </is>
      </c>
      <c r="C215" t="inlineStr">
        <is>
          <t>ON</t>
        </is>
      </c>
      <c r="D215" t="inlineStr">
        <is>
          <t>Residential</t>
        </is>
      </c>
      <c r="E215" t="inlineStr">
        <is>
          <t>Heating (Cold)</t>
        </is>
      </c>
      <c r="F215" t="inlineStr">
        <is>
          <t>Electric - ASHP / NG - backup</t>
        </is>
      </c>
      <c r="G215" t="inlineStr">
        <is>
          <t>dcc_limit</t>
        </is>
      </c>
      <c r="M215" t="n">
        <v>0.4</v>
      </c>
      <c r="N215" t="n">
        <v>0.4</v>
      </c>
      <c r="O215" t="n">
        <v>0.4</v>
      </c>
      <c r="P215" t="n">
        <v>0.4</v>
      </c>
      <c r="Q215" t="n">
        <v>0.4</v>
      </c>
      <c r="R215" t="n">
        <v>0.4</v>
      </c>
      <c r="S215" t="n">
        <v>0.4</v>
      </c>
      <c r="T215" t="n">
        <v>0.4</v>
      </c>
      <c r="U215" t="n">
        <v>0.4</v>
      </c>
      <c r="V215" t="n">
        <v>0.4</v>
      </c>
      <c r="W215" t="n">
        <v>0.4</v>
      </c>
    </row>
    <row r="216">
      <c r="A216" t="inlineStr">
        <is>
          <t>CIMS.CAN.ON.Residential.Dwellings.Building Type.LowMed Density.Vintage.1981-2000 Bldg Code.Heating (Cold)</t>
        </is>
      </c>
      <c r="B216" t="inlineStr">
        <is>
          <t>Sector</t>
        </is>
      </c>
      <c r="C216" t="inlineStr">
        <is>
          <t>ON</t>
        </is>
      </c>
      <c r="D216" t="inlineStr">
        <is>
          <t>Residential</t>
        </is>
      </c>
      <c r="E216" t="inlineStr">
        <is>
          <t>Heating (Cold)</t>
        </is>
      </c>
      <c r="F216" t="inlineStr">
        <is>
          <t>Electric - ASHP / Electric - backup</t>
        </is>
      </c>
      <c r="G216" t="inlineStr">
        <is>
          <t>dcc_limit</t>
        </is>
      </c>
      <c r="M216" t="n">
        <v>0.4</v>
      </c>
      <c r="N216" t="n">
        <v>0.4</v>
      </c>
      <c r="O216" t="n">
        <v>0.4</v>
      </c>
      <c r="P216" t="n">
        <v>0.4</v>
      </c>
      <c r="Q216" t="n">
        <v>0.4</v>
      </c>
      <c r="R216" t="n">
        <v>0.4</v>
      </c>
      <c r="S216" t="n">
        <v>0.4</v>
      </c>
      <c r="T216" t="n">
        <v>0.4</v>
      </c>
      <c r="U216" t="n">
        <v>0.4</v>
      </c>
      <c r="V216" t="n">
        <v>0.4</v>
      </c>
      <c r="W216" t="n">
        <v>0.4</v>
      </c>
    </row>
    <row r="217">
      <c r="A217" t="inlineStr">
        <is>
          <t>CIMS.CAN.ON.Residential.Dwellings.Building Type.LowMed Density.Vintage.2001-2020 Bldg Code.Heating (Cold)</t>
        </is>
      </c>
      <c r="B217" t="inlineStr">
        <is>
          <t>Sector</t>
        </is>
      </c>
      <c r="C217" t="inlineStr">
        <is>
          <t>ON</t>
        </is>
      </c>
      <c r="D217" t="inlineStr">
        <is>
          <t>Residential</t>
        </is>
      </c>
      <c r="E217" t="inlineStr">
        <is>
          <t>Heating (Cold)</t>
        </is>
      </c>
      <c r="F217" t="inlineStr">
        <is>
          <t>Electric - ASHP / NG - backup</t>
        </is>
      </c>
      <c r="G217" t="inlineStr">
        <is>
          <t>dcc_limit</t>
        </is>
      </c>
      <c r="M217" t="n">
        <v>0.4</v>
      </c>
      <c r="N217" t="n">
        <v>0.4</v>
      </c>
      <c r="O217" t="n">
        <v>0.4</v>
      </c>
      <c r="P217" t="n">
        <v>0.4</v>
      </c>
      <c r="Q217" t="n">
        <v>0.4</v>
      </c>
      <c r="R217" t="n">
        <v>0.4</v>
      </c>
      <c r="S217" t="n">
        <v>0.4</v>
      </c>
      <c r="T217" t="n">
        <v>0.4</v>
      </c>
      <c r="U217" t="n">
        <v>0.4</v>
      </c>
      <c r="V217" t="n">
        <v>0.4</v>
      </c>
      <c r="W217" t="n">
        <v>0.4</v>
      </c>
    </row>
    <row r="218">
      <c r="A218" t="inlineStr">
        <is>
          <t>CIMS.CAN.ON.Residential.Dwellings.Building Type.LowMed Density.Vintage.2001-2020 Bldg Code.Heating (Cold)</t>
        </is>
      </c>
      <c r="B218" t="inlineStr">
        <is>
          <t>Sector</t>
        </is>
      </c>
      <c r="C218" t="inlineStr">
        <is>
          <t>ON</t>
        </is>
      </c>
      <c r="D218" t="inlineStr">
        <is>
          <t>Residential</t>
        </is>
      </c>
      <c r="E218" t="inlineStr">
        <is>
          <t>Heating (Cold)</t>
        </is>
      </c>
      <c r="F218" t="inlineStr">
        <is>
          <t>Electric - ASHP / Electric - backup</t>
        </is>
      </c>
      <c r="G218" t="inlineStr">
        <is>
          <t>dcc_limit</t>
        </is>
      </c>
      <c r="M218" t="n">
        <v>0.4</v>
      </c>
      <c r="N218" t="n">
        <v>0.4</v>
      </c>
      <c r="O218" t="n">
        <v>0.4</v>
      </c>
      <c r="P218" t="n">
        <v>0.4</v>
      </c>
      <c r="Q218" t="n">
        <v>0.4</v>
      </c>
      <c r="R218" t="n">
        <v>0.4</v>
      </c>
      <c r="S218" t="n">
        <v>0.4</v>
      </c>
      <c r="T218" t="n">
        <v>0.4</v>
      </c>
      <c r="U218" t="n">
        <v>0.4</v>
      </c>
      <c r="V218" t="n">
        <v>0.4</v>
      </c>
      <c r="W218" t="n">
        <v>0.4</v>
      </c>
    </row>
    <row r="219">
      <c r="A219" t="inlineStr">
        <is>
          <t>CIMS.CAN.ON.Residential.Dwellings.Building Type.LowMed Density.Vintage.2021-2035 Bldg Code.Heating (Cold)</t>
        </is>
      </c>
      <c r="B219" t="inlineStr">
        <is>
          <t>Sector</t>
        </is>
      </c>
      <c r="C219" t="inlineStr">
        <is>
          <t>ON</t>
        </is>
      </c>
      <c r="D219" t="inlineStr">
        <is>
          <t>Residential</t>
        </is>
      </c>
      <c r="E219" t="inlineStr">
        <is>
          <t>Heating (Cold)</t>
        </is>
      </c>
      <c r="F219" t="inlineStr">
        <is>
          <t>Electric - ASHP / NG - backup</t>
        </is>
      </c>
      <c r="G219" t="inlineStr">
        <is>
          <t>dcc_limit</t>
        </is>
      </c>
      <c r="M219" t="n">
        <v>0.4</v>
      </c>
      <c r="N219" t="n">
        <v>0.4</v>
      </c>
      <c r="O219" t="n">
        <v>0.4</v>
      </c>
      <c r="P219" t="n">
        <v>0.4</v>
      </c>
      <c r="Q219" t="n">
        <v>0.4</v>
      </c>
      <c r="R219" t="n">
        <v>0.4</v>
      </c>
      <c r="S219" t="n">
        <v>0.4</v>
      </c>
      <c r="T219" t="n">
        <v>0.4</v>
      </c>
      <c r="U219" t="n">
        <v>0.4</v>
      </c>
      <c r="V219" t="n">
        <v>0.4</v>
      </c>
      <c r="W219" t="n">
        <v>0.4</v>
      </c>
    </row>
    <row r="220">
      <c r="A220" t="inlineStr">
        <is>
          <t>CIMS.CAN.ON.Residential.Dwellings.Building Type.LowMed Density.Vintage.2021-2035 Bldg Code.Heating (Cold)</t>
        </is>
      </c>
      <c r="B220" t="inlineStr">
        <is>
          <t>Sector</t>
        </is>
      </c>
      <c r="C220" t="inlineStr">
        <is>
          <t>ON</t>
        </is>
      </c>
      <c r="D220" t="inlineStr">
        <is>
          <t>Residential</t>
        </is>
      </c>
      <c r="E220" t="inlineStr">
        <is>
          <t>Heating (Cold)</t>
        </is>
      </c>
      <c r="F220" t="inlineStr">
        <is>
          <t>Electric - ASHP / Electric - backup</t>
        </is>
      </c>
      <c r="G220" t="inlineStr">
        <is>
          <t>dcc_limit</t>
        </is>
      </c>
      <c r="M220" t="n">
        <v>0.4</v>
      </c>
      <c r="N220" t="n">
        <v>0.4</v>
      </c>
      <c r="O220" t="n">
        <v>0.4</v>
      </c>
      <c r="P220" t="n">
        <v>0.4</v>
      </c>
      <c r="Q220" t="n">
        <v>0.4</v>
      </c>
      <c r="R220" t="n">
        <v>0.4</v>
      </c>
      <c r="S220" t="n">
        <v>0.4</v>
      </c>
      <c r="T220" t="n">
        <v>0.4</v>
      </c>
      <c r="U220" t="n">
        <v>0.4</v>
      </c>
      <c r="V220" t="n">
        <v>0.4</v>
      </c>
      <c r="W220" t="n">
        <v>0.4</v>
      </c>
    </row>
    <row r="221">
      <c r="A221" t="inlineStr">
        <is>
          <t>CIMS.CAN.ON.Residential.Dwellings.Building Type.LowMed Density.Vintage.&gt;2035 Bldg Code.Heating (Cold)</t>
        </is>
      </c>
      <c r="B221" t="inlineStr">
        <is>
          <t>Sector</t>
        </is>
      </c>
      <c r="C221" t="inlineStr">
        <is>
          <t>ON</t>
        </is>
      </c>
      <c r="D221" t="inlineStr">
        <is>
          <t>Residential</t>
        </is>
      </c>
      <c r="E221" t="inlineStr">
        <is>
          <t>Heating (Cold)</t>
        </is>
      </c>
      <c r="F221" t="inlineStr">
        <is>
          <t>Electric - ASHP / NG - backup</t>
        </is>
      </c>
      <c r="G221" t="inlineStr">
        <is>
          <t>dcc_limit</t>
        </is>
      </c>
      <c r="M221" t="n">
        <v>0.4</v>
      </c>
      <c r="N221" t="n">
        <v>0.4</v>
      </c>
      <c r="O221" t="n">
        <v>0.4</v>
      </c>
      <c r="P221" t="n">
        <v>0.4</v>
      </c>
      <c r="Q221" t="n">
        <v>0.4</v>
      </c>
      <c r="R221" t="n">
        <v>0.4</v>
      </c>
      <c r="S221" t="n">
        <v>0.4</v>
      </c>
      <c r="T221" t="n">
        <v>0.4</v>
      </c>
      <c r="U221" t="n">
        <v>0.4</v>
      </c>
      <c r="V221" t="n">
        <v>0.4</v>
      </c>
      <c r="W221" t="n">
        <v>0.4</v>
      </c>
    </row>
    <row r="222">
      <c r="A222" t="inlineStr">
        <is>
          <t>CIMS.CAN.ON.Residential.Dwellings.Building Type.LowMed Density.Vintage.&gt;2035 Bldg Code.Heating (Cold)</t>
        </is>
      </c>
      <c r="B222" t="inlineStr">
        <is>
          <t>Sector</t>
        </is>
      </c>
      <c r="C222" t="inlineStr">
        <is>
          <t>ON</t>
        </is>
      </c>
      <c r="D222" t="inlineStr">
        <is>
          <t>Residential</t>
        </is>
      </c>
      <c r="E222" t="inlineStr">
        <is>
          <t>Heating (Cold)</t>
        </is>
      </c>
      <c r="F222" t="inlineStr">
        <is>
          <t>Electric - ASHP / Electric - backup</t>
        </is>
      </c>
      <c r="G222" t="inlineStr">
        <is>
          <t>dcc_limit</t>
        </is>
      </c>
      <c r="M222" t="n">
        <v>0.4</v>
      </c>
      <c r="N222" t="n">
        <v>0.4</v>
      </c>
      <c r="O222" t="n">
        <v>0.4</v>
      </c>
      <c r="P222" t="n">
        <v>0.4</v>
      </c>
      <c r="Q222" t="n">
        <v>0.4</v>
      </c>
      <c r="R222" t="n">
        <v>0.4</v>
      </c>
      <c r="S222" t="n">
        <v>0.4</v>
      </c>
      <c r="T222" t="n">
        <v>0.4</v>
      </c>
      <c r="U222" t="n">
        <v>0.4</v>
      </c>
      <c r="V222" t="n">
        <v>0.4</v>
      </c>
      <c r="W222" t="n">
        <v>0.4</v>
      </c>
    </row>
    <row r="223">
      <c r="A223" t="inlineStr">
        <is>
          <t>CIMS.CAN.ON.Residential.Dwellings.Building Type.High Density.Vintage.&lt;1960 Bldg Code.Heating (Cold)</t>
        </is>
      </c>
      <c r="B223" t="inlineStr">
        <is>
          <t>Sector</t>
        </is>
      </c>
      <c r="C223" t="inlineStr">
        <is>
          <t>ON</t>
        </is>
      </c>
      <c r="D223" t="inlineStr">
        <is>
          <t>Residential</t>
        </is>
      </c>
      <c r="E223" t="inlineStr">
        <is>
          <t>Heating (Cold)</t>
        </is>
      </c>
      <c r="F223" t="inlineStr">
        <is>
          <t>Electric - ASHP / NG - backup</t>
        </is>
      </c>
      <c r="G223" t="inlineStr">
        <is>
          <t>dcc_learning_min</t>
        </is>
      </c>
      <c r="M223" t="n">
        <v>0.01</v>
      </c>
      <c r="N223" t="n">
        <v>0.01</v>
      </c>
      <c r="O223" t="n">
        <v>0.01</v>
      </c>
      <c r="P223" t="n">
        <v>0.01</v>
      </c>
      <c r="Q223" t="n">
        <v>0.01</v>
      </c>
      <c r="R223" t="n">
        <v>0.01</v>
      </c>
      <c r="S223" t="n">
        <v>0.01</v>
      </c>
      <c r="T223" t="n">
        <v>0.01</v>
      </c>
      <c r="U223" t="n">
        <v>0.01</v>
      </c>
      <c r="V223" t="n">
        <v>0.01</v>
      </c>
      <c r="W223" t="n">
        <v>0.01</v>
      </c>
    </row>
    <row r="224">
      <c r="A224" t="inlineStr">
        <is>
          <t>CIMS.CAN.ON.Residential.Dwellings.Building Type.High Density.Vintage.&lt;1960 Bldg Code.Heating (Cold)</t>
        </is>
      </c>
      <c r="B224" t="inlineStr">
        <is>
          <t>Sector</t>
        </is>
      </c>
      <c r="C224" t="inlineStr">
        <is>
          <t>ON</t>
        </is>
      </c>
      <c r="D224" t="inlineStr">
        <is>
          <t>Residential</t>
        </is>
      </c>
      <c r="E224" t="inlineStr">
        <is>
          <t>Heating (Cold)</t>
        </is>
      </c>
      <c r="F224" t="inlineStr">
        <is>
          <t>Electric - ASHP / Electric - backup</t>
        </is>
      </c>
      <c r="G224" t="inlineStr">
        <is>
          <t>dcc_learning_min</t>
        </is>
      </c>
      <c r="M224" t="n">
        <v>0.01</v>
      </c>
      <c r="N224" t="n">
        <v>0.01</v>
      </c>
      <c r="O224" t="n">
        <v>0.01</v>
      </c>
      <c r="P224" t="n">
        <v>0.01</v>
      </c>
      <c r="Q224" t="n">
        <v>0.01</v>
      </c>
      <c r="R224" t="n">
        <v>0.01</v>
      </c>
      <c r="S224" t="n">
        <v>0.01</v>
      </c>
      <c r="T224" t="n">
        <v>0.01</v>
      </c>
      <c r="U224" t="n">
        <v>0.01</v>
      </c>
      <c r="V224" t="n">
        <v>0.01</v>
      </c>
      <c r="W224" t="n">
        <v>0.01</v>
      </c>
    </row>
    <row r="225">
      <c r="A225" t="inlineStr">
        <is>
          <t>CIMS.CAN.ON.Residential.Dwellings.Building Type.High Density.Vintage.1961-1980 Bldg Code.Heating (Cold)</t>
        </is>
      </c>
      <c r="B225" t="inlineStr">
        <is>
          <t>Sector</t>
        </is>
      </c>
      <c r="C225" t="inlineStr">
        <is>
          <t>ON</t>
        </is>
      </c>
      <c r="D225" t="inlineStr">
        <is>
          <t>Residential</t>
        </is>
      </c>
      <c r="E225" t="inlineStr">
        <is>
          <t>Heating (Cold)</t>
        </is>
      </c>
      <c r="F225" t="inlineStr">
        <is>
          <t>Electric - ASHP / NG - backup</t>
        </is>
      </c>
      <c r="G225" t="inlineStr">
        <is>
          <t>dcc_learning_min</t>
        </is>
      </c>
      <c r="M225" t="n">
        <v>0.01</v>
      </c>
      <c r="N225" t="n">
        <v>0.01</v>
      </c>
      <c r="O225" t="n">
        <v>0.01</v>
      </c>
      <c r="P225" t="n">
        <v>0.01</v>
      </c>
      <c r="Q225" t="n">
        <v>0.01</v>
      </c>
      <c r="R225" t="n">
        <v>0.01</v>
      </c>
      <c r="S225" t="n">
        <v>0.01</v>
      </c>
      <c r="T225" t="n">
        <v>0.01</v>
      </c>
      <c r="U225" t="n">
        <v>0.01</v>
      </c>
      <c r="V225" t="n">
        <v>0.01</v>
      </c>
      <c r="W225" t="n">
        <v>0.01</v>
      </c>
    </row>
    <row r="226">
      <c r="A226" t="inlineStr">
        <is>
          <t>CIMS.CAN.ON.Residential.Dwellings.Building Type.High Density.Vintage.1961-1980 Bldg Code.Heating (Cold)</t>
        </is>
      </c>
      <c r="B226" t="inlineStr">
        <is>
          <t>Sector</t>
        </is>
      </c>
      <c r="C226" t="inlineStr">
        <is>
          <t>ON</t>
        </is>
      </c>
      <c r="D226" t="inlineStr">
        <is>
          <t>Residential</t>
        </is>
      </c>
      <c r="E226" t="inlineStr">
        <is>
          <t>Heating (Cold)</t>
        </is>
      </c>
      <c r="F226" t="inlineStr">
        <is>
          <t>Electric - ASHP / Electric - backup</t>
        </is>
      </c>
      <c r="G226" t="inlineStr">
        <is>
          <t>dcc_learning_min</t>
        </is>
      </c>
      <c r="M226" t="n">
        <v>0.01</v>
      </c>
      <c r="N226" t="n">
        <v>0.01</v>
      </c>
      <c r="O226" t="n">
        <v>0.01</v>
      </c>
      <c r="P226" t="n">
        <v>0.01</v>
      </c>
      <c r="Q226" t="n">
        <v>0.01</v>
      </c>
      <c r="R226" t="n">
        <v>0.01</v>
      </c>
      <c r="S226" t="n">
        <v>0.01</v>
      </c>
      <c r="T226" t="n">
        <v>0.01</v>
      </c>
      <c r="U226" t="n">
        <v>0.01</v>
      </c>
      <c r="V226" t="n">
        <v>0.01</v>
      </c>
      <c r="W226" t="n">
        <v>0.01</v>
      </c>
    </row>
    <row r="227">
      <c r="A227" t="inlineStr">
        <is>
          <t>CIMS.CAN.ON.Residential.Dwellings.Building Type.High Density.Vintage.1981-2000 Bldg Code.Heating (Cold)</t>
        </is>
      </c>
      <c r="B227" t="inlineStr">
        <is>
          <t>Sector</t>
        </is>
      </c>
      <c r="C227" t="inlineStr">
        <is>
          <t>ON</t>
        </is>
      </c>
      <c r="D227" t="inlineStr">
        <is>
          <t>Residential</t>
        </is>
      </c>
      <c r="E227" t="inlineStr">
        <is>
          <t>Heating (Cold)</t>
        </is>
      </c>
      <c r="F227" t="inlineStr">
        <is>
          <t>Electric - ASHP / NG - backup</t>
        </is>
      </c>
      <c r="G227" t="inlineStr">
        <is>
          <t>dcc_learning_min</t>
        </is>
      </c>
      <c r="M227" t="n">
        <v>0.01</v>
      </c>
      <c r="N227" t="n">
        <v>0.01</v>
      </c>
      <c r="O227" t="n">
        <v>0.01</v>
      </c>
      <c r="P227" t="n">
        <v>0.01</v>
      </c>
      <c r="Q227" t="n">
        <v>0.01</v>
      </c>
      <c r="R227" t="n">
        <v>0.01</v>
      </c>
      <c r="S227" t="n">
        <v>0.01</v>
      </c>
      <c r="T227" t="n">
        <v>0.01</v>
      </c>
      <c r="U227" t="n">
        <v>0.01</v>
      </c>
      <c r="V227" t="n">
        <v>0.01</v>
      </c>
      <c r="W227" t="n">
        <v>0.01</v>
      </c>
    </row>
    <row r="228">
      <c r="A228" t="inlineStr">
        <is>
          <t>CIMS.CAN.ON.Residential.Dwellings.Building Type.High Density.Vintage.1981-2000 Bldg Code.Heating (Cold)</t>
        </is>
      </c>
      <c r="B228" t="inlineStr">
        <is>
          <t>Sector</t>
        </is>
      </c>
      <c r="C228" t="inlineStr">
        <is>
          <t>ON</t>
        </is>
      </c>
      <c r="D228" t="inlineStr">
        <is>
          <t>Residential</t>
        </is>
      </c>
      <c r="E228" t="inlineStr">
        <is>
          <t>Heating (Cold)</t>
        </is>
      </c>
      <c r="F228" t="inlineStr">
        <is>
          <t>Electric - ASHP / Electric - backup</t>
        </is>
      </c>
      <c r="G228" t="inlineStr">
        <is>
          <t>dcc_learning_min</t>
        </is>
      </c>
      <c r="M228" t="n">
        <v>0.01</v>
      </c>
      <c r="N228" t="n">
        <v>0.01</v>
      </c>
      <c r="O228" t="n">
        <v>0.01</v>
      </c>
      <c r="P228" t="n">
        <v>0.01</v>
      </c>
      <c r="Q228" t="n">
        <v>0.01</v>
      </c>
      <c r="R228" t="n">
        <v>0.01</v>
      </c>
      <c r="S228" t="n">
        <v>0.01</v>
      </c>
      <c r="T228" t="n">
        <v>0.01</v>
      </c>
      <c r="U228" t="n">
        <v>0.01</v>
      </c>
      <c r="V228" t="n">
        <v>0.01</v>
      </c>
      <c r="W228" t="n">
        <v>0.01</v>
      </c>
    </row>
    <row r="229">
      <c r="A229" t="inlineStr">
        <is>
          <t>CIMS.CAN.ON.Residential.Dwellings.Building Type.High Density.Vintage.2001-2020 Bldg Code.Heating (Cold)</t>
        </is>
      </c>
      <c r="B229" t="inlineStr">
        <is>
          <t>Sector</t>
        </is>
      </c>
      <c r="C229" t="inlineStr">
        <is>
          <t>ON</t>
        </is>
      </c>
      <c r="D229" t="inlineStr">
        <is>
          <t>Residential</t>
        </is>
      </c>
      <c r="E229" t="inlineStr">
        <is>
          <t>Heating (Cold)</t>
        </is>
      </c>
      <c r="F229" t="inlineStr">
        <is>
          <t>Electric - ASHP / NG - backup</t>
        </is>
      </c>
      <c r="G229" t="inlineStr">
        <is>
          <t>dcc_learning_min</t>
        </is>
      </c>
      <c r="M229" t="n">
        <v>0.01</v>
      </c>
      <c r="N229" t="n">
        <v>0.01</v>
      </c>
      <c r="O229" t="n">
        <v>0.01</v>
      </c>
      <c r="P229" t="n">
        <v>0.01</v>
      </c>
      <c r="Q229" t="n">
        <v>0.01</v>
      </c>
      <c r="R229" t="n">
        <v>0.01</v>
      </c>
      <c r="S229" t="n">
        <v>0.01</v>
      </c>
      <c r="T229" t="n">
        <v>0.01</v>
      </c>
      <c r="U229" t="n">
        <v>0.01</v>
      </c>
      <c r="V229" t="n">
        <v>0.01</v>
      </c>
      <c r="W229" t="n">
        <v>0.01</v>
      </c>
    </row>
    <row r="230">
      <c r="A230" t="inlineStr">
        <is>
          <t>CIMS.CAN.ON.Residential.Dwellings.Building Type.High Density.Vintage.2001-2020 Bldg Code.Heating (Cold)</t>
        </is>
      </c>
      <c r="B230" t="inlineStr">
        <is>
          <t>Sector</t>
        </is>
      </c>
      <c r="C230" t="inlineStr">
        <is>
          <t>ON</t>
        </is>
      </c>
      <c r="D230" t="inlineStr">
        <is>
          <t>Residential</t>
        </is>
      </c>
      <c r="E230" t="inlineStr">
        <is>
          <t>Heating (Cold)</t>
        </is>
      </c>
      <c r="F230" t="inlineStr">
        <is>
          <t>Electric - ASHP / Electric - backup</t>
        </is>
      </c>
      <c r="G230" t="inlineStr">
        <is>
          <t>dcc_learning_min</t>
        </is>
      </c>
      <c r="M230" t="n">
        <v>0.01</v>
      </c>
      <c r="N230" t="n">
        <v>0.01</v>
      </c>
      <c r="O230" t="n">
        <v>0.01</v>
      </c>
      <c r="P230" t="n">
        <v>0.01</v>
      </c>
      <c r="Q230" t="n">
        <v>0.01</v>
      </c>
      <c r="R230" t="n">
        <v>0.01</v>
      </c>
      <c r="S230" t="n">
        <v>0.01</v>
      </c>
      <c r="T230" t="n">
        <v>0.01</v>
      </c>
      <c r="U230" t="n">
        <v>0.01</v>
      </c>
      <c r="V230" t="n">
        <v>0.01</v>
      </c>
      <c r="W230" t="n">
        <v>0.01</v>
      </c>
    </row>
    <row r="231">
      <c r="A231" t="inlineStr">
        <is>
          <t>CIMS.CAN.ON.Residential.Dwellings.Building Type.High Density.Vintage.2001-2020 Bldg Code.Heating (Cold)</t>
        </is>
      </c>
      <c r="B231" t="inlineStr">
        <is>
          <t>Sector</t>
        </is>
      </c>
      <c r="C231" t="inlineStr">
        <is>
          <t>ON</t>
        </is>
      </c>
      <c r="D231" t="inlineStr">
        <is>
          <t>Residential</t>
        </is>
      </c>
      <c r="E231" t="inlineStr">
        <is>
          <t>Heating (Cold)</t>
        </is>
      </c>
      <c r="F231" t="inlineStr">
        <is>
          <t>Electric - GSHP</t>
        </is>
      </c>
      <c r="G231" t="inlineStr">
        <is>
          <t>dcc_learning_min</t>
        </is>
      </c>
      <c r="M231" t="n">
        <v>0.01</v>
      </c>
      <c r="N231" t="n">
        <v>0.01</v>
      </c>
      <c r="O231" t="n">
        <v>0.01</v>
      </c>
      <c r="P231" t="n">
        <v>0.01</v>
      </c>
      <c r="Q231" t="n">
        <v>0.01</v>
      </c>
      <c r="R231" t="n">
        <v>0.01</v>
      </c>
      <c r="S231" t="n">
        <v>0.01</v>
      </c>
      <c r="T231" t="n">
        <v>0.01</v>
      </c>
      <c r="U231" t="n">
        <v>0.01</v>
      </c>
      <c r="V231" t="n">
        <v>0.01</v>
      </c>
      <c r="W231" t="n">
        <v>0.01</v>
      </c>
    </row>
    <row r="232">
      <c r="A232" t="inlineStr">
        <is>
          <t>CIMS.CAN.ON.Residential.Dwellings.Building Type.High Density.Vintage.2021-2035 Bldg Code.Heating (Cold)</t>
        </is>
      </c>
      <c r="B232" t="inlineStr">
        <is>
          <t>Sector</t>
        </is>
      </c>
      <c r="C232" t="inlineStr">
        <is>
          <t>ON</t>
        </is>
      </c>
      <c r="D232" t="inlineStr">
        <is>
          <t>Residential</t>
        </is>
      </c>
      <c r="E232" t="inlineStr">
        <is>
          <t>Heating (Cold)</t>
        </is>
      </c>
      <c r="F232" t="inlineStr">
        <is>
          <t>Electric - ASHP / NG - backup</t>
        </is>
      </c>
      <c r="G232" t="inlineStr">
        <is>
          <t>dcc_learning_min</t>
        </is>
      </c>
      <c r="M232" t="n">
        <v>0.01</v>
      </c>
      <c r="N232" t="n">
        <v>0.01</v>
      </c>
      <c r="O232" t="n">
        <v>0.01</v>
      </c>
      <c r="P232" t="n">
        <v>0.01</v>
      </c>
      <c r="Q232" t="n">
        <v>0.01</v>
      </c>
      <c r="R232" t="n">
        <v>0.01</v>
      </c>
      <c r="S232" t="n">
        <v>0.01</v>
      </c>
      <c r="T232" t="n">
        <v>0.01</v>
      </c>
      <c r="U232" t="n">
        <v>0.01</v>
      </c>
      <c r="V232" t="n">
        <v>0.01</v>
      </c>
      <c r="W232" t="n">
        <v>0.01</v>
      </c>
    </row>
    <row r="233">
      <c r="A233" t="inlineStr">
        <is>
          <t>CIMS.CAN.ON.Residential.Dwellings.Building Type.High Density.Vintage.2021-2035 Bldg Code.Heating (Cold)</t>
        </is>
      </c>
      <c r="B233" t="inlineStr">
        <is>
          <t>Sector</t>
        </is>
      </c>
      <c r="C233" t="inlineStr">
        <is>
          <t>ON</t>
        </is>
      </c>
      <c r="D233" t="inlineStr">
        <is>
          <t>Residential</t>
        </is>
      </c>
      <c r="E233" t="inlineStr">
        <is>
          <t>Heating (Cold)</t>
        </is>
      </c>
      <c r="F233" t="inlineStr">
        <is>
          <t>Electric - ASHP / Electric - backup</t>
        </is>
      </c>
      <c r="G233" t="inlineStr">
        <is>
          <t>dcc_learning_min</t>
        </is>
      </c>
      <c r="M233" t="n">
        <v>0.01</v>
      </c>
      <c r="N233" t="n">
        <v>0.01</v>
      </c>
      <c r="O233" t="n">
        <v>0.01</v>
      </c>
      <c r="P233" t="n">
        <v>0.01</v>
      </c>
      <c r="Q233" t="n">
        <v>0.01</v>
      </c>
      <c r="R233" t="n">
        <v>0.01</v>
      </c>
      <c r="S233" t="n">
        <v>0.01</v>
      </c>
      <c r="T233" t="n">
        <v>0.01</v>
      </c>
      <c r="U233" t="n">
        <v>0.01</v>
      </c>
      <c r="V233" t="n">
        <v>0.01</v>
      </c>
      <c r="W233" t="n">
        <v>0.01</v>
      </c>
    </row>
    <row r="234">
      <c r="A234" t="inlineStr">
        <is>
          <t>CIMS.CAN.ON.Residential.Dwellings.Building Type.High Density.Vintage.2021-2035 Bldg Code.Heating (Cold)</t>
        </is>
      </c>
      <c r="B234" t="inlineStr">
        <is>
          <t>Sector</t>
        </is>
      </c>
      <c r="C234" t="inlineStr">
        <is>
          <t>ON</t>
        </is>
      </c>
      <c r="D234" t="inlineStr">
        <is>
          <t>Residential</t>
        </is>
      </c>
      <c r="E234" t="inlineStr">
        <is>
          <t>Heating (Cold)</t>
        </is>
      </c>
      <c r="F234" t="inlineStr">
        <is>
          <t>Electric - GSHP</t>
        </is>
      </c>
      <c r="G234" t="inlineStr">
        <is>
          <t>dcc_learning_min</t>
        </is>
      </c>
      <c r="M234" t="n">
        <v>0.01</v>
      </c>
      <c r="N234" t="n">
        <v>0.01</v>
      </c>
      <c r="O234" t="n">
        <v>0.01</v>
      </c>
      <c r="P234" t="n">
        <v>0.01</v>
      </c>
      <c r="Q234" t="n">
        <v>0.01</v>
      </c>
      <c r="R234" t="n">
        <v>0.01</v>
      </c>
      <c r="S234" t="n">
        <v>0.01</v>
      </c>
      <c r="T234" t="n">
        <v>0.01</v>
      </c>
      <c r="U234" t="n">
        <v>0.01</v>
      </c>
      <c r="V234" t="n">
        <v>0.01</v>
      </c>
      <c r="W234" t="n">
        <v>0.01</v>
      </c>
    </row>
    <row r="235">
      <c r="A235" t="inlineStr">
        <is>
          <t>CIMS.CAN.ON.Residential.Dwellings.Building Type.High Density.Vintage.&gt;2035 Bldg Code.Heating (Cold)</t>
        </is>
      </c>
      <c r="B235" t="inlineStr">
        <is>
          <t>Sector</t>
        </is>
      </c>
      <c r="C235" t="inlineStr">
        <is>
          <t>ON</t>
        </is>
      </c>
      <c r="D235" t="inlineStr">
        <is>
          <t>Residential</t>
        </is>
      </c>
      <c r="E235" t="inlineStr">
        <is>
          <t>Heating (Cold)</t>
        </is>
      </c>
      <c r="F235" t="inlineStr">
        <is>
          <t>Electric - ASHP / NG - backup</t>
        </is>
      </c>
      <c r="G235" t="inlineStr">
        <is>
          <t>dcc_learning_min</t>
        </is>
      </c>
      <c r="M235" t="n">
        <v>0.01</v>
      </c>
      <c r="N235" t="n">
        <v>0.01</v>
      </c>
      <c r="O235" t="n">
        <v>0.01</v>
      </c>
      <c r="P235" t="n">
        <v>0.01</v>
      </c>
      <c r="Q235" t="n">
        <v>0.01</v>
      </c>
      <c r="R235" t="n">
        <v>0.01</v>
      </c>
      <c r="S235" t="n">
        <v>0.01</v>
      </c>
      <c r="T235" t="n">
        <v>0.01</v>
      </c>
      <c r="U235" t="n">
        <v>0.01</v>
      </c>
      <c r="V235" t="n">
        <v>0.01</v>
      </c>
      <c r="W235" t="n">
        <v>0.01</v>
      </c>
    </row>
    <row r="236">
      <c r="A236" t="inlineStr">
        <is>
          <t>CIMS.CAN.ON.Residential.Dwellings.Building Type.High Density.Vintage.&gt;2035 Bldg Code.Heating (Cold)</t>
        </is>
      </c>
      <c r="B236" t="inlineStr">
        <is>
          <t>Sector</t>
        </is>
      </c>
      <c r="C236" t="inlineStr">
        <is>
          <t>ON</t>
        </is>
      </c>
      <c r="D236" t="inlineStr">
        <is>
          <t>Residential</t>
        </is>
      </c>
      <c r="E236" t="inlineStr">
        <is>
          <t>Heating (Cold)</t>
        </is>
      </c>
      <c r="F236" t="inlineStr">
        <is>
          <t>Electric - ASHP / Electric - backup</t>
        </is>
      </c>
      <c r="G236" t="inlineStr">
        <is>
          <t>dcc_learning_min</t>
        </is>
      </c>
      <c r="M236" t="n">
        <v>0.01</v>
      </c>
      <c r="N236" t="n">
        <v>0.01</v>
      </c>
      <c r="O236" t="n">
        <v>0.01</v>
      </c>
      <c r="P236" t="n">
        <v>0.01</v>
      </c>
      <c r="Q236" t="n">
        <v>0.01</v>
      </c>
      <c r="R236" t="n">
        <v>0.01</v>
      </c>
      <c r="S236" t="n">
        <v>0.01</v>
      </c>
      <c r="T236" t="n">
        <v>0.01</v>
      </c>
      <c r="U236" t="n">
        <v>0.01</v>
      </c>
      <c r="V236" t="n">
        <v>0.01</v>
      </c>
      <c r="W236" t="n">
        <v>0.01</v>
      </c>
    </row>
    <row r="237">
      <c r="A237" t="inlineStr">
        <is>
          <t>CIMS.CAN.ON.Residential.Dwellings.Building Type.High Density.Vintage.&gt;2035 Bldg Code.Heating (Cold)</t>
        </is>
      </c>
      <c r="B237" t="inlineStr">
        <is>
          <t>Sector</t>
        </is>
      </c>
      <c r="C237" t="inlineStr">
        <is>
          <t>ON</t>
        </is>
      </c>
      <c r="D237" t="inlineStr">
        <is>
          <t>Residential</t>
        </is>
      </c>
      <c r="E237" t="inlineStr">
        <is>
          <t>Heating (Cold)</t>
        </is>
      </c>
      <c r="F237" t="inlineStr">
        <is>
          <t>Electric - GSHP</t>
        </is>
      </c>
      <c r="G237" t="inlineStr">
        <is>
          <t>dcc_learning_min</t>
        </is>
      </c>
      <c r="M237" t="n">
        <v>0.01</v>
      </c>
      <c r="N237" t="n">
        <v>0.01</v>
      </c>
      <c r="O237" t="n">
        <v>0.01</v>
      </c>
      <c r="P237" t="n">
        <v>0.01</v>
      </c>
      <c r="Q237" t="n">
        <v>0.01</v>
      </c>
      <c r="R237" t="n">
        <v>0.01</v>
      </c>
      <c r="S237" t="n">
        <v>0.01</v>
      </c>
      <c r="T237" t="n">
        <v>0.01</v>
      </c>
      <c r="U237" t="n">
        <v>0.01</v>
      </c>
      <c r="V237" t="n">
        <v>0.01</v>
      </c>
      <c r="W237" t="n">
        <v>0.01</v>
      </c>
    </row>
    <row r="238">
      <c r="A238" t="inlineStr">
        <is>
          <t>CIMS.CAN.ON.Residential.Dwellings.Building Type.LowMed Density.Vintage.&lt;1960 Bldg Code.Heating (Cold)</t>
        </is>
      </c>
      <c r="B238" t="inlineStr">
        <is>
          <t>Sector</t>
        </is>
      </c>
      <c r="C238" t="inlineStr">
        <is>
          <t>ON</t>
        </is>
      </c>
      <c r="D238" t="inlineStr">
        <is>
          <t>Residential</t>
        </is>
      </c>
      <c r="E238" t="inlineStr">
        <is>
          <t>Heating (Cold)</t>
        </is>
      </c>
      <c r="F238" t="inlineStr">
        <is>
          <t>Electric - ASHP / NG - backup</t>
        </is>
      </c>
      <c r="G238" t="inlineStr">
        <is>
          <t>dcc_learning_min</t>
        </is>
      </c>
      <c r="M238" t="n">
        <v>0.01</v>
      </c>
      <c r="N238" t="n">
        <v>0.01</v>
      </c>
      <c r="O238" t="n">
        <v>0.01</v>
      </c>
      <c r="P238" t="n">
        <v>0.01</v>
      </c>
      <c r="Q238" t="n">
        <v>0.01</v>
      </c>
      <c r="R238" t="n">
        <v>0.01</v>
      </c>
      <c r="S238" t="n">
        <v>0.01</v>
      </c>
      <c r="T238" t="n">
        <v>0.01</v>
      </c>
      <c r="U238" t="n">
        <v>0.01</v>
      </c>
      <c r="V238" t="n">
        <v>0.01</v>
      </c>
      <c r="W238" t="n">
        <v>0.01</v>
      </c>
    </row>
    <row r="239">
      <c r="A239" t="inlineStr">
        <is>
          <t>CIMS.CAN.ON.Residential.Dwellings.Building Type.LowMed Density.Vintage.&lt;1960 Bldg Code.Heating (Cold)</t>
        </is>
      </c>
      <c r="B239" t="inlineStr">
        <is>
          <t>Sector</t>
        </is>
      </c>
      <c r="C239" t="inlineStr">
        <is>
          <t>ON</t>
        </is>
      </c>
      <c r="D239" t="inlineStr">
        <is>
          <t>Residential</t>
        </is>
      </c>
      <c r="E239" t="inlineStr">
        <is>
          <t>Heating (Cold)</t>
        </is>
      </c>
      <c r="F239" t="inlineStr">
        <is>
          <t>Electric - ASHP / Electric - backup</t>
        </is>
      </c>
      <c r="G239" t="inlineStr">
        <is>
          <t>dcc_learning_min</t>
        </is>
      </c>
      <c r="M239" t="n">
        <v>0.01</v>
      </c>
      <c r="N239" t="n">
        <v>0.01</v>
      </c>
      <c r="O239" t="n">
        <v>0.01</v>
      </c>
      <c r="P239" t="n">
        <v>0.01</v>
      </c>
      <c r="Q239" t="n">
        <v>0.01</v>
      </c>
      <c r="R239" t="n">
        <v>0.01</v>
      </c>
      <c r="S239" t="n">
        <v>0.01</v>
      </c>
      <c r="T239" t="n">
        <v>0.01</v>
      </c>
      <c r="U239" t="n">
        <v>0.01</v>
      </c>
      <c r="V239" t="n">
        <v>0.01</v>
      </c>
      <c r="W239" t="n">
        <v>0.01</v>
      </c>
    </row>
    <row r="240">
      <c r="A240" t="inlineStr">
        <is>
          <t>CIMS.CAN.ON.Residential.Dwellings.Building Type.LowMed Density.Vintage.1961-1980 Bldg Code.Heating (Cold)</t>
        </is>
      </c>
      <c r="B240" t="inlineStr">
        <is>
          <t>Sector</t>
        </is>
      </c>
      <c r="C240" t="inlineStr">
        <is>
          <t>ON</t>
        </is>
      </c>
      <c r="D240" t="inlineStr">
        <is>
          <t>Residential</t>
        </is>
      </c>
      <c r="E240" t="inlineStr">
        <is>
          <t>Heating (Cold)</t>
        </is>
      </c>
      <c r="F240" t="inlineStr">
        <is>
          <t>Electric - ASHP / NG - backup</t>
        </is>
      </c>
      <c r="G240" t="inlineStr">
        <is>
          <t>dcc_learning_min</t>
        </is>
      </c>
      <c r="M240" t="n">
        <v>0.01</v>
      </c>
      <c r="N240" t="n">
        <v>0.01</v>
      </c>
      <c r="O240" t="n">
        <v>0.01</v>
      </c>
      <c r="P240" t="n">
        <v>0.01</v>
      </c>
      <c r="Q240" t="n">
        <v>0.01</v>
      </c>
      <c r="R240" t="n">
        <v>0.01</v>
      </c>
      <c r="S240" t="n">
        <v>0.01</v>
      </c>
      <c r="T240" t="n">
        <v>0.01</v>
      </c>
      <c r="U240" t="n">
        <v>0.01</v>
      </c>
      <c r="V240" t="n">
        <v>0.01</v>
      </c>
      <c r="W240" t="n">
        <v>0.01</v>
      </c>
    </row>
    <row r="241">
      <c r="A241" t="inlineStr">
        <is>
          <t>CIMS.CAN.ON.Residential.Dwellings.Building Type.LowMed Density.Vintage.1961-1980 Bldg Code.Heating (Cold)</t>
        </is>
      </c>
      <c r="B241" t="inlineStr">
        <is>
          <t>Sector</t>
        </is>
      </c>
      <c r="C241" t="inlineStr">
        <is>
          <t>ON</t>
        </is>
      </c>
      <c r="D241" t="inlineStr">
        <is>
          <t>Residential</t>
        </is>
      </c>
      <c r="E241" t="inlineStr">
        <is>
          <t>Heating (Cold)</t>
        </is>
      </c>
      <c r="F241" t="inlineStr">
        <is>
          <t>Electric - ASHP / Electric - backup</t>
        </is>
      </c>
      <c r="G241" t="inlineStr">
        <is>
          <t>dcc_learning_min</t>
        </is>
      </c>
      <c r="M241" t="n">
        <v>0.01</v>
      </c>
      <c r="N241" t="n">
        <v>0.01</v>
      </c>
      <c r="O241" t="n">
        <v>0.01</v>
      </c>
      <c r="P241" t="n">
        <v>0.01</v>
      </c>
      <c r="Q241" t="n">
        <v>0.01</v>
      </c>
      <c r="R241" t="n">
        <v>0.01</v>
      </c>
      <c r="S241" t="n">
        <v>0.01</v>
      </c>
      <c r="T241" t="n">
        <v>0.01</v>
      </c>
      <c r="U241" t="n">
        <v>0.01</v>
      </c>
      <c r="V241" t="n">
        <v>0.01</v>
      </c>
      <c r="W241" t="n">
        <v>0.01</v>
      </c>
    </row>
    <row r="242">
      <c r="A242" t="inlineStr">
        <is>
          <t>CIMS.CAN.ON.Residential.Dwellings.Building Type.LowMed Density.Vintage.1981-2000 Bldg Code.Heating (Cold)</t>
        </is>
      </c>
      <c r="B242" t="inlineStr">
        <is>
          <t>Sector</t>
        </is>
      </c>
      <c r="C242" t="inlineStr">
        <is>
          <t>ON</t>
        </is>
      </c>
      <c r="D242" t="inlineStr">
        <is>
          <t>Residential</t>
        </is>
      </c>
      <c r="E242" t="inlineStr">
        <is>
          <t>Heating (Cold)</t>
        </is>
      </c>
      <c r="F242" t="inlineStr">
        <is>
          <t>Electric - ASHP / NG - backup</t>
        </is>
      </c>
      <c r="G242" t="inlineStr">
        <is>
          <t>dcc_learning_min</t>
        </is>
      </c>
      <c r="M242" t="n">
        <v>0.01</v>
      </c>
      <c r="N242" t="n">
        <v>0.01</v>
      </c>
      <c r="O242" t="n">
        <v>0.01</v>
      </c>
      <c r="P242" t="n">
        <v>0.01</v>
      </c>
      <c r="Q242" t="n">
        <v>0.01</v>
      </c>
      <c r="R242" t="n">
        <v>0.01</v>
      </c>
      <c r="S242" t="n">
        <v>0.01</v>
      </c>
      <c r="T242" t="n">
        <v>0.01</v>
      </c>
      <c r="U242" t="n">
        <v>0.01</v>
      </c>
      <c r="V242" t="n">
        <v>0.01</v>
      </c>
      <c r="W242" t="n">
        <v>0.01</v>
      </c>
    </row>
    <row r="243">
      <c r="A243" t="inlineStr">
        <is>
          <t>CIMS.CAN.ON.Residential.Dwellings.Building Type.LowMed Density.Vintage.1981-2000 Bldg Code.Heating (Cold)</t>
        </is>
      </c>
      <c r="B243" t="inlineStr">
        <is>
          <t>Sector</t>
        </is>
      </c>
      <c r="C243" t="inlineStr">
        <is>
          <t>ON</t>
        </is>
      </c>
      <c r="D243" t="inlineStr">
        <is>
          <t>Residential</t>
        </is>
      </c>
      <c r="E243" t="inlineStr">
        <is>
          <t>Heating (Cold)</t>
        </is>
      </c>
      <c r="F243" t="inlineStr">
        <is>
          <t>Electric - ASHP / Electric - backup</t>
        </is>
      </c>
      <c r="G243" t="inlineStr">
        <is>
          <t>dcc_learning_min</t>
        </is>
      </c>
      <c r="M243" t="n">
        <v>0.01</v>
      </c>
      <c r="N243" t="n">
        <v>0.01</v>
      </c>
      <c r="O243" t="n">
        <v>0.01</v>
      </c>
      <c r="P243" t="n">
        <v>0.01</v>
      </c>
      <c r="Q243" t="n">
        <v>0.01</v>
      </c>
      <c r="R243" t="n">
        <v>0.01</v>
      </c>
      <c r="S243" t="n">
        <v>0.01</v>
      </c>
      <c r="T243" t="n">
        <v>0.01</v>
      </c>
      <c r="U243" t="n">
        <v>0.01</v>
      </c>
      <c r="V243" t="n">
        <v>0.01</v>
      </c>
      <c r="W243" t="n">
        <v>0.01</v>
      </c>
    </row>
    <row r="244">
      <c r="A244" t="inlineStr">
        <is>
          <t>CIMS.CAN.ON.Residential.Dwellings.Building Type.LowMed Density.Vintage.2001-2020 Bldg Code.Heating (Cold)</t>
        </is>
      </c>
      <c r="B244" t="inlineStr">
        <is>
          <t>Sector</t>
        </is>
      </c>
      <c r="C244" t="inlineStr">
        <is>
          <t>ON</t>
        </is>
      </c>
      <c r="D244" t="inlineStr">
        <is>
          <t>Residential</t>
        </is>
      </c>
      <c r="E244" t="inlineStr">
        <is>
          <t>Heating (Cold)</t>
        </is>
      </c>
      <c r="F244" t="inlineStr">
        <is>
          <t>Electric - ASHP / NG - backup</t>
        </is>
      </c>
      <c r="G244" t="inlineStr">
        <is>
          <t>dcc_learning_min</t>
        </is>
      </c>
      <c r="M244" t="n">
        <v>0.01</v>
      </c>
      <c r="N244" t="n">
        <v>0.01</v>
      </c>
      <c r="O244" t="n">
        <v>0.01</v>
      </c>
      <c r="P244" t="n">
        <v>0.01</v>
      </c>
      <c r="Q244" t="n">
        <v>0.01</v>
      </c>
      <c r="R244" t="n">
        <v>0.01</v>
      </c>
      <c r="S244" t="n">
        <v>0.01</v>
      </c>
      <c r="T244" t="n">
        <v>0.01</v>
      </c>
      <c r="U244" t="n">
        <v>0.01</v>
      </c>
      <c r="V244" t="n">
        <v>0.01</v>
      </c>
      <c r="W244" t="n">
        <v>0.01</v>
      </c>
    </row>
    <row r="245">
      <c r="A245" t="inlineStr">
        <is>
          <t>CIMS.CAN.ON.Residential.Dwellings.Building Type.LowMed Density.Vintage.2001-2020 Bldg Code.Heating (Cold)</t>
        </is>
      </c>
      <c r="B245" t="inlineStr">
        <is>
          <t>Sector</t>
        </is>
      </c>
      <c r="C245" t="inlineStr">
        <is>
          <t>ON</t>
        </is>
      </c>
      <c r="D245" t="inlineStr">
        <is>
          <t>Residential</t>
        </is>
      </c>
      <c r="E245" t="inlineStr">
        <is>
          <t>Heating (Cold)</t>
        </is>
      </c>
      <c r="F245" t="inlineStr">
        <is>
          <t>Electric - ASHP / Electric - backup</t>
        </is>
      </c>
      <c r="G245" t="inlineStr">
        <is>
          <t>dcc_learning_min</t>
        </is>
      </c>
      <c r="M245" t="n">
        <v>0.01</v>
      </c>
      <c r="N245" t="n">
        <v>0.01</v>
      </c>
      <c r="O245" t="n">
        <v>0.01</v>
      </c>
      <c r="P245" t="n">
        <v>0.01</v>
      </c>
      <c r="Q245" t="n">
        <v>0.01</v>
      </c>
      <c r="R245" t="n">
        <v>0.01</v>
      </c>
      <c r="S245" t="n">
        <v>0.01</v>
      </c>
      <c r="T245" t="n">
        <v>0.01</v>
      </c>
      <c r="U245" t="n">
        <v>0.01</v>
      </c>
      <c r="V245" t="n">
        <v>0.01</v>
      </c>
      <c r="W245" t="n">
        <v>0.01</v>
      </c>
    </row>
    <row r="246">
      <c r="A246" t="inlineStr">
        <is>
          <t>CIMS.CAN.ON.Residential.Dwellings.Building Type.LowMed Density.Vintage.2021-2035 Bldg Code.Heating (Cold)</t>
        </is>
      </c>
      <c r="B246" t="inlineStr">
        <is>
          <t>Sector</t>
        </is>
      </c>
      <c r="C246" t="inlineStr">
        <is>
          <t>ON</t>
        </is>
      </c>
      <c r="D246" t="inlineStr">
        <is>
          <t>Residential</t>
        </is>
      </c>
      <c r="E246" t="inlineStr">
        <is>
          <t>Heating (Cold)</t>
        </is>
      </c>
      <c r="F246" t="inlineStr">
        <is>
          <t>Electric - ASHP / NG - backup</t>
        </is>
      </c>
      <c r="G246" t="inlineStr">
        <is>
          <t>dcc_learning_min</t>
        </is>
      </c>
      <c r="M246" t="n">
        <v>0.01</v>
      </c>
      <c r="N246" t="n">
        <v>0.01</v>
      </c>
      <c r="O246" t="n">
        <v>0.01</v>
      </c>
      <c r="P246" t="n">
        <v>0.01</v>
      </c>
      <c r="Q246" t="n">
        <v>0.01</v>
      </c>
      <c r="R246" t="n">
        <v>0.01</v>
      </c>
      <c r="S246" t="n">
        <v>0.01</v>
      </c>
      <c r="T246" t="n">
        <v>0.01</v>
      </c>
      <c r="U246" t="n">
        <v>0.01</v>
      </c>
      <c r="V246" t="n">
        <v>0.01</v>
      </c>
      <c r="W246" t="n">
        <v>0.01</v>
      </c>
    </row>
    <row r="247">
      <c r="A247" t="inlineStr">
        <is>
          <t>CIMS.CAN.ON.Residential.Dwellings.Building Type.LowMed Density.Vintage.2021-2035 Bldg Code.Heating (Cold)</t>
        </is>
      </c>
      <c r="B247" t="inlineStr">
        <is>
          <t>Sector</t>
        </is>
      </c>
      <c r="C247" t="inlineStr">
        <is>
          <t>ON</t>
        </is>
      </c>
      <c r="D247" t="inlineStr">
        <is>
          <t>Residential</t>
        </is>
      </c>
      <c r="E247" t="inlineStr">
        <is>
          <t>Heating (Cold)</t>
        </is>
      </c>
      <c r="F247" t="inlineStr">
        <is>
          <t>Electric - ASHP / Electric - backup</t>
        </is>
      </c>
      <c r="G247" t="inlineStr">
        <is>
          <t>dcc_learning_min</t>
        </is>
      </c>
      <c r="M247" t="n">
        <v>0.01</v>
      </c>
      <c r="N247" t="n">
        <v>0.01</v>
      </c>
      <c r="O247" t="n">
        <v>0.01</v>
      </c>
      <c r="P247" t="n">
        <v>0.01</v>
      </c>
      <c r="Q247" t="n">
        <v>0.01</v>
      </c>
      <c r="R247" t="n">
        <v>0.01</v>
      </c>
      <c r="S247" t="n">
        <v>0.01</v>
      </c>
      <c r="T247" t="n">
        <v>0.01</v>
      </c>
      <c r="U247" t="n">
        <v>0.01</v>
      </c>
      <c r="V247" t="n">
        <v>0.01</v>
      </c>
      <c r="W247" t="n">
        <v>0.01</v>
      </c>
    </row>
    <row r="248">
      <c r="A248" t="inlineStr">
        <is>
          <t>CIMS.CAN.ON.Residential.Dwellings.Building Type.LowMed Density.Vintage.&gt;2035 Bldg Code.Heating (Cold)</t>
        </is>
      </c>
      <c r="B248" t="inlineStr">
        <is>
          <t>Sector</t>
        </is>
      </c>
      <c r="C248" t="inlineStr">
        <is>
          <t>ON</t>
        </is>
      </c>
      <c r="D248" t="inlineStr">
        <is>
          <t>Residential</t>
        </is>
      </c>
      <c r="E248" t="inlineStr">
        <is>
          <t>Heating (Cold)</t>
        </is>
      </c>
      <c r="F248" t="inlineStr">
        <is>
          <t>Electric - ASHP / NG - backup</t>
        </is>
      </c>
      <c r="G248" t="inlineStr">
        <is>
          <t>dcc_learning_min</t>
        </is>
      </c>
      <c r="M248" t="n">
        <v>0.01</v>
      </c>
      <c r="N248" t="n">
        <v>0.01</v>
      </c>
      <c r="O248" t="n">
        <v>0.01</v>
      </c>
      <c r="P248" t="n">
        <v>0.01</v>
      </c>
      <c r="Q248" t="n">
        <v>0.01</v>
      </c>
      <c r="R248" t="n">
        <v>0.01</v>
      </c>
      <c r="S248" t="n">
        <v>0.01</v>
      </c>
      <c r="T248" t="n">
        <v>0.01</v>
      </c>
      <c r="U248" t="n">
        <v>0.01</v>
      </c>
      <c r="V248" t="n">
        <v>0.01</v>
      </c>
      <c r="W248" t="n">
        <v>0.01</v>
      </c>
    </row>
    <row r="249">
      <c r="A249" t="inlineStr">
        <is>
          <t>CIMS.CAN.ON.Residential.Dwellings.Building Type.LowMed Density.Vintage.&gt;2035 Bldg Code.Heating (Cold)</t>
        </is>
      </c>
      <c r="B249" t="inlineStr">
        <is>
          <t>Sector</t>
        </is>
      </c>
      <c r="C249" t="inlineStr">
        <is>
          <t>ON</t>
        </is>
      </c>
      <c r="D249" t="inlineStr">
        <is>
          <t>Residential</t>
        </is>
      </c>
      <c r="E249" t="inlineStr">
        <is>
          <t>Heating (Cold)</t>
        </is>
      </c>
      <c r="F249" t="inlineStr">
        <is>
          <t>Electric - ASHP / Electric - backup</t>
        </is>
      </c>
      <c r="G249" t="inlineStr">
        <is>
          <t>dcc_learning_min</t>
        </is>
      </c>
      <c r="M249" t="n">
        <v>0.01</v>
      </c>
      <c r="N249" t="n">
        <v>0.01</v>
      </c>
      <c r="O249" t="n">
        <v>0.01</v>
      </c>
      <c r="P249" t="n">
        <v>0.01</v>
      </c>
      <c r="Q249" t="n">
        <v>0.01</v>
      </c>
      <c r="R249" t="n">
        <v>0.01</v>
      </c>
      <c r="S249" t="n">
        <v>0.01</v>
      </c>
      <c r="T249" t="n">
        <v>0.01</v>
      </c>
      <c r="U249" t="n">
        <v>0.01</v>
      </c>
      <c r="V249" t="n">
        <v>0.01</v>
      </c>
      <c r="W249" t="n">
        <v>0.01</v>
      </c>
    </row>
    <row r="250">
      <c r="A250" t="inlineStr">
        <is>
          <t>CIMS.CAN.ON.Residential.Dwellings.Building Type.High Density.Vintage.&lt;1960 Bldg Code.Heating (Cold)</t>
        </is>
      </c>
      <c r="B250" t="inlineStr">
        <is>
          <t>Sector</t>
        </is>
      </c>
      <c r="C250" t="inlineStr">
        <is>
          <t>ON</t>
        </is>
      </c>
      <c r="D250" t="inlineStr">
        <is>
          <t>Residential</t>
        </is>
      </c>
      <c r="E250" t="inlineStr">
        <is>
          <t>Heating (Cold)</t>
        </is>
      </c>
      <c r="F250" t="inlineStr">
        <is>
          <t>Electric - ASHP / NG - backup</t>
        </is>
      </c>
      <c r="G250" t="inlineStr">
        <is>
          <t>dcc_capacity_1</t>
        </is>
      </c>
      <c r="M250" t="n">
        <v>27120000</v>
      </c>
      <c r="N250" t="n">
        <v>27120000</v>
      </c>
      <c r="O250" t="n">
        <v>27120000</v>
      </c>
      <c r="P250" t="n">
        <v>27120000</v>
      </c>
      <c r="Q250" t="n">
        <v>27120000</v>
      </c>
      <c r="R250" t="n">
        <v>27120000</v>
      </c>
      <c r="S250" t="n">
        <v>27120000</v>
      </c>
      <c r="T250" t="n">
        <v>27120000</v>
      </c>
      <c r="U250" t="n">
        <v>27120000</v>
      </c>
      <c r="V250" t="n">
        <v>27120000</v>
      </c>
      <c r="W250" t="n">
        <v>27120000</v>
      </c>
    </row>
    <row r="251">
      <c r="A251" t="inlineStr">
        <is>
          <t>CIMS.CAN.ON.Residential.Dwellings.Building Type.High Density.Vintage.&lt;1960 Bldg Code.Heating (Cold)</t>
        </is>
      </c>
      <c r="B251" t="inlineStr">
        <is>
          <t>Sector</t>
        </is>
      </c>
      <c r="C251" t="inlineStr">
        <is>
          <t>ON</t>
        </is>
      </c>
      <c r="D251" t="inlineStr">
        <is>
          <t>Residential</t>
        </is>
      </c>
      <c r="E251" t="inlineStr">
        <is>
          <t>Heating (Cold)</t>
        </is>
      </c>
      <c r="F251" t="inlineStr">
        <is>
          <t>Electric - ASHP / Electric - backup</t>
        </is>
      </c>
      <c r="G251" t="inlineStr">
        <is>
          <t>dcc_capacity_1</t>
        </is>
      </c>
      <c r="M251" t="n">
        <v>27120000</v>
      </c>
      <c r="N251" t="n">
        <v>27120000</v>
      </c>
      <c r="O251" t="n">
        <v>27120000</v>
      </c>
      <c r="P251" t="n">
        <v>27120000</v>
      </c>
      <c r="Q251" t="n">
        <v>27120000</v>
      </c>
      <c r="R251" t="n">
        <v>27120000</v>
      </c>
      <c r="S251" t="n">
        <v>27120000</v>
      </c>
      <c r="T251" t="n">
        <v>27120000</v>
      </c>
      <c r="U251" t="n">
        <v>27120000</v>
      </c>
      <c r="V251" t="n">
        <v>27120000</v>
      </c>
      <c r="W251" t="n">
        <v>27120000</v>
      </c>
    </row>
    <row r="252">
      <c r="A252" t="inlineStr">
        <is>
          <t>CIMS.CAN.ON.Residential.Dwellings.Building Type.High Density.Vintage.1961-1980 Bldg Code.Heating (Cold)</t>
        </is>
      </c>
      <c r="B252" t="inlineStr">
        <is>
          <t>Sector</t>
        </is>
      </c>
      <c r="C252" t="inlineStr">
        <is>
          <t>ON</t>
        </is>
      </c>
      <c r="D252" t="inlineStr">
        <is>
          <t>Residential</t>
        </is>
      </c>
      <c r="E252" t="inlineStr">
        <is>
          <t>Heating (Cold)</t>
        </is>
      </c>
      <c r="F252" t="inlineStr">
        <is>
          <t>Electric - ASHP / NG - backup</t>
        </is>
      </c>
      <c r="G252" t="inlineStr">
        <is>
          <t>dcc_capacity_1</t>
        </is>
      </c>
      <c r="M252" t="n">
        <v>27120000</v>
      </c>
      <c r="N252" t="n">
        <v>27120000</v>
      </c>
      <c r="O252" t="n">
        <v>27120000</v>
      </c>
      <c r="P252" t="n">
        <v>27120000</v>
      </c>
      <c r="Q252" t="n">
        <v>27120000</v>
      </c>
      <c r="R252" t="n">
        <v>27120000</v>
      </c>
      <c r="S252" t="n">
        <v>27120000</v>
      </c>
      <c r="T252" t="n">
        <v>27120000</v>
      </c>
      <c r="U252" t="n">
        <v>27120000</v>
      </c>
      <c r="V252" t="n">
        <v>27120000</v>
      </c>
      <c r="W252" t="n">
        <v>27120000</v>
      </c>
    </row>
    <row r="253">
      <c r="A253" t="inlineStr">
        <is>
          <t>CIMS.CAN.ON.Residential.Dwellings.Building Type.High Density.Vintage.1961-1980 Bldg Code.Heating (Cold)</t>
        </is>
      </c>
      <c r="B253" t="inlineStr">
        <is>
          <t>Sector</t>
        </is>
      </c>
      <c r="C253" t="inlineStr">
        <is>
          <t>ON</t>
        </is>
      </c>
      <c r="D253" t="inlineStr">
        <is>
          <t>Residential</t>
        </is>
      </c>
      <c r="E253" t="inlineStr">
        <is>
          <t>Heating (Cold)</t>
        </is>
      </c>
      <c r="F253" t="inlineStr">
        <is>
          <t>Electric - ASHP / Electric - backup</t>
        </is>
      </c>
      <c r="G253" t="inlineStr">
        <is>
          <t>dcc_capacity_1</t>
        </is>
      </c>
      <c r="M253" t="n">
        <v>27120000</v>
      </c>
      <c r="N253" t="n">
        <v>27120000</v>
      </c>
      <c r="O253" t="n">
        <v>27120000</v>
      </c>
      <c r="P253" t="n">
        <v>27120000</v>
      </c>
      <c r="Q253" t="n">
        <v>27120000</v>
      </c>
      <c r="R253" t="n">
        <v>27120000</v>
      </c>
      <c r="S253" t="n">
        <v>27120000</v>
      </c>
      <c r="T253" t="n">
        <v>27120000</v>
      </c>
      <c r="U253" t="n">
        <v>27120000</v>
      </c>
      <c r="V253" t="n">
        <v>27120000</v>
      </c>
      <c r="W253" t="n">
        <v>27120000</v>
      </c>
    </row>
    <row r="254">
      <c r="A254" t="inlineStr">
        <is>
          <t>CIMS.CAN.ON.Residential.Dwellings.Building Type.High Density.Vintage.1981-2000 Bldg Code.Heating (Cold)</t>
        </is>
      </c>
      <c r="B254" t="inlineStr">
        <is>
          <t>Sector</t>
        </is>
      </c>
      <c r="C254" t="inlineStr">
        <is>
          <t>ON</t>
        </is>
      </c>
      <c r="D254" t="inlineStr">
        <is>
          <t>Residential</t>
        </is>
      </c>
      <c r="E254" t="inlineStr">
        <is>
          <t>Heating (Cold)</t>
        </is>
      </c>
      <c r="F254" t="inlineStr">
        <is>
          <t>Electric - ASHP / NG - backup</t>
        </is>
      </c>
      <c r="G254" t="inlineStr">
        <is>
          <t>dcc_capacity_1</t>
        </is>
      </c>
      <c r="M254" t="n">
        <v>27120000</v>
      </c>
      <c r="N254" t="n">
        <v>27120000</v>
      </c>
      <c r="O254" t="n">
        <v>27120000</v>
      </c>
      <c r="P254" t="n">
        <v>27120000</v>
      </c>
      <c r="Q254" t="n">
        <v>27120000</v>
      </c>
      <c r="R254" t="n">
        <v>27120000</v>
      </c>
      <c r="S254" t="n">
        <v>27120000</v>
      </c>
      <c r="T254" t="n">
        <v>27120000</v>
      </c>
      <c r="U254" t="n">
        <v>27120000</v>
      </c>
      <c r="V254" t="n">
        <v>27120000</v>
      </c>
      <c r="W254" t="n">
        <v>27120000</v>
      </c>
    </row>
    <row r="255">
      <c r="A255" t="inlineStr">
        <is>
          <t>CIMS.CAN.ON.Residential.Dwellings.Building Type.High Density.Vintage.1981-2000 Bldg Code.Heating (Cold)</t>
        </is>
      </c>
      <c r="B255" t="inlineStr">
        <is>
          <t>Sector</t>
        </is>
      </c>
      <c r="C255" t="inlineStr">
        <is>
          <t>ON</t>
        </is>
      </c>
      <c r="D255" t="inlineStr">
        <is>
          <t>Residential</t>
        </is>
      </c>
      <c r="E255" t="inlineStr">
        <is>
          <t>Heating (Cold)</t>
        </is>
      </c>
      <c r="F255" t="inlineStr">
        <is>
          <t>Electric - ASHP / Electric - backup</t>
        </is>
      </c>
      <c r="G255" t="inlineStr">
        <is>
          <t>dcc_capacity_1</t>
        </is>
      </c>
      <c r="M255" t="n">
        <v>27120000</v>
      </c>
      <c r="N255" t="n">
        <v>27120000</v>
      </c>
      <c r="O255" t="n">
        <v>27120000</v>
      </c>
      <c r="P255" t="n">
        <v>27120000</v>
      </c>
      <c r="Q255" t="n">
        <v>27120000</v>
      </c>
      <c r="R255" t="n">
        <v>27120000</v>
      </c>
      <c r="S255" t="n">
        <v>27120000</v>
      </c>
      <c r="T255" t="n">
        <v>27120000</v>
      </c>
      <c r="U255" t="n">
        <v>27120000</v>
      </c>
      <c r="V255" t="n">
        <v>27120000</v>
      </c>
      <c r="W255" t="n">
        <v>27120000</v>
      </c>
    </row>
    <row r="256">
      <c r="A256" t="inlineStr">
        <is>
          <t>CIMS.CAN.ON.Residential.Dwellings.Building Type.High Density.Vintage.2001-2020 Bldg Code.Heating (Cold)</t>
        </is>
      </c>
      <c r="B256" t="inlineStr">
        <is>
          <t>Sector</t>
        </is>
      </c>
      <c r="C256" t="inlineStr">
        <is>
          <t>ON</t>
        </is>
      </c>
      <c r="D256" t="inlineStr">
        <is>
          <t>Residential</t>
        </is>
      </c>
      <c r="E256" t="inlineStr">
        <is>
          <t>Heating (Cold)</t>
        </is>
      </c>
      <c r="F256" t="inlineStr">
        <is>
          <t>Electric - ASHP / NG - backup</t>
        </is>
      </c>
      <c r="G256" t="inlineStr">
        <is>
          <t>dcc_capacity_1</t>
        </is>
      </c>
      <c r="M256" t="n">
        <v>27120000</v>
      </c>
      <c r="N256" t="n">
        <v>27120000</v>
      </c>
      <c r="O256" t="n">
        <v>27120000</v>
      </c>
      <c r="P256" t="n">
        <v>27120000</v>
      </c>
      <c r="Q256" t="n">
        <v>27120000</v>
      </c>
      <c r="R256" t="n">
        <v>27120000</v>
      </c>
      <c r="S256" t="n">
        <v>27120000</v>
      </c>
      <c r="T256" t="n">
        <v>27120000</v>
      </c>
      <c r="U256" t="n">
        <v>27120000</v>
      </c>
      <c r="V256" t="n">
        <v>27120000</v>
      </c>
      <c r="W256" t="n">
        <v>27120000</v>
      </c>
    </row>
    <row r="257">
      <c r="A257" t="inlineStr">
        <is>
          <t>CIMS.CAN.ON.Residential.Dwellings.Building Type.High Density.Vintage.2001-2020 Bldg Code.Heating (Cold)</t>
        </is>
      </c>
      <c r="B257" t="inlineStr">
        <is>
          <t>Sector</t>
        </is>
      </c>
      <c r="C257" t="inlineStr">
        <is>
          <t>ON</t>
        </is>
      </c>
      <c r="D257" t="inlineStr">
        <is>
          <t>Residential</t>
        </is>
      </c>
      <c r="E257" t="inlineStr">
        <is>
          <t>Heating (Cold)</t>
        </is>
      </c>
      <c r="F257" t="inlineStr">
        <is>
          <t>Electric - ASHP / Electric - backup</t>
        </is>
      </c>
      <c r="G257" t="inlineStr">
        <is>
          <t>dcc_capacity_1</t>
        </is>
      </c>
      <c r="M257" t="n">
        <v>27120000</v>
      </c>
      <c r="N257" t="n">
        <v>27120000</v>
      </c>
      <c r="O257" t="n">
        <v>27120000</v>
      </c>
      <c r="P257" t="n">
        <v>27120000</v>
      </c>
      <c r="Q257" t="n">
        <v>27120000</v>
      </c>
      <c r="R257" t="n">
        <v>27120000</v>
      </c>
      <c r="S257" t="n">
        <v>27120000</v>
      </c>
      <c r="T257" t="n">
        <v>27120000</v>
      </c>
      <c r="U257" t="n">
        <v>27120000</v>
      </c>
      <c r="V257" t="n">
        <v>27120000</v>
      </c>
      <c r="W257" t="n">
        <v>27120000</v>
      </c>
    </row>
    <row r="258">
      <c r="A258" t="inlineStr">
        <is>
          <t>CIMS.CAN.ON.Residential.Dwellings.Building Type.High Density.Vintage.2001-2020 Bldg Code.Heating (Cold)</t>
        </is>
      </c>
      <c r="B258" t="inlineStr">
        <is>
          <t>Sector</t>
        </is>
      </c>
      <c r="C258" t="inlineStr">
        <is>
          <t>ON</t>
        </is>
      </c>
      <c r="D258" t="inlineStr">
        <is>
          <t>Residential</t>
        </is>
      </c>
      <c r="E258" t="inlineStr">
        <is>
          <t>Heating (Cold)</t>
        </is>
      </c>
      <c r="F258" t="inlineStr">
        <is>
          <t>Electric - GSHP</t>
        </is>
      </c>
      <c r="G258" t="inlineStr">
        <is>
          <t>dcc_capacity_1</t>
        </is>
      </c>
      <c r="M258" t="n">
        <v>27120000</v>
      </c>
      <c r="N258" t="n">
        <v>27120000</v>
      </c>
      <c r="O258" t="n">
        <v>27120000</v>
      </c>
      <c r="P258" t="n">
        <v>27120000</v>
      </c>
      <c r="Q258" t="n">
        <v>27120000</v>
      </c>
      <c r="R258" t="n">
        <v>27120000</v>
      </c>
      <c r="S258" t="n">
        <v>27120000</v>
      </c>
      <c r="T258" t="n">
        <v>27120000</v>
      </c>
      <c r="U258" t="n">
        <v>27120000</v>
      </c>
      <c r="V258" t="n">
        <v>27120000</v>
      </c>
      <c r="W258" t="n">
        <v>27120000</v>
      </c>
    </row>
    <row r="259">
      <c r="A259" t="inlineStr">
        <is>
          <t>CIMS.CAN.ON.Residential.Dwellings.Building Type.High Density.Vintage.2021-2035 Bldg Code.Heating (Cold)</t>
        </is>
      </c>
      <c r="B259" t="inlineStr">
        <is>
          <t>Sector</t>
        </is>
      </c>
      <c r="C259" t="inlineStr">
        <is>
          <t>ON</t>
        </is>
      </c>
      <c r="D259" t="inlineStr">
        <is>
          <t>Residential</t>
        </is>
      </c>
      <c r="E259" t="inlineStr">
        <is>
          <t>Heating (Cold)</t>
        </is>
      </c>
      <c r="F259" t="inlineStr">
        <is>
          <t>Electric - ASHP / NG - backup</t>
        </is>
      </c>
      <c r="G259" t="inlineStr">
        <is>
          <t>dcc_capacity_1</t>
        </is>
      </c>
      <c r="M259" t="n">
        <v>27120000</v>
      </c>
      <c r="N259" t="n">
        <v>27120000</v>
      </c>
      <c r="O259" t="n">
        <v>27120000</v>
      </c>
      <c r="P259" t="n">
        <v>27120000</v>
      </c>
      <c r="Q259" t="n">
        <v>27120000</v>
      </c>
      <c r="R259" t="n">
        <v>27120000</v>
      </c>
      <c r="S259" t="n">
        <v>27120000</v>
      </c>
      <c r="T259" t="n">
        <v>27120000</v>
      </c>
      <c r="U259" t="n">
        <v>27120000</v>
      </c>
      <c r="V259" t="n">
        <v>27120000</v>
      </c>
      <c r="W259" t="n">
        <v>27120000</v>
      </c>
    </row>
    <row r="260">
      <c r="A260" t="inlineStr">
        <is>
          <t>CIMS.CAN.ON.Residential.Dwellings.Building Type.High Density.Vintage.2021-2035 Bldg Code.Heating (Cold)</t>
        </is>
      </c>
      <c r="B260" t="inlineStr">
        <is>
          <t>Sector</t>
        </is>
      </c>
      <c r="C260" t="inlineStr">
        <is>
          <t>ON</t>
        </is>
      </c>
      <c r="D260" t="inlineStr">
        <is>
          <t>Residential</t>
        </is>
      </c>
      <c r="E260" t="inlineStr">
        <is>
          <t>Heating (Cold)</t>
        </is>
      </c>
      <c r="F260" t="inlineStr">
        <is>
          <t>Electric - ASHP / Electric - backup</t>
        </is>
      </c>
      <c r="G260" t="inlineStr">
        <is>
          <t>dcc_capacity_1</t>
        </is>
      </c>
      <c r="M260" t="n">
        <v>27120000</v>
      </c>
      <c r="N260" t="n">
        <v>27120000</v>
      </c>
      <c r="O260" t="n">
        <v>27120000</v>
      </c>
      <c r="P260" t="n">
        <v>27120000</v>
      </c>
      <c r="Q260" t="n">
        <v>27120000</v>
      </c>
      <c r="R260" t="n">
        <v>27120000</v>
      </c>
      <c r="S260" t="n">
        <v>27120000</v>
      </c>
      <c r="T260" t="n">
        <v>27120000</v>
      </c>
      <c r="U260" t="n">
        <v>27120000</v>
      </c>
      <c r="V260" t="n">
        <v>27120000</v>
      </c>
      <c r="W260" t="n">
        <v>27120000</v>
      </c>
    </row>
    <row r="261">
      <c r="A261" t="inlineStr">
        <is>
          <t>CIMS.CAN.ON.Residential.Dwellings.Building Type.High Density.Vintage.2021-2035 Bldg Code.Heating (Cold)</t>
        </is>
      </c>
      <c r="B261" t="inlineStr">
        <is>
          <t>Sector</t>
        </is>
      </c>
      <c r="C261" t="inlineStr">
        <is>
          <t>ON</t>
        </is>
      </c>
      <c r="D261" t="inlineStr">
        <is>
          <t>Residential</t>
        </is>
      </c>
      <c r="E261" t="inlineStr">
        <is>
          <t>Heating (Cold)</t>
        </is>
      </c>
      <c r="F261" t="inlineStr">
        <is>
          <t>Electric - GSHP</t>
        </is>
      </c>
      <c r="G261" t="inlineStr">
        <is>
          <t>dcc_capacity_1</t>
        </is>
      </c>
      <c r="M261" t="n">
        <v>27120000</v>
      </c>
      <c r="N261" t="n">
        <v>27120000</v>
      </c>
      <c r="O261" t="n">
        <v>27120000</v>
      </c>
      <c r="P261" t="n">
        <v>27120000</v>
      </c>
      <c r="Q261" t="n">
        <v>27120000</v>
      </c>
      <c r="R261" t="n">
        <v>27120000</v>
      </c>
      <c r="S261" t="n">
        <v>27120000</v>
      </c>
      <c r="T261" t="n">
        <v>27120000</v>
      </c>
      <c r="U261" t="n">
        <v>27120000</v>
      </c>
      <c r="V261" t="n">
        <v>27120000</v>
      </c>
      <c r="W261" t="n">
        <v>27120000</v>
      </c>
    </row>
    <row r="262">
      <c r="A262" t="inlineStr">
        <is>
          <t>CIMS.CAN.ON.Residential.Dwellings.Building Type.High Density.Vintage.&gt;2035 Bldg Code.Heating (Cold)</t>
        </is>
      </c>
      <c r="B262" t="inlineStr">
        <is>
          <t>Sector</t>
        </is>
      </c>
      <c r="C262" t="inlineStr">
        <is>
          <t>ON</t>
        </is>
      </c>
      <c r="D262" t="inlineStr">
        <is>
          <t>Residential</t>
        </is>
      </c>
      <c r="E262" t="inlineStr">
        <is>
          <t>Heating (Cold)</t>
        </is>
      </c>
      <c r="F262" t="inlineStr">
        <is>
          <t>Electric - ASHP / NG - backup</t>
        </is>
      </c>
      <c r="G262" t="inlineStr">
        <is>
          <t>dcc_capacity_1</t>
        </is>
      </c>
      <c r="M262" t="n">
        <v>27120000</v>
      </c>
      <c r="N262" t="n">
        <v>27120000</v>
      </c>
      <c r="O262" t="n">
        <v>27120000</v>
      </c>
      <c r="P262" t="n">
        <v>27120000</v>
      </c>
      <c r="Q262" t="n">
        <v>27120000</v>
      </c>
      <c r="R262" t="n">
        <v>27120000</v>
      </c>
      <c r="S262" t="n">
        <v>27120000</v>
      </c>
      <c r="T262" t="n">
        <v>27120000</v>
      </c>
      <c r="U262" t="n">
        <v>27120000</v>
      </c>
      <c r="V262" t="n">
        <v>27120000</v>
      </c>
      <c r="W262" t="n">
        <v>27120000</v>
      </c>
    </row>
    <row r="263">
      <c r="A263" t="inlineStr">
        <is>
          <t>CIMS.CAN.ON.Residential.Dwellings.Building Type.High Density.Vintage.&gt;2035 Bldg Code.Heating (Cold)</t>
        </is>
      </c>
      <c r="B263" t="inlineStr">
        <is>
          <t>Sector</t>
        </is>
      </c>
      <c r="C263" t="inlineStr">
        <is>
          <t>ON</t>
        </is>
      </c>
      <c r="D263" t="inlineStr">
        <is>
          <t>Residential</t>
        </is>
      </c>
      <c r="E263" t="inlineStr">
        <is>
          <t>Heating (Cold)</t>
        </is>
      </c>
      <c r="F263" t="inlineStr">
        <is>
          <t>Electric - ASHP / Electric - backup</t>
        </is>
      </c>
      <c r="G263" t="inlineStr">
        <is>
          <t>dcc_capacity_1</t>
        </is>
      </c>
      <c r="M263" t="n">
        <v>27120000</v>
      </c>
      <c r="N263" t="n">
        <v>27120000</v>
      </c>
      <c r="O263" t="n">
        <v>27120000</v>
      </c>
      <c r="P263" t="n">
        <v>27120000</v>
      </c>
      <c r="Q263" t="n">
        <v>27120000</v>
      </c>
      <c r="R263" t="n">
        <v>27120000</v>
      </c>
      <c r="S263" t="n">
        <v>27120000</v>
      </c>
      <c r="T263" t="n">
        <v>27120000</v>
      </c>
      <c r="U263" t="n">
        <v>27120000</v>
      </c>
      <c r="V263" t="n">
        <v>27120000</v>
      </c>
      <c r="W263" t="n">
        <v>27120000</v>
      </c>
    </row>
    <row r="264">
      <c r="A264" t="inlineStr">
        <is>
          <t>CIMS.CAN.ON.Residential.Dwellings.Building Type.High Density.Vintage.&gt;2035 Bldg Code.Heating (Cold)</t>
        </is>
      </c>
      <c r="B264" t="inlineStr">
        <is>
          <t>Sector</t>
        </is>
      </c>
      <c r="C264" t="inlineStr">
        <is>
          <t>ON</t>
        </is>
      </c>
      <c r="D264" t="inlineStr">
        <is>
          <t>Residential</t>
        </is>
      </c>
      <c r="E264" t="inlineStr">
        <is>
          <t>Heating (Cold)</t>
        </is>
      </c>
      <c r="F264" t="inlineStr">
        <is>
          <t>Electric - GSHP</t>
        </is>
      </c>
      <c r="G264" t="inlineStr">
        <is>
          <t>dcc_capacity_1</t>
        </is>
      </c>
      <c r="M264" t="n">
        <v>27120000</v>
      </c>
      <c r="N264" t="n">
        <v>27120000</v>
      </c>
      <c r="O264" t="n">
        <v>27120000</v>
      </c>
      <c r="P264" t="n">
        <v>27120000</v>
      </c>
      <c r="Q264" t="n">
        <v>27120000</v>
      </c>
      <c r="R264" t="n">
        <v>27120000</v>
      </c>
      <c r="S264" t="n">
        <v>27120000</v>
      </c>
      <c r="T264" t="n">
        <v>27120000</v>
      </c>
      <c r="U264" t="n">
        <v>27120000</v>
      </c>
      <c r="V264" t="n">
        <v>27120000</v>
      </c>
      <c r="W264" t="n">
        <v>27120000</v>
      </c>
    </row>
    <row r="265">
      <c r="A265" t="inlineStr">
        <is>
          <t>CIMS.CAN.ON.Residential.Dwellings.Building Type.LowMed Density.Vintage.&lt;1960 Bldg Code.Heating (Cold)</t>
        </is>
      </c>
      <c r="B265" t="inlineStr">
        <is>
          <t>Sector</t>
        </is>
      </c>
      <c r="C265" t="inlineStr">
        <is>
          <t>ON</t>
        </is>
      </c>
      <c r="D265" t="inlineStr">
        <is>
          <t>Residential</t>
        </is>
      </c>
      <c r="E265" t="inlineStr">
        <is>
          <t>Heating (Cold)</t>
        </is>
      </c>
      <c r="F265" t="inlineStr">
        <is>
          <t>Electric - ASHP / NG - backup</t>
        </is>
      </c>
      <c r="G265" t="inlineStr">
        <is>
          <t>dcc_capacity_1</t>
        </is>
      </c>
      <c r="M265" t="n">
        <v>27120000</v>
      </c>
      <c r="N265" t="n">
        <v>27120000</v>
      </c>
      <c r="O265" t="n">
        <v>27120000</v>
      </c>
      <c r="P265" t="n">
        <v>27120000</v>
      </c>
      <c r="Q265" t="n">
        <v>27120000</v>
      </c>
      <c r="R265" t="n">
        <v>27120000</v>
      </c>
      <c r="S265" t="n">
        <v>27120000</v>
      </c>
      <c r="T265" t="n">
        <v>27120000</v>
      </c>
      <c r="U265" t="n">
        <v>27120000</v>
      </c>
      <c r="V265" t="n">
        <v>27120000</v>
      </c>
      <c r="W265" t="n">
        <v>27120000</v>
      </c>
    </row>
    <row r="266">
      <c r="A266" t="inlineStr">
        <is>
          <t>CIMS.CAN.ON.Residential.Dwellings.Building Type.LowMed Density.Vintage.&lt;1960 Bldg Code.Heating (Cold)</t>
        </is>
      </c>
      <c r="B266" t="inlineStr">
        <is>
          <t>Sector</t>
        </is>
      </c>
      <c r="C266" t="inlineStr">
        <is>
          <t>ON</t>
        </is>
      </c>
      <c r="D266" t="inlineStr">
        <is>
          <t>Residential</t>
        </is>
      </c>
      <c r="E266" t="inlineStr">
        <is>
          <t>Heating (Cold)</t>
        </is>
      </c>
      <c r="F266" t="inlineStr">
        <is>
          <t>Electric - ASHP / Electric - backup</t>
        </is>
      </c>
      <c r="G266" t="inlineStr">
        <is>
          <t>dcc_capacity_1</t>
        </is>
      </c>
      <c r="M266" t="n">
        <v>27120000</v>
      </c>
      <c r="N266" t="n">
        <v>27120000</v>
      </c>
      <c r="O266" t="n">
        <v>27120000</v>
      </c>
      <c r="P266" t="n">
        <v>27120000</v>
      </c>
      <c r="Q266" t="n">
        <v>27120000</v>
      </c>
      <c r="R266" t="n">
        <v>27120000</v>
      </c>
      <c r="S266" t="n">
        <v>27120000</v>
      </c>
      <c r="T266" t="n">
        <v>27120000</v>
      </c>
      <c r="U266" t="n">
        <v>27120000</v>
      </c>
      <c r="V266" t="n">
        <v>27120000</v>
      </c>
      <c r="W266" t="n">
        <v>27120000</v>
      </c>
    </row>
    <row r="267">
      <c r="A267" t="inlineStr">
        <is>
          <t>CIMS.CAN.ON.Residential.Dwellings.Building Type.LowMed Density.Vintage.1961-1980 Bldg Code.Heating (Cold)</t>
        </is>
      </c>
      <c r="B267" t="inlineStr">
        <is>
          <t>Sector</t>
        </is>
      </c>
      <c r="C267" t="inlineStr">
        <is>
          <t>ON</t>
        </is>
      </c>
      <c r="D267" t="inlineStr">
        <is>
          <t>Residential</t>
        </is>
      </c>
      <c r="E267" t="inlineStr">
        <is>
          <t>Heating (Cold)</t>
        </is>
      </c>
      <c r="F267" t="inlineStr">
        <is>
          <t>Electric - ASHP / NG - backup</t>
        </is>
      </c>
      <c r="G267" t="inlineStr">
        <is>
          <t>dcc_capacity_1</t>
        </is>
      </c>
      <c r="M267" t="n">
        <v>27120000</v>
      </c>
      <c r="N267" t="n">
        <v>27120000</v>
      </c>
      <c r="O267" t="n">
        <v>27120000</v>
      </c>
      <c r="P267" t="n">
        <v>27120000</v>
      </c>
      <c r="Q267" t="n">
        <v>27120000</v>
      </c>
      <c r="R267" t="n">
        <v>27120000</v>
      </c>
      <c r="S267" t="n">
        <v>27120000</v>
      </c>
      <c r="T267" t="n">
        <v>27120000</v>
      </c>
      <c r="U267" t="n">
        <v>27120000</v>
      </c>
      <c r="V267" t="n">
        <v>27120000</v>
      </c>
      <c r="W267" t="n">
        <v>27120000</v>
      </c>
    </row>
    <row r="268">
      <c r="A268" t="inlineStr">
        <is>
          <t>CIMS.CAN.ON.Residential.Dwellings.Building Type.LowMed Density.Vintage.1961-1980 Bldg Code.Heating (Cold)</t>
        </is>
      </c>
      <c r="B268" t="inlineStr">
        <is>
          <t>Sector</t>
        </is>
      </c>
      <c r="C268" t="inlineStr">
        <is>
          <t>ON</t>
        </is>
      </c>
      <c r="D268" t="inlineStr">
        <is>
          <t>Residential</t>
        </is>
      </c>
      <c r="E268" t="inlineStr">
        <is>
          <t>Heating (Cold)</t>
        </is>
      </c>
      <c r="F268" t="inlineStr">
        <is>
          <t>Electric - ASHP / Electric - backup</t>
        </is>
      </c>
      <c r="G268" t="inlineStr">
        <is>
          <t>dcc_capacity_1</t>
        </is>
      </c>
      <c r="M268" t="n">
        <v>27120000</v>
      </c>
      <c r="N268" t="n">
        <v>27120000</v>
      </c>
      <c r="O268" t="n">
        <v>27120000</v>
      </c>
      <c r="P268" t="n">
        <v>27120000</v>
      </c>
      <c r="Q268" t="n">
        <v>27120000</v>
      </c>
      <c r="R268" t="n">
        <v>27120000</v>
      </c>
      <c r="S268" t="n">
        <v>27120000</v>
      </c>
      <c r="T268" t="n">
        <v>27120000</v>
      </c>
      <c r="U268" t="n">
        <v>27120000</v>
      </c>
      <c r="V268" t="n">
        <v>27120000</v>
      </c>
      <c r="W268" t="n">
        <v>27120000</v>
      </c>
    </row>
    <row r="269">
      <c r="A269" t="inlineStr">
        <is>
          <t>CIMS.CAN.ON.Residential.Dwellings.Building Type.LowMed Density.Vintage.1981-2000 Bldg Code.Heating (Cold)</t>
        </is>
      </c>
      <c r="B269" t="inlineStr">
        <is>
          <t>Sector</t>
        </is>
      </c>
      <c r="C269" t="inlineStr">
        <is>
          <t>ON</t>
        </is>
      </c>
      <c r="D269" t="inlineStr">
        <is>
          <t>Residential</t>
        </is>
      </c>
      <c r="E269" t="inlineStr">
        <is>
          <t>Heating (Cold)</t>
        </is>
      </c>
      <c r="F269" t="inlineStr">
        <is>
          <t>Electric - ASHP / NG - backup</t>
        </is>
      </c>
      <c r="G269" t="inlineStr">
        <is>
          <t>dcc_capacity_1</t>
        </is>
      </c>
      <c r="M269" t="n">
        <v>27120000</v>
      </c>
      <c r="N269" t="n">
        <v>27120000</v>
      </c>
      <c r="O269" t="n">
        <v>27120000</v>
      </c>
      <c r="P269" t="n">
        <v>27120000</v>
      </c>
      <c r="Q269" t="n">
        <v>27120000</v>
      </c>
      <c r="R269" t="n">
        <v>27120000</v>
      </c>
      <c r="S269" t="n">
        <v>27120000</v>
      </c>
      <c r="T269" t="n">
        <v>27120000</v>
      </c>
      <c r="U269" t="n">
        <v>27120000</v>
      </c>
      <c r="V269" t="n">
        <v>27120000</v>
      </c>
      <c r="W269" t="n">
        <v>27120000</v>
      </c>
    </row>
    <row r="270">
      <c r="A270" t="inlineStr">
        <is>
          <t>CIMS.CAN.ON.Residential.Dwellings.Building Type.LowMed Density.Vintage.1981-2000 Bldg Code.Heating (Cold)</t>
        </is>
      </c>
      <c r="B270" t="inlineStr">
        <is>
          <t>Sector</t>
        </is>
      </c>
      <c r="C270" t="inlineStr">
        <is>
          <t>ON</t>
        </is>
      </c>
      <c r="D270" t="inlineStr">
        <is>
          <t>Residential</t>
        </is>
      </c>
      <c r="E270" t="inlineStr">
        <is>
          <t>Heating (Cold)</t>
        </is>
      </c>
      <c r="F270" t="inlineStr">
        <is>
          <t>Electric - ASHP / Electric - backup</t>
        </is>
      </c>
      <c r="G270" t="inlineStr">
        <is>
          <t>dcc_capacity_1</t>
        </is>
      </c>
      <c r="M270" t="n">
        <v>27120000</v>
      </c>
      <c r="N270" t="n">
        <v>27120000</v>
      </c>
      <c r="O270" t="n">
        <v>27120000</v>
      </c>
      <c r="P270" t="n">
        <v>27120000</v>
      </c>
      <c r="Q270" t="n">
        <v>27120000</v>
      </c>
      <c r="R270" t="n">
        <v>27120000</v>
      </c>
      <c r="S270" t="n">
        <v>27120000</v>
      </c>
      <c r="T270" t="n">
        <v>27120000</v>
      </c>
      <c r="U270" t="n">
        <v>27120000</v>
      </c>
      <c r="V270" t="n">
        <v>27120000</v>
      </c>
      <c r="W270" t="n">
        <v>27120000</v>
      </c>
    </row>
    <row r="271">
      <c r="A271" t="inlineStr">
        <is>
          <t>CIMS.CAN.ON.Residential.Dwellings.Building Type.LowMed Density.Vintage.2001-2020 Bldg Code.Heating (Cold)</t>
        </is>
      </c>
      <c r="B271" t="inlineStr">
        <is>
          <t>Sector</t>
        </is>
      </c>
      <c r="C271" t="inlineStr">
        <is>
          <t>ON</t>
        </is>
      </c>
      <c r="D271" t="inlineStr">
        <is>
          <t>Residential</t>
        </is>
      </c>
      <c r="E271" t="inlineStr">
        <is>
          <t>Heating (Cold)</t>
        </is>
      </c>
      <c r="F271" t="inlineStr">
        <is>
          <t>Electric - ASHP / NG - backup</t>
        </is>
      </c>
      <c r="G271" t="inlineStr">
        <is>
          <t>dcc_capacity_1</t>
        </is>
      </c>
      <c r="M271" t="n">
        <v>27120000</v>
      </c>
      <c r="N271" t="n">
        <v>27120000</v>
      </c>
      <c r="O271" t="n">
        <v>27120000</v>
      </c>
      <c r="P271" t="n">
        <v>27120000</v>
      </c>
      <c r="Q271" t="n">
        <v>27120000</v>
      </c>
      <c r="R271" t="n">
        <v>27120000</v>
      </c>
      <c r="S271" t="n">
        <v>27120000</v>
      </c>
      <c r="T271" t="n">
        <v>27120000</v>
      </c>
      <c r="U271" t="n">
        <v>27120000</v>
      </c>
      <c r="V271" t="n">
        <v>27120000</v>
      </c>
      <c r="W271" t="n">
        <v>27120000</v>
      </c>
    </row>
    <row r="272">
      <c r="A272" t="inlineStr">
        <is>
          <t>CIMS.CAN.ON.Residential.Dwellings.Building Type.LowMed Density.Vintage.2001-2020 Bldg Code.Heating (Cold)</t>
        </is>
      </c>
      <c r="B272" t="inlineStr">
        <is>
          <t>Sector</t>
        </is>
      </c>
      <c r="C272" t="inlineStr">
        <is>
          <t>ON</t>
        </is>
      </c>
      <c r="D272" t="inlineStr">
        <is>
          <t>Residential</t>
        </is>
      </c>
      <c r="E272" t="inlineStr">
        <is>
          <t>Heating (Cold)</t>
        </is>
      </c>
      <c r="F272" t="inlineStr">
        <is>
          <t>Electric - ASHP / Electric - backup</t>
        </is>
      </c>
      <c r="G272" t="inlineStr">
        <is>
          <t>dcc_capacity_1</t>
        </is>
      </c>
      <c r="M272" t="n">
        <v>27120000</v>
      </c>
      <c r="N272" t="n">
        <v>27120000</v>
      </c>
      <c r="O272" t="n">
        <v>27120000</v>
      </c>
      <c r="P272" t="n">
        <v>27120000</v>
      </c>
      <c r="Q272" t="n">
        <v>27120000</v>
      </c>
      <c r="R272" t="n">
        <v>27120000</v>
      </c>
      <c r="S272" t="n">
        <v>27120000</v>
      </c>
      <c r="T272" t="n">
        <v>27120000</v>
      </c>
      <c r="U272" t="n">
        <v>27120000</v>
      </c>
      <c r="V272" t="n">
        <v>27120000</v>
      </c>
      <c r="W272" t="n">
        <v>27120000</v>
      </c>
    </row>
    <row r="273">
      <c r="A273" t="inlineStr">
        <is>
          <t>CIMS.CAN.ON.Residential.Dwellings.Building Type.LowMed Density.Vintage.2021-2035 Bldg Code.Heating (Cold)</t>
        </is>
      </c>
      <c r="B273" t="inlineStr">
        <is>
          <t>Sector</t>
        </is>
      </c>
      <c r="C273" t="inlineStr">
        <is>
          <t>ON</t>
        </is>
      </c>
      <c r="D273" t="inlineStr">
        <is>
          <t>Residential</t>
        </is>
      </c>
      <c r="E273" t="inlineStr">
        <is>
          <t>Heating (Cold)</t>
        </is>
      </c>
      <c r="F273" t="inlineStr">
        <is>
          <t>Electric - ASHP / NG - backup</t>
        </is>
      </c>
      <c r="G273" t="inlineStr">
        <is>
          <t>dcc_capacity_1</t>
        </is>
      </c>
      <c r="M273" t="n">
        <v>27120000</v>
      </c>
      <c r="N273" t="n">
        <v>27120000</v>
      </c>
      <c r="O273" t="n">
        <v>27120000</v>
      </c>
      <c r="P273" t="n">
        <v>27120000</v>
      </c>
      <c r="Q273" t="n">
        <v>27120000</v>
      </c>
      <c r="R273" t="n">
        <v>27120000</v>
      </c>
      <c r="S273" t="n">
        <v>27120000</v>
      </c>
      <c r="T273" t="n">
        <v>27120000</v>
      </c>
      <c r="U273" t="n">
        <v>27120000</v>
      </c>
      <c r="V273" t="n">
        <v>27120000</v>
      </c>
      <c r="W273" t="n">
        <v>27120000</v>
      </c>
    </row>
    <row r="274">
      <c r="A274" t="inlineStr">
        <is>
          <t>CIMS.CAN.ON.Residential.Dwellings.Building Type.LowMed Density.Vintage.2021-2035 Bldg Code.Heating (Cold)</t>
        </is>
      </c>
      <c r="B274" t="inlineStr">
        <is>
          <t>Sector</t>
        </is>
      </c>
      <c r="C274" t="inlineStr">
        <is>
          <t>ON</t>
        </is>
      </c>
      <c r="D274" t="inlineStr">
        <is>
          <t>Residential</t>
        </is>
      </c>
      <c r="E274" t="inlineStr">
        <is>
          <t>Heating (Cold)</t>
        </is>
      </c>
      <c r="F274" t="inlineStr">
        <is>
          <t>Electric - ASHP / Electric - backup</t>
        </is>
      </c>
      <c r="G274" t="inlineStr">
        <is>
          <t>dcc_capacity_1</t>
        </is>
      </c>
      <c r="M274" t="n">
        <v>27120000</v>
      </c>
      <c r="N274" t="n">
        <v>27120000</v>
      </c>
      <c r="O274" t="n">
        <v>27120000</v>
      </c>
      <c r="P274" t="n">
        <v>27120000</v>
      </c>
      <c r="Q274" t="n">
        <v>27120000</v>
      </c>
      <c r="R274" t="n">
        <v>27120000</v>
      </c>
      <c r="S274" t="n">
        <v>27120000</v>
      </c>
      <c r="T274" t="n">
        <v>27120000</v>
      </c>
      <c r="U274" t="n">
        <v>27120000</v>
      </c>
      <c r="V274" t="n">
        <v>27120000</v>
      </c>
      <c r="W274" t="n">
        <v>27120000</v>
      </c>
    </row>
    <row r="275">
      <c r="A275" t="inlineStr">
        <is>
          <t>CIMS.CAN.ON.Residential.Dwellings.Building Type.LowMed Density.Vintage.&gt;2035 Bldg Code.Heating (Cold)</t>
        </is>
      </c>
      <c r="B275" t="inlineStr">
        <is>
          <t>Sector</t>
        </is>
      </c>
      <c r="C275" t="inlineStr">
        <is>
          <t>ON</t>
        </is>
      </c>
      <c r="D275" t="inlineStr">
        <is>
          <t>Residential</t>
        </is>
      </c>
      <c r="E275" t="inlineStr">
        <is>
          <t>Heating (Cold)</t>
        </is>
      </c>
      <c r="F275" t="inlineStr">
        <is>
          <t>Electric - ASHP / NG - backup</t>
        </is>
      </c>
      <c r="G275" t="inlineStr">
        <is>
          <t>dcc_capacity_1</t>
        </is>
      </c>
      <c r="M275" t="n">
        <v>27120000</v>
      </c>
      <c r="N275" t="n">
        <v>27120000</v>
      </c>
      <c r="O275" t="n">
        <v>27120000</v>
      </c>
      <c r="P275" t="n">
        <v>27120000</v>
      </c>
      <c r="Q275" t="n">
        <v>27120000</v>
      </c>
      <c r="R275" t="n">
        <v>27120000</v>
      </c>
      <c r="S275" t="n">
        <v>27120000</v>
      </c>
      <c r="T275" t="n">
        <v>27120000</v>
      </c>
      <c r="U275" t="n">
        <v>27120000</v>
      </c>
      <c r="V275" t="n">
        <v>27120000</v>
      </c>
      <c r="W275" t="n">
        <v>27120000</v>
      </c>
    </row>
    <row r="276">
      <c r="A276" t="inlineStr">
        <is>
          <t>CIMS.CAN.ON.Residential.Dwellings.Building Type.LowMed Density.Vintage.&gt;2035 Bldg Code.Heating (Cold)</t>
        </is>
      </c>
      <c r="B276" t="inlineStr">
        <is>
          <t>Sector</t>
        </is>
      </c>
      <c r="C276" t="inlineStr">
        <is>
          <t>ON</t>
        </is>
      </c>
      <c r="D276" t="inlineStr">
        <is>
          <t>Residential</t>
        </is>
      </c>
      <c r="E276" t="inlineStr">
        <is>
          <t>Heating (Cold)</t>
        </is>
      </c>
      <c r="F276" t="inlineStr">
        <is>
          <t>Electric - ASHP / Electric - backup</t>
        </is>
      </c>
      <c r="G276" t="inlineStr">
        <is>
          <t>dcc_capacity_1</t>
        </is>
      </c>
      <c r="M276" t="n">
        <v>27120000</v>
      </c>
      <c r="N276" t="n">
        <v>27120000</v>
      </c>
      <c r="O276" t="n">
        <v>27120000</v>
      </c>
      <c r="P276" t="n">
        <v>27120000</v>
      </c>
      <c r="Q276" t="n">
        <v>27120000</v>
      </c>
      <c r="R276" t="n">
        <v>27120000</v>
      </c>
      <c r="S276" t="n">
        <v>27120000</v>
      </c>
      <c r="T276" t="n">
        <v>27120000</v>
      </c>
      <c r="U276" t="n">
        <v>27120000</v>
      </c>
      <c r="V276" t="n">
        <v>27120000</v>
      </c>
      <c r="W276" t="n">
        <v>27120000</v>
      </c>
    </row>
    <row r="277">
      <c r="A277" t="inlineStr">
        <is>
          <t>CIMS.CAN.ON.Residential.Dwellings.Building Type.High Density.Vintage.&lt;1960 Bldg Code.Heating (Cold)</t>
        </is>
      </c>
      <c r="B277" t="inlineStr">
        <is>
          <t>Sector</t>
        </is>
      </c>
      <c r="C277" t="inlineStr">
        <is>
          <t>ON</t>
        </is>
      </c>
      <c r="D277" t="inlineStr">
        <is>
          <t>Residential</t>
        </is>
      </c>
      <c r="E277" t="inlineStr">
        <is>
          <t>Heating (Cold)</t>
        </is>
      </c>
      <c r="F277" t="inlineStr">
        <is>
          <t>Electric - ASHP / NG - backup</t>
        </is>
      </c>
      <c r="G277" t="inlineStr">
        <is>
          <t>dcc_progress_ratio_1</t>
        </is>
      </c>
      <c r="M277" t="n">
        <v>0.9</v>
      </c>
      <c r="N277" t="n">
        <v>0.9</v>
      </c>
      <c r="O277" t="n">
        <v>0.9</v>
      </c>
      <c r="P277" t="n">
        <v>0.9</v>
      </c>
      <c r="Q277" t="n">
        <v>0.9</v>
      </c>
      <c r="R277" t="n">
        <v>0.9</v>
      </c>
      <c r="S277" t="n">
        <v>0.9</v>
      </c>
      <c r="T277" t="n">
        <v>0.9</v>
      </c>
      <c r="U277" t="n">
        <v>0.9</v>
      </c>
      <c r="V277" t="n">
        <v>0.9</v>
      </c>
      <c r="W277" t="n">
        <v>0.9</v>
      </c>
    </row>
    <row r="278">
      <c r="A278" t="inlineStr">
        <is>
          <t>CIMS.CAN.ON.Residential.Dwellings.Building Type.High Density.Vintage.&lt;1960 Bldg Code.Heating (Cold)</t>
        </is>
      </c>
      <c r="B278" t="inlineStr">
        <is>
          <t>Sector</t>
        </is>
      </c>
      <c r="C278" t="inlineStr">
        <is>
          <t>ON</t>
        </is>
      </c>
      <c r="D278" t="inlineStr">
        <is>
          <t>Residential</t>
        </is>
      </c>
      <c r="E278" t="inlineStr">
        <is>
          <t>Heating (Cold)</t>
        </is>
      </c>
      <c r="F278" t="inlineStr">
        <is>
          <t>Electric - ASHP / Electric - backup</t>
        </is>
      </c>
      <c r="G278" t="inlineStr">
        <is>
          <t>dcc_progress_ratio_1</t>
        </is>
      </c>
      <c r="M278" t="n">
        <v>0.9</v>
      </c>
      <c r="N278" t="n">
        <v>0.9</v>
      </c>
      <c r="O278" t="n">
        <v>0.9</v>
      </c>
      <c r="P278" t="n">
        <v>0.9</v>
      </c>
      <c r="Q278" t="n">
        <v>0.9</v>
      </c>
      <c r="R278" t="n">
        <v>0.9</v>
      </c>
      <c r="S278" t="n">
        <v>0.9</v>
      </c>
      <c r="T278" t="n">
        <v>0.9</v>
      </c>
      <c r="U278" t="n">
        <v>0.9</v>
      </c>
      <c r="V278" t="n">
        <v>0.9</v>
      </c>
      <c r="W278" t="n">
        <v>0.9</v>
      </c>
    </row>
    <row r="279">
      <c r="A279" t="inlineStr">
        <is>
          <t>CIMS.CAN.ON.Residential.Dwellings.Building Type.High Density.Vintage.1961-1980 Bldg Code.Heating (Cold)</t>
        </is>
      </c>
      <c r="B279" t="inlineStr">
        <is>
          <t>Sector</t>
        </is>
      </c>
      <c r="C279" t="inlineStr">
        <is>
          <t>ON</t>
        </is>
      </c>
      <c r="D279" t="inlineStr">
        <is>
          <t>Residential</t>
        </is>
      </c>
      <c r="E279" t="inlineStr">
        <is>
          <t>Heating (Cold)</t>
        </is>
      </c>
      <c r="F279" t="inlineStr">
        <is>
          <t>Electric - ASHP / NG - backup</t>
        </is>
      </c>
      <c r="G279" t="inlineStr">
        <is>
          <t>dcc_progress_ratio_1</t>
        </is>
      </c>
      <c r="M279" t="n">
        <v>0.9</v>
      </c>
      <c r="N279" t="n">
        <v>0.9</v>
      </c>
      <c r="O279" t="n">
        <v>0.9</v>
      </c>
      <c r="P279" t="n">
        <v>0.9</v>
      </c>
      <c r="Q279" t="n">
        <v>0.9</v>
      </c>
      <c r="R279" t="n">
        <v>0.9</v>
      </c>
      <c r="S279" t="n">
        <v>0.9</v>
      </c>
      <c r="T279" t="n">
        <v>0.9</v>
      </c>
      <c r="U279" t="n">
        <v>0.9</v>
      </c>
      <c r="V279" t="n">
        <v>0.9</v>
      </c>
      <c r="W279" t="n">
        <v>0.9</v>
      </c>
    </row>
    <row r="280">
      <c r="A280" t="inlineStr">
        <is>
          <t>CIMS.CAN.ON.Residential.Dwellings.Building Type.High Density.Vintage.1961-1980 Bldg Code.Heating (Cold)</t>
        </is>
      </c>
      <c r="B280" t="inlineStr">
        <is>
          <t>Sector</t>
        </is>
      </c>
      <c r="C280" t="inlineStr">
        <is>
          <t>ON</t>
        </is>
      </c>
      <c r="D280" t="inlineStr">
        <is>
          <t>Residential</t>
        </is>
      </c>
      <c r="E280" t="inlineStr">
        <is>
          <t>Heating (Cold)</t>
        </is>
      </c>
      <c r="F280" t="inlineStr">
        <is>
          <t>Electric - ASHP / Electric - backup</t>
        </is>
      </c>
      <c r="G280" t="inlineStr">
        <is>
          <t>dcc_progress_ratio_1</t>
        </is>
      </c>
      <c r="M280" t="n">
        <v>0.9</v>
      </c>
      <c r="N280" t="n">
        <v>0.9</v>
      </c>
      <c r="O280" t="n">
        <v>0.9</v>
      </c>
      <c r="P280" t="n">
        <v>0.9</v>
      </c>
      <c r="Q280" t="n">
        <v>0.9</v>
      </c>
      <c r="R280" t="n">
        <v>0.9</v>
      </c>
      <c r="S280" t="n">
        <v>0.9</v>
      </c>
      <c r="T280" t="n">
        <v>0.9</v>
      </c>
      <c r="U280" t="n">
        <v>0.9</v>
      </c>
      <c r="V280" t="n">
        <v>0.9</v>
      </c>
      <c r="W280" t="n">
        <v>0.9</v>
      </c>
    </row>
    <row r="281">
      <c r="A281" t="inlineStr">
        <is>
          <t>CIMS.CAN.ON.Residential.Dwellings.Building Type.High Density.Vintage.1981-2000 Bldg Code.Heating (Cold)</t>
        </is>
      </c>
      <c r="B281" t="inlineStr">
        <is>
          <t>Sector</t>
        </is>
      </c>
      <c r="C281" t="inlineStr">
        <is>
          <t>ON</t>
        </is>
      </c>
      <c r="D281" t="inlineStr">
        <is>
          <t>Residential</t>
        </is>
      </c>
      <c r="E281" t="inlineStr">
        <is>
          <t>Heating (Cold)</t>
        </is>
      </c>
      <c r="F281" t="inlineStr">
        <is>
          <t>Electric - ASHP / NG - backup</t>
        </is>
      </c>
      <c r="G281" t="inlineStr">
        <is>
          <t>dcc_progress_ratio_1</t>
        </is>
      </c>
      <c r="M281" t="n">
        <v>0.9</v>
      </c>
      <c r="N281" t="n">
        <v>0.9</v>
      </c>
      <c r="O281" t="n">
        <v>0.9</v>
      </c>
      <c r="P281" t="n">
        <v>0.9</v>
      </c>
      <c r="Q281" t="n">
        <v>0.9</v>
      </c>
      <c r="R281" t="n">
        <v>0.9</v>
      </c>
      <c r="S281" t="n">
        <v>0.9</v>
      </c>
      <c r="T281" t="n">
        <v>0.9</v>
      </c>
      <c r="U281" t="n">
        <v>0.9</v>
      </c>
      <c r="V281" t="n">
        <v>0.9</v>
      </c>
      <c r="W281" t="n">
        <v>0.9</v>
      </c>
    </row>
    <row r="282">
      <c r="A282" t="inlineStr">
        <is>
          <t>CIMS.CAN.ON.Residential.Dwellings.Building Type.High Density.Vintage.1981-2000 Bldg Code.Heating (Cold)</t>
        </is>
      </c>
      <c r="B282" t="inlineStr">
        <is>
          <t>Sector</t>
        </is>
      </c>
      <c r="C282" t="inlineStr">
        <is>
          <t>ON</t>
        </is>
      </c>
      <c r="D282" t="inlineStr">
        <is>
          <t>Residential</t>
        </is>
      </c>
      <c r="E282" t="inlineStr">
        <is>
          <t>Heating (Cold)</t>
        </is>
      </c>
      <c r="F282" t="inlineStr">
        <is>
          <t>Electric - ASHP / Electric - backup</t>
        </is>
      </c>
      <c r="G282" t="inlineStr">
        <is>
          <t>dcc_progress_ratio_1</t>
        </is>
      </c>
      <c r="M282" t="n">
        <v>0.9</v>
      </c>
      <c r="N282" t="n">
        <v>0.9</v>
      </c>
      <c r="O282" t="n">
        <v>0.9</v>
      </c>
      <c r="P282" t="n">
        <v>0.9</v>
      </c>
      <c r="Q282" t="n">
        <v>0.9</v>
      </c>
      <c r="R282" t="n">
        <v>0.9</v>
      </c>
      <c r="S282" t="n">
        <v>0.9</v>
      </c>
      <c r="T282" t="n">
        <v>0.9</v>
      </c>
      <c r="U282" t="n">
        <v>0.9</v>
      </c>
      <c r="V282" t="n">
        <v>0.9</v>
      </c>
      <c r="W282" t="n">
        <v>0.9</v>
      </c>
    </row>
    <row r="283">
      <c r="A283" t="inlineStr">
        <is>
          <t>CIMS.CAN.ON.Residential.Dwellings.Building Type.High Density.Vintage.2001-2020 Bldg Code.Heating (Cold)</t>
        </is>
      </c>
      <c r="B283" t="inlineStr">
        <is>
          <t>Sector</t>
        </is>
      </c>
      <c r="C283" t="inlineStr">
        <is>
          <t>ON</t>
        </is>
      </c>
      <c r="D283" t="inlineStr">
        <is>
          <t>Residential</t>
        </is>
      </c>
      <c r="E283" t="inlineStr">
        <is>
          <t>Heating (Cold)</t>
        </is>
      </c>
      <c r="F283" t="inlineStr">
        <is>
          <t>Electric - ASHP / NG - backup</t>
        </is>
      </c>
      <c r="G283" t="inlineStr">
        <is>
          <t>dcc_progress_ratio_1</t>
        </is>
      </c>
      <c r="M283" t="n">
        <v>0.9</v>
      </c>
      <c r="N283" t="n">
        <v>0.9</v>
      </c>
      <c r="O283" t="n">
        <v>0.9</v>
      </c>
      <c r="P283" t="n">
        <v>0.9</v>
      </c>
      <c r="Q283" t="n">
        <v>0.9</v>
      </c>
      <c r="R283" t="n">
        <v>0.9</v>
      </c>
      <c r="S283" t="n">
        <v>0.9</v>
      </c>
      <c r="T283" t="n">
        <v>0.9</v>
      </c>
      <c r="U283" t="n">
        <v>0.9</v>
      </c>
      <c r="V283" t="n">
        <v>0.9</v>
      </c>
      <c r="W283" t="n">
        <v>0.9</v>
      </c>
    </row>
    <row r="284">
      <c r="A284" t="inlineStr">
        <is>
          <t>CIMS.CAN.ON.Residential.Dwellings.Building Type.High Density.Vintage.2001-2020 Bldg Code.Heating (Cold)</t>
        </is>
      </c>
      <c r="B284" t="inlineStr">
        <is>
          <t>Sector</t>
        </is>
      </c>
      <c r="C284" t="inlineStr">
        <is>
          <t>ON</t>
        </is>
      </c>
      <c r="D284" t="inlineStr">
        <is>
          <t>Residential</t>
        </is>
      </c>
      <c r="E284" t="inlineStr">
        <is>
          <t>Heating (Cold)</t>
        </is>
      </c>
      <c r="F284" t="inlineStr">
        <is>
          <t>Electric - ASHP / Electric - backup</t>
        </is>
      </c>
      <c r="G284" t="inlineStr">
        <is>
          <t>dcc_progress_ratio_1</t>
        </is>
      </c>
      <c r="M284" t="n">
        <v>0.9</v>
      </c>
      <c r="N284" t="n">
        <v>0.9</v>
      </c>
      <c r="O284" t="n">
        <v>0.9</v>
      </c>
      <c r="P284" t="n">
        <v>0.9</v>
      </c>
      <c r="Q284" t="n">
        <v>0.9</v>
      </c>
      <c r="R284" t="n">
        <v>0.9</v>
      </c>
      <c r="S284" t="n">
        <v>0.9</v>
      </c>
      <c r="T284" t="n">
        <v>0.9</v>
      </c>
      <c r="U284" t="n">
        <v>0.9</v>
      </c>
      <c r="V284" t="n">
        <v>0.9</v>
      </c>
      <c r="W284" t="n">
        <v>0.9</v>
      </c>
    </row>
    <row r="285">
      <c r="A285" t="inlineStr">
        <is>
          <t>CIMS.CAN.ON.Residential.Dwellings.Building Type.High Density.Vintage.2001-2020 Bldg Code.Heating (Cold)</t>
        </is>
      </c>
      <c r="B285" t="inlineStr">
        <is>
          <t>Sector</t>
        </is>
      </c>
      <c r="C285" t="inlineStr">
        <is>
          <t>ON</t>
        </is>
      </c>
      <c r="D285" t="inlineStr">
        <is>
          <t>Residential</t>
        </is>
      </c>
      <c r="E285" t="inlineStr">
        <is>
          <t>Heating (Cold)</t>
        </is>
      </c>
      <c r="F285" t="inlineStr">
        <is>
          <t>Electric - GSHP</t>
        </is>
      </c>
      <c r="G285" t="inlineStr">
        <is>
          <t>dcc_progress_ratio_1</t>
        </is>
      </c>
      <c r="M285" t="n">
        <v>0.9</v>
      </c>
      <c r="N285" t="n">
        <v>0.9</v>
      </c>
      <c r="O285" t="n">
        <v>0.9</v>
      </c>
      <c r="P285" t="n">
        <v>0.9</v>
      </c>
      <c r="Q285" t="n">
        <v>0.9</v>
      </c>
      <c r="R285" t="n">
        <v>0.9</v>
      </c>
      <c r="S285" t="n">
        <v>0.9</v>
      </c>
      <c r="T285" t="n">
        <v>0.9</v>
      </c>
      <c r="U285" t="n">
        <v>0.9</v>
      </c>
      <c r="V285" t="n">
        <v>0.9</v>
      </c>
      <c r="W285" t="n">
        <v>0.9</v>
      </c>
    </row>
    <row r="286">
      <c r="A286" t="inlineStr">
        <is>
          <t>CIMS.CAN.ON.Residential.Dwellings.Building Type.High Density.Vintage.2021-2035 Bldg Code.Heating (Cold)</t>
        </is>
      </c>
      <c r="B286" t="inlineStr">
        <is>
          <t>Sector</t>
        </is>
      </c>
      <c r="C286" t="inlineStr">
        <is>
          <t>ON</t>
        </is>
      </c>
      <c r="D286" t="inlineStr">
        <is>
          <t>Residential</t>
        </is>
      </c>
      <c r="E286" t="inlineStr">
        <is>
          <t>Heating (Cold)</t>
        </is>
      </c>
      <c r="F286" t="inlineStr">
        <is>
          <t>Electric - ASHP / NG - backup</t>
        </is>
      </c>
      <c r="G286" t="inlineStr">
        <is>
          <t>dcc_progress_ratio_1</t>
        </is>
      </c>
      <c r="M286" t="n">
        <v>0.9</v>
      </c>
      <c r="N286" t="n">
        <v>0.9</v>
      </c>
      <c r="O286" t="n">
        <v>0.9</v>
      </c>
      <c r="P286" t="n">
        <v>0.9</v>
      </c>
      <c r="Q286" t="n">
        <v>0.9</v>
      </c>
      <c r="R286" t="n">
        <v>0.9</v>
      </c>
      <c r="S286" t="n">
        <v>0.9</v>
      </c>
      <c r="T286" t="n">
        <v>0.9</v>
      </c>
      <c r="U286" t="n">
        <v>0.9</v>
      </c>
      <c r="V286" t="n">
        <v>0.9</v>
      </c>
      <c r="W286" t="n">
        <v>0.9</v>
      </c>
    </row>
    <row r="287">
      <c r="A287" t="inlineStr">
        <is>
          <t>CIMS.CAN.ON.Residential.Dwellings.Building Type.High Density.Vintage.2021-2035 Bldg Code.Heating (Cold)</t>
        </is>
      </c>
      <c r="B287" t="inlineStr">
        <is>
          <t>Sector</t>
        </is>
      </c>
      <c r="C287" t="inlineStr">
        <is>
          <t>ON</t>
        </is>
      </c>
      <c r="D287" t="inlineStr">
        <is>
          <t>Residential</t>
        </is>
      </c>
      <c r="E287" t="inlineStr">
        <is>
          <t>Heating (Cold)</t>
        </is>
      </c>
      <c r="F287" t="inlineStr">
        <is>
          <t>Electric - ASHP / Electric - backup</t>
        </is>
      </c>
      <c r="G287" t="inlineStr">
        <is>
          <t>dcc_progress_ratio_1</t>
        </is>
      </c>
      <c r="M287" t="n">
        <v>0.9</v>
      </c>
      <c r="N287" t="n">
        <v>0.9</v>
      </c>
      <c r="O287" t="n">
        <v>0.9</v>
      </c>
      <c r="P287" t="n">
        <v>0.9</v>
      </c>
      <c r="Q287" t="n">
        <v>0.9</v>
      </c>
      <c r="R287" t="n">
        <v>0.9</v>
      </c>
      <c r="S287" t="n">
        <v>0.9</v>
      </c>
      <c r="T287" t="n">
        <v>0.9</v>
      </c>
      <c r="U287" t="n">
        <v>0.9</v>
      </c>
      <c r="V287" t="n">
        <v>0.9</v>
      </c>
      <c r="W287" t="n">
        <v>0.9</v>
      </c>
    </row>
    <row r="288">
      <c r="A288" t="inlineStr">
        <is>
          <t>CIMS.CAN.ON.Residential.Dwellings.Building Type.High Density.Vintage.2021-2035 Bldg Code.Heating (Cold)</t>
        </is>
      </c>
      <c r="B288" t="inlineStr">
        <is>
          <t>Sector</t>
        </is>
      </c>
      <c r="C288" t="inlineStr">
        <is>
          <t>ON</t>
        </is>
      </c>
      <c r="D288" t="inlineStr">
        <is>
          <t>Residential</t>
        </is>
      </c>
      <c r="E288" t="inlineStr">
        <is>
          <t>Heating (Cold)</t>
        </is>
      </c>
      <c r="F288" t="inlineStr">
        <is>
          <t>Electric - GSHP</t>
        </is>
      </c>
      <c r="G288" t="inlineStr">
        <is>
          <t>dcc_progress_ratio_1</t>
        </is>
      </c>
      <c r="M288" t="n">
        <v>0.9</v>
      </c>
      <c r="N288" t="n">
        <v>0.9</v>
      </c>
      <c r="O288" t="n">
        <v>0.9</v>
      </c>
      <c r="P288" t="n">
        <v>0.9</v>
      </c>
      <c r="Q288" t="n">
        <v>0.9</v>
      </c>
      <c r="R288" t="n">
        <v>0.9</v>
      </c>
      <c r="S288" t="n">
        <v>0.9</v>
      </c>
      <c r="T288" t="n">
        <v>0.9</v>
      </c>
      <c r="U288" t="n">
        <v>0.9</v>
      </c>
      <c r="V288" t="n">
        <v>0.9</v>
      </c>
      <c r="W288" t="n">
        <v>0.9</v>
      </c>
    </row>
    <row r="289">
      <c r="A289" t="inlineStr">
        <is>
          <t>CIMS.CAN.ON.Residential.Dwellings.Building Type.High Density.Vintage.&gt;2035 Bldg Code.Heating (Cold)</t>
        </is>
      </c>
      <c r="B289" t="inlineStr">
        <is>
          <t>Sector</t>
        </is>
      </c>
      <c r="C289" t="inlineStr">
        <is>
          <t>ON</t>
        </is>
      </c>
      <c r="D289" t="inlineStr">
        <is>
          <t>Residential</t>
        </is>
      </c>
      <c r="E289" t="inlineStr">
        <is>
          <t>Heating (Cold)</t>
        </is>
      </c>
      <c r="F289" t="inlineStr">
        <is>
          <t>Electric - ASHP / NG - backup</t>
        </is>
      </c>
      <c r="G289" t="inlineStr">
        <is>
          <t>dcc_progress_ratio_1</t>
        </is>
      </c>
      <c r="M289" t="n">
        <v>0.9</v>
      </c>
      <c r="N289" t="n">
        <v>0.9</v>
      </c>
      <c r="O289" t="n">
        <v>0.9</v>
      </c>
      <c r="P289" t="n">
        <v>0.9</v>
      </c>
      <c r="Q289" t="n">
        <v>0.9</v>
      </c>
      <c r="R289" t="n">
        <v>0.9</v>
      </c>
      <c r="S289" t="n">
        <v>0.9</v>
      </c>
      <c r="T289" t="n">
        <v>0.9</v>
      </c>
      <c r="U289" t="n">
        <v>0.9</v>
      </c>
      <c r="V289" t="n">
        <v>0.9</v>
      </c>
      <c r="W289" t="n">
        <v>0.9</v>
      </c>
    </row>
    <row r="290">
      <c r="A290" t="inlineStr">
        <is>
          <t>CIMS.CAN.ON.Residential.Dwellings.Building Type.High Density.Vintage.&gt;2035 Bldg Code.Heating (Cold)</t>
        </is>
      </c>
      <c r="B290" t="inlineStr">
        <is>
          <t>Sector</t>
        </is>
      </c>
      <c r="C290" t="inlineStr">
        <is>
          <t>ON</t>
        </is>
      </c>
      <c r="D290" t="inlineStr">
        <is>
          <t>Residential</t>
        </is>
      </c>
      <c r="E290" t="inlineStr">
        <is>
          <t>Heating (Cold)</t>
        </is>
      </c>
      <c r="F290" t="inlineStr">
        <is>
          <t>Electric - ASHP / Electric - backup</t>
        </is>
      </c>
      <c r="G290" t="inlineStr">
        <is>
          <t>dcc_progress_ratio_1</t>
        </is>
      </c>
      <c r="M290" t="n">
        <v>0.9</v>
      </c>
      <c r="N290" t="n">
        <v>0.9</v>
      </c>
      <c r="O290" t="n">
        <v>0.9</v>
      </c>
      <c r="P290" t="n">
        <v>0.9</v>
      </c>
      <c r="Q290" t="n">
        <v>0.9</v>
      </c>
      <c r="R290" t="n">
        <v>0.9</v>
      </c>
      <c r="S290" t="n">
        <v>0.9</v>
      </c>
      <c r="T290" t="n">
        <v>0.9</v>
      </c>
      <c r="U290" t="n">
        <v>0.9</v>
      </c>
      <c r="V290" t="n">
        <v>0.9</v>
      </c>
      <c r="W290" t="n">
        <v>0.9</v>
      </c>
    </row>
    <row r="291">
      <c r="A291" t="inlineStr">
        <is>
          <t>CIMS.CAN.ON.Residential.Dwellings.Building Type.High Density.Vintage.&gt;2035 Bldg Code.Heating (Cold)</t>
        </is>
      </c>
      <c r="B291" t="inlineStr">
        <is>
          <t>Sector</t>
        </is>
      </c>
      <c r="C291" t="inlineStr">
        <is>
          <t>ON</t>
        </is>
      </c>
      <c r="D291" t="inlineStr">
        <is>
          <t>Residential</t>
        </is>
      </c>
      <c r="E291" t="inlineStr">
        <is>
          <t>Heating (Cold)</t>
        </is>
      </c>
      <c r="F291" t="inlineStr">
        <is>
          <t>Electric - GSHP</t>
        </is>
      </c>
      <c r="G291" t="inlineStr">
        <is>
          <t>dcc_progress_ratio_1</t>
        </is>
      </c>
      <c r="M291" t="n">
        <v>0.9</v>
      </c>
      <c r="N291" t="n">
        <v>0.9</v>
      </c>
      <c r="O291" t="n">
        <v>0.9</v>
      </c>
      <c r="P291" t="n">
        <v>0.9</v>
      </c>
      <c r="Q291" t="n">
        <v>0.9</v>
      </c>
      <c r="R291" t="n">
        <v>0.9</v>
      </c>
      <c r="S291" t="n">
        <v>0.9</v>
      </c>
      <c r="T291" t="n">
        <v>0.9</v>
      </c>
      <c r="U291" t="n">
        <v>0.9</v>
      </c>
      <c r="V291" t="n">
        <v>0.9</v>
      </c>
      <c r="W291" t="n">
        <v>0.9</v>
      </c>
    </row>
    <row r="292">
      <c r="A292" t="inlineStr">
        <is>
          <t>CIMS.CAN.ON.Residential.Dwellings.Building Type.LowMed Density.Vintage.&lt;1960 Bldg Code.Heating (Cold)</t>
        </is>
      </c>
      <c r="B292" t="inlineStr">
        <is>
          <t>Sector</t>
        </is>
      </c>
      <c r="C292" t="inlineStr">
        <is>
          <t>ON</t>
        </is>
      </c>
      <c r="D292" t="inlineStr">
        <is>
          <t>Residential</t>
        </is>
      </c>
      <c r="E292" t="inlineStr">
        <is>
          <t>Heating (Cold)</t>
        </is>
      </c>
      <c r="F292" t="inlineStr">
        <is>
          <t>Electric - ASHP / NG - backup</t>
        </is>
      </c>
      <c r="G292" t="inlineStr">
        <is>
          <t>dcc_progress_ratio_1</t>
        </is>
      </c>
      <c r="M292" t="n">
        <v>0.9</v>
      </c>
      <c r="N292" t="n">
        <v>0.9</v>
      </c>
      <c r="O292" t="n">
        <v>0.9</v>
      </c>
      <c r="P292" t="n">
        <v>0.9</v>
      </c>
      <c r="Q292" t="n">
        <v>0.9</v>
      </c>
      <c r="R292" t="n">
        <v>0.9</v>
      </c>
      <c r="S292" t="n">
        <v>0.9</v>
      </c>
      <c r="T292" t="n">
        <v>0.9</v>
      </c>
      <c r="U292" t="n">
        <v>0.9</v>
      </c>
      <c r="V292" t="n">
        <v>0.9</v>
      </c>
      <c r="W292" t="n">
        <v>0.9</v>
      </c>
    </row>
    <row r="293">
      <c r="A293" t="inlineStr">
        <is>
          <t>CIMS.CAN.ON.Residential.Dwellings.Building Type.LowMed Density.Vintage.&lt;1960 Bldg Code.Heating (Cold)</t>
        </is>
      </c>
      <c r="B293" t="inlineStr">
        <is>
          <t>Sector</t>
        </is>
      </c>
      <c r="C293" t="inlineStr">
        <is>
          <t>ON</t>
        </is>
      </c>
      <c r="D293" t="inlineStr">
        <is>
          <t>Residential</t>
        </is>
      </c>
      <c r="E293" t="inlineStr">
        <is>
          <t>Heating (Cold)</t>
        </is>
      </c>
      <c r="F293" t="inlineStr">
        <is>
          <t>Electric - ASHP / Electric - backup</t>
        </is>
      </c>
      <c r="G293" t="inlineStr">
        <is>
          <t>dcc_progress_ratio_1</t>
        </is>
      </c>
      <c r="M293" t="n">
        <v>0.9</v>
      </c>
      <c r="N293" t="n">
        <v>0.9</v>
      </c>
      <c r="O293" t="n">
        <v>0.9</v>
      </c>
      <c r="P293" t="n">
        <v>0.9</v>
      </c>
      <c r="Q293" t="n">
        <v>0.9</v>
      </c>
      <c r="R293" t="n">
        <v>0.9</v>
      </c>
      <c r="S293" t="n">
        <v>0.9</v>
      </c>
      <c r="T293" t="n">
        <v>0.9</v>
      </c>
      <c r="U293" t="n">
        <v>0.9</v>
      </c>
      <c r="V293" t="n">
        <v>0.9</v>
      </c>
      <c r="W293" t="n">
        <v>0.9</v>
      </c>
    </row>
    <row r="294">
      <c r="A294" t="inlineStr">
        <is>
          <t>CIMS.CAN.ON.Residential.Dwellings.Building Type.LowMed Density.Vintage.1961-1980 Bldg Code.Heating (Cold)</t>
        </is>
      </c>
      <c r="B294" t="inlineStr">
        <is>
          <t>Sector</t>
        </is>
      </c>
      <c r="C294" t="inlineStr">
        <is>
          <t>ON</t>
        </is>
      </c>
      <c r="D294" t="inlineStr">
        <is>
          <t>Residential</t>
        </is>
      </c>
      <c r="E294" t="inlineStr">
        <is>
          <t>Heating (Cold)</t>
        </is>
      </c>
      <c r="F294" t="inlineStr">
        <is>
          <t>Electric - ASHP / NG - backup</t>
        </is>
      </c>
      <c r="G294" t="inlineStr">
        <is>
          <t>dcc_progress_ratio_1</t>
        </is>
      </c>
      <c r="M294" t="n">
        <v>0.9</v>
      </c>
      <c r="N294" t="n">
        <v>0.9</v>
      </c>
      <c r="O294" t="n">
        <v>0.9</v>
      </c>
      <c r="P294" t="n">
        <v>0.9</v>
      </c>
      <c r="Q294" t="n">
        <v>0.9</v>
      </c>
      <c r="R294" t="n">
        <v>0.9</v>
      </c>
      <c r="S294" t="n">
        <v>0.9</v>
      </c>
      <c r="T294" t="n">
        <v>0.9</v>
      </c>
      <c r="U294" t="n">
        <v>0.9</v>
      </c>
      <c r="V294" t="n">
        <v>0.9</v>
      </c>
      <c r="W294" t="n">
        <v>0.9</v>
      </c>
    </row>
    <row r="295">
      <c r="A295" t="inlineStr">
        <is>
          <t>CIMS.CAN.ON.Residential.Dwellings.Building Type.LowMed Density.Vintage.1961-1980 Bldg Code.Heating (Cold)</t>
        </is>
      </c>
      <c r="B295" t="inlineStr">
        <is>
          <t>Sector</t>
        </is>
      </c>
      <c r="C295" t="inlineStr">
        <is>
          <t>ON</t>
        </is>
      </c>
      <c r="D295" t="inlineStr">
        <is>
          <t>Residential</t>
        </is>
      </c>
      <c r="E295" t="inlineStr">
        <is>
          <t>Heating (Cold)</t>
        </is>
      </c>
      <c r="F295" t="inlineStr">
        <is>
          <t>Electric - ASHP / Electric - backup</t>
        </is>
      </c>
      <c r="G295" t="inlineStr">
        <is>
          <t>dcc_progress_ratio_1</t>
        </is>
      </c>
      <c r="M295" t="n">
        <v>0.9</v>
      </c>
      <c r="N295" t="n">
        <v>0.9</v>
      </c>
      <c r="O295" t="n">
        <v>0.9</v>
      </c>
      <c r="P295" t="n">
        <v>0.9</v>
      </c>
      <c r="Q295" t="n">
        <v>0.9</v>
      </c>
      <c r="R295" t="n">
        <v>0.9</v>
      </c>
      <c r="S295" t="n">
        <v>0.9</v>
      </c>
      <c r="T295" t="n">
        <v>0.9</v>
      </c>
      <c r="U295" t="n">
        <v>0.9</v>
      </c>
      <c r="V295" t="n">
        <v>0.9</v>
      </c>
      <c r="W295" t="n">
        <v>0.9</v>
      </c>
    </row>
    <row r="296">
      <c r="A296" t="inlineStr">
        <is>
          <t>CIMS.CAN.ON.Residential.Dwellings.Building Type.LowMed Density.Vintage.1981-2000 Bldg Code.Heating (Cold)</t>
        </is>
      </c>
      <c r="B296" t="inlineStr">
        <is>
          <t>Sector</t>
        </is>
      </c>
      <c r="C296" t="inlineStr">
        <is>
          <t>ON</t>
        </is>
      </c>
      <c r="D296" t="inlineStr">
        <is>
          <t>Residential</t>
        </is>
      </c>
      <c r="E296" t="inlineStr">
        <is>
          <t>Heating (Cold)</t>
        </is>
      </c>
      <c r="F296" t="inlineStr">
        <is>
          <t>Electric - ASHP / NG - backup</t>
        </is>
      </c>
      <c r="G296" t="inlineStr">
        <is>
          <t>dcc_progress_ratio_1</t>
        </is>
      </c>
      <c r="M296" t="n">
        <v>0.9</v>
      </c>
      <c r="N296" t="n">
        <v>0.9</v>
      </c>
      <c r="O296" t="n">
        <v>0.9</v>
      </c>
      <c r="P296" t="n">
        <v>0.9</v>
      </c>
      <c r="Q296" t="n">
        <v>0.9</v>
      </c>
      <c r="R296" t="n">
        <v>0.9</v>
      </c>
      <c r="S296" t="n">
        <v>0.9</v>
      </c>
      <c r="T296" t="n">
        <v>0.9</v>
      </c>
      <c r="U296" t="n">
        <v>0.9</v>
      </c>
      <c r="V296" t="n">
        <v>0.9</v>
      </c>
      <c r="W296" t="n">
        <v>0.9</v>
      </c>
    </row>
    <row r="297">
      <c r="A297" t="inlineStr">
        <is>
          <t>CIMS.CAN.ON.Residential.Dwellings.Building Type.LowMed Density.Vintage.1981-2000 Bldg Code.Heating (Cold)</t>
        </is>
      </c>
      <c r="B297" t="inlineStr">
        <is>
          <t>Sector</t>
        </is>
      </c>
      <c r="C297" t="inlineStr">
        <is>
          <t>ON</t>
        </is>
      </c>
      <c r="D297" t="inlineStr">
        <is>
          <t>Residential</t>
        </is>
      </c>
      <c r="E297" t="inlineStr">
        <is>
          <t>Heating (Cold)</t>
        </is>
      </c>
      <c r="F297" t="inlineStr">
        <is>
          <t>Electric - ASHP / Electric - backup</t>
        </is>
      </c>
      <c r="G297" t="inlineStr">
        <is>
          <t>dcc_progress_ratio_1</t>
        </is>
      </c>
      <c r="M297" t="n">
        <v>0.9</v>
      </c>
      <c r="N297" t="n">
        <v>0.9</v>
      </c>
      <c r="O297" t="n">
        <v>0.9</v>
      </c>
      <c r="P297" t="n">
        <v>0.9</v>
      </c>
      <c r="Q297" t="n">
        <v>0.9</v>
      </c>
      <c r="R297" t="n">
        <v>0.9</v>
      </c>
      <c r="S297" t="n">
        <v>0.9</v>
      </c>
      <c r="T297" t="n">
        <v>0.9</v>
      </c>
      <c r="U297" t="n">
        <v>0.9</v>
      </c>
      <c r="V297" t="n">
        <v>0.9</v>
      </c>
      <c r="W297" t="n">
        <v>0.9</v>
      </c>
    </row>
    <row r="298">
      <c r="A298" t="inlineStr">
        <is>
          <t>CIMS.CAN.ON.Residential.Dwellings.Building Type.LowMed Density.Vintage.2001-2020 Bldg Code.Heating (Cold)</t>
        </is>
      </c>
      <c r="B298" t="inlineStr">
        <is>
          <t>Sector</t>
        </is>
      </c>
      <c r="C298" t="inlineStr">
        <is>
          <t>ON</t>
        </is>
      </c>
      <c r="D298" t="inlineStr">
        <is>
          <t>Residential</t>
        </is>
      </c>
      <c r="E298" t="inlineStr">
        <is>
          <t>Heating (Cold)</t>
        </is>
      </c>
      <c r="F298" t="inlineStr">
        <is>
          <t>Electric - ASHP / NG - backup</t>
        </is>
      </c>
      <c r="G298" t="inlineStr">
        <is>
          <t>dcc_progress_ratio_1</t>
        </is>
      </c>
      <c r="M298" t="n">
        <v>0.9</v>
      </c>
      <c r="N298" t="n">
        <v>0.9</v>
      </c>
      <c r="O298" t="n">
        <v>0.9</v>
      </c>
      <c r="P298" t="n">
        <v>0.9</v>
      </c>
      <c r="Q298" t="n">
        <v>0.9</v>
      </c>
      <c r="R298" t="n">
        <v>0.9</v>
      </c>
      <c r="S298" t="n">
        <v>0.9</v>
      </c>
      <c r="T298" t="n">
        <v>0.9</v>
      </c>
      <c r="U298" t="n">
        <v>0.9</v>
      </c>
      <c r="V298" t="n">
        <v>0.9</v>
      </c>
      <c r="W298" t="n">
        <v>0.9</v>
      </c>
    </row>
    <row r="299">
      <c r="A299" t="inlineStr">
        <is>
          <t>CIMS.CAN.ON.Residential.Dwellings.Building Type.LowMed Density.Vintage.2001-2020 Bldg Code.Heating (Cold)</t>
        </is>
      </c>
      <c r="B299" t="inlineStr">
        <is>
          <t>Sector</t>
        </is>
      </c>
      <c r="C299" t="inlineStr">
        <is>
          <t>ON</t>
        </is>
      </c>
      <c r="D299" t="inlineStr">
        <is>
          <t>Residential</t>
        </is>
      </c>
      <c r="E299" t="inlineStr">
        <is>
          <t>Heating (Cold)</t>
        </is>
      </c>
      <c r="F299" t="inlineStr">
        <is>
          <t>Electric - ASHP / Electric - backup</t>
        </is>
      </c>
      <c r="G299" t="inlineStr">
        <is>
          <t>dcc_progress_ratio_1</t>
        </is>
      </c>
      <c r="M299" t="n">
        <v>0.9</v>
      </c>
      <c r="N299" t="n">
        <v>0.9</v>
      </c>
      <c r="O299" t="n">
        <v>0.9</v>
      </c>
      <c r="P299" t="n">
        <v>0.9</v>
      </c>
      <c r="Q299" t="n">
        <v>0.9</v>
      </c>
      <c r="R299" t="n">
        <v>0.9</v>
      </c>
      <c r="S299" t="n">
        <v>0.9</v>
      </c>
      <c r="T299" t="n">
        <v>0.9</v>
      </c>
      <c r="U299" t="n">
        <v>0.9</v>
      </c>
      <c r="V299" t="n">
        <v>0.9</v>
      </c>
      <c r="W299" t="n">
        <v>0.9</v>
      </c>
    </row>
    <row r="300">
      <c r="A300" t="inlineStr">
        <is>
          <t>CIMS.CAN.ON.Residential.Dwellings.Building Type.LowMed Density.Vintage.2021-2035 Bldg Code.Heating (Cold)</t>
        </is>
      </c>
      <c r="B300" t="inlineStr">
        <is>
          <t>Sector</t>
        </is>
      </c>
      <c r="C300" t="inlineStr">
        <is>
          <t>ON</t>
        </is>
      </c>
      <c r="D300" t="inlineStr">
        <is>
          <t>Residential</t>
        </is>
      </c>
      <c r="E300" t="inlineStr">
        <is>
          <t>Heating (Cold)</t>
        </is>
      </c>
      <c r="F300" t="inlineStr">
        <is>
          <t>Electric - ASHP / NG - backup</t>
        </is>
      </c>
      <c r="G300" t="inlineStr">
        <is>
          <t>dcc_progress_ratio_1</t>
        </is>
      </c>
      <c r="M300" t="n">
        <v>0.9</v>
      </c>
      <c r="N300" t="n">
        <v>0.9</v>
      </c>
      <c r="O300" t="n">
        <v>0.9</v>
      </c>
      <c r="P300" t="n">
        <v>0.9</v>
      </c>
      <c r="Q300" t="n">
        <v>0.9</v>
      </c>
      <c r="R300" t="n">
        <v>0.9</v>
      </c>
      <c r="S300" t="n">
        <v>0.9</v>
      </c>
      <c r="T300" t="n">
        <v>0.9</v>
      </c>
      <c r="U300" t="n">
        <v>0.9</v>
      </c>
      <c r="V300" t="n">
        <v>0.9</v>
      </c>
      <c r="W300" t="n">
        <v>0.9</v>
      </c>
    </row>
    <row r="301">
      <c r="A301" t="inlineStr">
        <is>
          <t>CIMS.CAN.ON.Residential.Dwellings.Building Type.LowMed Density.Vintage.2021-2035 Bldg Code.Heating (Cold)</t>
        </is>
      </c>
      <c r="B301" t="inlineStr">
        <is>
          <t>Sector</t>
        </is>
      </c>
      <c r="C301" t="inlineStr">
        <is>
          <t>ON</t>
        </is>
      </c>
      <c r="D301" t="inlineStr">
        <is>
          <t>Residential</t>
        </is>
      </c>
      <c r="E301" t="inlineStr">
        <is>
          <t>Heating (Cold)</t>
        </is>
      </c>
      <c r="F301" t="inlineStr">
        <is>
          <t>Electric - ASHP / Electric - backup</t>
        </is>
      </c>
      <c r="G301" t="inlineStr">
        <is>
          <t>dcc_progress_ratio_1</t>
        </is>
      </c>
      <c r="M301" t="n">
        <v>0.9</v>
      </c>
      <c r="N301" t="n">
        <v>0.9</v>
      </c>
      <c r="O301" t="n">
        <v>0.9</v>
      </c>
      <c r="P301" t="n">
        <v>0.9</v>
      </c>
      <c r="Q301" t="n">
        <v>0.9</v>
      </c>
      <c r="R301" t="n">
        <v>0.9</v>
      </c>
      <c r="S301" t="n">
        <v>0.9</v>
      </c>
      <c r="T301" t="n">
        <v>0.9</v>
      </c>
      <c r="U301" t="n">
        <v>0.9</v>
      </c>
      <c r="V301" t="n">
        <v>0.9</v>
      </c>
      <c r="W301" t="n">
        <v>0.9</v>
      </c>
    </row>
    <row r="302">
      <c r="A302" t="inlineStr">
        <is>
          <t>CIMS.CAN.ON.Residential.Dwellings.Building Type.LowMed Density.Vintage.&gt;2035 Bldg Code.Heating (Cold)</t>
        </is>
      </c>
      <c r="B302" t="inlineStr">
        <is>
          <t>Sector</t>
        </is>
      </c>
      <c r="C302" t="inlineStr">
        <is>
          <t>ON</t>
        </is>
      </c>
      <c r="D302" t="inlineStr">
        <is>
          <t>Residential</t>
        </is>
      </c>
      <c r="E302" t="inlineStr">
        <is>
          <t>Heating (Cold)</t>
        </is>
      </c>
      <c r="F302" t="inlineStr">
        <is>
          <t>Electric - ASHP / NG - backup</t>
        </is>
      </c>
      <c r="G302" t="inlineStr">
        <is>
          <t>dcc_progress_ratio_1</t>
        </is>
      </c>
      <c r="M302" t="n">
        <v>0.9</v>
      </c>
      <c r="N302" t="n">
        <v>0.9</v>
      </c>
      <c r="O302" t="n">
        <v>0.9</v>
      </c>
      <c r="P302" t="n">
        <v>0.9</v>
      </c>
      <c r="Q302" t="n">
        <v>0.9</v>
      </c>
      <c r="R302" t="n">
        <v>0.9</v>
      </c>
      <c r="S302" t="n">
        <v>0.9</v>
      </c>
      <c r="T302" t="n">
        <v>0.9</v>
      </c>
      <c r="U302" t="n">
        <v>0.9</v>
      </c>
      <c r="V302" t="n">
        <v>0.9</v>
      </c>
      <c r="W302" t="n">
        <v>0.9</v>
      </c>
    </row>
    <row r="303">
      <c r="A303" t="inlineStr">
        <is>
          <t>CIMS.CAN.ON.Residential.Dwellings.Building Type.LowMed Density.Vintage.&gt;2035 Bldg Code.Heating (Cold)</t>
        </is>
      </c>
      <c r="B303" t="inlineStr">
        <is>
          <t>Sector</t>
        </is>
      </c>
      <c r="C303" t="inlineStr">
        <is>
          <t>ON</t>
        </is>
      </c>
      <c r="D303" t="inlineStr">
        <is>
          <t>Residential</t>
        </is>
      </c>
      <c r="E303" t="inlineStr">
        <is>
          <t>Heating (Cold)</t>
        </is>
      </c>
      <c r="F303" t="inlineStr">
        <is>
          <t>Electric - ASHP / Electric - backup</t>
        </is>
      </c>
      <c r="G303" t="inlineStr">
        <is>
          <t>dcc_progress_ratio_1</t>
        </is>
      </c>
      <c r="M303" t="n">
        <v>0.9</v>
      </c>
      <c r="N303" t="n">
        <v>0.9</v>
      </c>
      <c r="O303" t="n">
        <v>0.9</v>
      </c>
      <c r="P303" t="n">
        <v>0.9</v>
      </c>
      <c r="Q303" t="n">
        <v>0.9</v>
      </c>
      <c r="R303" t="n">
        <v>0.9</v>
      </c>
      <c r="S303" t="n">
        <v>0.9</v>
      </c>
      <c r="T303" t="n">
        <v>0.9</v>
      </c>
      <c r="U303" t="n">
        <v>0.9</v>
      </c>
      <c r="V303" t="n">
        <v>0.9</v>
      </c>
      <c r="W303" t="n">
        <v>0.9</v>
      </c>
    </row>
    <row r="304">
      <c r="A304" t="inlineStr">
        <is>
          <t>CIMS.CAN.ON.Transportation Personal.Intercity Bus</t>
        </is>
      </c>
      <c r="B304" t="inlineStr">
        <is>
          <t>Service</t>
        </is>
      </c>
      <c r="C304" t="inlineStr">
        <is>
          <t>ON</t>
        </is>
      </c>
      <c r="D304" t="inlineStr">
        <is>
          <t>Transportation Personal</t>
        </is>
      </c>
      <c r="E304" t="inlineStr">
        <is>
          <t>Intercity Bus</t>
        </is>
      </c>
      <c r="F304" t="inlineStr">
        <is>
          <t>Bus Intercity Hybrid</t>
        </is>
      </c>
      <c r="G304" t="inlineStr">
        <is>
          <t>dcc_class</t>
        </is>
      </c>
      <c r="H304" t="inlineStr">
        <is>
          <t>Electric motor</t>
        </is>
      </c>
    </row>
    <row r="305">
      <c r="A305" t="inlineStr">
        <is>
          <t>CIMS.CAN.ON.Transportation Personal.Intercity Bus</t>
        </is>
      </c>
      <c r="B305" t="inlineStr">
        <is>
          <t>Service</t>
        </is>
      </c>
      <c r="C305" t="inlineStr">
        <is>
          <t>ON</t>
        </is>
      </c>
      <c r="D305" t="inlineStr">
        <is>
          <t>Transportation Personal</t>
        </is>
      </c>
      <c r="E305" t="inlineStr">
        <is>
          <t>Intercity Bus</t>
        </is>
      </c>
      <c r="F305" t="inlineStr">
        <is>
          <t>Bus Intercity Hybrid</t>
        </is>
      </c>
      <c r="G305" t="inlineStr">
        <is>
          <t>dcc_limit</t>
        </is>
      </c>
      <c r="L305" t="inlineStr">
        <is>
          <t>%</t>
        </is>
      </c>
      <c r="M305" t="n">
        <v>0.72</v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  <c r="X305" t="inlineStr">
        <is>
          <t>Copied from Hybrid Diesel Motor</t>
        </is>
      </c>
    </row>
    <row r="306">
      <c r="A306" t="inlineStr">
        <is>
          <t>CIMS.CAN.ON.Transportation Personal.Intercity Bus</t>
        </is>
      </c>
      <c r="B306" t="inlineStr">
        <is>
          <t>Service</t>
        </is>
      </c>
      <c r="C306" t="inlineStr">
        <is>
          <t>ON</t>
        </is>
      </c>
      <c r="D306" t="inlineStr">
        <is>
          <t>Transportation Personal</t>
        </is>
      </c>
      <c r="E306" t="inlineStr">
        <is>
          <t>Intercity Bus</t>
        </is>
      </c>
      <c r="F306" t="inlineStr">
        <is>
          <t>Bus Intercity Hybrid</t>
        </is>
      </c>
      <c r="G306" t="inlineStr">
        <is>
          <t>dcc_learning_min</t>
        </is>
      </c>
      <c r="L306" t="inlineStr">
        <is>
          <t>%</t>
        </is>
      </c>
      <c r="M306" t="n">
        <v>0.005</v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  <c r="X306" t="inlineStr">
        <is>
          <t>Copied from Hybrid Diesel Motor</t>
        </is>
      </c>
    </row>
    <row r="307">
      <c r="A307" t="inlineStr">
        <is>
          <t>CIMS.CAN.ON.Transportation Personal.Intercity Bus</t>
        </is>
      </c>
      <c r="B307" t="inlineStr">
        <is>
          <t>Service</t>
        </is>
      </c>
      <c r="C307" t="inlineStr">
        <is>
          <t>ON</t>
        </is>
      </c>
      <c r="D307" t="inlineStr">
        <is>
          <t>Transportation Personal</t>
        </is>
      </c>
      <c r="E307" t="inlineStr">
        <is>
          <t>Intercity Bus</t>
        </is>
      </c>
      <c r="F307" t="inlineStr">
        <is>
          <t>Bus Intercity Hybrid</t>
        </is>
      </c>
      <c r="G307" t="inlineStr">
        <is>
          <t>dcc_capacity_1</t>
        </is>
      </c>
      <c r="L307" t="inlineStr">
        <is>
          <t>k*pkm</t>
        </is>
      </c>
      <c r="M307">
        <f>160000000/1000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  <c r="X307" t="inlineStr">
        <is>
          <t>800,000 km service life * 1000 buses manufacutred per year per plant / divided by 5 years intervals</t>
        </is>
      </c>
    </row>
    <row r="308">
      <c r="A308" t="inlineStr">
        <is>
          <t>CIMS.CAN.ON.Transportation Personal.Intercity Bus</t>
        </is>
      </c>
      <c r="B308" t="inlineStr">
        <is>
          <t>Service</t>
        </is>
      </c>
      <c r="C308" t="inlineStr">
        <is>
          <t>ON</t>
        </is>
      </c>
      <c r="D308" t="inlineStr">
        <is>
          <t>Transportation Personal</t>
        </is>
      </c>
      <c r="E308" t="inlineStr">
        <is>
          <t>Intercity Bus</t>
        </is>
      </c>
      <c r="F308" t="inlineStr">
        <is>
          <t>Bus Intercity Hybrid</t>
        </is>
      </c>
      <c r="G308" t="inlineStr">
        <is>
          <t>dcc_progress_ratio_1</t>
        </is>
      </c>
      <c r="L308" t="inlineStr">
        <is>
          <t>%</t>
        </is>
      </c>
      <c r="M308" t="n">
        <v>0.97</v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  <c r="X308" t="inlineStr">
        <is>
          <t>Copied from Hybrid Diesel Motor</t>
        </is>
      </c>
    </row>
    <row r="309">
      <c r="A309" t="inlineStr">
        <is>
          <t>CIMS.CAN.ON.Transportation Personal.Intercity Bus</t>
        </is>
      </c>
      <c r="B309" t="inlineStr">
        <is>
          <t>Service</t>
        </is>
      </c>
      <c r="C309" t="inlineStr">
        <is>
          <t>ON</t>
        </is>
      </c>
      <c r="D309" t="inlineStr">
        <is>
          <t>Transportation Personal</t>
        </is>
      </c>
      <c r="E309" t="inlineStr">
        <is>
          <t>Intercity Bus</t>
        </is>
      </c>
      <c r="F309" t="inlineStr">
        <is>
          <t>Bus Intercity Hybrid Biodiesel</t>
        </is>
      </c>
      <c r="G309" t="inlineStr">
        <is>
          <t>dcc_class</t>
        </is>
      </c>
      <c r="H309" t="inlineStr">
        <is>
          <t>Electric motor</t>
        </is>
      </c>
      <c r="X309" t="inlineStr">
        <is>
          <t>Note that this used to have a separate class called Biofuel Motor.  No need for a separate biofuel class. They are all electric motors.</t>
        </is>
      </c>
    </row>
    <row r="310">
      <c r="A310" t="inlineStr">
        <is>
          <t>CIMS.CAN.ON.Transportation Personal.Intercity Bus</t>
        </is>
      </c>
      <c r="B310" t="inlineStr">
        <is>
          <t>Service</t>
        </is>
      </c>
      <c r="C310" t="inlineStr">
        <is>
          <t>ON</t>
        </is>
      </c>
      <c r="D310" t="inlineStr">
        <is>
          <t>Transportation Personal</t>
        </is>
      </c>
      <c r="E310" t="inlineStr">
        <is>
          <t>Intercity Bus</t>
        </is>
      </c>
      <c r="F310" t="inlineStr">
        <is>
          <t>Bus Intercity Hybrid Biodiesel</t>
        </is>
      </c>
      <c r="G310" t="inlineStr">
        <is>
          <t>dcc_limit</t>
        </is>
      </c>
      <c r="L310" t="inlineStr">
        <is>
          <t>%</t>
        </is>
      </c>
      <c r="M310" t="n">
        <v>0.72</v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  <c r="X310" t="inlineStr">
        <is>
          <t>Copied from Hybrid Diesel Motor</t>
        </is>
      </c>
    </row>
    <row r="311">
      <c r="A311" t="inlineStr">
        <is>
          <t>CIMS.CAN.ON.Transportation Personal.Intercity Bus</t>
        </is>
      </c>
      <c r="B311" t="inlineStr">
        <is>
          <t>Service</t>
        </is>
      </c>
      <c r="C311" t="inlineStr">
        <is>
          <t>ON</t>
        </is>
      </c>
      <c r="D311" t="inlineStr">
        <is>
          <t>Transportation Personal</t>
        </is>
      </c>
      <c r="E311" t="inlineStr">
        <is>
          <t>Intercity Bus</t>
        </is>
      </c>
      <c r="F311" t="inlineStr">
        <is>
          <t>Bus Intercity Hybrid Biodiesel</t>
        </is>
      </c>
      <c r="G311" t="inlineStr">
        <is>
          <t>dcc_learning_min</t>
        </is>
      </c>
      <c r="L311" t="inlineStr">
        <is>
          <t>%</t>
        </is>
      </c>
      <c r="M311" t="n">
        <v>0.005</v>
      </c>
      <c r="N311">
        <f>M311</f>
        <v/>
      </c>
      <c r="O311">
        <f>N311</f>
        <v/>
      </c>
      <c r="P311">
        <f>O311</f>
        <v/>
      </c>
      <c r="Q311">
        <f>P311</f>
        <v/>
      </c>
      <c r="R311">
        <f>Q311</f>
        <v/>
      </c>
      <c r="S311">
        <f>R311</f>
        <v/>
      </c>
      <c r="T311">
        <f>S311</f>
        <v/>
      </c>
      <c r="U311">
        <f>T311</f>
        <v/>
      </c>
      <c r="V311">
        <f>U311</f>
        <v/>
      </c>
      <c r="W311">
        <f>V311</f>
        <v/>
      </c>
      <c r="X311" t="inlineStr">
        <is>
          <t>Copied from Hybrid Diesel Motor</t>
        </is>
      </c>
    </row>
    <row r="312">
      <c r="A312" t="inlineStr">
        <is>
          <t>CIMS.CAN.ON.Transportation Personal.Intercity Bus</t>
        </is>
      </c>
      <c r="B312" t="inlineStr">
        <is>
          <t>Service</t>
        </is>
      </c>
      <c r="C312" t="inlineStr">
        <is>
          <t>ON</t>
        </is>
      </c>
      <c r="D312" t="inlineStr">
        <is>
          <t>Transportation Personal</t>
        </is>
      </c>
      <c r="E312" t="inlineStr">
        <is>
          <t>Intercity Bus</t>
        </is>
      </c>
      <c r="F312" t="inlineStr">
        <is>
          <t>Bus Intercity Hybrid Biodiesel</t>
        </is>
      </c>
      <c r="G312" t="inlineStr">
        <is>
          <t>dcc_capacity_1</t>
        </is>
      </c>
      <c r="L312" t="inlineStr">
        <is>
          <t>k*pkm</t>
        </is>
      </c>
      <c r="M312">
        <f>160000000/1000</f>
        <v/>
      </c>
      <c r="N312">
        <f>M312</f>
        <v/>
      </c>
      <c r="O312">
        <f>N312</f>
        <v/>
      </c>
      <c r="P312">
        <f>O312</f>
        <v/>
      </c>
      <c r="Q312">
        <f>P312</f>
        <v/>
      </c>
      <c r="R312">
        <f>Q312</f>
        <v/>
      </c>
      <c r="S312">
        <f>R312</f>
        <v/>
      </c>
      <c r="T312">
        <f>S312</f>
        <v/>
      </c>
      <c r="U312">
        <f>T312</f>
        <v/>
      </c>
      <c r="V312">
        <f>U312</f>
        <v/>
      </c>
      <c r="W312">
        <f>V312</f>
        <v/>
      </c>
      <c r="X312" t="inlineStr">
        <is>
          <t>800,000 km service life * 1000 buses manufacutred per year per plant / divided by 5 years intervals</t>
        </is>
      </c>
    </row>
    <row r="313">
      <c r="A313" t="inlineStr">
        <is>
          <t>CIMS.CAN.ON.Transportation Personal.Intercity Bus</t>
        </is>
      </c>
      <c r="B313" t="inlineStr">
        <is>
          <t>Service</t>
        </is>
      </c>
      <c r="C313" t="inlineStr">
        <is>
          <t>ON</t>
        </is>
      </c>
      <c r="D313" t="inlineStr">
        <is>
          <t>Transportation Personal</t>
        </is>
      </c>
      <c r="E313" t="inlineStr">
        <is>
          <t>Intercity Bus</t>
        </is>
      </c>
      <c r="F313" t="inlineStr">
        <is>
          <t>Bus Intercity Hybrid Biodiesel</t>
        </is>
      </c>
      <c r="G313" t="inlineStr">
        <is>
          <t>dcc_progress_ratio_1</t>
        </is>
      </c>
      <c r="L313" t="inlineStr">
        <is>
          <t>%</t>
        </is>
      </c>
      <c r="M313" t="n">
        <v>0.97</v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  <c r="X313" t="inlineStr">
        <is>
          <t>Copied from Hybrid Diesel Motor</t>
        </is>
      </c>
    </row>
    <row r="314">
      <c r="A314" t="inlineStr">
        <is>
          <t>CIMS.CAN.ON.Transportation Personal.Intercity Bus</t>
        </is>
      </c>
      <c r="B314" t="inlineStr">
        <is>
          <t>Service</t>
        </is>
      </c>
      <c r="C314" t="inlineStr">
        <is>
          <t>ON</t>
        </is>
      </c>
      <c r="D314" t="inlineStr">
        <is>
          <t>Transportation Personal</t>
        </is>
      </c>
      <c r="E314" t="inlineStr">
        <is>
          <t>Intercity Bus</t>
        </is>
      </c>
      <c r="F314" t="inlineStr">
        <is>
          <t>Bus Intercity Hydrogen</t>
        </is>
      </c>
      <c r="G314" t="inlineStr">
        <is>
          <t>dcc_class</t>
        </is>
      </c>
      <c r="H314" t="inlineStr">
        <is>
          <t>Hydrogen fuel cell</t>
        </is>
      </c>
    </row>
    <row r="315">
      <c r="A315" t="inlineStr">
        <is>
          <t>CIMS.CAN.ON.Transportation Personal.Intercity Bus</t>
        </is>
      </c>
      <c r="B315" t="inlineStr">
        <is>
          <t>Service</t>
        </is>
      </c>
      <c r="C315" t="inlineStr">
        <is>
          <t>ON</t>
        </is>
      </c>
      <c r="D315" t="inlineStr">
        <is>
          <t>Transportation Personal</t>
        </is>
      </c>
      <c r="E315" t="inlineStr">
        <is>
          <t>Intercity Bus</t>
        </is>
      </c>
      <c r="F315" t="inlineStr">
        <is>
          <t>Bus Intercity Hydrogen</t>
        </is>
      </c>
      <c r="G315" t="inlineStr">
        <is>
          <t>dcc_limit</t>
        </is>
      </c>
      <c r="L315" t="inlineStr">
        <is>
          <t>%</t>
        </is>
      </c>
      <c r="M315" t="n">
        <v>0.2</v>
      </c>
      <c r="N315">
        <f>M315</f>
        <v/>
      </c>
      <c r="O315">
        <f>N315</f>
        <v/>
      </c>
      <c r="P315">
        <f>O315</f>
        <v/>
      </c>
      <c r="Q315">
        <f>P315</f>
        <v/>
      </c>
      <c r="R315">
        <f>Q315</f>
        <v/>
      </c>
      <c r="S315">
        <f>R315</f>
        <v/>
      </c>
      <c r="T315">
        <f>S315</f>
        <v/>
      </c>
      <c r="U315">
        <f>T315</f>
        <v/>
      </c>
      <c r="V315">
        <f>U315</f>
        <v/>
      </c>
      <c r="W315">
        <f>V315</f>
        <v/>
      </c>
      <c r="X315" t="inlineStr">
        <is>
          <t>Copied from Fuel Cell 300</t>
        </is>
      </c>
    </row>
    <row r="316">
      <c r="A316" t="inlineStr">
        <is>
          <t>CIMS.CAN.ON.Transportation Personal.Intercity Bus</t>
        </is>
      </c>
      <c r="B316" t="inlineStr">
        <is>
          <t>Service</t>
        </is>
      </c>
      <c r="C316" t="inlineStr">
        <is>
          <t>ON</t>
        </is>
      </c>
      <c r="D316" t="inlineStr">
        <is>
          <t>Transportation Personal</t>
        </is>
      </c>
      <c r="E316" t="inlineStr">
        <is>
          <t>Intercity Bus</t>
        </is>
      </c>
      <c r="F316" t="inlineStr">
        <is>
          <t>Bus Intercity Hydrogen</t>
        </is>
      </c>
      <c r="G316" t="inlineStr">
        <is>
          <t>dcc_learning_min</t>
        </is>
      </c>
      <c r="L316" t="inlineStr">
        <is>
          <t>%</t>
        </is>
      </c>
      <c r="M316" t="n">
        <v>0.015</v>
      </c>
      <c r="N316">
        <f>M316</f>
        <v/>
      </c>
      <c r="O316">
        <f>N316</f>
        <v/>
      </c>
      <c r="P316">
        <f>O316</f>
        <v/>
      </c>
      <c r="Q316">
        <f>P316</f>
        <v/>
      </c>
      <c r="R316">
        <f>Q316</f>
        <v/>
      </c>
      <c r="S316">
        <f>R316</f>
        <v/>
      </c>
      <c r="T316">
        <f>S316</f>
        <v/>
      </c>
      <c r="U316">
        <f>T316</f>
        <v/>
      </c>
      <c r="V316">
        <f>U316</f>
        <v/>
      </c>
      <c r="W316">
        <f>V316</f>
        <v/>
      </c>
      <c r="X316" t="inlineStr">
        <is>
          <t>Copied from Fuel Cell 300</t>
        </is>
      </c>
    </row>
    <row r="317">
      <c r="A317" t="inlineStr">
        <is>
          <t>CIMS.CAN.ON.Transportation Personal.Intercity Bus</t>
        </is>
      </c>
      <c r="B317" t="inlineStr">
        <is>
          <t>Service</t>
        </is>
      </c>
      <c r="C317" t="inlineStr">
        <is>
          <t>ON</t>
        </is>
      </c>
      <c r="D317" t="inlineStr">
        <is>
          <t>Transportation Personal</t>
        </is>
      </c>
      <c r="E317" t="inlineStr">
        <is>
          <t>Intercity Bus</t>
        </is>
      </c>
      <c r="F317" t="inlineStr">
        <is>
          <t>Bus Intercity Hydrogen</t>
        </is>
      </c>
      <c r="G317" t="inlineStr">
        <is>
          <t>dcc_capacity_1</t>
        </is>
      </c>
      <c r="L317" t="inlineStr">
        <is>
          <t>k*pkm</t>
        </is>
      </c>
      <c r="M317">
        <f>160000000/1000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  <c r="X317" t="inlineStr">
        <is>
          <t>800,000 km service life * 1000 buses manufacutred per year per plant / divided by 5 years intervals</t>
        </is>
      </c>
    </row>
    <row r="318">
      <c r="A318" t="inlineStr">
        <is>
          <t>CIMS.CAN.ON.Transportation Personal.Intercity Bus</t>
        </is>
      </c>
      <c r="B318" t="inlineStr">
        <is>
          <t>Service</t>
        </is>
      </c>
      <c r="C318" t="inlineStr">
        <is>
          <t>ON</t>
        </is>
      </c>
      <c r="D318" t="inlineStr">
        <is>
          <t>Transportation Personal</t>
        </is>
      </c>
      <c r="E318" t="inlineStr">
        <is>
          <t>Intercity Bus</t>
        </is>
      </c>
      <c r="F318" t="inlineStr">
        <is>
          <t>Bus Intercity Hydrogen</t>
        </is>
      </c>
      <c r="G318" t="inlineStr">
        <is>
          <t>dcc_progress_ratio_1</t>
        </is>
      </c>
      <c r="L318" t="inlineStr">
        <is>
          <t>%</t>
        </is>
      </c>
      <c r="M318" t="n">
        <v>0.85</v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  <c r="X318" t="inlineStr">
        <is>
          <t>Copied from Fuel Cell 300</t>
        </is>
      </c>
    </row>
    <row r="319">
      <c r="A319" t="inlineStr">
        <is>
          <t>CIMS.CAN.ON.Transportation Personal.Intercity Rail</t>
        </is>
      </c>
      <c r="B319" t="inlineStr">
        <is>
          <t>Service</t>
        </is>
      </c>
      <c r="C319" t="inlineStr">
        <is>
          <t>ON</t>
        </is>
      </c>
      <c r="D319" t="inlineStr">
        <is>
          <t>Transportation Personal</t>
        </is>
      </c>
      <c r="E319" t="inlineStr">
        <is>
          <t>Rail</t>
        </is>
      </c>
      <c r="F319" t="inlineStr">
        <is>
          <t>Rail Intercity Electric</t>
        </is>
      </c>
      <c r="G319" t="inlineStr">
        <is>
          <t>dcc_class</t>
        </is>
      </c>
      <c r="H319" t="inlineStr">
        <is>
          <t>Electric motor</t>
        </is>
      </c>
    </row>
    <row r="320">
      <c r="A320" t="inlineStr">
        <is>
          <t>CIMS.CAN.ON.Transportation Personal.Intercity Rail</t>
        </is>
      </c>
      <c r="B320" t="inlineStr">
        <is>
          <t>Service</t>
        </is>
      </c>
      <c r="C320" t="inlineStr">
        <is>
          <t>ON</t>
        </is>
      </c>
      <c r="D320" t="inlineStr">
        <is>
          <t>Transportation Personal</t>
        </is>
      </c>
      <c r="E320" t="inlineStr">
        <is>
          <t>Rail</t>
        </is>
      </c>
      <c r="F320" t="inlineStr">
        <is>
          <t>Rail Intercity Electric</t>
        </is>
      </c>
      <c r="G320" t="inlineStr">
        <is>
          <t>dcc_limit</t>
        </is>
      </c>
      <c r="L320" t="inlineStr">
        <is>
          <t>%</t>
        </is>
      </c>
      <c r="M320" t="n">
        <v>0.4</v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CIMS.CAN.ON.Transportation Personal.Intercity Rail</t>
        </is>
      </c>
      <c r="B321" t="inlineStr">
        <is>
          <t>Service</t>
        </is>
      </c>
      <c r="C321" t="inlineStr">
        <is>
          <t>ON</t>
        </is>
      </c>
      <c r="D321" t="inlineStr">
        <is>
          <t>Transportation Personal</t>
        </is>
      </c>
      <c r="E321" t="inlineStr">
        <is>
          <t>Rail</t>
        </is>
      </c>
      <c r="F321" t="inlineStr">
        <is>
          <t>Rail Intercity Electric</t>
        </is>
      </c>
      <c r="G321" t="inlineStr">
        <is>
          <t>dcc_learning_min</t>
        </is>
      </c>
      <c r="L321" t="inlineStr">
        <is>
          <t>%</t>
        </is>
      </c>
      <c r="M321" t="n">
        <v>0.01</v>
      </c>
      <c r="N321">
        <f>M321</f>
        <v/>
      </c>
      <c r="O321">
        <f>N321</f>
        <v/>
      </c>
      <c r="P321">
        <f>O321</f>
        <v/>
      </c>
      <c r="Q321">
        <f>P321</f>
        <v/>
      </c>
      <c r="R321">
        <f>Q321</f>
        <v/>
      </c>
      <c r="S321">
        <f>R321</f>
        <v/>
      </c>
      <c r="T321">
        <f>S321</f>
        <v/>
      </c>
      <c r="U321">
        <f>T321</f>
        <v/>
      </c>
      <c r="V321">
        <f>U321</f>
        <v/>
      </c>
      <c r="W321">
        <f>V321</f>
        <v/>
      </c>
    </row>
    <row r="322">
      <c r="A322" t="inlineStr">
        <is>
          <t>CIMS.CAN.ON.Transportation Personal.Intercity Rail</t>
        </is>
      </c>
      <c r="B322" t="inlineStr">
        <is>
          <t>Service</t>
        </is>
      </c>
      <c r="C322" t="inlineStr">
        <is>
          <t>ON</t>
        </is>
      </c>
      <c r="D322" t="inlineStr">
        <is>
          <t>Transportation Personal</t>
        </is>
      </c>
      <c r="E322" t="inlineStr">
        <is>
          <t>Rail</t>
        </is>
      </c>
      <c r="F322" t="inlineStr">
        <is>
          <t>Rail Intercity Electric</t>
        </is>
      </c>
      <c r="G322" t="inlineStr">
        <is>
          <t>dcc_capacity_1</t>
        </is>
      </c>
      <c r="L322" t="inlineStr">
        <is>
          <t>k*pkm</t>
        </is>
      </c>
      <c r="M322">
        <f>80000000*25*100/1000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  <c r="X322" t="inlineStr">
        <is>
          <t>80,000,000 pkm annual * 25 yr lifetime * 100 trains / 5 years</t>
        </is>
      </c>
    </row>
    <row r="323">
      <c r="A323" t="inlineStr">
        <is>
          <t>CIMS.CAN.ON.Transportation Personal.Intercity Rail</t>
        </is>
      </c>
      <c r="B323" t="inlineStr">
        <is>
          <t>Service</t>
        </is>
      </c>
      <c r="C323" t="inlineStr">
        <is>
          <t>ON</t>
        </is>
      </c>
      <c r="D323" t="inlineStr">
        <is>
          <t>Transportation Personal</t>
        </is>
      </c>
      <c r="E323" t="inlineStr">
        <is>
          <t>Rail</t>
        </is>
      </c>
      <c r="F323" t="inlineStr">
        <is>
          <t>Rail Intercity Electric</t>
        </is>
      </c>
      <c r="G323" t="inlineStr">
        <is>
          <t>dcc_progress_ratio_1</t>
        </is>
      </c>
      <c r="L323" t="inlineStr">
        <is>
          <t>%</t>
        </is>
      </c>
      <c r="M323" t="n">
        <v>0.9</v>
      </c>
      <c r="N323">
        <f>M323</f>
        <v/>
      </c>
      <c r="O323">
        <f>N323</f>
        <v/>
      </c>
      <c r="P323">
        <f>O323</f>
        <v/>
      </c>
      <c r="Q323">
        <f>P323</f>
        <v/>
      </c>
      <c r="R323">
        <f>Q323</f>
        <v/>
      </c>
      <c r="S323">
        <f>R323</f>
        <v/>
      </c>
      <c r="T323">
        <f>S323</f>
        <v/>
      </c>
      <c r="U323">
        <f>T323</f>
        <v/>
      </c>
      <c r="V323">
        <f>U323</f>
        <v/>
      </c>
      <c r="W323">
        <f>V323</f>
        <v/>
      </c>
    </row>
    <row r="324">
      <c r="A324" t="inlineStr">
        <is>
          <t>CIMS.CAN.ON.Transportation Personal.Intercity Rail</t>
        </is>
      </c>
      <c r="B324" t="inlineStr">
        <is>
          <t>Service</t>
        </is>
      </c>
      <c r="C324" t="inlineStr">
        <is>
          <t>ON</t>
        </is>
      </c>
      <c r="D324" t="inlineStr">
        <is>
          <t>Transportation Personal</t>
        </is>
      </c>
      <c r="E324" t="inlineStr">
        <is>
          <t>Rail</t>
        </is>
      </c>
      <c r="F324" t="inlineStr">
        <is>
          <t>Rail Intercity Hydrogen</t>
        </is>
      </c>
      <c r="G324" t="inlineStr">
        <is>
          <t>dcc_class</t>
        </is>
      </c>
      <c r="H324" t="inlineStr">
        <is>
          <t>Hydrogen fuel cell</t>
        </is>
      </c>
    </row>
    <row r="325">
      <c r="A325" t="inlineStr">
        <is>
          <t>CIMS.CAN.ON.Transportation Personal.Intercity Rail</t>
        </is>
      </c>
      <c r="B325" t="inlineStr">
        <is>
          <t>Service</t>
        </is>
      </c>
      <c r="C325" t="inlineStr">
        <is>
          <t>ON</t>
        </is>
      </c>
      <c r="D325" t="inlineStr">
        <is>
          <t>Transportation Personal</t>
        </is>
      </c>
      <c r="E325" t="inlineStr">
        <is>
          <t>Rail</t>
        </is>
      </c>
      <c r="F325" t="inlineStr">
        <is>
          <t>Rail Intercity Hydrogen</t>
        </is>
      </c>
      <c r="G325" t="inlineStr">
        <is>
          <t>dcc_limit</t>
        </is>
      </c>
      <c r="L325" t="inlineStr">
        <is>
          <t>%</t>
        </is>
      </c>
      <c r="M325" t="n">
        <v>0.4</v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CIMS.CAN.ON.Transportation Personal.Intercity Rail</t>
        </is>
      </c>
      <c r="B326" t="inlineStr">
        <is>
          <t>Service</t>
        </is>
      </c>
      <c r="C326" t="inlineStr">
        <is>
          <t>ON</t>
        </is>
      </c>
      <c r="D326" t="inlineStr">
        <is>
          <t>Transportation Personal</t>
        </is>
      </c>
      <c r="E326" t="inlineStr">
        <is>
          <t>Rail</t>
        </is>
      </c>
      <c r="F326" t="inlineStr">
        <is>
          <t>Rail Intercity Hydrogen</t>
        </is>
      </c>
      <c r="G326" t="inlineStr">
        <is>
          <t>dcc_learning_min</t>
        </is>
      </c>
      <c r="L326" t="inlineStr">
        <is>
          <t>%</t>
        </is>
      </c>
      <c r="M326" t="n">
        <v>0.01</v>
      </c>
      <c r="N326">
        <f>M326</f>
        <v/>
      </c>
      <c r="O326">
        <f>N326</f>
        <v/>
      </c>
      <c r="P326">
        <f>O326</f>
        <v/>
      </c>
      <c r="Q326">
        <f>P326</f>
        <v/>
      </c>
      <c r="R326">
        <f>Q326</f>
        <v/>
      </c>
      <c r="S326">
        <f>R326</f>
        <v/>
      </c>
      <c r="T326">
        <f>S326</f>
        <v/>
      </c>
      <c r="U326">
        <f>T326</f>
        <v/>
      </c>
      <c r="V326">
        <f>U326</f>
        <v/>
      </c>
      <c r="W326">
        <f>V326</f>
        <v/>
      </c>
    </row>
    <row r="327">
      <c r="A327" t="inlineStr">
        <is>
          <t>CIMS.CAN.ON.Transportation Personal.Intercity Rail</t>
        </is>
      </c>
      <c r="B327" t="inlineStr">
        <is>
          <t>Service</t>
        </is>
      </c>
      <c r="C327" t="inlineStr">
        <is>
          <t>ON</t>
        </is>
      </c>
      <c r="D327" t="inlineStr">
        <is>
          <t>Transportation Personal</t>
        </is>
      </c>
      <c r="E327" t="inlineStr">
        <is>
          <t>Rail</t>
        </is>
      </c>
      <c r="F327" t="inlineStr">
        <is>
          <t>Rail Intercity Hydrogen</t>
        </is>
      </c>
      <c r="G327" t="inlineStr">
        <is>
          <t>dcc_capacity_1</t>
        </is>
      </c>
      <c r="L327" t="inlineStr">
        <is>
          <t>k*pkm</t>
        </is>
      </c>
      <c r="M327">
        <f>80000000*25*100/1000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  <c r="X327" t="inlineStr">
        <is>
          <t>80,000,000 pkm annual * 25 yr lifetime * 100 trains / 5 years</t>
        </is>
      </c>
    </row>
    <row r="328">
      <c r="A328" t="inlineStr">
        <is>
          <t>CIMS.CAN.ON.Transportation Personal.Intercity Rail</t>
        </is>
      </c>
      <c r="B328" t="inlineStr">
        <is>
          <t>Service</t>
        </is>
      </c>
      <c r="C328" t="inlineStr">
        <is>
          <t>ON</t>
        </is>
      </c>
      <c r="D328" t="inlineStr">
        <is>
          <t>Transportation Personal</t>
        </is>
      </c>
      <c r="E328" t="inlineStr">
        <is>
          <t>Rail</t>
        </is>
      </c>
      <c r="F328" t="inlineStr">
        <is>
          <t>Rail Intercity Hydrogen</t>
        </is>
      </c>
      <c r="G328" t="inlineStr">
        <is>
          <t>dcc_progress_ratio_1</t>
        </is>
      </c>
      <c r="L328" t="inlineStr">
        <is>
          <t>%</t>
        </is>
      </c>
      <c r="M328" t="n">
        <v>0.9</v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CIMS.CAN.ON.Transportation Personal.Transit.Public Bus</t>
        </is>
      </c>
      <c r="B329" t="inlineStr">
        <is>
          <t>Service</t>
        </is>
      </c>
      <c r="C329" t="inlineStr">
        <is>
          <t>ON</t>
        </is>
      </c>
      <c r="D329" t="inlineStr">
        <is>
          <t>Transportation Personal</t>
        </is>
      </c>
      <c r="E329" t="inlineStr">
        <is>
          <t>Public Bus</t>
        </is>
      </c>
      <c r="F329" t="inlineStr">
        <is>
          <t>Bus Urban Hybrid Biodiesel</t>
        </is>
      </c>
      <c r="G329" t="inlineStr">
        <is>
          <t>dcc_class</t>
        </is>
      </c>
      <c r="H329" t="inlineStr">
        <is>
          <t>Electric motor</t>
        </is>
      </c>
      <c r="X329" t="inlineStr">
        <is>
          <t>Note that this used to have a separate class called Biofuel Motor.  No need for a separate biofuel class. They are all electric motors.</t>
        </is>
      </c>
    </row>
    <row r="330">
      <c r="A330" t="inlineStr">
        <is>
          <t>CIMS.CAN.ON.Transportation Personal.Transit.Public Bus</t>
        </is>
      </c>
      <c r="B330" t="inlineStr">
        <is>
          <t>Service</t>
        </is>
      </c>
      <c r="C330" t="inlineStr">
        <is>
          <t>ON</t>
        </is>
      </c>
      <c r="D330" t="inlineStr">
        <is>
          <t>Transportation Personal</t>
        </is>
      </c>
      <c r="E330" t="inlineStr">
        <is>
          <t>Public Bus</t>
        </is>
      </c>
      <c r="F330" t="inlineStr">
        <is>
          <t>Bus Urban Hybrid Biodiesel</t>
        </is>
      </c>
      <c r="G330" t="inlineStr">
        <is>
          <t>dcc_limit</t>
        </is>
      </c>
      <c r="L330" t="inlineStr">
        <is>
          <t>%</t>
        </is>
      </c>
      <c r="M330" t="n">
        <v>0.72</v>
      </c>
      <c r="N330">
        <f>M330</f>
        <v/>
      </c>
      <c r="O330">
        <f>N330</f>
        <v/>
      </c>
      <c r="P330">
        <f>O330</f>
        <v/>
      </c>
      <c r="Q330">
        <f>P330</f>
        <v/>
      </c>
      <c r="R330">
        <f>Q330</f>
        <v/>
      </c>
      <c r="S330">
        <f>R330</f>
        <v/>
      </c>
      <c r="T330">
        <f>S330</f>
        <v/>
      </c>
      <c r="U330">
        <f>T330</f>
        <v/>
      </c>
      <c r="V330">
        <f>U330</f>
        <v/>
      </c>
      <c r="W330">
        <f>V330</f>
        <v/>
      </c>
      <c r="X330" t="inlineStr">
        <is>
          <t>Copied from Hybrid Diesel Motor</t>
        </is>
      </c>
    </row>
    <row r="331">
      <c r="A331" t="inlineStr">
        <is>
          <t>CIMS.CAN.ON.Transportation Personal.Transit.Public Bus</t>
        </is>
      </c>
      <c r="B331" t="inlineStr">
        <is>
          <t>Service</t>
        </is>
      </c>
      <c r="C331" t="inlineStr">
        <is>
          <t>ON</t>
        </is>
      </c>
      <c r="D331" t="inlineStr">
        <is>
          <t>Transportation Personal</t>
        </is>
      </c>
      <c r="E331" t="inlineStr">
        <is>
          <t>Public Bus</t>
        </is>
      </c>
      <c r="F331" t="inlineStr">
        <is>
          <t>Bus Urban Hybrid Biodiesel</t>
        </is>
      </c>
      <c r="G331" t="inlineStr">
        <is>
          <t>dcc_learning_min</t>
        </is>
      </c>
      <c r="L331" t="inlineStr">
        <is>
          <t>%</t>
        </is>
      </c>
      <c r="M331" t="n">
        <v>0.005</v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  <c r="X331" t="inlineStr">
        <is>
          <t>Copied from Hybrid Diesel Motor</t>
        </is>
      </c>
    </row>
    <row r="332">
      <c r="A332" t="inlineStr">
        <is>
          <t>CIMS.CAN.ON.Transportation Personal.Transit.Public Bus</t>
        </is>
      </c>
      <c r="B332" t="inlineStr">
        <is>
          <t>Service</t>
        </is>
      </c>
      <c r="C332" t="inlineStr">
        <is>
          <t>ON</t>
        </is>
      </c>
      <c r="D332" t="inlineStr">
        <is>
          <t>Transportation Personal</t>
        </is>
      </c>
      <c r="E332" t="inlineStr">
        <is>
          <t>Public Bus</t>
        </is>
      </c>
      <c r="F332" t="inlineStr">
        <is>
          <t>Bus Urban Hybrid Biodiesel</t>
        </is>
      </c>
      <c r="G332" t="inlineStr">
        <is>
          <t>dcc_capacity_1</t>
        </is>
      </c>
      <c r="L332" t="inlineStr">
        <is>
          <t>k*pkm</t>
        </is>
      </c>
      <c r="M332">
        <f>160000000/1000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  <c r="X332" t="inlineStr">
        <is>
          <t>800,000 km service life * 1000 buses manufacutred per year per plant / divided by 5 years intervals</t>
        </is>
      </c>
    </row>
    <row r="333">
      <c r="A333" t="inlineStr">
        <is>
          <t>CIMS.CAN.ON.Transportation Personal.Transit.Public Bus</t>
        </is>
      </c>
      <c r="B333" t="inlineStr">
        <is>
          <t>Service</t>
        </is>
      </c>
      <c r="C333" t="inlineStr">
        <is>
          <t>ON</t>
        </is>
      </c>
      <c r="D333" t="inlineStr">
        <is>
          <t>Transportation Personal</t>
        </is>
      </c>
      <c r="E333" t="inlineStr">
        <is>
          <t>Public Bus</t>
        </is>
      </c>
      <c r="F333" t="inlineStr">
        <is>
          <t>Bus Urban Hybrid Biodiesel</t>
        </is>
      </c>
      <c r="G333" t="inlineStr">
        <is>
          <t>dcc_progress_ratio_1</t>
        </is>
      </c>
      <c r="L333" t="inlineStr">
        <is>
          <t>%</t>
        </is>
      </c>
      <c r="M333" t="n">
        <v>0.97</v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  <c r="X333" t="inlineStr">
        <is>
          <t>Copied from Hybrid Diesel Motor</t>
        </is>
      </c>
    </row>
    <row r="334">
      <c r="A334" t="inlineStr">
        <is>
          <t>CIMS.CAN.ON.Transportation Personal.Transit.Public Bus</t>
        </is>
      </c>
      <c r="B334" t="inlineStr">
        <is>
          <t>Service</t>
        </is>
      </c>
      <c r="C334" t="inlineStr">
        <is>
          <t>ON</t>
        </is>
      </c>
      <c r="D334" t="inlineStr">
        <is>
          <t>Transportation Personal</t>
        </is>
      </c>
      <c r="E334" t="inlineStr">
        <is>
          <t>Public Bus</t>
        </is>
      </c>
      <c r="F334" t="inlineStr">
        <is>
          <t>Bus Urban Hybrid</t>
        </is>
      </c>
      <c r="G334" t="inlineStr">
        <is>
          <t>dcc_class</t>
        </is>
      </c>
      <c r="H334" t="inlineStr">
        <is>
          <t>Electric motor</t>
        </is>
      </c>
    </row>
    <row r="335">
      <c r="A335" t="inlineStr">
        <is>
          <t>CIMS.CAN.ON.Transportation Personal.Transit.Public Bus</t>
        </is>
      </c>
      <c r="B335" t="inlineStr">
        <is>
          <t>Service</t>
        </is>
      </c>
      <c r="C335" t="inlineStr">
        <is>
          <t>ON</t>
        </is>
      </c>
      <c r="D335" t="inlineStr">
        <is>
          <t>Transportation Personal</t>
        </is>
      </c>
      <c r="E335" t="inlineStr">
        <is>
          <t>Public Bus</t>
        </is>
      </c>
      <c r="F335" t="inlineStr">
        <is>
          <t>Bus Urban Hybrid</t>
        </is>
      </c>
      <c r="G335" t="inlineStr">
        <is>
          <t>dcc_limit</t>
        </is>
      </c>
      <c r="L335" t="inlineStr">
        <is>
          <t>%</t>
        </is>
      </c>
      <c r="M335" t="n">
        <v>0.72</v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  <c r="X335" t="inlineStr">
        <is>
          <t>Copied from Hybrid Diesel Motor</t>
        </is>
      </c>
    </row>
    <row r="336">
      <c r="A336" t="inlineStr">
        <is>
          <t>CIMS.CAN.ON.Transportation Personal.Transit.Public Bus</t>
        </is>
      </c>
      <c r="B336" t="inlineStr">
        <is>
          <t>Service</t>
        </is>
      </c>
      <c r="C336" t="inlineStr">
        <is>
          <t>ON</t>
        </is>
      </c>
      <c r="D336" t="inlineStr">
        <is>
          <t>Transportation Personal</t>
        </is>
      </c>
      <c r="E336" t="inlineStr">
        <is>
          <t>Public Bus</t>
        </is>
      </c>
      <c r="F336" t="inlineStr">
        <is>
          <t>Bus Urban Hybrid</t>
        </is>
      </c>
      <c r="G336" t="inlineStr">
        <is>
          <t>dcc_learning_min</t>
        </is>
      </c>
      <c r="L336" t="inlineStr">
        <is>
          <t>%</t>
        </is>
      </c>
      <c r="M336" t="n">
        <v>0.005</v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  <c r="X336" t="inlineStr">
        <is>
          <t>Copied from Hybrid Diesel Motor</t>
        </is>
      </c>
    </row>
    <row r="337">
      <c r="A337" t="inlineStr">
        <is>
          <t>CIMS.CAN.ON.Transportation Personal.Transit.Public Bus</t>
        </is>
      </c>
      <c r="B337" t="inlineStr">
        <is>
          <t>Service</t>
        </is>
      </c>
      <c r="C337" t="inlineStr">
        <is>
          <t>ON</t>
        </is>
      </c>
      <c r="D337" t="inlineStr">
        <is>
          <t>Transportation Personal</t>
        </is>
      </c>
      <c r="E337" t="inlineStr">
        <is>
          <t>Public Bus</t>
        </is>
      </c>
      <c r="F337" t="inlineStr">
        <is>
          <t>Bus Urban Hybrid</t>
        </is>
      </c>
      <c r="G337" t="inlineStr">
        <is>
          <t>dcc_capacity_1</t>
        </is>
      </c>
      <c r="L337" t="inlineStr">
        <is>
          <t>k*pkm</t>
        </is>
      </c>
      <c r="M337">
        <f>160000000/1000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  <c r="X337" t="inlineStr">
        <is>
          <t>800,000 km service life * 1000 buses manufacutred per year per plant / divided by 5 years intervals</t>
        </is>
      </c>
    </row>
    <row r="338">
      <c r="A338" t="inlineStr">
        <is>
          <t>CIMS.CAN.ON.Transportation Personal.Transit.Public Bus</t>
        </is>
      </c>
      <c r="B338" t="inlineStr">
        <is>
          <t>Service</t>
        </is>
      </c>
      <c r="C338" t="inlineStr">
        <is>
          <t>ON</t>
        </is>
      </c>
      <c r="D338" t="inlineStr">
        <is>
          <t>Transportation Personal</t>
        </is>
      </c>
      <c r="E338" t="inlineStr">
        <is>
          <t>Public Bus</t>
        </is>
      </c>
      <c r="F338" t="inlineStr">
        <is>
          <t>Bus Urban Hybrid</t>
        </is>
      </c>
      <c r="G338" t="inlineStr">
        <is>
          <t>dcc_progress_ratio_1</t>
        </is>
      </c>
      <c r="L338" t="inlineStr">
        <is>
          <t>%</t>
        </is>
      </c>
      <c r="M338" t="n">
        <v>0.97</v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  <c r="X338" t="inlineStr">
        <is>
          <t>Copied from Hybrid Diesel Motor</t>
        </is>
      </c>
    </row>
    <row r="339">
      <c r="A339" t="inlineStr">
        <is>
          <t>CIMS.CAN.ON.Transportation Personal.Transit.Public Bus</t>
        </is>
      </c>
      <c r="B339" t="inlineStr">
        <is>
          <t>Service</t>
        </is>
      </c>
      <c r="C339" t="inlineStr">
        <is>
          <t>ON</t>
        </is>
      </c>
      <c r="D339" t="inlineStr">
        <is>
          <t>Transportation Personal</t>
        </is>
      </c>
      <c r="E339" t="inlineStr">
        <is>
          <t>Public Bus</t>
        </is>
      </c>
      <c r="F339" t="inlineStr">
        <is>
          <t>Bus Urban Hydrogen</t>
        </is>
      </c>
      <c r="G339" t="inlineStr">
        <is>
          <t>dcc_class</t>
        </is>
      </c>
      <c r="H339" t="inlineStr">
        <is>
          <t>Hydrogen fuel cell</t>
        </is>
      </c>
    </row>
    <row r="340">
      <c r="A340" t="inlineStr">
        <is>
          <t>CIMS.CAN.ON.Transportation Personal.Transit.Public Bus</t>
        </is>
      </c>
      <c r="B340" t="inlineStr">
        <is>
          <t>Service</t>
        </is>
      </c>
      <c r="C340" t="inlineStr">
        <is>
          <t>ON</t>
        </is>
      </c>
      <c r="D340" t="inlineStr">
        <is>
          <t>Transportation Personal</t>
        </is>
      </c>
      <c r="E340" t="inlineStr">
        <is>
          <t>Public Bus</t>
        </is>
      </c>
      <c r="F340" t="inlineStr">
        <is>
          <t>Bus Urban Hydrogen</t>
        </is>
      </c>
      <c r="G340" t="inlineStr">
        <is>
          <t>dcc_limit</t>
        </is>
      </c>
      <c r="L340" t="inlineStr">
        <is>
          <t>%</t>
        </is>
      </c>
      <c r="M340" t="n">
        <v>0.2</v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  <c r="X340" t="inlineStr">
        <is>
          <t>Copied from Fuel Cell 300</t>
        </is>
      </c>
    </row>
    <row r="341">
      <c r="A341" t="inlineStr">
        <is>
          <t>CIMS.CAN.ON.Transportation Personal.Transit.Public Bus</t>
        </is>
      </c>
      <c r="B341" t="inlineStr">
        <is>
          <t>Service</t>
        </is>
      </c>
      <c r="C341" t="inlineStr">
        <is>
          <t>ON</t>
        </is>
      </c>
      <c r="D341" t="inlineStr">
        <is>
          <t>Transportation Personal</t>
        </is>
      </c>
      <c r="E341" t="inlineStr">
        <is>
          <t>Public Bus</t>
        </is>
      </c>
      <c r="F341" t="inlineStr">
        <is>
          <t>Bus Urban Hydrogen</t>
        </is>
      </c>
      <c r="G341" t="inlineStr">
        <is>
          <t>dcc_learning_min</t>
        </is>
      </c>
      <c r="L341" t="inlineStr">
        <is>
          <t>%</t>
        </is>
      </c>
      <c r="M341" t="n">
        <v>0.015</v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  <c r="X341" t="inlineStr">
        <is>
          <t>Copied from Fuel Cell 300</t>
        </is>
      </c>
    </row>
    <row r="342">
      <c r="A342" t="inlineStr">
        <is>
          <t>CIMS.CAN.ON.Transportation Personal.Transit.Public Bus</t>
        </is>
      </c>
      <c r="B342" t="inlineStr">
        <is>
          <t>Service</t>
        </is>
      </c>
      <c r="C342" t="inlineStr">
        <is>
          <t>ON</t>
        </is>
      </c>
      <c r="D342" t="inlineStr">
        <is>
          <t>Transportation Personal</t>
        </is>
      </c>
      <c r="E342" t="inlineStr">
        <is>
          <t>Public Bus</t>
        </is>
      </c>
      <c r="F342" t="inlineStr">
        <is>
          <t>Bus Urban Hydrogen</t>
        </is>
      </c>
      <c r="G342" t="inlineStr">
        <is>
          <t>dcc_capacity_1</t>
        </is>
      </c>
      <c r="L342" t="inlineStr">
        <is>
          <t>k*pkm</t>
        </is>
      </c>
      <c r="M342">
        <f>160000000/1000</f>
        <v/>
      </c>
      <c r="N342">
        <f>M342</f>
        <v/>
      </c>
      <c r="O342">
        <f>N342</f>
        <v/>
      </c>
      <c r="P342">
        <f>O342</f>
        <v/>
      </c>
      <c r="Q342">
        <f>P342</f>
        <v/>
      </c>
      <c r="R342">
        <f>Q342</f>
        <v/>
      </c>
      <c r="S342">
        <f>R342</f>
        <v/>
      </c>
      <c r="T342">
        <f>S342</f>
        <v/>
      </c>
      <c r="U342">
        <f>T342</f>
        <v/>
      </c>
      <c r="V342">
        <f>U342</f>
        <v/>
      </c>
      <c r="W342">
        <f>V342</f>
        <v/>
      </c>
      <c r="X342" t="inlineStr">
        <is>
          <t>800,000 km service life * 1000 buses manufacutred per year per plant / divided by 5 years intervals</t>
        </is>
      </c>
    </row>
    <row r="343">
      <c r="A343" t="inlineStr">
        <is>
          <t>CIMS.CAN.ON.Transportation Personal.Transit.Public Bus</t>
        </is>
      </c>
      <c r="B343" t="inlineStr">
        <is>
          <t>Service</t>
        </is>
      </c>
      <c r="C343" t="inlineStr">
        <is>
          <t>ON</t>
        </is>
      </c>
      <c r="D343" t="inlineStr">
        <is>
          <t>Transportation Personal</t>
        </is>
      </c>
      <c r="E343" t="inlineStr">
        <is>
          <t>Public Bus</t>
        </is>
      </c>
      <c r="F343" t="inlineStr">
        <is>
          <t>Bus Urban Hydrogen</t>
        </is>
      </c>
      <c r="G343" t="inlineStr">
        <is>
          <t>dcc_progress_ratio_1</t>
        </is>
      </c>
      <c r="L343" t="inlineStr">
        <is>
          <t>%</t>
        </is>
      </c>
      <c r="M343" t="n">
        <v>0.85</v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  <c r="X343" t="inlineStr">
        <is>
          <t>Copied from Fuel Cell 300</t>
        </is>
      </c>
    </row>
    <row r="344">
      <c r="A344" t="inlineStr">
        <is>
          <t>CIMS.CAN.ON.Transportation Personal.Transit.Public Bus</t>
        </is>
      </c>
      <c r="B344" t="inlineStr">
        <is>
          <t>Service</t>
        </is>
      </c>
      <c r="C344" t="inlineStr">
        <is>
          <t>ON</t>
        </is>
      </c>
      <c r="D344" t="inlineStr">
        <is>
          <t>Transportation Personal</t>
        </is>
      </c>
      <c r="E344" t="inlineStr">
        <is>
          <t>Public Bus</t>
        </is>
      </c>
      <c r="F344" t="inlineStr">
        <is>
          <t>Bus Urban Electric</t>
        </is>
      </c>
      <c r="G344" t="inlineStr">
        <is>
          <t>dcc_class</t>
        </is>
      </c>
      <c r="H344" t="inlineStr">
        <is>
          <t>Electric motor</t>
        </is>
      </c>
    </row>
    <row r="345">
      <c r="A345" t="inlineStr">
        <is>
          <t>CIMS.CAN.ON.Transportation Personal.Transit.Public Bus</t>
        </is>
      </c>
      <c r="B345" t="inlineStr">
        <is>
          <t>Service</t>
        </is>
      </c>
      <c r="C345" t="inlineStr">
        <is>
          <t>ON</t>
        </is>
      </c>
      <c r="D345" t="inlineStr">
        <is>
          <t>Transportation Personal</t>
        </is>
      </c>
      <c r="E345" t="inlineStr">
        <is>
          <t>Public Bus</t>
        </is>
      </c>
      <c r="F345" t="inlineStr">
        <is>
          <t>Bus Urban Electric</t>
        </is>
      </c>
      <c r="G345" t="inlineStr">
        <is>
          <t>dcc_limit</t>
        </is>
      </c>
      <c r="L345" t="inlineStr">
        <is>
          <t>%</t>
        </is>
      </c>
      <c r="M345" t="n">
        <v>0.15</v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  <c r="X345" t="inlineStr">
        <is>
          <t>Copied from BEV 300 Motors</t>
        </is>
      </c>
    </row>
    <row r="346">
      <c r="A346" t="inlineStr">
        <is>
          <t>CIMS.CAN.ON.Transportation Personal.Transit.Public Bus</t>
        </is>
      </c>
      <c r="B346" t="inlineStr">
        <is>
          <t>Service</t>
        </is>
      </c>
      <c r="C346" t="inlineStr">
        <is>
          <t>ON</t>
        </is>
      </c>
      <c r="D346" t="inlineStr">
        <is>
          <t>Transportation Personal</t>
        </is>
      </c>
      <c r="E346" t="inlineStr">
        <is>
          <t>Public Bus</t>
        </is>
      </c>
      <c r="F346" t="inlineStr">
        <is>
          <t>Bus Urban Electric</t>
        </is>
      </c>
      <c r="G346" t="inlineStr">
        <is>
          <t>dcc_learning_min</t>
        </is>
      </c>
      <c r="L346" t="inlineStr">
        <is>
          <t>%</t>
        </is>
      </c>
      <c r="M346" t="n">
        <v>0.015</v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  <c r="X346" t="inlineStr">
        <is>
          <t>Copied from BEV 300 Motors</t>
        </is>
      </c>
    </row>
    <row r="347">
      <c r="A347" t="inlineStr">
        <is>
          <t>CIMS.CAN.ON.Transportation Personal.Transit.Public Bus</t>
        </is>
      </c>
      <c r="B347" t="inlineStr">
        <is>
          <t>Service</t>
        </is>
      </c>
      <c r="C347" t="inlineStr">
        <is>
          <t>ON</t>
        </is>
      </c>
      <c r="D347" t="inlineStr">
        <is>
          <t>Transportation Personal</t>
        </is>
      </c>
      <c r="E347" t="inlineStr">
        <is>
          <t>Public Bus</t>
        </is>
      </c>
      <c r="F347" t="inlineStr">
        <is>
          <t>Bus Urban Electric</t>
        </is>
      </c>
      <c r="G347" t="inlineStr">
        <is>
          <t>dcc_capacity_1</t>
        </is>
      </c>
      <c r="L347" t="inlineStr">
        <is>
          <t>k*pkm</t>
        </is>
      </c>
      <c r="M347">
        <f>160000000/1000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  <c r="X347" t="inlineStr">
        <is>
          <t>800,000 km service life * 1000 buses manufacutred per year per plant / divided by 5 years intervals</t>
        </is>
      </c>
    </row>
    <row r="348">
      <c r="A348" t="inlineStr">
        <is>
          <t>CIMS.CAN.ON.Transportation Personal.Transit.Public Bus</t>
        </is>
      </c>
      <c r="B348" t="inlineStr">
        <is>
          <t>Service</t>
        </is>
      </c>
      <c r="C348" t="inlineStr">
        <is>
          <t>ON</t>
        </is>
      </c>
      <c r="D348" t="inlineStr">
        <is>
          <t>Transportation Personal</t>
        </is>
      </c>
      <c r="E348" t="inlineStr">
        <is>
          <t>Public Bus</t>
        </is>
      </c>
      <c r="F348" t="inlineStr">
        <is>
          <t>Bus Urban Electric</t>
        </is>
      </c>
      <c r="G348" t="inlineStr">
        <is>
          <t>dcc_progress_ratio_1</t>
        </is>
      </c>
      <c r="L348" t="inlineStr">
        <is>
          <t>%</t>
        </is>
      </c>
      <c r="M348" t="n">
        <v>0.85</v>
      </c>
      <c r="N348">
        <f>M348</f>
        <v/>
      </c>
      <c r="O348">
        <f>N348</f>
        <v/>
      </c>
      <c r="P348">
        <f>O348</f>
        <v/>
      </c>
      <c r="Q348">
        <f>P348</f>
        <v/>
      </c>
      <c r="R348">
        <f>Q348</f>
        <v/>
      </c>
      <c r="S348">
        <f>R348</f>
        <v/>
      </c>
      <c r="T348">
        <f>S348</f>
        <v/>
      </c>
      <c r="U348">
        <f>T348</f>
        <v/>
      </c>
      <c r="V348">
        <f>U348</f>
        <v/>
      </c>
      <c r="W348">
        <f>V348</f>
        <v/>
      </c>
      <c r="X348" t="inlineStr">
        <is>
          <t>Copied from BEV 300 Motors</t>
        </is>
      </c>
    </row>
    <row r="349">
      <c r="A349" t="inlineStr">
        <is>
          <t>CIMS.CAN.ON.Transportation Personal.Passenger Vehicle Motors</t>
        </is>
      </c>
      <c r="B349" t="inlineStr">
        <is>
          <t>Service</t>
        </is>
      </c>
      <c r="C349" t="inlineStr">
        <is>
          <t>ON</t>
        </is>
      </c>
      <c r="D349" t="inlineStr">
        <is>
          <t>Transportation Personal</t>
        </is>
      </c>
      <c r="E349" t="inlineStr">
        <is>
          <t>Passenger Vehicle Motors</t>
        </is>
      </c>
      <c r="F349" t="inlineStr">
        <is>
          <t>Hybrid</t>
        </is>
      </c>
      <c r="G349" t="inlineStr">
        <is>
          <t>dcc_class</t>
        </is>
      </c>
      <c r="H349" t="inlineStr">
        <is>
          <t>Electric motor</t>
        </is>
      </c>
    </row>
    <row r="350">
      <c r="A350" t="inlineStr">
        <is>
          <t>CIMS.CAN.ON.Transportation Personal.Passenger Vehicle Motors</t>
        </is>
      </c>
      <c r="B350" t="inlineStr">
        <is>
          <t>Service</t>
        </is>
      </c>
      <c r="C350" t="inlineStr">
        <is>
          <t>ON</t>
        </is>
      </c>
      <c r="D350" t="inlineStr">
        <is>
          <t>Transportation Personal</t>
        </is>
      </c>
      <c r="E350" t="inlineStr">
        <is>
          <t>Passenger Vehicle Motors</t>
        </is>
      </c>
      <c r="F350" t="inlineStr">
        <is>
          <t>Hybrid</t>
        </is>
      </c>
      <c r="G350" t="inlineStr">
        <is>
          <t>dcc_limit</t>
        </is>
      </c>
      <c r="L350" t="inlineStr">
        <is>
          <t>%</t>
        </is>
      </c>
      <c r="M350" t="n">
        <v>0.85</v>
      </c>
      <c r="N350">
        <f>M350</f>
        <v/>
      </c>
      <c r="O350">
        <f>N350</f>
        <v/>
      </c>
      <c r="P350">
        <f>O350</f>
        <v/>
      </c>
      <c r="Q350">
        <f>P350</f>
        <v/>
      </c>
      <c r="R350">
        <f>Q350</f>
        <v/>
      </c>
      <c r="S350">
        <f>R350</f>
        <v/>
      </c>
      <c r="T350">
        <f>S350</f>
        <v/>
      </c>
      <c r="U350">
        <f>T350</f>
        <v/>
      </c>
      <c r="V350">
        <f>U350</f>
        <v/>
      </c>
      <c r="W350">
        <f>V350</f>
        <v/>
      </c>
    </row>
    <row r="351">
      <c r="A351" t="inlineStr">
        <is>
          <t>CIMS.CAN.ON.Transportation Personal.Passenger Vehicle Motors</t>
        </is>
      </c>
      <c r="B351" t="inlineStr">
        <is>
          <t>Service</t>
        </is>
      </c>
      <c r="C351" t="inlineStr">
        <is>
          <t>ON</t>
        </is>
      </c>
      <c r="D351" t="inlineStr">
        <is>
          <t>Transportation Personal</t>
        </is>
      </c>
      <c r="E351" t="inlineStr">
        <is>
          <t>Passenger Vehicle Motors</t>
        </is>
      </c>
      <c r="F351" t="inlineStr">
        <is>
          <t>Hybrid</t>
        </is>
      </c>
      <c r="G351" t="inlineStr">
        <is>
          <t>dcc_learning_min</t>
        </is>
      </c>
      <c r="L351" t="inlineStr">
        <is>
          <t>%</t>
        </is>
      </c>
      <c r="M351" t="n">
        <v>0.002</v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  <c r="X351" t="inlineStr">
        <is>
          <t>50% reduction to 2050 full innovation FCC target</t>
        </is>
      </c>
    </row>
    <row r="352">
      <c r="A352" t="inlineStr">
        <is>
          <t>CIMS.CAN.ON.Transportation Personal.Passenger Vehicle Motors</t>
        </is>
      </c>
      <c r="B352" t="inlineStr">
        <is>
          <t>Service</t>
        </is>
      </c>
      <c r="C352" t="inlineStr">
        <is>
          <t>ON</t>
        </is>
      </c>
      <c r="D352" t="inlineStr">
        <is>
          <t>Transportation Personal</t>
        </is>
      </c>
      <c r="E352" t="inlineStr">
        <is>
          <t>Passenger Vehicle Motors</t>
        </is>
      </c>
      <c r="F352" t="inlineStr">
        <is>
          <t>Hybrid</t>
        </is>
      </c>
      <c r="G352" t="inlineStr">
        <is>
          <t>dcc_capacity_1</t>
        </is>
      </c>
      <c r="L352" t="inlineStr">
        <is>
          <t>100 vkm (avg car eq)</t>
        </is>
      </c>
      <c r="M352">
        <f>320000*100000/100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  <c r="X352" t="inlineStr">
        <is>
          <t>320,000 km service life * 3600 cars manufacutred per year per plant / divided by 5 years intervals</t>
        </is>
      </c>
    </row>
    <row r="353">
      <c r="A353" t="inlineStr">
        <is>
          <t>CIMS.CAN.ON.Transportation Personal.Passenger Vehicle Motors</t>
        </is>
      </c>
      <c r="B353" t="inlineStr">
        <is>
          <t>Service</t>
        </is>
      </c>
      <c r="C353" t="inlineStr">
        <is>
          <t>ON</t>
        </is>
      </c>
      <c r="D353" t="inlineStr">
        <is>
          <t>Transportation Personal</t>
        </is>
      </c>
      <c r="E353" t="inlineStr">
        <is>
          <t>Passenger Vehicle Motors</t>
        </is>
      </c>
      <c r="F353" t="inlineStr">
        <is>
          <t>Hybrid</t>
        </is>
      </c>
      <c r="G353" t="inlineStr">
        <is>
          <t>dcc_progress_ratio_1</t>
        </is>
      </c>
      <c r="L353" t="inlineStr">
        <is>
          <t>%</t>
        </is>
      </c>
      <c r="M353" t="n">
        <v>0.98</v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  <c r="X353" t="inlineStr">
        <is>
          <t>Calibrated to achieve DCC limit in 10 doublings or sustained 1/3 market share penetration of 30 years to 2050</t>
        </is>
      </c>
    </row>
    <row r="354">
      <c r="A354" t="inlineStr">
        <is>
          <t>CIMS.CAN.ON.Transportation Personal.Passenger Vehicle Motors</t>
        </is>
      </c>
      <c r="B354" t="inlineStr">
        <is>
          <t>Service</t>
        </is>
      </c>
      <c r="C354" t="inlineStr">
        <is>
          <t>ON</t>
        </is>
      </c>
      <c r="D354" t="inlineStr">
        <is>
          <t>Transportation Personal</t>
        </is>
      </c>
      <c r="E354" t="inlineStr">
        <is>
          <t>Passenger Vehicle Motors</t>
        </is>
      </c>
      <c r="F354" t="inlineStr">
        <is>
          <t>BEV 500</t>
        </is>
      </c>
      <c r="G354" t="inlineStr">
        <is>
          <t>dcc_class</t>
        </is>
      </c>
      <c r="H354" t="inlineStr">
        <is>
          <t>Electric motor</t>
        </is>
      </c>
    </row>
    <row r="355">
      <c r="A355" t="inlineStr">
        <is>
          <t>CIMS.CAN.ON.Transportation Personal.Passenger Vehicle Motors</t>
        </is>
      </c>
      <c r="B355" t="inlineStr">
        <is>
          <t>Service</t>
        </is>
      </c>
      <c r="C355" t="inlineStr">
        <is>
          <t>ON</t>
        </is>
      </c>
      <c r="D355" t="inlineStr">
        <is>
          <t>Transportation Personal</t>
        </is>
      </c>
      <c r="E355" t="inlineStr">
        <is>
          <t>Passenger Vehicle Motors</t>
        </is>
      </c>
      <c r="F355" t="inlineStr">
        <is>
          <t>BEV 500</t>
        </is>
      </c>
      <c r="G355" t="inlineStr">
        <is>
          <t>dcc_limit</t>
        </is>
      </c>
      <c r="L355" t="inlineStr">
        <is>
          <t>%</t>
        </is>
      </c>
      <c r="M355" t="n">
        <v>0.15</v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CIMS.CAN.ON.Transportation Personal.Passenger Vehicle Motors</t>
        </is>
      </c>
      <c r="B356" t="inlineStr">
        <is>
          <t>Service</t>
        </is>
      </c>
      <c r="C356" t="inlineStr">
        <is>
          <t>ON</t>
        </is>
      </c>
      <c r="D356" t="inlineStr">
        <is>
          <t>Transportation Personal</t>
        </is>
      </c>
      <c r="E356" t="inlineStr">
        <is>
          <t>Passenger Vehicle Motors</t>
        </is>
      </c>
      <c r="F356" t="inlineStr">
        <is>
          <t>BEV 500</t>
        </is>
      </c>
      <c r="G356" t="inlineStr">
        <is>
          <t>dcc_learning_min</t>
        </is>
      </c>
      <c r="L356" t="inlineStr">
        <is>
          <t>%</t>
        </is>
      </c>
      <c r="M356" t="n">
        <v>0.015</v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  <c r="X356" t="inlineStr">
        <is>
          <t>50% reduction to 2050 full innovation FCC target</t>
        </is>
      </c>
    </row>
    <row r="357">
      <c r="A357" t="inlineStr">
        <is>
          <t>CIMS.CAN.ON.Transportation Personal.Passenger Vehicle Motors</t>
        </is>
      </c>
      <c r="B357" t="inlineStr">
        <is>
          <t>Service</t>
        </is>
      </c>
      <c r="C357" t="inlineStr">
        <is>
          <t>ON</t>
        </is>
      </c>
      <c r="D357" t="inlineStr">
        <is>
          <t>Transportation Personal</t>
        </is>
      </c>
      <c r="E357" t="inlineStr">
        <is>
          <t>Passenger Vehicle Motors</t>
        </is>
      </c>
      <c r="F357" t="inlineStr">
        <is>
          <t>BEV 500</t>
        </is>
      </c>
      <c r="G357" t="inlineStr">
        <is>
          <t>dcc_capacity_1</t>
        </is>
      </c>
      <c r="L357" t="inlineStr">
        <is>
          <t>100 vkm (avg car eq)</t>
        </is>
      </c>
      <c r="M357">
        <f>320000*100000/100</f>
        <v/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  <c r="X357" t="inlineStr">
        <is>
          <t>320,000 km service life * 3600 cars manufacutred per year per plant / divided by 5 years intervals</t>
        </is>
      </c>
    </row>
    <row r="358">
      <c r="A358" t="inlineStr">
        <is>
          <t>CIMS.CAN.ON.Transportation Personal.Passenger Vehicle Motors</t>
        </is>
      </c>
      <c r="B358" t="inlineStr">
        <is>
          <t>Service</t>
        </is>
      </c>
      <c r="C358" t="inlineStr">
        <is>
          <t>ON</t>
        </is>
      </c>
      <c r="D358" t="inlineStr">
        <is>
          <t>Transportation Personal</t>
        </is>
      </c>
      <c r="E358" t="inlineStr">
        <is>
          <t>Passenger Vehicle Motors</t>
        </is>
      </c>
      <c r="F358" t="inlineStr">
        <is>
          <t>BEV 500</t>
        </is>
      </c>
      <c r="G358" t="inlineStr">
        <is>
          <t>dcc_progress_ratio_1</t>
        </is>
      </c>
      <c r="L358" t="inlineStr">
        <is>
          <t>%</t>
        </is>
      </c>
      <c r="M358" t="n">
        <v>0.85</v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  <c r="X358" t="inlineStr">
        <is>
          <t>Calibrated to achieve DCC limit in 10 doublings or sustained 1/3 market share penetration of 30 years to 2050</t>
        </is>
      </c>
    </row>
    <row r="359">
      <c r="A359" t="inlineStr">
        <is>
          <t>CIMS.CAN.ON.Transportation Personal.Passenger Vehicle Motors</t>
        </is>
      </c>
      <c r="B359" t="inlineStr">
        <is>
          <t>Service</t>
        </is>
      </c>
      <c r="C359" t="inlineStr">
        <is>
          <t>ON</t>
        </is>
      </c>
      <c r="D359" t="inlineStr">
        <is>
          <t>Transportation Personal</t>
        </is>
      </c>
      <c r="E359" t="inlineStr">
        <is>
          <t>Passenger Vehicle Motors</t>
        </is>
      </c>
      <c r="F359" t="inlineStr">
        <is>
          <t>BEV 800</t>
        </is>
      </c>
      <c r="G359" t="inlineStr">
        <is>
          <t>dcc_class</t>
        </is>
      </c>
      <c r="H359" t="inlineStr">
        <is>
          <t>Electric motor</t>
        </is>
      </c>
    </row>
    <row r="360">
      <c r="A360" t="inlineStr">
        <is>
          <t>CIMS.CAN.ON.Transportation Personal.Passenger Vehicle Motors</t>
        </is>
      </c>
      <c r="B360" t="inlineStr">
        <is>
          <t>Service</t>
        </is>
      </c>
      <c r="C360" t="inlineStr">
        <is>
          <t>ON</t>
        </is>
      </c>
      <c r="D360" t="inlineStr">
        <is>
          <t>Transportation Personal</t>
        </is>
      </c>
      <c r="E360" t="inlineStr">
        <is>
          <t>Passenger Vehicle Motors</t>
        </is>
      </c>
      <c r="F360" t="inlineStr">
        <is>
          <t>BEV 800</t>
        </is>
      </c>
      <c r="G360" t="inlineStr">
        <is>
          <t>dcc_limit</t>
        </is>
      </c>
      <c r="L360" t="inlineStr">
        <is>
          <t>%</t>
        </is>
      </c>
      <c r="M360" t="n">
        <v>0.15</v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CIMS.CAN.ON.Transportation Personal.Passenger Vehicle Motors</t>
        </is>
      </c>
      <c r="B361" t="inlineStr">
        <is>
          <t>Service</t>
        </is>
      </c>
      <c r="C361" t="inlineStr">
        <is>
          <t>ON</t>
        </is>
      </c>
      <c r="D361" t="inlineStr">
        <is>
          <t>Transportation Personal</t>
        </is>
      </c>
      <c r="E361" t="inlineStr">
        <is>
          <t>Passenger Vehicle Motors</t>
        </is>
      </c>
      <c r="F361" t="inlineStr">
        <is>
          <t>BEV 800</t>
        </is>
      </c>
      <c r="G361" t="inlineStr">
        <is>
          <t>dcc_learning_min</t>
        </is>
      </c>
      <c r="L361" t="inlineStr">
        <is>
          <t>%</t>
        </is>
      </c>
      <c r="M361" t="n">
        <v>0.015</v>
      </c>
      <c r="N361">
        <f>M361</f>
        <v/>
      </c>
      <c r="O361">
        <f>N361</f>
        <v/>
      </c>
      <c r="P361">
        <f>O361</f>
        <v/>
      </c>
      <c r="Q361">
        <f>P361</f>
        <v/>
      </c>
      <c r="R361">
        <f>Q361</f>
        <v/>
      </c>
      <c r="S361">
        <f>R361</f>
        <v/>
      </c>
      <c r="T361">
        <f>S361</f>
        <v/>
      </c>
      <c r="U361">
        <f>T361</f>
        <v/>
      </c>
      <c r="V361">
        <f>U361</f>
        <v/>
      </c>
      <c r="W361">
        <f>V361</f>
        <v/>
      </c>
      <c r="X361" t="inlineStr">
        <is>
          <t>50% reduction to 2050 full innovation FCC target</t>
        </is>
      </c>
    </row>
    <row r="362">
      <c r="A362" t="inlineStr">
        <is>
          <t>CIMS.CAN.ON.Transportation Personal.Passenger Vehicle Motors</t>
        </is>
      </c>
      <c r="B362" t="inlineStr">
        <is>
          <t>Service</t>
        </is>
      </c>
      <c r="C362" t="inlineStr">
        <is>
          <t>ON</t>
        </is>
      </c>
      <c r="D362" t="inlineStr">
        <is>
          <t>Transportation Personal</t>
        </is>
      </c>
      <c r="E362" t="inlineStr">
        <is>
          <t>Passenger Vehicle Motors</t>
        </is>
      </c>
      <c r="F362" t="inlineStr">
        <is>
          <t>BEV 800</t>
        </is>
      </c>
      <c r="G362" t="inlineStr">
        <is>
          <t>dcc_capacity_1</t>
        </is>
      </c>
      <c r="L362" t="inlineStr">
        <is>
          <t>100 vkm (avg car eq)</t>
        </is>
      </c>
      <c r="M362">
        <f>320000*100000/100</f>
        <v/>
      </c>
      <c r="N362">
        <f>M362</f>
        <v/>
      </c>
      <c r="O362">
        <f>N362</f>
        <v/>
      </c>
      <c r="P362">
        <f>O362</f>
        <v/>
      </c>
      <c r="Q362">
        <f>P362</f>
        <v/>
      </c>
      <c r="R362">
        <f>Q362</f>
        <v/>
      </c>
      <c r="S362">
        <f>R362</f>
        <v/>
      </c>
      <c r="T362">
        <f>S362</f>
        <v/>
      </c>
      <c r="U362">
        <f>T362</f>
        <v/>
      </c>
      <c r="V362">
        <f>U362</f>
        <v/>
      </c>
      <c r="W362">
        <f>V362</f>
        <v/>
      </c>
      <c r="X362" t="inlineStr">
        <is>
          <t>320,000 km service life * 3600 cars manufacutred per year per plant / divided by 5 years intervals</t>
        </is>
      </c>
    </row>
    <row r="363">
      <c r="A363" t="inlineStr">
        <is>
          <t>CIMS.CAN.ON.Transportation Personal.Passenger Vehicle Motors</t>
        </is>
      </c>
      <c r="B363" t="inlineStr">
        <is>
          <t>Service</t>
        </is>
      </c>
      <c r="C363" t="inlineStr">
        <is>
          <t>ON</t>
        </is>
      </c>
      <c r="D363" t="inlineStr">
        <is>
          <t>Transportation Personal</t>
        </is>
      </c>
      <c r="E363" t="inlineStr">
        <is>
          <t>Passenger Vehicle Motors</t>
        </is>
      </c>
      <c r="F363" t="inlineStr">
        <is>
          <t>BEV 800</t>
        </is>
      </c>
      <c r="G363" t="inlineStr">
        <is>
          <t>dcc_progress_ratio_1</t>
        </is>
      </c>
      <c r="L363" t="inlineStr">
        <is>
          <t>%</t>
        </is>
      </c>
      <c r="M363" t="n">
        <v>0.85</v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  <c r="X363" t="inlineStr">
        <is>
          <t>Calibrated to achieve DCC limit in 10 doublings or sustained 1/3 market share penetration of 30 years to 2050</t>
        </is>
      </c>
    </row>
    <row r="364">
      <c r="A364" t="inlineStr">
        <is>
          <t>CIMS.CAN.ON.Transportation Personal.Passenger Vehicle Motors</t>
        </is>
      </c>
      <c r="B364" t="inlineStr">
        <is>
          <t>Service</t>
        </is>
      </c>
      <c r="C364" t="inlineStr">
        <is>
          <t>ON</t>
        </is>
      </c>
      <c r="D364" t="inlineStr">
        <is>
          <t>Transportation Personal</t>
        </is>
      </c>
      <c r="E364" t="inlineStr">
        <is>
          <t>Passenger Vehicle Motors</t>
        </is>
      </c>
      <c r="F364" t="inlineStr">
        <is>
          <t>Fuel Cell 650</t>
        </is>
      </c>
      <c r="G364" t="inlineStr">
        <is>
          <t>dcc_class</t>
        </is>
      </c>
      <c r="H364" t="inlineStr">
        <is>
          <t>Hydrogen fuel cell</t>
        </is>
      </c>
    </row>
    <row r="365">
      <c r="A365" t="inlineStr">
        <is>
          <t>CIMS.CAN.ON.Transportation Personal.Passenger Vehicle Motors</t>
        </is>
      </c>
      <c r="B365" t="inlineStr">
        <is>
          <t>Service</t>
        </is>
      </c>
      <c r="C365" t="inlineStr">
        <is>
          <t>ON</t>
        </is>
      </c>
      <c r="D365" t="inlineStr">
        <is>
          <t>Transportation Personal</t>
        </is>
      </c>
      <c r="E365" t="inlineStr">
        <is>
          <t>Passenger Vehicle Motors</t>
        </is>
      </c>
      <c r="F365" t="inlineStr">
        <is>
          <t>Fuel Cell 650</t>
        </is>
      </c>
      <c r="G365" t="inlineStr">
        <is>
          <t>dcc_limit</t>
        </is>
      </c>
      <c r="L365" t="inlineStr">
        <is>
          <t>%</t>
        </is>
      </c>
      <c r="M365" t="n">
        <v>0.2</v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CIMS.CAN.ON.Transportation Personal.Passenger Vehicle Motors</t>
        </is>
      </c>
      <c r="B366" t="inlineStr">
        <is>
          <t>Service</t>
        </is>
      </c>
      <c r="C366" t="inlineStr">
        <is>
          <t>ON</t>
        </is>
      </c>
      <c r="D366" t="inlineStr">
        <is>
          <t>Transportation Personal</t>
        </is>
      </c>
      <c r="E366" t="inlineStr">
        <is>
          <t>Passenger Vehicle Motors</t>
        </is>
      </c>
      <c r="F366" t="inlineStr">
        <is>
          <t>Fuel Cell 650</t>
        </is>
      </c>
      <c r="G366" t="inlineStr">
        <is>
          <t>dcc_learning_min</t>
        </is>
      </c>
      <c r="L366" t="inlineStr">
        <is>
          <t>%</t>
        </is>
      </c>
      <c r="M366" t="n">
        <v>0.015</v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  <c r="X366" t="inlineStr">
        <is>
          <t>50% reduction to 2050 full innovation FCC target</t>
        </is>
      </c>
    </row>
    <row r="367">
      <c r="A367" t="inlineStr">
        <is>
          <t>CIMS.CAN.ON.Transportation Personal.Passenger Vehicle Motors</t>
        </is>
      </c>
      <c r="B367" t="inlineStr">
        <is>
          <t>Service</t>
        </is>
      </c>
      <c r="C367" t="inlineStr">
        <is>
          <t>ON</t>
        </is>
      </c>
      <c r="D367" t="inlineStr">
        <is>
          <t>Transportation Personal</t>
        </is>
      </c>
      <c r="E367" t="inlineStr">
        <is>
          <t>Passenger Vehicle Motors</t>
        </is>
      </c>
      <c r="F367" t="inlineStr">
        <is>
          <t>Fuel Cell 650</t>
        </is>
      </c>
      <c r="G367" t="inlineStr">
        <is>
          <t>dcc_capacity_1</t>
        </is>
      </c>
      <c r="L367" t="inlineStr">
        <is>
          <t>100 vkm (avg car eq)</t>
        </is>
      </c>
      <c r="M367">
        <f>320000*100000/100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  <c r="X367" t="inlineStr">
        <is>
          <t>320,000 km service life * 3600 cars manufacutred per year per plant / divided by 5 years intervals</t>
        </is>
      </c>
    </row>
    <row r="368">
      <c r="A368" t="inlineStr">
        <is>
          <t>CIMS.CAN.ON.Transportation Personal.Passenger Vehicle Motors</t>
        </is>
      </c>
      <c r="B368" t="inlineStr">
        <is>
          <t>Service</t>
        </is>
      </c>
      <c r="C368" t="inlineStr">
        <is>
          <t>ON</t>
        </is>
      </c>
      <c r="D368" t="inlineStr">
        <is>
          <t>Transportation Personal</t>
        </is>
      </c>
      <c r="E368" t="inlineStr">
        <is>
          <t>Passenger Vehicle Motors</t>
        </is>
      </c>
      <c r="F368" t="inlineStr">
        <is>
          <t>Fuel Cell 650</t>
        </is>
      </c>
      <c r="G368" t="inlineStr">
        <is>
          <t>dcc_progress_ratio_1</t>
        </is>
      </c>
      <c r="L368" t="inlineStr">
        <is>
          <t>%</t>
        </is>
      </c>
      <c r="M368" t="n">
        <v>0.85</v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  <c r="X368" t="inlineStr">
        <is>
          <t>Calibrated to achieve DCC limit in 10 doublings or sustained 1/3 market share penetration of 30 years to 2050</t>
        </is>
      </c>
    </row>
    <row r="369">
      <c r="A369" t="inlineStr">
        <is>
          <t>CIMS.CAN.ON.Transportation Personal.Passenger Vehicle Motors</t>
        </is>
      </c>
      <c r="B369" t="inlineStr">
        <is>
          <t>Service</t>
        </is>
      </c>
      <c r="C369" t="inlineStr">
        <is>
          <t>ON</t>
        </is>
      </c>
      <c r="D369" t="inlineStr">
        <is>
          <t>Transportation Personal</t>
        </is>
      </c>
      <c r="E369" t="inlineStr">
        <is>
          <t>Passenger Vehicle Motors</t>
        </is>
      </c>
      <c r="F369" t="inlineStr">
        <is>
          <t>Plug-in Hybrid</t>
        </is>
      </c>
      <c r="G369" t="inlineStr">
        <is>
          <t>dcc_class</t>
        </is>
      </c>
      <c r="H369" t="inlineStr">
        <is>
          <t>Electric motor</t>
        </is>
      </c>
    </row>
    <row r="370">
      <c r="A370" t="inlineStr">
        <is>
          <t>CIMS.CAN.ON.Transportation Personal.Passenger Vehicle Motors</t>
        </is>
      </c>
      <c r="B370" t="inlineStr">
        <is>
          <t>Service</t>
        </is>
      </c>
      <c r="C370" t="inlineStr">
        <is>
          <t>ON</t>
        </is>
      </c>
      <c r="D370" t="inlineStr">
        <is>
          <t>Transportation Personal</t>
        </is>
      </c>
      <c r="E370" t="inlineStr">
        <is>
          <t>Passenger Vehicle Motors</t>
        </is>
      </c>
      <c r="F370" t="inlineStr">
        <is>
          <t>Plug-in Hybrid</t>
        </is>
      </c>
      <c r="G370" t="inlineStr">
        <is>
          <t>dcc_limit</t>
        </is>
      </c>
      <c r="L370" t="inlineStr">
        <is>
          <t>%</t>
        </is>
      </c>
      <c r="M370" t="n">
        <v>0.44</v>
      </c>
      <c r="N370">
        <f>M370</f>
        <v/>
      </c>
      <c r="O370">
        <f>N370</f>
        <v/>
      </c>
      <c r="P370">
        <f>O370</f>
        <v/>
      </c>
      <c r="Q370">
        <f>P370</f>
        <v/>
      </c>
      <c r="R370">
        <f>Q370</f>
        <v/>
      </c>
      <c r="S370">
        <f>R370</f>
        <v/>
      </c>
      <c r="T370">
        <f>S370</f>
        <v/>
      </c>
      <c r="U370">
        <f>T370</f>
        <v/>
      </c>
      <c r="V370">
        <f>U370</f>
        <v/>
      </c>
      <c r="W370">
        <f>V370</f>
        <v/>
      </c>
    </row>
    <row r="371">
      <c r="A371" t="inlineStr">
        <is>
          <t>CIMS.CAN.ON.Transportation Personal.Passenger Vehicle Motors</t>
        </is>
      </c>
      <c r="B371" t="inlineStr">
        <is>
          <t>Service</t>
        </is>
      </c>
      <c r="C371" t="inlineStr">
        <is>
          <t>ON</t>
        </is>
      </c>
      <c r="D371" t="inlineStr">
        <is>
          <t>Transportation Personal</t>
        </is>
      </c>
      <c r="E371" t="inlineStr">
        <is>
          <t>Passenger Vehicle Motors</t>
        </is>
      </c>
      <c r="F371" t="inlineStr">
        <is>
          <t>Plug-in Hybrid</t>
        </is>
      </c>
      <c r="G371" t="inlineStr">
        <is>
          <t>dcc_learning_min</t>
        </is>
      </c>
      <c r="L371" t="inlineStr">
        <is>
          <t>%</t>
        </is>
      </c>
      <c r="M371" t="n">
        <v>0.01</v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  <c r="X371" t="inlineStr">
        <is>
          <t>50% reduction to 2050 full innovation FCC target</t>
        </is>
      </c>
    </row>
    <row r="372">
      <c r="A372" t="inlineStr">
        <is>
          <t>CIMS.CAN.ON.Transportation Personal.Passenger Vehicle Motors</t>
        </is>
      </c>
      <c r="B372" t="inlineStr">
        <is>
          <t>Service</t>
        </is>
      </c>
      <c r="C372" t="inlineStr">
        <is>
          <t>ON</t>
        </is>
      </c>
      <c r="D372" t="inlineStr">
        <is>
          <t>Transportation Personal</t>
        </is>
      </c>
      <c r="E372" t="inlineStr">
        <is>
          <t>Passenger Vehicle Motors</t>
        </is>
      </c>
      <c r="F372" t="inlineStr">
        <is>
          <t>Plug-in Hybrid</t>
        </is>
      </c>
      <c r="G372" t="inlineStr">
        <is>
          <t>dcc_capacity_1</t>
        </is>
      </c>
      <c r="L372" t="inlineStr">
        <is>
          <t>100 vkm (avg car eq)</t>
        </is>
      </c>
      <c r="M372">
        <f>320000*100000/100</f>
        <v/>
      </c>
      <c r="N372">
        <f>M372</f>
        <v/>
      </c>
      <c r="O372">
        <f>N372</f>
        <v/>
      </c>
      <c r="P372">
        <f>O372</f>
        <v/>
      </c>
      <c r="Q372">
        <f>P372</f>
        <v/>
      </c>
      <c r="R372">
        <f>Q372</f>
        <v/>
      </c>
      <c r="S372">
        <f>R372</f>
        <v/>
      </c>
      <c r="T372">
        <f>S372</f>
        <v/>
      </c>
      <c r="U372">
        <f>T372</f>
        <v/>
      </c>
      <c r="V372">
        <f>U372</f>
        <v/>
      </c>
      <c r="W372">
        <f>V372</f>
        <v/>
      </c>
      <c r="X372" t="inlineStr">
        <is>
          <t>320,000 km service life * 3600 cars manufacutred per year per plant / divided by 5 years intervals</t>
        </is>
      </c>
    </row>
    <row r="373">
      <c r="A373" t="inlineStr">
        <is>
          <t>CIMS.CAN.ON.Transportation Personal.Passenger Vehicle Motors</t>
        </is>
      </c>
      <c r="B373" t="inlineStr">
        <is>
          <t>Service</t>
        </is>
      </c>
      <c r="C373" t="inlineStr">
        <is>
          <t>ON</t>
        </is>
      </c>
      <c r="D373" t="inlineStr">
        <is>
          <t>Transportation Personal</t>
        </is>
      </c>
      <c r="E373" t="inlineStr">
        <is>
          <t>Passenger Vehicle Motors</t>
        </is>
      </c>
      <c r="F373" t="inlineStr">
        <is>
          <t>Plug-in Hybrid</t>
        </is>
      </c>
      <c r="G373" t="inlineStr">
        <is>
          <t>dcc_progress_ratio_1</t>
        </is>
      </c>
      <c r="L373" t="inlineStr">
        <is>
          <t>%</t>
        </is>
      </c>
      <c r="M373" t="n">
        <v>0.92</v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  <c r="X373" t="inlineStr">
        <is>
          <t>Calibrated to achieve DCC limit in 10 doublings or sustained 1/3 market share penetration of 30 years to 2050</t>
        </is>
      </c>
    </row>
    <row r="374">
      <c r="A374" t="inlineStr">
        <is>
          <t>CIMS.CAN.ON.Transportation Freight.Freight.Land.Light Medium</t>
        </is>
      </c>
      <c r="B374" t="inlineStr">
        <is>
          <t>Service</t>
        </is>
      </c>
      <c r="C374" t="inlineStr">
        <is>
          <t>ON</t>
        </is>
      </c>
      <c r="D374" t="inlineStr">
        <is>
          <t>Transportation Freight</t>
        </is>
      </c>
      <c r="E374" t="inlineStr">
        <is>
          <t>Light Medium</t>
        </is>
      </c>
      <c r="F374" t="inlineStr">
        <is>
          <t>Diesel Efficient</t>
        </is>
      </c>
      <c r="G374" t="inlineStr">
        <is>
          <t>dcc_class</t>
        </is>
      </c>
      <c r="H374" t="inlineStr">
        <is>
          <t>Fossil fuel motor</t>
        </is>
      </c>
    </row>
    <row r="375">
      <c r="A375" t="inlineStr">
        <is>
          <t>CIMS.CAN.ON.Transportation Freight.Freight.Land.Light Medium</t>
        </is>
      </c>
      <c r="B375" t="inlineStr">
        <is>
          <t>Service</t>
        </is>
      </c>
      <c r="C375" t="inlineStr">
        <is>
          <t>ON</t>
        </is>
      </c>
      <c r="D375" t="inlineStr">
        <is>
          <t>Transportation Freight</t>
        </is>
      </c>
      <c r="E375" t="inlineStr">
        <is>
          <t>Light Medium</t>
        </is>
      </c>
      <c r="F375" t="inlineStr">
        <is>
          <t>Diesel Efficient</t>
        </is>
      </c>
      <c r="G375" t="inlineStr">
        <is>
          <t>dcc_limit</t>
        </is>
      </c>
      <c r="L375" t="inlineStr">
        <is>
          <t>%</t>
        </is>
      </c>
      <c r="M375" t="n">
        <v>0.7</v>
      </c>
      <c r="N375">
        <f>M375</f>
        <v/>
      </c>
      <c r="O375">
        <f>N375</f>
        <v/>
      </c>
      <c r="P375">
        <f>O375</f>
        <v/>
      </c>
      <c r="Q375">
        <f>P375</f>
        <v/>
      </c>
      <c r="R375">
        <f>Q375</f>
        <v/>
      </c>
      <c r="S375">
        <f>R375</f>
        <v/>
      </c>
      <c r="T375">
        <f>S375</f>
        <v/>
      </c>
      <c r="U375">
        <f>T375</f>
        <v/>
      </c>
      <c r="V375">
        <f>U375</f>
        <v/>
      </c>
      <c r="W375">
        <f>V375</f>
        <v/>
      </c>
    </row>
    <row r="376">
      <c r="A376" t="inlineStr">
        <is>
          <t>CIMS.CAN.ON.Transportation Freight.Freight.Land.Light Medium</t>
        </is>
      </c>
      <c r="B376" t="inlineStr">
        <is>
          <t>Service</t>
        </is>
      </c>
      <c r="C376" t="inlineStr">
        <is>
          <t>ON</t>
        </is>
      </c>
      <c r="D376" t="inlineStr">
        <is>
          <t>Transportation Freight</t>
        </is>
      </c>
      <c r="E376" t="inlineStr">
        <is>
          <t>Light Medium</t>
        </is>
      </c>
      <c r="F376" t="inlineStr">
        <is>
          <t>Diesel Efficient</t>
        </is>
      </c>
      <c r="G376" t="inlineStr">
        <is>
          <t>dcc_learning_min</t>
        </is>
      </c>
      <c r="L376" t="inlineStr">
        <is>
          <t>%</t>
        </is>
      </c>
      <c r="M376" t="n">
        <v>0.001</v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CIMS.CAN.ON.Transportation Freight.Freight.Land.Light Medium</t>
        </is>
      </c>
      <c r="B377" t="inlineStr">
        <is>
          <t>Service</t>
        </is>
      </c>
      <c r="C377" t="inlineStr">
        <is>
          <t>ON</t>
        </is>
      </c>
      <c r="D377" t="inlineStr">
        <is>
          <t>Transportation Freight</t>
        </is>
      </c>
      <c r="E377" t="inlineStr">
        <is>
          <t>Light Medium</t>
        </is>
      </c>
      <c r="F377" t="inlineStr">
        <is>
          <t>Diesel Efficient</t>
        </is>
      </c>
      <c r="G377" t="inlineStr">
        <is>
          <t>dcc_capacity_1</t>
        </is>
      </c>
      <c r="L377" t="inlineStr">
        <is>
          <t>k*tkm</t>
        </is>
      </c>
      <c r="M377">
        <f>86358000*16*2000/1000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  <c r="X377" t="inlineStr">
        <is>
          <t>86358000 tkm annual * 16 yr lifetime * 2000 per plant (wild guess) / 5 yr</t>
        </is>
      </c>
    </row>
    <row r="378">
      <c r="A378" t="inlineStr">
        <is>
          <t>CIMS.CAN.ON.Transportation Freight.Freight.Land.Light Medium</t>
        </is>
      </c>
      <c r="B378" t="inlineStr">
        <is>
          <t>Service</t>
        </is>
      </c>
      <c r="C378" t="inlineStr">
        <is>
          <t>ON</t>
        </is>
      </c>
      <c r="D378" t="inlineStr">
        <is>
          <t>Transportation Freight</t>
        </is>
      </c>
      <c r="E378" t="inlineStr">
        <is>
          <t>Light Medium</t>
        </is>
      </c>
      <c r="F378" t="inlineStr">
        <is>
          <t>Diesel Efficient</t>
        </is>
      </c>
      <c r="G378" t="inlineStr">
        <is>
          <t>dcc_progress_ratio_1</t>
        </is>
      </c>
      <c r="L378" t="inlineStr">
        <is>
          <t>%</t>
        </is>
      </c>
      <c r="M378" t="n">
        <v>0.97</v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CIMS.CAN.ON.Transportation Freight.Freight.Land.Light Medium</t>
        </is>
      </c>
      <c r="B379" t="inlineStr">
        <is>
          <t>Service</t>
        </is>
      </c>
      <c r="C379" t="inlineStr">
        <is>
          <t>ON</t>
        </is>
      </c>
      <c r="D379" t="inlineStr">
        <is>
          <t>Transportation Freight</t>
        </is>
      </c>
      <c r="E379" t="inlineStr">
        <is>
          <t>Light Medium</t>
        </is>
      </c>
      <c r="F379" t="inlineStr">
        <is>
          <t>Gasoline Efficient</t>
        </is>
      </c>
      <c r="G379" t="inlineStr">
        <is>
          <t>dcc_class</t>
        </is>
      </c>
      <c r="H379" t="inlineStr">
        <is>
          <t>Fossil fuel motor</t>
        </is>
      </c>
    </row>
    <row r="380">
      <c r="A380" t="inlineStr">
        <is>
          <t>CIMS.CAN.ON.Transportation Freight.Freight.Land.Light Medium</t>
        </is>
      </c>
      <c r="B380" t="inlineStr">
        <is>
          <t>Service</t>
        </is>
      </c>
      <c r="C380" t="inlineStr">
        <is>
          <t>ON</t>
        </is>
      </c>
      <c r="D380" t="inlineStr">
        <is>
          <t>Transportation Freight</t>
        </is>
      </c>
      <c r="E380" t="inlineStr">
        <is>
          <t>Light Medium</t>
        </is>
      </c>
      <c r="F380" t="inlineStr">
        <is>
          <t>Gasoline Efficient</t>
        </is>
      </c>
      <c r="G380" t="inlineStr">
        <is>
          <t>dcc_limit</t>
        </is>
      </c>
      <c r="L380" t="inlineStr">
        <is>
          <t>%</t>
        </is>
      </c>
      <c r="M380" t="n">
        <v>0.7</v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CIMS.CAN.ON.Transportation Freight.Freight.Land.Light Medium</t>
        </is>
      </c>
      <c r="B381" t="inlineStr">
        <is>
          <t>Service</t>
        </is>
      </c>
      <c r="C381" t="inlineStr">
        <is>
          <t>ON</t>
        </is>
      </c>
      <c r="D381" t="inlineStr">
        <is>
          <t>Transportation Freight</t>
        </is>
      </c>
      <c r="E381" t="inlineStr">
        <is>
          <t>Light Medium</t>
        </is>
      </c>
      <c r="F381" t="inlineStr">
        <is>
          <t>Gasoline Efficient</t>
        </is>
      </c>
      <c r="G381" t="inlineStr">
        <is>
          <t>dcc_learning_min</t>
        </is>
      </c>
      <c r="L381" t="inlineStr">
        <is>
          <t>%</t>
        </is>
      </c>
      <c r="M381" t="n">
        <v>0.001</v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CIMS.CAN.ON.Transportation Freight.Freight.Land.Light Medium</t>
        </is>
      </c>
      <c r="B382" t="inlineStr">
        <is>
          <t>Service</t>
        </is>
      </c>
      <c r="C382" t="inlineStr">
        <is>
          <t>ON</t>
        </is>
      </c>
      <c r="D382" t="inlineStr">
        <is>
          <t>Transportation Freight</t>
        </is>
      </c>
      <c r="E382" t="inlineStr">
        <is>
          <t>Light Medium</t>
        </is>
      </c>
      <c r="F382" t="inlineStr">
        <is>
          <t>Gasoline Efficient</t>
        </is>
      </c>
      <c r="G382" t="inlineStr">
        <is>
          <t>dcc_capacity_1</t>
        </is>
      </c>
      <c r="L382" t="inlineStr">
        <is>
          <t>k*tkm</t>
        </is>
      </c>
      <c r="M382">
        <f>86358000*16*2000/1000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  <c r="X382" t="inlineStr">
        <is>
          <t>86358000 tkm annual * 16 yr lifetime * 2000 per plant (wild guess) / 5 yr</t>
        </is>
      </c>
    </row>
    <row r="383">
      <c r="A383" t="inlineStr">
        <is>
          <t>CIMS.CAN.ON.Transportation Freight.Freight.Land.Light Medium</t>
        </is>
      </c>
      <c r="B383" t="inlineStr">
        <is>
          <t>Service</t>
        </is>
      </c>
      <c r="C383" t="inlineStr">
        <is>
          <t>ON</t>
        </is>
      </c>
      <c r="D383" t="inlineStr">
        <is>
          <t>Transportation Freight</t>
        </is>
      </c>
      <c r="E383" t="inlineStr">
        <is>
          <t>Light Medium</t>
        </is>
      </c>
      <c r="F383" t="inlineStr">
        <is>
          <t>Gasoline Efficient</t>
        </is>
      </c>
      <c r="G383" t="inlineStr">
        <is>
          <t>dcc_progress_ratio_1</t>
        </is>
      </c>
      <c r="L383" t="inlineStr">
        <is>
          <t>%</t>
        </is>
      </c>
      <c r="M383" t="n">
        <v>0.97</v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CIMS.CAN.ON.Transportation Freight.Freight.Land.Light Medium</t>
        </is>
      </c>
      <c r="B384" t="inlineStr">
        <is>
          <t>Service</t>
        </is>
      </c>
      <c r="C384" t="inlineStr">
        <is>
          <t>ON</t>
        </is>
      </c>
      <c r="D384" t="inlineStr">
        <is>
          <t>Transportation Freight</t>
        </is>
      </c>
      <c r="E384" t="inlineStr">
        <is>
          <t>Light Medium</t>
        </is>
      </c>
      <c r="F384" t="inlineStr">
        <is>
          <t>Biodiesel</t>
        </is>
      </c>
      <c r="G384" t="inlineStr">
        <is>
          <t>dcc_class</t>
        </is>
      </c>
      <c r="H384" t="inlineStr">
        <is>
          <t>Biofuel motor</t>
        </is>
      </c>
    </row>
    <row r="385">
      <c r="A385" t="inlineStr">
        <is>
          <t>CIMS.CAN.ON.Transportation Freight.Freight.Land.Light Medium</t>
        </is>
      </c>
      <c r="B385" t="inlineStr">
        <is>
          <t>Service</t>
        </is>
      </c>
      <c r="C385" t="inlineStr">
        <is>
          <t>ON</t>
        </is>
      </c>
      <c r="D385" t="inlineStr">
        <is>
          <t>Transportation Freight</t>
        </is>
      </c>
      <c r="E385" t="inlineStr">
        <is>
          <t>Light Medium</t>
        </is>
      </c>
      <c r="F385" t="inlineStr">
        <is>
          <t>Biodiesel</t>
        </is>
      </c>
      <c r="G385" t="inlineStr">
        <is>
          <t>dcc_limit</t>
        </is>
      </c>
      <c r="L385" t="inlineStr">
        <is>
          <t>%</t>
        </is>
      </c>
      <c r="M385" t="n">
        <v>0.4</v>
      </c>
      <c r="N385">
        <f>M385</f>
        <v/>
      </c>
      <c r="O385">
        <f>N385</f>
        <v/>
      </c>
      <c r="P385">
        <f>O385</f>
        <v/>
      </c>
      <c r="Q385">
        <f>P385</f>
        <v/>
      </c>
      <c r="R385">
        <f>Q385</f>
        <v/>
      </c>
      <c r="S385">
        <f>R385</f>
        <v/>
      </c>
      <c r="T385">
        <f>S385</f>
        <v/>
      </c>
      <c r="U385">
        <f>T385</f>
        <v/>
      </c>
      <c r="V385">
        <f>U385</f>
        <v/>
      </c>
      <c r="W385">
        <f>V385</f>
        <v/>
      </c>
    </row>
    <row r="386">
      <c r="A386" t="inlineStr">
        <is>
          <t>CIMS.CAN.ON.Transportation Freight.Freight.Land.Light Medium</t>
        </is>
      </c>
      <c r="B386" t="inlineStr">
        <is>
          <t>Service</t>
        </is>
      </c>
      <c r="C386" t="inlineStr">
        <is>
          <t>ON</t>
        </is>
      </c>
      <c r="D386" t="inlineStr">
        <is>
          <t>Transportation Freight</t>
        </is>
      </c>
      <c r="E386" t="inlineStr">
        <is>
          <t>Light Medium</t>
        </is>
      </c>
      <c r="F386" t="inlineStr">
        <is>
          <t>Biodiesel</t>
        </is>
      </c>
      <c r="G386" t="inlineStr">
        <is>
          <t>dcc_learning_min</t>
        </is>
      </c>
      <c r="L386" t="inlineStr">
        <is>
          <t>%</t>
        </is>
      </c>
      <c r="M386" t="n">
        <v>0.01</v>
      </c>
      <c r="N386">
        <f>M386</f>
        <v/>
      </c>
      <c r="O386">
        <f>N386</f>
        <v/>
      </c>
      <c r="P386">
        <f>O386</f>
        <v/>
      </c>
      <c r="Q386">
        <f>P386</f>
        <v/>
      </c>
      <c r="R386">
        <f>Q386</f>
        <v/>
      </c>
      <c r="S386">
        <f>R386</f>
        <v/>
      </c>
      <c r="T386">
        <f>S386</f>
        <v/>
      </c>
      <c r="U386">
        <f>T386</f>
        <v/>
      </c>
      <c r="V386">
        <f>U386</f>
        <v/>
      </c>
      <c r="W386">
        <f>V386</f>
        <v/>
      </c>
    </row>
    <row r="387">
      <c r="A387" t="inlineStr">
        <is>
          <t>CIMS.CAN.ON.Transportation Freight.Freight.Land.Light Medium</t>
        </is>
      </c>
      <c r="B387" t="inlineStr">
        <is>
          <t>Service</t>
        </is>
      </c>
      <c r="C387" t="inlineStr">
        <is>
          <t>ON</t>
        </is>
      </c>
      <c r="D387" t="inlineStr">
        <is>
          <t>Transportation Freight</t>
        </is>
      </c>
      <c r="E387" t="inlineStr">
        <is>
          <t>Light Medium</t>
        </is>
      </c>
      <c r="F387" t="inlineStr">
        <is>
          <t>Biodiesel</t>
        </is>
      </c>
      <c r="G387" t="inlineStr">
        <is>
          <t>dcc_capacity_1</t>
        </is>
      </c>
      <c r="L387" t="inlineStr">
        <is>
          <t>k*tkm</t>
        </is>
      </c>
      <c r="M387">
        <f>86358000*16*2000/1000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  <c r="X387" t="inlineStr">
        <is>
          <t>86358000 tkm annual * 16 yr lifetime * 2000 per plant (wild guess) / 5 yr</t>
        </is>
      </c>
    </row>
    <row r="388">
      <c r="A388" t="inlineStr">
        <is>
          <t>CIMS.CAN.ON.Transportation Freight.Freight.Land.Light Medium</t>
        </is>
      </c>
      <c r="B388" t="inlineStr">
        <is>
          <t>Service</t>
        </is>
      </c>
      <c r="C388" t="inlineStr">
        <is>
          <t>ON</t>
        </is>
      </c>
      <c r="D388" t="inlineStr">
        <is>
          <t>Transportation Freight</t>
        </is>
      </c>
      <c r="E388" t="inlineStr">
        <is>
          <t>Light Medium</t>
        </is>
      </c>
      <c r="F388" t="inlineStr">
        <is>
          <t>Biodiesel</t>
        </is>
      </c>
      <c r="G388" t="inlineStr">
        <is>
          <t>dcc_progress_ratio_1</t>
        </is>
      </c>
      <c r="L388" t="inlineStr">
        <is>
          <t>%</t>
        </is>
      </c>
      <c r="M388" t="n">
        <v>0.9</v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  <row r="389">
      <c r="A389" t="inlineStr">
        <is>
          <t>CIMS.CAN.ON.Transportation Freight.Freight.Land.Light Medium</t>
        </is>
      </c>
      <c r="B389" t="inlineStr">
        <is>
          <t>Service</t>
        </is>
      </c>
      <c r="C389" t="inlineStr">
        <is>
          <t>ON</t>
        </is>
      </c>
      <c r="D389" t="inlineStr">
        <is>
          <t>Transportation Freight</t>
        </is>
      </c>
      <c r="E389" t="inlineStr">
        <is>
          <t>Light Medium</t>
        </is>
      </c>
      <c r="F389" t="inlineStr">
        <is>
          <t>Hydrogen</t>
        </is>
      </c>
      <c r="G389" t="inlineStr">
        <is>
          <t>dcc_class</t>
        </is>
      </c>
      <c r="H389" t="inlineStr">
        <is>
          <t>Hydrogen fuel cell</t>
        </is>
      </c>
    </row>
    <row r="390">
      <c r="A390" t="inlineStr">
        <is>
          <t>CIMS.CAN.ON.Transportation Freight.Freight.Land.Light Medium</t>
        </is>
      </c>
      <c r="B390" t="inlineStr">
        <is>
          <t>Service</t>
        </is>
      </c>
      <c r="C390" t="inlineStr">
        <is>
          <t>ON</t>
        </is>
      </c>
      <c r="D390" t="inlineStr">
        <is>
          <t>Transportation Freight</t>
        </is>
      </c>
      <c r="E390" t="inlineStr">
        <is>
          <t>Light Medium</t>
        </is>
      </c>
      <c r="F390" t="inlineStr">
        <is>
          <t>Hydrogen</t>
        </is>
      </c>
      <c r="G390" t="inlineStr">
        <is>
          <t>dcc_limit</t>
        </is>
      </c>
      <c r="L390" t="inlineStr">
        <is>
          <t>%</t>
        </is>
      </c>
      <c r="M390" t="n">
        <v>0.31</v>
      </c>
      <c r="N390">
        <f>M390</f>
        <v/>
      </c>
      <c r="O390">
        <f>N390</f>
        <v/>
      </c>
      <c r="P390">
        <f>O390</f>
        <v/>
      </c>
      <c r="Q390">
        <f>P390</f>
        <v/>
      </c>
      <c r="R390">
        <f>Q390</f>
        <v/>
      </c>
      <c r="S390">
        <f>R390</f>
        <v/>
      </c>
      <c r="T390">
        <f>S390</f>
        <v/>
      </c>
      <c r="U390">
        <f>T390</f>
        <v/>
      </c>
      <c r="V390">
        <f>U390</f>
        <v/>
      </c>
      <c r="W390">
        <f>V390</f>
        <v/>
      </c>
    </row>
    <row r="391">
      <c r="A391" t="inlineStr">
        <is>
          <t>CIMS.CAN.ON.Transportation Freight.Freight.Land.Light Medium</t>
        </is>
      </c>
      <c r="B391" t="inlineStr">
        <is>
          <t>Service</t>
        </is>
      </c>
      <c r="C391" t="inlineStr">
        <is>
          <t>ON</t>
        </is>
      </c>
      <c r="D391" t="inlineStr">
        <is>
          <t>Transportation Freight</t>
        </is>
      </c>
      <c r="E391" t="inlineStr">
        <is>
          <t>Light Medium</t>
        </is>
      </c>
      <c r="F391" t="inlineStr">
        <is>
          <t>Hydrogen</t>
        </is>
      </c>
      <c r="G391" t="inlineStr">
        <is>
          <t>dcc_learning_min</t>
        </is>
      </c>
      <c r="L391" t="inlineStr">
        <is>
          <t>%</t>
        </is>
      </c>
      <c r="M391" t="n">
        <v>0.003</v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CIMS.CAN.ON.Transportation Freight.Freight.Land.Light Medium</t>
        </is>
      </c>
      <c r="B392" t="inlineStr">
        <is>
          <t>Service</t>
        </is>
      </c>
      <c r="C392" t="inlineStr">
        <is>
          <t>ON</t>
        </is>
      </c>
      <c r="D392" t="inlineStr">
        <is>
          <t>Transportation Freight</t>
        </is>
      </c>
      <c r="E392" t="inlineStr">
        <is>
          <t>Light Medium</t>
        </is>
      </c>
      <c r="F392" t="inlineStr">
        <is>
          <t>Hydrogen</t>
        </is>
      </c>
      <c r="G392" t="inlineStr">
        <is>
          <t>dcc_capacity_1</t>
        </is>
      </c>
      <c r="L392" t="inlineStr">
        <is>
          <t>k*tkm</t>
        </is>
      </c>
      <c r="M392">
        <f>86358000*16*2000/1000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  <c r="X392" t="inlineStr">
        <is>
          <t>86358000 tkm annual * 16 yr lifetime * 2000 per plant (wild guess) / 5 yr</t>
        </is>
      </c>
    </row>
    <row r="393">
      <c r="A393" t="inlineStr">
        <is>
          <t>CIMS.CAN.ON.Transportation Freight.Freight.Land.Light Medium</t>
        </is>
      </c>
      <c r="B393" t="inlineStr">
        <is>
          <t>Service</t>
        </is>
      </c>
      <c r="C393" t="inlineStr">
        <is>
          <t>ON</t>
        </is>
      </c>
      <c r="D393" t="inlineStr">
        <is>
          <t>Transportation Freight</t>
        </is>
      </c>
      <c r="E393" t="inlineStr">
        <is>
          <t>Light Medium</t>
        </is>
      </c>
      <c r="F393" t="inlineStr">
        <is>
          <t>Hydrogen</t>
        </is>
      </c>
      <c r="G393" t="inlineStr">
        <is>
          <t>dcc_progress_ratio_1</t>
        </is>
      </c>
      <c r="L393" t="inlineStr">
        <is>
          <t>%</t>
        </is>
      </c>
      <c r="M393" t="n">
        <v>0.9</v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  <row r="394">
      <c r="A394" t="inlineStr">
        <is>
          <t>CIMS.CAN.ON.Transportation Freight.Freight.Land.Light Medium</t>
        </is>
      </c>
      <c r="B394" t="inlineStr">
        <is>
          <t>Service</t>
        </is>
      </c>
      <c r="C394" t="inlineStr">
        <is>
          <t>ON</t>
        </is>
      </c>
      <c r="D394" t="inlineStr">
        <is>
          <t>Transportation Freight</t>
        </is>
      </c>
      <c r="E394" t="inlineStr">
        <is>
          <t>Light Medium</t>
        </is>
      </c>
      <c r="F394" t="inlineStr">
        <is>
          <t>Electric</t>
        </is>
      </c>
      <c r="G394" t="inlineStr">
        <is>
          <t>dcc_class</t>
        </is>
      </c>
      <c r="H394" t="inlineStr">
        <is>
          <t>Electric motor</t>
        </is>
      </c>
    </row>
    <row r="395">
      <c r="A395" t="inlineStr">
        <is>
          <t>CIMS.CAN.ON.Transportation Freight.Freight.Land.Light Medium</t>
        </is>
      </c>
      <c r="B395" t="inlineStr">
        <is>
          <t>Service</t>
        </is>
      </c>
      <c r="C395" t="inlineStr">
        <is>
          <t>ON</t>
        </is>
      </c>
      <c r="D395" t="inlineStr">
        <is>
          <t>Transportation Freight</t>
        </is>
      </c>
      <c r="E395" t="inlineStr">
        <is>
          <t>Light Medium</t>
        </is>
      </c>
      <c r="F395" t="inlineStr">
        <is>
          <t>Electric</t>
        </is>
      </c>
      <c r="G395" t="inlineStr">
        <is>
          <t>dcc_limit</t>
        </is>
      </c>
      <c r="L395" t="inlineStr">
        <is>
          <t>%</t>
        </is>
      </c>
      <c r="M395" t="n">
        <v>0.39</v>
      </c>
      <c r="N395">
        <f>M395</f>
        <v/>
      </c>
      <c r="O395">
        <f>N395</f>
        <v/>
      </c>
      <c r="P395">
        <f>O395</f>
        <v/>
      </c>
      <c r="Q395">
        <f>P395</f>
        <v/>
      </c>
      <c r="R395">
        <f>Q395</f>
        <v/>
      </c>
      <c r="S395">
        <f>R395</f>
        <v/>
      </c>
      <c r="T395">
        <f>S395</f>
        <v/>
      </c>
      <c r="U395">
        <f>T395</f>
        <v/>
      </c>
      <c r="V395">
        <f>U395</f>
        <v/>
      </c>
      <c r="W395">
        <f>V395</f>
        <v/>
      </c>
    </row>
    <row r="396">
      <c r="A396" t="inlineStr">
        <is>
          <t>CIMS.CAN.ON.Transportation Freight.Freight.Land.Light Medium</t>
        </is>
      </c>
      <c r="B396" t="inlineStr">
        <is>
          <t>Service</t>
        </is>
      </c>
      <c r="C396" t="inlineStr">
        <is>
          <t>ON</t>
        </is>
      </c>
      <c r="D396" t="inlineStr">
        <is>
          <t>Transportation Freight</t>
        </is>
      </c>
      <c r="E396" t="inlineStr">
        <is>
          <t>Light Medium</t>
        </is>
      </c>
      <c r="F396" t="inlineStr">
        <is>
          <t>Electric</t>
        </is>
      </c>
      <c r="G396" t="inlineStr">
        <is>
          <t>dcc_learning_min</t>
        </is>
      </c>
      <c r="L396" t="inlineStr">
        <is>
          <t>%</t>
        </is>
      </c>
      <c r="M396" t="n">
        <v>0.02</v>
      </c>
      <c r="N396">
        <f>M396</f>
        <v/>
      </c>
      <c r="O396">
        <f>N396</f>
        <v/>
      </c>
      <c r="P396">
        <f>O396</f>
        <v/>
      </c>
      <c r="Q396">
        <f>P396</f>
        <v/>
      </c>
      <c r="R396">
        <f>Q396</f>
        <v/>
      </c>
      <c r="S396">
        <f>R396</f>
        <v/>
      </c>
      <c r="T396">
        <f>S396</f>
        <v/>
      </c>
      <c r="U396">
        <f>T396</f>
        <v/>
      </c>
      <c r="V396">
        <f>U396</f>
        <v/>
      </c>
      <c r="W396">
        <f>V396</f>
        <v/>
      </c>
    </row>
    <row r="397">
      <c r="A397" t="inlineStr">
        <is>
          <t>CIMS.CAN.ON.Transportation Freight.Freight.Land.Light Medium</t>
        </is>
      </c>
      <c r="B397" t="inlineStr">
        <is>
          <t>Service</t>
        </is>
      </c>
      <c r="C397" t="inlineStr">
        <is>
          <t>ON</t>
        </is>
      </c>
      <c r="D397" t="inlineStr">
        <is>
          <t>Transportation Freight</t>
        </is>
      </c>
      <c r="E397" t="inlineStr">
        <is>
          <t>Light Medium</t>
        </is>
      </c>
      <c r="F397" t="inlineStr">
        <is>
          <t>Electric</t>
        </is>
      </c>
      <c r="G397" t="inlineStr">
        <is>
          <t>dcc_capacity_1</t>
        </is>
      </c>
      <c r="L397" t="inlineStr">
        <is>
          <t>k*tkm</t>
        </is>
      </c>
      <c r="M397">
        <f>86358000*16*2000/1000</f>
        <v/>
      </c>
      <c r="N397">
        <f>M397</f>
        <v/>
      </c>
      <c r="O397">
        <f>N397</f>
        <v/>
      </c>
      <c r="P397">
        <f>O397</f>
        <v/>
      </c>
      <c r="Q397">
        <f>P397</f>
        <v/>
      </c>
      <c r="R397">
        <f>Q397</f>
        <v/>
      </c>
      <c r="S397">
        <f>R397</f>
        <v/>
      </c>
      <c r="T397">
        <f>S397</f>
        <v/>
      </c>
      <c r="U397">
        <f>T397</f>
        <v/>
      </c>
      <c r="V397">
        <f>U397</f>
        <v/>
      </c>
      <c r="W397">
        <f>V397</f>
        <v/>
      </c>
      <c r="X397" t="inlineStr">
        <is>
          <t>86358000 tkm annual * 16 yr lifetime * 2000 per plant (wild guess) / 5 yr</t>
        </is>
      </c>
    </row>
    <row r="398">
      <c r="A398" t="inlineStr">
        <is>
          <t>CIMS.CAN.ON.Transportation Freight.Freight.Land.Light Medium</t>
        </is>
      </c>
      <c r="B398" t="inlineStr">
        <is>
          <t>Service</t>
        </is>
      </c>
      <c r="C398" t="inlineStr">
        <is>
          <t>ON</t>
        </is>
      </c>
      <c r="D398" t="inlineStr">
        <is>
          <t>Transportation Freight</t>
        </is>
      </c>
      <c r="E398" t="inlineStr">
        <is>
          <t>Light Medium</t>
        </is>
      </c>
      <c r="F398" t="inlineStr">
        <is>
          <t>Electric</t>
        </is>
      </c>
      <c r="G398" t="inlineStr">
        <is>
          <t>dcc_progress_ratio_1</t>
        </is>
      </c>
      <c r="L398" t="inlineStr">
        <is>
          <t>%</t>
        </is>
      </c>
      <c r="M398" t="n">
        <v>0.95</v>
      </c>
      <c r="N398">
        <f>M398</f>
        <v/>
      </c>
      <c r="O398">
        <f>N398</f>
        <v/>
      </c>
      <c r="P398">
        <f>O398</f>
        <v/>
      </c>
      <c r="Q398">
        <f>P398</f>
        <v/>
      </c>
      <c r="R398">
        <f>Q398</f>
        <v/>
      </c>
      <c r="S398">
        <f>R398</f>
        <v/>
      </c>
      <c r="T398">
        <f>S398</f>
        <v/>
      </c>
      <c r="U398">
        <f>T398</f>
        <v/>
      </c>
      <c r="V398">
        <f>U398</f>
        <v/>
      </c>
      <c r="W398">
        <f>V398</f>
        <v/>
      </c>
    </row>
    <row r="399">
      <c r="A399" t="inlineStr">
        <is>
          <t>CIMS.CAN.ON.Transportation Freight.Freight.Land.Light Medium</t>
        </is>
      </c>
      <c r="B399" t="inlineStr">
        <is>
          <t>Service</t>
        </is>
      </c>
      <c r="C399" t="inlineStr">
        <is>
          <t>ON</t>
        </is>
      </c>
      <c r="D399" t="inlineStr">
        <is>
          <t>Transportation Freight</t>
        </is>
      </c>
      <c r="E399" t="inlineStr">
        <is>
          <t>Light Medium</t>
        </is>
      </c>
      <c r="F399" t="inlineStr">
        <is>
          <t>Plug-in Hybrid</t>
        </is>
      </c>
      <c r="G399" t="inlineStr">
        <is>
          <t>dcc_class</t>
        </is>
      </c>
      <c r="H399" t="inlineStr">
        <is>
          <t>Electric motor</t>
        </is>
      </c>
    </row>
    <row r="400">
      <c r="A400" t="inlineStr">
        <is>
          <t>CIMS.CAN.ON.Transportation Freight.Freight.Land.Light Medium</t>
        </is>
      </c>
      <c r="B400" t="inlineStr">
        <is>
          <t>Service</t>
        </is>
      </c>
      <c r="C400" t="inlineStr">
        <is>
          <t>ON</t>
        </is>
      </c>
      <c r="D400" t="inlineStr">
        <is>
          <t>Transportation Freight</t>
        </is>
      </c>
      <c r="E400" t="inlineStr">
        <is>
          <t>Light Medium</t>
        </is>
      </c>
      <c r="F400" t="inlineStr">
        <is>
          <t>Plug-in Hybrid</t>
        </is>
      </c>
      <c r="G400" t="inlineStr">
        <is>
          <t>dcc_limit</t>
        </is>
      </c>
      <c r="L400" t="inlineStr">
        <is>
          <t>%</t>
        </is>
      </c>
      <c r="M400" t="n">
        <v>0.52</v>
      </c>
      <c r="N400">
        <f>M400</f>
        <v/>
      </c>
      <c r="O400">
        <f>N400</f>
        <v/>
      </c>
      <c r="P400">
        <f>O400</f>
        <v/>
      </c>
      <c r="Q400">
        <f>P400</f>
        <v/>
      </c>
      <c r="R400">
        <f>Q400</f>
        <v/>
      </c>
      <c r="S400">
        <f>R400</f>
        <v/>
      </c>
      <c r="T400">
        <f>S400</f>
        <v/>
      </c>
      <c r="U400">
        <f>T400</f>
        <v/>
      </c>
      <c r="V400">
        <f>U400</f>
        <v/>
      </c>
      <c r="W400">
        <f>V400</f>
        <v/>
      </c>
    </row>
    <row r="401">
      <c r="A401" t="inlineStr">
        <is>
          <t>CIMS.CAN.ON.Transportation Freight.Freight.Land.Light Medium</t>
        </is>
      </c>
      <c r="B401" t="inlineStr">
        <is>
          <t>Service</t>
        </is>
      </c>
      <c r="C401" t="inlineStr">
        <is>
          <t>ON</t>
        </is>
      </c>
      <c r="D401" t="inlineStr">
        <is>
          <t>Transportation Freight</t>
        </is>
      </c>
      <c r="E401" t="inlineStr">
        <is>
          <t>Light Medium</t>
        </is>
      </c>
      <c r="F401" t="inlineStr">
        <is>
          <t>Plug-in Hybrid</t>
        </is>
      </c>
      <c r="G401" t="inlineStr">
        <is>
          <t>dcc_learning_min</t>
        </is>
      </c>
      <c r="L401" t="inlineStr">
        <is>
          <t>%</t>
        </is>
      </c>
      <c r="M401" t="n">
        <v>0.005</v>
      </c>
      <c r="N401">
        <f>M401</f>
        <v/>
      </c>
      <c r="O401">
        <f>N401</f>
        <v/>
      </c>
      <c r="P401">
        <f>O401</f>
        <v/>
      </c>
      <c r="Q401">
        <f>P401</f>
        <v/>
      </c>
      <c r="R401">
        <f>Q401</f>
        <v/>
      </c>
      <c r="S401">
        <f>R401</f>
        <v/>
      </c>
      <c r="T401">
        <f>S401</f>
        <v/>
      </c>
      <c r="U401">
        <f>T401</f>
        <v/>
      </c>
      <c r="V401">
        <f>U401</f>
        <v/>
      </c>
      <c r="W401">
        <f>V401</f>
        <v/>
      </c>
    </row>
    <row r="402">
      <c r="A402" t="inlineStr">
        <is>
          <t>CIMS.CAN.ON.Transportation Freight.Freight.Land.Light Medium</t>
        </is>
      </c>
      <c r="B402" t="inlineStr">
        <is>
          <t>Service</t>
        </is>
      </c>
      <c r="C402" t="inlineStr">
        <is>
          <t>ON</t>
        </is>
      </c>
      <c r="D402" t="inlineStr">
        <is>
          <t>Transportation Freight</t>
        </is>
      </c>
      <c r="E402" t="inlineStr">
        <is>
          <t>Light Medium</t>
        </is>
      </c>
      <c r="F402" t="inlineStr">
        <is>
          <t>Plug-in Hybrid</t>
        </is>
      </c>
      <c r="G402" t="inlineStr">
        <is>
          <t>dcc_capacity_1</t>
        </is>
      </c>
      <c r="L402" t="inlineStr">
        <is>
          <t>k*tkm</t>
        </is>
      </c>
      <c r="M402">
        <f>86358000*16*2000/1000</f>
        <v/>
      </c>
      <c r="N402">
        <f>M402</f>
        <v/>
      </c>
      <c r="O402">
        <f>N402</f>
        <v/>
      </c>
      <c r="P402">
        <f>O402</f>
        <v/>
      </c>
      <c r="Q402">
        <f>P402</f>
        <v/>
      </c>
      <c r="R402">
        <f>Q402</f>
        <v/>
      </c>
      <c r="S402">
        <f>R402</f>
        <v/>
      </c>
      <c r="T402">
        <f>S402</f>
        <v/>
      </c>
      <c r="U402">
        <f>T402</f>
        <v/>
      </c>
      <c r="V402">
        <f>U402</f>
        <v/>
      </c>
      <c r="W402">
        <f>V402</f>
        <v/>
      </c>
      <c r="X402" t="inlineStr">
        <is>
          <t>86358000 tkm annual * 16 yr lifetime * 2000 per plant (wild guess) / 5 yr</t>
        </is>
      </c>
    </row>
    <row r="403">
      <c r="A403" t="inlineStr">
        <is>
          <t>CIMS.CAN.ON.Transportation Freight.Freight.Land.Light Medium</t>
        </is>
      </c>
      <c r="B403" t="inlineStr">
        <is>
          <t>Service</t>
        </is>
      </c>
      <c r="C403" t="inlineStr">
        <is>
          <t>ON</t>
        </is>
      </c>
      <c r="D403" t="inlineStr">
        <is>
          <t>Transportation Freight</t>
        </is>
      </c>
      <c r="E403" t="inlineStr">
        <is>
          <t>Light Medium</t>
        </is>
      </c>
      <c r="F403" t="inlineStr">
        <is>
          <t>Plug-in Hybrid</t>
        </is>
      </c>
      <c r="G403" t="inlineStr">
        <is>
          <t>dcc_progress_ratio_1</t>
        </is>
      </c>
      <c r="L403" t="inlineStr">
        <is>
          <t>%</t>
        </is>
      </c>
      <c r="M403" t="n">
        <v>0.97</v>
      </c>
      <c r="N403">
        <f>M403</f>
        <v/>
      </c>
      <c r="O403">
        <f>N403</f>
        <v/>
      </c>
      <c r="P403">
        <f>O403</f>
        <v/>
      </c>
      <c r="Q403">
        <f>P403</f>
        <v/>
      </c>
      <c r="R403">
        <f>Q403</f>
        <v/>
      </c>
      <c r="S403">
        <f>R403</f>
        <v/>
      </c>
      <c r="T403">
        <f>S403</f>
        <v/>
      </c>
      <c r="U403">
        <f>T403</f>
        <v/>
      </c>
      <c r="V403">
        <f>U403</f>
        <v/>
      </c>
      <c r="W403">
        <f>V403</f>
        <v/>
      </c>
    </row>
    <row r="404">
      <c r="A404" t="inlineStr">
        <is>
          <t>CIMS.CAN.ON.Transportation Freight.Freight.Land.Heavy.Trucks</t>
        </is>
      </c>
      <c r="B404" t="inlineStr">
        <is>
          <t>Service</t>
        </is>
      </c>
      <c r="C404" t="inlineStr">
        <is>
          <t>ON</t>
        </is>
      </c>
      <c r="D404" t="inlineStr">
        <is>
          <t>Transportation Freight</t>
        </is>
      </c>
      <c r="E404" t="inlineStr">
        <is>
          <t>Trucks</t>
        </is>
      </c>
      <c r="F404" t="inlineStr">
        <is>
          <t>Natural Gas</t>
        </is>
      </c>
      <c r="G404" t="inlineStr">
        <is>
          <t>dcc_class</t>
        </is>
      </c>
      <c r="H404" t="inlineStr">
        <is>
          <t>CNG</t>
        </is>
      </c>
    </row>
    <row r="405">
      <c r="A405" t="inlineStr">
        <is>
          <t>CIMS.CAN.ON.Transportation Freight.Freight.Land.Heavy.Trucks</t>
        </is>
      </c>
      <c r="B405" t="inlineStr">
        <is>
          <t>Service</t>
        </is>
      </c>
      <c r="C405" t="inlineStr">
        <is>
          <t>ON</t>
        </is>
      </c>
      <c r="D405" t="inlineStr">
        <is>
          <t>Transportation Freight</t>
        </is>
      </c>
      <c r="E405" t="inlineStr">
        <is>
          <t>Trucks</t>
        </is>
      </c>
      <c r="F405" t="inlineStr">
        <is>
          <t>Natural Gas</t>
        </is>
      </c>
      <c r="G405" t="inlineStr">
        <is>
          <t>dcc_limit</t>
        </is>
      </c>
      <c r="L405" t="inlineStr">
        <is>
          <t>%</t>
        </is>
      </c>
      <c r="M405" t="n">
        <v>0.7</v>
      </c>
      <c r="N405">
        <f>M405</f>
        <v/>
      </c>
      <c r="O405">
        <f>N405</f>
        <v/>
      </c>
      <c r="P405">
        <f>O405</f>
        <v/>
      </c>
      <c r="Q405">
        <f>P405</f>
        <v/>
      </c>
      <c r="R405">
        <f>Q405</f>
        <v/>
      </c>
      <c r="S405">
        <f>R405</f>
        <v/>
      </c>
      <c r="T405">
        <f>S405</f>
        <v/>
      </c>
      <c r="U405">
        <f>T405</f>
        <v/>
      </c>
      <c r="V405">
        <f>U405</f>
        <v/>
      </c>
      <c r="W405">
        <f>V405</f>
        <v/>
      </c>
    </row>
    <row r="406">
      <c r="A406" t="inlineStr">
        <is>
          <t>CIMS.CAN.ON.Transportation Freight.Freight.Land.Heavy.Trucks</t>
        </is>
      </c>
      <c r="B406" t="inlineStr">
        <is>
          <t>Service</t>
        </is>
      </c>
      <c r="C406" t="inlineStr">
        <is>
          <t>ON</t>
        </is>
      </c>
      <c r="D406" t="inlineStr">
        <is>
          <t>Transportation Freight</t>
        </is>
      </c>
      <c r="E406" t="inlineStr">
        <is>
          <t>Trucks</t>
        </is>
      </c>
      <c r="F406" t="inlineStr">
        <is>
          <t>Natural Gas</t>
        </is>
      </c>
      <c r="G406" t="inlineStr">
        <is>
          <t>dcc_learning_min</t>
        </is>
      </c>
      <c r="L406" t="inlineStr">
        <is>
          <t>%</t>
        </is>
      </c>
      <c r="M406" t="n">
        <v>0.001</v>
      </c>
      <c r="N406">
        <f>M406</f>
        <v/>
      </c>
      <c r="O406">
        <f>N406</f>
        <v/>
      </c>
      <c r="P406">
        <f>O406</f>
        <v/>
      </c>
      <c r="Q406">
        <f>P406</f>
        <v/>
      </c>
      <c r="R406">
        <f>Q406</f>
        <v/>
      </c>
      <c r="S406">
        <f>R406</f>
        <v/>
      </c>
      <c r="T406">
        <f>S406</f>
        <v/>
      </c>
      <c r="U406">
        <f>T406</f>
        <v/>
      </c>
      <c r="V406">
        <f>U406</f>
        <v/>
      </c>
      <c r="W406">
        <f>V406</f>
        <v/>
      </c>
    </row>
    <row r="407">
      <c r="A407" t="inlineStr">
        <is>
          <t>CIMS.CAN.ON.Transportation Freight.Freight.Land.Heavy.Trucks</t>
        </is>
      </c>
      <c r="B407" t="inlineStr">
        <is>
          <t>Service</t>
        </is>
      </c>
      <c r="C407" t="inlineStr">
        <is>
          <t>ON</t>
        </is>
      </c>
      <c r="D407" t="inlineStr">
        <is>
          <t>Transportation Freight</t>
        </is>
      </c>
      <c r="E407" t="inlineStr">
        <is>
          <t>Trucks</t>
        </is>
      </c>
      <c r="F407" t="inlineStr">
        <is>
          <t>Natural Gas</t>
        </is>
      </c>
      <c r="G407" t="inlineStr">
        <is>
          <t>dcc_capacity_1</t>
        </is>
      </c>
      <c r="L407" t="inlineStr">
        <is>
          <t>k*tkm</t>
        </is>
      </c>
      <c r="M407">
        <f>86358000*16*2000/1000</f>
        <v/>
      </c>
      <c r="N407">
        <f>M407</f>
        <v/>
      </c>
      <c r="O407">
        <f>N407</f>
        <v/>
      </c>
      <c r="P407">
        <f>O407</f>
        <v/>
      </c>
      <c r="Q407">
        <f>P407</f>
        <v/>
      </c>
      <c r="R407">
        <f>Q407</f>
        <v/>
      </c>
      <c r="S407">
        <f>R407</f>
        <v/>
      </c>
      <c r="T407">
        <f>S407</f>
        <v/>
      </c>
      <c r="U407">
        <f>T407</f>
        <v/>
      </c>
      <c r="V407">
        <f>U407</f>
        <v/>
      </c>
      <c r="W407">
        <f>V407</f>
        <v/>
      </c>
      <c r="X407" t="inlineStr">
        <is>
          <t>86358000 tkm annual * 16 yr lifetime * 2000 per plant (wild guess) / 5 yr</t>
        </is>
      </c>
    </row>
    <row r="408">
      <c r="A408" t="inlineStr">
        <is>
          <t>CIMS.CAN.ON.Transportation Freight.Freight.Land.Heavy.Trucks</t>
        </is>
      </c>
      <c r="B408" t="inlineStr">
        <is>
          <t>Service</t>
        </is>
      </c>
      <c r="C408" t="inlineStr">
        <is>
          <t>ON</t>
        </is>
      </c>
      <c r="D408" t="inlineStr">
        <is>
          <t>Transportation Freight</t>
        </is>
      </c>
      <c r="E408" t="inlineStr">
        <is>
          <t>Trucks</t>
        </is>
      </c>
      <c r="F408" t="inlineStr">
        <is>
          <t>Natural Gas</t>
        </is>
      </c>
      <c r="G408" t="inlineStr">
        <is>
          <t>dcc_progress_ratio_1</t>
        </is>
      </c>
      <c r="L408" t="inlineStr">
        <is>
          <t>%</t>
        </is>
      </c>
      <c r="M408" t="n">
        <v>0.97</v>
      </c>
      <c r="N408">
        <f>M408</f>
        <v/>
      </c>
      <c r="O408">
        <f>N408</f>
        <v/>
      </c>
      <c r="P408">
        <f>O408</f>
        <v/>
      </c>
      <c r="Q408">
        <f>P408</f>
        <v/>
      </c>
      <c r="R408">
        <f>Q408</f>
        <v/>
      </c>
      <c r="S408">
        <f>R408</f>
        <v/>
      </c>
      <c r="T408">
        <f>S408</f>
        <v/>
      </c>
      <c r="U408">
        <f>T408</f>
        <v/>
      </c>
      <c r="V408">
        <f>U408</f>
        <v/>
      </c>
      <c r="W408">
        <f>V408</f>
        <v/>
      </c>
    </row>
    <row r="409">
      <c r="A409" t="inlineStr">
        <is>
          <t>CIMS.CAN.ON.Transportation Freight.Freight.Land.Heavy.Trucks</t>
        </is>
      </c>
      <c r="B409" t="inlineStr">
        <is>
          <t>Service</t>
        </is>
      </c>
      <c r="C409" t="inlineStr">
        <is>
          <t>ON</t>
        </is>
      </c>
      <c r="D409" t="inlineStr">
        <is>
          <t>Transportation Freight</t>
        </is>
      </c>
      <c r="E409" t="inlineStr">
        <is>
          <t>Trucks</t>
        </is>
      </c>
      <c r="F409" t="inlineStr">
        <is>
          <t>Biodiesel</t>
        </is>
      </c>
      <c r="G409" t="inlineStr">
        <is>
          <t>dcc_class</t>
        </is>
      </c>
      <c r="H409" t="inlineStr">
        <is>
          <t>Biofuel motor</t>
        </is>
      </c>
    </row>
    <row r="410">
      <c r="A410" t="inlineStr">
        <is>
          <t>CIMS.CAN.ON.Transportation Freight.Freight.Land.Heavy.Trucks</t>
        </is>
      </c>
      <c r="B410" t="inlineStr">
        <is>
          <t>Service</t>
        </is>
      </c>
      <c r="C410" t="inlineStr">
        <is>
          <t>ON</t>
        </is>
      </c>
      <c r="D410" t="inlineStr">
        <is>
          <t>Transportation Freight</t>
        </is>
      </c>
      <c r="E410" t="inlineStr">
        <is>
          <t>Trucks</t>
        </is>
      </c>
      <c r="F410" t="inlineStr">
        <is>
          <t>Biodiesel</t>
        </is>
      </c>
      <c r="G410" t="inlineStr">
        <is>
          <t>dcc_limit</t>
        </is>
      </c>
      <c r="L410" t="inlineStr">
        <is>
          <t>%</t>
        </is>
      </c>
      <c r="M410" t="n">
        <v>0.87</v>
      </c>
      <c r="N410">
        <f>M410</f>
        <v/>
      </c>
      <c r="O410">
        <f>N410</f>
        <v/>
      </c>
      <c r="P410">
        <f>O410</f>
        <v/>
      </c>
      <c r="Q410">
        <f>P410</f>
        <v/>
      </c>
      <c r="R410">
        <f>Q410</f>
        <v/>
      </c>
      <c r="S410">
        <f>R410</f>
        <v/>
      </c>
      <c r="T410">
        <f>S410</f>
        <v/>
      </c>
      <c r="U410">
        <f>T410</f>
        <v/>
      </c>
      <c r="V410">
        <f>U410</f>
        <v/>
      </c>
      <c r="W410">
        <f>V410</f>
        <v/>
      </c>
    </row>
    <row r="411">
      <c r="A411" t="inlineStr">
        <is>
          <t>CIMS.CAN.ON.Transportation Freight.Freight.Land.Heavy.Trucks</t>
        </is>
      </c>
      <c r="B411" t="inlineStr">
        <is>
          <t>Service</t>
        </is>
      </c>
      <c r="C411" t="inlineStr">
        <is>
          <t>ON</t>
        </is>
      </c>
      <c r="D411" t="inlineStr">
        <is>
          <t>Transportation Freight</t>
        </is>
      </c>
      <c r="E411" t="inlineStr">
        <is>
          <t>Trucks</t>
        </is>
      </c>
      <c r="F411" t="inlineStr">
        <is>
          <t>Biodiesel</t>
        </is>
      </c>
      <c r="G411" t="inlineStr">
        <is>
          <t>dcc_learning_min</t>
        </is>
      </c>
      <c r="L411" t="inlineStr">
        <is>
          <t>%</t>
        </is>
      </c>
      <c r="M411" t="n">
        <v>0.001</v>
      </c>
      <c r="N411">
        <f>M411</f>
        <v/>
      </c>
      <c r="O411">
        <f>N411</f>
        <v/>
      </c>
      <c r="P411">
        <f>O411</f>
        <v/>
      </c>
      <c r="Q411">
        <f>P411</f>
        <v/>
      </c>
      <c r="R411">
        <f>Q411</f>
        <v/>
      </c>
      <c r="S411">
        <f>R411</f>
        <v/>
      </c>
      <c r="T411">
        <f>S411</f>
        <v/>
      </c>
      <c r="U411">
        <f>T411</f>
        <v/>
      </c>
      <c r="V411">
        <f>U411</f>
        <v/>
      </c>
      <c r="W411">
        <f>V411</f>
        <v/>
      </c>
    </row>
    <row r="412">
      <c r="A412" t="inlineStr">
        <is>
          <t>CIMS.CAN.ON.Transportation Freight.Freight.Land.Heavy.Trucks</t>
        </is>
      </c>
      <c r="B412" t="inlineStr">
        <is>
          <t>Service</t>
        </is>
      </c>
      <c r="C412" t="inlineStr">
        <is>
          <t>ON</t>
        </is>
      </c>
      <c r="D412" t="inlineStr">
        <is>
          <t>Transportation Freight</t>
        </is>
      </c>
      <c r="E412" t="inlineStr">
        <is>
          <t>Trucks</t>
        </is>
      </c>
      <c r="F412" t="inlineStr">
        <is>
          <t>Biodiesel</t>
        </is>
      </c>
      <c r="G412" t="inlineStr">
        <is>
          <t>dcc_capacity_1</t>
        </is>
      </c>
      <c r="L412" t="inlineStr">
        <is>
          <t>k*tkm</t>
        </is>
      </c>
      <c r="M412">
        <f>86358000*16*2000/1000</f>
        <v/>
      </c>
      <c r="N412">
        <f>M412</f>
        <v/>
      </c>
      <c r="O412">
        <f>N412</f>
        <v/>
      </c>
      <c r="P412">
        <f>O412</f>
        <v/>
      </c>
      <c r="Q412">
        <f>P412</f>
        <v/>
      </c>
      <c r="R412">
        <f>Q412</f>
        <v/>
      </c>
      <c r="S412">
        <f>R412</f>
        <v/>
      </c>
      <c r="T412">
        <f>S412</f>
        <v/>
      </c>
      <c r="U412">
        <f>T412</f>
        <v/>
      </c>
      <c r="V412">
        <f>U412</f>
        <v/>
      </c>
      <c r="W412">
        <f>V412</f>
        <v/>
      </c>
      <c r="X412" t="inlineStr">
        <is>
          <t>86358000 tkm annual * 16 yr lifetime * 2000 per plant (wild guess) / 5 yr</t>
        </is>
      </c>
    </row>
    <row r="413">
      <c r="A413" t="inlineStr">
        <is>
          <t>CIMS.CAN.ON.Transportation Freight.Freight.Land.Heavy.Trucks</t>
        </is>
      </c>
      <c r="B413" t="inlineStr">
        <is>
          <t>Service</t>
        </is>
      </c>
      <c r="C413" t="inlineStr">
        <is>
          <t>ON</t>
        </is>
      </c>
      <c r="D413" t="inlineStr">
        <is>
          <t>Transportation Freight</t>
        </is>
      </c>
      <c r="E413" t="inlineStr">
        <is>
          <t>Trucks</t>
        </is>
      </c>
      <c r="F413" t="inlineStr">
        <is>
          <t>Biodiesel</t>
        </is>
      </c>
      <c r="G413" t="inlineStr">
        <is>
          <t>dcc_progress_ratio_1</t>
        </is>
      </c>
      <c r="L413" t="inlineStr">
        <is>
          <t>%</t>
        </is>
      </c>
      <c r="M413" t="n">
        <v>0.91</v>
      </c>
      <c r="N413">
        <f>M413</f>
        <v/>
      </c>
      <c r="O413">
        <f>N413</f>
        <v/>
      </c>
      <c r="P413">
        <f>O413</f>
        <v/>
      </c>
      <c r="Q413">
        <f>P413</f>
        <v/>
      </c>
      <c r="R413">
        <f>Q413</f>
        <v/>
      </c>
      <c r="S413">
        <f>R413</f>
        <v/>
      </c>
      <c r="T413">
        <f>S413</f>
        <v/>
      </c>
      <c r="U413">
        <f>T413</f>
        <v/>
      </c>
      <c r="V413">
        <f>U413</f>
        <v/>
      </c>
      <c r="W413">
        <f>V413</f>
        <v/>
      </c>
    </row>
    <row r="414">
      <c r="A414" t="inlineStr">
        <is>
          <t>CIMS.CAN.ON.Transportation Freight.Freight.Land.Heavy.Trucks</t>
        </is>
      </c>
      <c r="B414" t="inlineStr">
        <is>
          <t>Service</t>
        </is>
      </c>
      <c r="C414" t="inlineStr">
        <is>
          <t>ON</t>
        </is>
      </c>
      <c r="D414" t="inlineStr">
        <is>
          <t>Transportation Freight</t>
        </is>
      </c>
      <c r="E414" t="inlineStr">
        <is>
          <t>Trucks</t>
        </is>
      </c>
      <c r="F414" t="inlineStr">
        <is>
          <t>Hydrogen</t>
        </is>
      </c>
      <c r="G414" t="inlineStr">
        <is>
          <t>dcc_class</t>
        </is>
      </c>
      <c r="H414" t="inlineStr">
        <is>
          <t>Hydrogen fuel cell</t>
        </is>
      </c>
    </row>
    <row r="415">
      <c r="A415" t="inlineStr">
        <is>
          <t>CIMS.CAN.ON.Transportation Freight.Freight.Land.Heavy.Trucks</t>
        </is>
      </c>
      <c r="B415" t="inlineStr">
        <is>
          <t>Service</t>
        </is>
      </c>
      <c r="C415" t="inlineStr">
        <is>
          <t>ON</t>
        </is>
      </c>
      <c r="D415" t="inlineStr">
        <is>
          <t>Transportation Freight</t>
        </is>
      </c>
      <c r="E415" t="inlineStr">
        <is>
          <t>Trucks</t>
        </is>
      </c>
      <c r="F415" t="inlineStr">
        <is>
          <t>Hydrogen</t>
        </is>
      </c>
      <c r="G415" t="inlineStr">
        <is>
          <t>dcc_limit</t>
        </is>
      </c>
      <c r="L415" t="inlineStr">
        <is>
          <t>%</t>
        </is>
      </c>
      <c r="M415" t="n">
        <v>0.4</v>
      </c>
      <c r="N415">
        <f>M415</f>
        <v/>
      </c>
      <c r="O415">
        <f>N415</f>
        <v/>
      </c>
      <c r="P415">
        <f>O415</f>
        <v/>
      </c>
      <c r="Q415">
        <f>P415</f>
        <v/>
      </c>
      <c r="R415">
        <f>Q415</f>
        <v/>
      </c>
      <c r="S415">
        <f>R415</f>
        <v/>
      </c>
      <c r="T415">
        <f>S415</f>
        <v/>
      </c>
      <c r="U415">
        <f>T415</f>
        <v/>
      </c>
      <c r="V415">
        <f>U415</f>
        <v/>
      </c>
      <c r="W415">
        <f>V415</f>
        <v/>
      </c>
    </row>
    <row r="416">
      <c r="A416" t="inlineStr">
        <is>
          <t>CIMS.CAN.ON.Transportation Freight.Freight.Land.Heavy.Trucks</t>
        </is>
      </c>
      <c r="B416" t="inlineStr">
        <is>
          <t>Service</t>
        </is>
      </c>
      <c r="C416" t="inlineStr">
        <is>
          <t>ON</t>
        </is>
      </c>
      <c r="D416" t="inlineStr">
        <is>
          <t>Transportation Freight</t>
        </is>
      </c>
      <c r="E416" t="inlineStr">
        <is>
          <t>Trucks</t>
        </is>
      </c>
      <c r="F416" t="inlineStr">
        <is>
          <t>Hydrogen</t>
        </is>
      </c>
      <c r="G416" t="inlineStr">
        <is>
          <t>dcc_learning_min</t>
        </is>
      </c>
      <c r="L416" t="inlineStr">
        <is>
          <t>%</t>
        </is>
      </c>
      <c r="M416" t="n">
        <v>0.004</v>
      </c>
      <c r="N416">
        <f>M416</f>
        <v/>
      </c>
      <c r="O416">
        <f>N416</f>
        <v/>
      </c>
      <c r="P416">
        <f>O416</f>
        <v/>
      </c>
      <c r="Q416">
        <f>P416</f>
        <v/>
      </c>
      <c r="R416">
        <f>Q416</f>
        <v/>
      </c>
      <c r="S416">
        <f>R416</f>
        <v/>
      </c>
      <c r="T416">
        <f>S416</f>
        <v/>
      </c>
      <c r="U416">
        <f>T416</f>
        <v/>
      </c>
      <c r="V416">
        <f>U416</f>
        <v/>
      </c>
      <c r="W416">
        <f>V416</f>
        <v/>
      </c>
    </row>
    <row r="417">
      <c r="A417" t="inlineStr">
        <is>
          <t>CIMS.CAN.ON.Transportation Freight.Freight.Land.Heavy.Trucks</t>
        </is>
      </c>
      <c r="B417" t="inlineStr">
        <is>
          <t>Service</t>
        </is>
      </c>
      <c r="C417" t="inlineStr">
        <is>
          <t>ON</t>
        </is>
      </c>
      <c r="D417" t="inlineStr">
        <is>
          <t>Transportation Freight</t>
        </is>
      </c>
      <c r="E417" t="inlineStr">
        <is>
          <t>Trucks</t>
        </is>
      </c>
      <c r="F417" t="inlineStr">
        <is>
          <t>Hydrogen</t>
        </is>
      </c>
      <c r="G417" t="inlineStr">
        <is>
          <t>dcc_capacity_1</t>
        </is>
      </c>
      <c r="L417" t="inlineStr">
        <is>
          <t>k*tkm</t>
        </is>
      </c>
      <c r="M417">
        <f>86358000*16*2000/1000</f>
        <v/>
      </c>
      <c r="N417">
        <f>M417</f>
        <v/>
      </c>
      <c r="O417">
        <f>N417</f>
        <v/>
      </c>
      <c r="P417">
        <f>O417</f>
        <v/>
      </c>
      <c r="Q417">
        <f>P417</f>
        <v/>
      </c>
      <c r="R417">
        <f>Q417</f>
        <v/>
      </c>
      <c r="S417">
        <f>R417</f>
        <v/>
      </c>
      <c r="T417">
        <f>S417</f>
        <v/>
      </c>
      <c r="U417">
        <f>T417</f>
        <v/>
      </c>
      <c r="V417">
        <f>U417</f>
        <v/>
      </c>
      <c r="W417">
        <f>V417</f>
        <v/>
      </c>
      <c r="X417" t="inlineStr">
        <is>
          <t>86358000 tkm annual * 16 yr lifetime * 2000 per plant (wild guess) / 5 yr</t>
        </is>
      </c>
    </row>
    <row r="418">
      <c r="A418" t="inlineStr">
        <is>
          <t>CIMS.CAN.ON.Transportation Freight.Freight.Land.Heavy.Trucks</t>
        </is>
      </c>
      <c r="B418" t="inlineStr">
        <is>
          <t>Service</t>
        </is>
      </c>
      <c r="C418" t="inlineStr">
        <is>
          <t>ON</t>
        </is>
      </c>
      <c r="D418" t="inlineStr">
        <is>
          <t>Transportation Freight</t>
        </is>
      </c>
      <c r="E418" t="inlineStr">
        <is>
          <t>Trucks</t>
        </is>
      </c>
      <c r="F418" t="inlineStr">
        <is>
          <t>Hydrogen</t>
        </is>
      </c>
      <c r="G418" t="inlineStr">
        <is>
          <t>dcc_progress_ratio_1</t>
        </is>
      </c>
      <c r="L418" t="inlineStr">
        <is>
          <t>%</t>
        </is>
      </c>
      <c r="M418" t="n">
        <v>0.9</v>
      </c>
      <c r="N418">
        <f>M418</f>
        <v/>
      </c>
      <c r="O418">
        <f>N418</f>
        <v/>
      </c>
      <c r="P418">
        <f>O418</f>
        <v/>
      </c>
      <c r="Q418">
        <f>P418</f>
        <v/>
      </c>
      <c r="R418">
        <f>Q418</f>
        <v/>
      </c>
      <c r="S418">
        <f>R418</f>
        <v/>
      </c>
      <c r="T418">
        <f>S418</f>
        <v/>
      </c>
      <c r="U418">
        <f>T418</f>
        <v/>
      </c>
      <c r="V418">
        <f>U418</f>
        <v/>
      </c>
      <c r="W418">
        <f>V418</f>
        <v/>
      </c>
    </row>
    <row r="419">
      <c r="A419" t="inlineStr">
        <is>
          <t>CIMS.CAN.ON.Transportation Freight.Freight.Land.Heavy.Trucks</t>
        </is>
      </c>
      <c r="B419" t="inlineStr">
        <is>
          <t>Service</t>
        </is>
      </c>
      <c r="C419" t="inlineStr">
        <is>
          <t>ON</t>
        </is>
      </c>
      <c r="D419" t="inlineStr">
        <is>
          <t>Transportation Freight</t>
        </is>
      </c>
      <c r="E419" t="inlineStr">
        <is>
          <t>Trucks</t>
        </is>
      </c>
      <c r="F419" t="inlineStr">
        <is>
          <t>Electric</t>
        </is>
      </c>
      <c r="G419" t="inlineStr">
        <is>
          <t>dcc_class</t>
        </is>
      </c>
      <c r="H419" t="inlineStr">
        <is>
          <t>Electric motor</t>
        </is>
      </c>
    </row>
    <row r="420">
      <c r="A420" t="inlineStr">
        <is>
          <t>CIMS.CAN.ON.Transportation Freight.Freight.Land.Heavy.Trucks</t>
        </is>
      </c>
      <c r="B420" t="inlineStr">
        <is>
          <t>Service</t>
        </is>
      </c>
      <c r="C420" t="inlineStr">
        <is>
          <t>ON</t>
        </is>
      </c>
      <c r="D420" t="inlineStr">
        <is>
          <t>Transportation Freight</t>
        </is>
      </c>
      <c r="E420" t="inlineStr">
        <is>
          <t>Trucks</t>
        </is>
      </c>
      <c r="F420" t="inlineStr">
        <is>
          <t>Electric</t>
        </is>
      </c>
      <c r="G420" t="inlineStr">
        <is>
          <t>dcc_limit</t>
        </is>
      </c>
      <c r="L420" t="inlineStr">
        <is>
          <t>%</t>
        </is>
      </c>
      <c r="M420" t="n">
        <v>0.4</v>
      </c>
      <c r="N420">
        <f>M420</f>
        <v/>
      </c>
      <c r="O420">
        <f>N420</f>
        <v/>
      </c>
      <c r="P420">
        <f>O420</f>
        <v/>
      </c>
      <c r="Q420">
        <f>P420</f>
        <v/>
      </c>
      <c r="R420">
        <f>Q420</f>
        <v/>
      </c>
      <c r="S420">
        <f>R420</f>
        <v/>
      </c>
      <c r="T420">
        <f>S420</f>
        <v/>
      </c>
      <c r="U420">
        <f>T420</f>
        <v/>
      </c>
      <c r="V420">
        <f>U420</f>
        <v/>
      </c>
      <c r="W420">
        <f>V420</f>
        <v/>
      </c>
    </row>
    <row r="421">
      <c r="A421" t="inlineStr">
        <is>
          <t>CIMS.CAN.ON.Transportation Freight.Freight.Land.Heavy.Trucks</t>
        </is>
      </c>
      <c r="B421" t="inlineStr">
        <is>
          <t>Service</t>
        </is>
      </c>
      <c r="C421" t="inlineStr">
        <is>
          <t>ON</t>
        </is>
      </c>
      <c r="D421" t="inlineStr">
        <is>
          <t>Transportation Freight</t>
        </is>
      </c>
      <c r="E421" t="inlineStr">
        <is>
          <t>Trucks</t>
        </is>
      </c>
      <c r="F421" t="inlineStr">
        <is>
          <t>Electric</t>
        </is>
      </c>
      <c r="G421" t="inlineStr">
        <is>
          <t>dcc_learning_min</t>
        </is>
      </c>
      <c r="L421" t="inlineStr">
        <is>
          <t>%</t>
        </is>
      </c>
      <c r="M421" t="n">
        <v>0.02</v>
      </c>
      <c r="N421">
        <f>M421</f>
        <v/>
      </c>
      <c r="O421">
        <f>N421</f>
        <v/>
      </c>
      <c r="P421">
        <f>O421</f>
        <v/>
      </c>
      <c r="Q421">
        <f>P421</f>
        <v/>
      </c>
      <c r="R421">
        <f>Q421</f>
        <v/>
      </c>
      <c r="S421">
        <f>R421</f>
        <v/>
      </c>
      <c r="T421">
        <f>S421</f>
        <v/>
      </c>
      <c r="U421">
        <f>T421</f>
        <v/>
      </c>
      <c r="V421">
        <f>U421</f>
        <v/>
      </c>
      <c r="W421">
        <f>V421</f>
        <v/>
      </c>
    </row>
    <row r="422">
      <c r="A422" t="inlineStr">
        <is>
          <t>CIMS.CAN.ON.Transportation Freight.Freight.Land.Heavy.Trucks</t>
        </is>
      </c>
      <c r="B422" t="inlineStr">
        <is>
          <t>Service</t>
        </is>
      </c>
      <c r="C422" t="inlineStr">
        <is>
          <t>ON</t>
        </is>
      </c>
      <c r="D422" t="inlineStr">
        <is>
          <t>Transportation Freight</t>
        </is>
      </c>
      <c r="E422" t="inlineStr">
        <is>
          <t>Trucks</t>
        </is>
      </c>
      <c r="F422" t="inlineStr">
        <is>
          <t>Electric</t>
        </is>
      </c>
      <c r="G422" t="inlineStr">
        <is>
          <t>dcc_capacity_1</t>
        </is>
      </c>
      <c r="L422" t="inlineStr">
        <is>
          <t>k*tkm</t>
        </is>
      </c>
      <c r="M422">
        <f>86358000*16*2000/1000</f>
        <v/>
      </c>
      <c r="N422">
        <f>M422</f>
        <v/>
      </c>
      <c r="O422">
        <f>N422</f>
        <v/>
      </c>
      <c r="P422">
        <f>O422</f>
        <v/>
      </c>
      <c r="Q422">
        <f>P422</f>
        <v/>
      </c>
      <c r="R422">
        <f>Q422</f>
        <v/>
      </c>
      <c r="S422">
        <f>R422</f>
        <v/>
      </c>
      <c r="T422">
        <f>S422</f>
        <v/>
      </c>
      <c r="U422">
        <f>T422</f>
        <v/>
      </c>
      <c r="V422">
        <f>U422</f>
        <v/>
      </c>
      <c r="W422">
        <f>V422</f>
        <v/>
      </c>
      <c r="X422" t="inlineStr">
        <is>
          <t>86358000 tkm annual * 16 yr lifetime * 2000 per plant (wild guess) / 5 yr</t>
        </is>
      </c>
    </row>
    <row r="423">
      <c r="A423" t="inlineStr">
        <is>
          <t>CIMS.CAN.ON.Transportation Freight.Freight.Land.Heavy.Trucks</t>
        </is>
      </c>
      <c r="B423" t="inlineStr">
        <is>
          <t>Service</t>
        </is>
      </c>
      <c r="C423" t="inlineStr">
        <is>
          <t>ON</t>
        </is>
      </c>
      <c r="D423" t="inlineStr">
        <is>
          <t>Transportation Freight</t>
        </is>
      </c>
      <c r="E423" t="inlineStr">
        <is>
          <t>Trucks</t>
        </is>
      </c>
      <c r="F423" t="inlineStr">
        <is>
          <t>Electric</t>
        </is>
      </c>
      <c r="G423" t="inlineStr">
        <is>
          <t>dcc_progress_ratio_1</t>
        </is>
      </c>
      <c r="L423" t="inlineStr">
        <is>
          <t>%</t>
        </is>
      </c>
      <c r="M423" t="n">
        <v>0.8</v>
      </c>
      <c r="N423">
        <f>M423</f>
        <v/>
      </c>
      <c r="O423">
        <f>N423</f>
        <v/>
      </c>
      <c r="P423">
        <f>O423</f>
        <v/>
      </c>
      <c r="Q423">
        <f>P423</f>
        <v/>
      </c>
      <c r="R423">
        <f>Q423</f>
        <v/>
      </c>
      <c r="S423">
        <f>R423</f>
        <v/>
      </c>
      <c r="T423">
        <f>S423</f>
        <v/>
      </c>
      <c r="U423">
        <f>T423</f>
        <v/>
      </c>
      <c r="V423">
        <f>U423</f>
        <v/>
      </c>
      <c r="W423">
        <f>V423</f>
        <v/>
      </c>
    </row>
    <row r="424">
      <c r="A424" t="inlineStr">
        <is>
          <t>CIMS.CAN.ON.Transportation Freight.Freight.Land.Heavy.Trucks</t>
        </is>
      </c>
      <c r="B424" t="inlineStr">
        <is>
          <t>Service</t>
        </is>
      </c>
      <c r="C424" t="inlineStr">
        <is>
          <t>ON</t>
        </is>
      </c>
      <c r="D424" t="inlineStr">
        <is>
          <t>Transportation Freight</t>
        </is>
      </c>
      <c r="E424" t="inlineStr">
        <is>
          <t>Trucks</t>
        </is>
      </c>
      <c r="F424" t="inlineStr">
        <is>
          <t>Plug-in Hybrid</t>
        </is>
      </c>
      <c r="G424" t="inlineStr">
        <is>
          <t>dcc_class</t>
        </is>
      </c>
      <c r="H424" t="inlineStr">
        <is>
          <t>Electric motor</t>
        </is>
      </c>
    </row>
    <row r="425">
      <c r="A425" t="inlineStr">
        <is>
          <t>CIMS.CAN.ON.Transportation Freight.Freight.Land.Heavy.Trucks</t>
        </is>
      </c>
      <c r="B425" t="inlineStr">
        <is>
          <t>Service</t>
        </is>
      </c>
      <c r="C425" t="inlineStr">
        <is>
          <t>ON</t>
        </is>
      </c>
      <c r="D425" t="inlineStr">
        <is>
          <t>Transportation Freight</t>
        </is>
      </c>
      <c r="E425" t="inlineStr">
        <is>
          <t>Trucks</t>
        </is>
      </c>
      <c r="F425" t="inlineStr">
        <is>
          <t>Plug-in Hybrid</t>
        </is>
      </c>
      <c r="G425" t="inlineStr">
        <is>
          <t>dcc_limit</t>
        </is>
      </c>
      <c r="L425" t="inlineStr">
        <is>
          <t>%</t>
        </is>
      </c>
      <c r="M425" t="n">
        <v>0.67</v>
      </c>
      <c r="N425">
        <f>M425</f>
        <v/>
      </c>
      <c r="O425">
        <f>N425</f>
        <v/>
      </c>
      <c r="P425">
        <f>O425</f>
        <v/>
      </c>
      <c r="Q425">
        <f>P425</f>
        <v/>
      </c>
      <c r="R425">
        <f>Q425</f>
        <v/>
      </c>
      <c r="S425">
        <f>R425</f>
        <v/>
      </c>
      <c r="T425">
        <f>S425</f>
        <v/>
      </c>
      <c r="U425">
        <f>T425</f>
        <v/>
      </c>
      <c r="V425">
        <f>U425</f>
        <v/>
      </c>
      <c r="W425">
        <f>V425</f>
        <v/>
      </c>
    </row>
    <row r="426">
      <c r="A426" t="inlineStr">
        <is>
          <t>CIMS.CAN.ON.Transportation Freight.Freight.Land.Heavy.Trucks</t>
        </is>
      </c>
      <c r="B426" t="inlineStr">
        <is>
          <t>Service</t>
        </is>
      </c>
      <c r="C426" t="inlineStr">
        <is>
          <t>ON</t>
        </is>
      </c>
      <c r="D426" t="inlineStr">
        <is>
          <t>Transportation Freight</t>
        </is>
      </c>
      <c r="E426" t="inlineStr">
        <is>
          <t>Trucks</t>
        </is>
      </c>
      <c r="F426" t="inlineStr">
        <is>
          <t>Plug-in Hybrid</t>
        </is>
      </c>
      <c r="G426" t="inlineStr">
        <is>
          <t>dcc_learning_min</t>
        </is>
      </c>
      <c r="L426" t="inlineStr">
        <is>
          <t>%</t>
        </is>
      </c>
      <c r="M426" t="n">
        <v>0.005</v>
      </c>
      <c r="N426">
        <f>M426</f>
        <v/>
      </c>
      <c r="O426">
        <f>N426</f>
        <v/>
      </c>
      <c r="P426">
        <f>O426</f>
        <v/>
      </c>
      <c r="Q426">
        <f>P426</f>
        <v/>
      </c>
      <c r="R426">
        <f>Q426</f>
        <v/>
      </c>
      <c r="S426">
        <f>R426</f>
        <v/>
      </c>
      <c r="T426">
        <f>S426</f>
        <v/>
      </c>
      <c r="U426">
        <f>T426</f>
        <v/>
      </c>
      <c r="V426">
        <f>U426</f>
        <v/>
      </c>
      <c r="W426">
        <f>V426</f>
        <v/>
      </c>
    </row>
    <row r="427">
      <c r="A427" t="inlineStr">
        <is>
          <t>CIMS.CAN.ON.Transportation Freight.Freight.Land.Heavy.Trucks</t>
        </is>
      </c>
      <c r="B427" t="inlineStr">
        <is>
          <t>Service</t>
        </is>
      </c>
      <c r="C427" t="inlineStr">
        <is>
          <t>ON</t>
        </is>
      </c>
      <c r="D427" t="inlineStr">
        <is>
          <t>Transportation Freight</t>
        </is>
      </c>
      <c r="E427" t="inlineStr">
        <is>
          <t>Trucks</t>
        </is>
      </c>
      <c r="F427" t="inlineStr">
        <is>
          <t>Plug-in Hybrid</t>
        </is>
      </c>
      <c r="G427" t="inlineStr">
        <is>
          <t>dcc_capacity_1</t>
        </is>
      </c>
      <c r="L427" t="inlineStr">
        <is>
          <t>k*tkm</t>
        </is>
      </c>
      <c r="M427">
        <f>86358000*16*2000/1000</f>
        <v/>
      </c>
      <c r="N427">
        <f>M427</f>
        <v/>
      </c>
      <c r="O427">
        <f>N427</f>
        <v/>
      </c>
      <c r="P427">
        <f>O427</f>
        <v/>
      </c>
      <c r="Q427">
        <f>P427</f>
        <v/>
      </c>
      <c r="R427">
        <f>Q427</f>
        <v/>
      </c>
      <c r="S427">
        <f>R427</f>
        <v/>
      </c>
      <c r="T427">
        <f>S427</f>
        <v/>
      </c>
      <c r="U427">
        <f>T427</f>
        <v/>
      </c>
      <c r="V427">
        <f>U427</f>
        <v/>
      </c>
      <c r="W427">
        <f>V427</f>
        <v/>
      </c>
      <c r="X427" t="inlineStr">
        <is>
          <t>86358000 tkm annual * 16 yr lifetime * 2000 per plant (wild guess) / 5 yr</t>
        </is>
      </c>
    </row>
    <row r="428">
      <c r="A428" t="inlineStr">
        <is>
          <t>CIMS.CAN.ON.Transportation Freight.Freight.Land.Heavy.Trucks</t>
        </is>
      </c>
      <c r="B428" t="inlineStr">
        <is>
          <t>Service</t>
        </is>
      </c>
      <c r="C428" t="inlineStr">
        <is>
          <t>ON</t>
        </is>
      </c>
      <c r="D428" t="inlineStr">
        <is>
          <t>Transportation Freight</t>
        </is>
      </c>
      <c r="E428" t="inlineStr">
        <is>
          <t>Trucks</t>
        </is>
      </c>
      <c r="F428" t="inlineStr">
        <is>
          <t>Plug-in Hybrid</t>
        </is>
      </c>
      <c r="G428" t="inlineStr">
        <is>
          <t>dcc_progress_ratio_1</t>
        </is>
      </c>
      <c r="L428" t="inlineStr">
        <is>
          <t>%</t>
        </is>
      </c>
      <c r="M428" t="n">
        <v>0.95</v>
      </c>
      <c r="N428">
        <f>M428</f>
        <v/>
      </c>
      <c r="O428">
        <f>N428</f>
        <v/>
      </c>
      <c r="P428">
        <f>O428</f>
        <v/>
      </c>
      <c r="Q428">
        <f>P428</f>
        <v/>
      </c>
      <c r="R428">
        <f>Q428</f>
        <v/>
      </c>
      <c r="S428">
        <f>R428</f>
        <v/>
      </c>
      <c r="T428">
        <f>S428</f>
        <v/>
      </c>
      <c r="U428">
        <f>T428</f>
        <v/>
      </c>
      <c r="V428">
        <f>U428</f>
        <v/>
      </c>
      <c r="W428">
        <f>V428</f>
        <v/>
      </c>
    </row>
    <row r="429">
      <c r="A429" t="inlineStr">
        <is>
          <t>CIMS.CAN.ON.Transportation Freight.Freight.Land.Heavy.Trucks</t>
        </is>
      </c>
      <c r="B429" t="inlineStr">
        <is>
          <t>Service</t>
        </is>
      </c>
      <c r="C429" t="inlineStr">
        <is>
          <t>ON</t>
        </is>
      </c>
      <c r="D429" t="inlineStr">
        <is>
          <t>Transportation Freight</t>
        </is>
      </c>
      <c r="E429" t="inlineStr">
        <is>
          <t>Trucks</t>
        </is>
      </c>
      <c r="F429" t="inlineStr">
        <is>
          <t>Catenary</t>
        </is>
      </c>
      <c r="G429" t="inlineStr">
        <is>
          <t>dcc_class</t>
        </is>
      </c>
      <c r="H429" t="inlineStr">
        <is>
          <t>Catenary</t>
        </is>
      </c>
    </row>
    <row r="430">
      <c r="A430" t="inlineStr">
        <is>
          <t>CIMS.CAN.ON.Transportation Freight.Freight.Land.Heavy.Trucks</t>
        </is>
      </c>
      <c r="B430" t="inlineStr">
        <is>
          <t>Service</t>
        </is>
      </c>
      <c r="C430" t="inlineStr">
        <is>
          <t>ON</t>
        </is>
      </c>
      <c r="D430" t="inlineStr">
        <is>
          <t>Transportation Freight</t>
        </is>
      </c>
      <c r="E430" t="inlineStr">
        <is>
          <t>Trucks</t>
        </is>
      </c>
      <c r="F430" t="inlineStr">
        <is>
          <t>Catenary</t>
        </is>
      </c>
      <c r="G430" t="inlineStr">
        <is>
          <t>dcc_limit</t>
        </is>
      </c>
      <c r="L430" t="inlineStr">
        <is>
          <t>%</t>
        </is>
      </c>
      <c r="M430" t="n">
        <v>0.6</v>
      </c>
      <c r="N430">
        <f>M430</f>
        <v/>
      </c>
      <c r="O430">
        <f>N430</f>
        <v/>
      </c>
      <c r="P430">
        <f>O430</f>
        <v/>
      </c>
      <c r="Q430">
        <f>P430</f>
        <v/>
      </c>
      <c r="R430">
        <f>Q430</f>
        <v/>
      </c>
      <c r="S430">
        <f>R430</f>
        <v/>
      </c>
      <c r="T430">
        <f>S430</f>
        <v/>
      </c>
      <c r="U430">
        <f>T430</f>
        <v/>
      </c>
      <c r="V430">
        <f>U430</f>
        <v/>
      </c>
      <c r="W430">
        <f>V430</f>
        <v/>
      </c>
    </row>
    <row r="431">
      <c r="A431" t="inlineStr">
        <is>
          <t>CIMS.CAN.ON.Transportation Freight.Freight.Land.Heavy.Trucks</t>
        </is>
      </c>
      <c r="B431" t="inlineStr">
        <is>
          <t>Service</t>
        </is>
      </c>
      <c r="C431" t="inlineStr">
        <is>
          <t>ON</t>
        </is>
      </c>
      <c r="D431" t="inlineStr">
        <is>
          <t>Transportation Freight</t>
        </is>
      </c>
      <c r="E431" t="inlineStr">
        <is>
          <t>Trucks</t>
        </is>
      </c>
      <c r="F431" t="inlineStr">
        <is>
          <t>Catenary</t>
        </is>
      </c>
      <c r="G431" t="inlineStr">
        <is>
          <t>dcc_learning_min</t>
        </is>
      </c>
      <c r="L431" t="inlineStr">
        <is>
          <t>%</t>
        </is>
      </c>
      <c r="M431" t="n">
        <v>0.004</v>
      </c>
      <c r="N431">
        <f>M431</f>
        <v/>
      </c>
      <c r="O431">
        <f>N431</f>
        <v/>
      </c>
      <c r="P431">
        <f>O431</f>
        <v/>
      </c>
      <c r="Q431">
        <f>P431</f>
        <v/>
      </c>
      <c r="R431">
        <f>Q431</f>
        <v/>
      </c>
      <c r="S431">
        <f>R431</f>
        <v/>
      </c>
      <c r="T431">
        <f>S431</f>
        <v/>
      </c>
      <c r="U431">
        <f>T431</f>
        <v/>
      </c>
      <c r="V431">
        <f>U431</f>
        <v/>
      </c>
      <c r="W431">
        <f>V431</f>
        <v/>
      </c>
    </row>
    <row r="432">
      <c r="A432" t="inlineStr">
        <is>
          <t>CIMS.CAN.ON.Transportation Freight.Freight.Land.Heavy.Trucks</t>
        </is>
      </c>
      <c r="B432" t="inlineStr">
        <is>
          <t>Service</t>
        </is>
      </c>
      <c r="C432" t="inlineStr">
        <is>
          <t>ON</t>
        </is>
      </c>
      <c r="D432" t="inlineStr">
        <is>
          <t>Transportation Freight</t>
        </is>
      </c>
      <c r="E432" t="inlineStr">
        <is>
          <t>Trucks</t>
        </is>
      </c>
      <c r="F432" t="inlineStr">
        <is>
          <t>Catenary</t>
        </is>
      </c>
      <c r="G432" t="inlineStr">
        <is>
          <t>dcc_capacity_1</t>
        </is>
      </c>
      <c r="L432" t="inlineStr">
        <is>
          <t>k*tkm</t>
        </is>
      </c>
      <c r="M432">
        <f>86358000*16*2000/1000</f>
        <v/>
      </c>
      <c r="N432">
        <f>M432</f>
        <v/>
      </c>
      <c r="O432">
        <f>N432</f>
        <v/>
      </c>
      <c r="P432">
        <f>O432</f>
        <v/>
      </c>
      <c r="Q432">
        <f>P432</f>
        <v/>
      </c>
      <c r="R432">
        <f>Q432</f>
        <v/>
      </c>
      <c r="S432">
        <f>R432</f>
        <v/>
      </c>
      <c r="T432">
        <f>S432</f>
        <v/>
      </c>
      <c r="U432">
        <f>T432</f>
        <v/>
      </c>
      <c r="V432">
        <f>U432</f>
        <v/>
      </c>
      <c r="W432">
        <f>V432</f>
        <v/>
      </c>
      <c r="X432" t="inlineStr">
        <is>
          <t>86358000 tkm annual * 16 yr lifetime * 2000 per plant (wild guess) / 5 yr</t>
        </is>
      </c>
    </row>
    <row r="433">
      <c r="A433" t="inlineStr">
        <is>
          <t>CIMS.CAN.ON.Transportation Freight.Freight.Land.Heavy.Trucks</t>
        </is>
      </c>
      <c r="B433" t="inlineStr">
        <is>
          <t>Service</t>
        </is>
      </c>
      <c r="C433" t="inlineStr">
        <is>
          <t>ON</t>
        </is>
      </c>
      <c r="D433" t="inlineStr">
        <is>
          <t>Transportation Freight</t>
        </is>
      </c>
      <c r="E433" t="inlineStr">
        <is>
          <t>Trucks</t>
        </is>
      </c>
      <c r="F433" t="inlineStr">
        <is>
          <t>Catenary</t>
        </is>
      </c>
      <c r="G433" t="inlineStr">
        <is>
          <t>dcc_progress_ratio_1</t>
        </is>
      </c>
      <c r="L433" t="inlineStr">
        <is>
          <t>%</t>
        </is>
      </c>
      <c r="M433" t="n">
        <v>0.9</v>
      </c>
      <c r="N433">
        <f>M433</f>
        <v/>
      </c>
      <c r="O433">
        <f>N433</f>
        <v/>
      </c>
      <c r="P433">
        <f>O433</f>
        <v/>
      </c>
      <c r="Q433">
        <f>P433</f>
        <v/>
      </c>
      <c r="R433">
        <f>Q433</f>
        <v/>
      </c>
      <c r="S433">
        <f>R433</f>
        <v/>
      </c>
      <c r="T433">
        <f>S433</f>
        <v/>
      </c>
      <c r="U433">
        <f>T433</f>
        <v/>
      </c>
      <c r="V433">
        <f>U433</f>
        <v/>
      </c>
      <c r="W433">
        <f>V433</f>
        <v/>
      </c>
    </row>
    <row r="434">
      <c r="A434" t="inlineStr">
        <is>
          <t>CIMS.CAN.ON.Transportation Freight.Freight.Land.Heavy.Rail</t>
        </is>
      </c>
      <c r="B434" t="inlineStr">
        <is>
          <t>Service</t>
        </is>
      </c>
      <c r="C434" t="inlineStr">
        <is>
          <t>ON</t>
        </is>
      </c>
      <c r="D434" t="inlineStr">
        <is>
          <t>Transportation Freight</t>
        </is>
      </c>
      <c r="E434" t="inlineStr">
        <is>
          <t>Rail</t>
        </is>
      </c>
      <c r="F434" t="inlineStr">
        <is>
          <t>Biodiesel</t>
        </is>
      </c>
      <c r="G434" t="inlineStr">
        <is>
          <t>dcc_class</t>
        </is>
      </c>
      <c r="H434" t="inlineStr">
        <is>
          <t>Biofuel motor</t>
        </is>
      </c>
    </row>
    <row r="435">
      <c r="A435" t="inlineStr">
        <is>
          <t>CIMS.CAN.ON.Transportation Freight.Freight.Land.Heavy.Rail</t>
        </is>
      </c>
      <c r="B435" t="inlineStr">
        <is>
          <t>Service</t>
        </is>
      </c>
      <c r="C435" t="inlineStr">
        <is>
          <t>ON</t>
        </is>
      </c>
      <c r="D435" t="inlineStr">
        <is>
          <t>Transportation Freight</t>
        </is>
      </c>
      <c r="E435" t="inlineStr">
        <is>
          <t>Rail</t>
        </is>
      </c>
      <c r="F435" t="inlineStr">
        <is>
          <t>Biodiesel</t>
        </is>
      </c>
      <c r="G435" t="inlineStr">
        <is>
          <t>dcc_limit</t>
        </is>
      </c>
      <c r="L435" t="inlineStr">
        <is>
          <t>%</t>
        </is>
      </c>
      <c r="M435" t="n">
        <v>0.4</v>
      </c>
      <c r="N435">
        <f>M435</f>
        <v/>
      </c>
      <c r="O435">
        <f>N435</f>
        <v/>
      </c>
      <c r="P435">
        <f>O435</f>
        <v/>
      </c>
      <c r="Q435">
        <f>P435</f>
        <v/>
      </c>
      <c r="R435">
        <f>Q435</f>
        <v/>
      </c>
      <c r="S435">
        <f>R435</f>
        <v/>
      </c>
      <c r="T435">
        <f>S435</f>
        <v/>
      </c>
      <c r="U435">
        <f>T435</f>
        <v/>
      </c>
      <c r="V435">
        <f>U435</f>
        <v/>
      </c>
      <c r="W435">
        <f>V435</f>
        <v/>
      </c>
    </row>
    <row r="436">
      <c r="A436" t="inlineStr">
        <is>
          <t>CIMS.CAN.ON.Transportation Freight.Freight.Land.Heavy.Rail</t>
        </is>
      </c>
      <c r="B436" t="inlineStr">
        <is>
          <t>Service</t>
        </is>
      </c>
      <c r="C436" t="inlineStr">
        <is>
          <t>ON</t>
        </is>
      </c>
      <c r="D436" t="inlineStr">
        <is>
          <t>Transportation Freight</t>
        </is>
      </c>
      <c r="E436" t="inlineStr">
        <is>
          <t>Rail</t>
        </is>
      </c>
      <c r="F436" t="inlineStr">
        <is>
          <t>Biodiesel</t>
        </is>
      </c>
      <c r="G436" t="inlineStr">
        <is>
          <t>dcc_learning_min</t>
        </is>
      </c>
      <c r="L436" t="inlineStr">
        <is>
          <t>%</t>
        </is>
      </c>
      <c r="M436" t="n">
        <v>0.005</v>
      </c>
      <c r="N436">
        <f>M436</f>
        <v/>
      </c>
      <c r="O436">
        <f>N436</f>
        <v/>
      </c>
      <c r="P436">
        <f>O436</f>
        <v/>
      </c>
      <c r="Q436">
        <f>P436</f>
        <v/>
      </c>
      <c r="R436">
        <f>Q436</f>
        <v/>
      </c>
      <c r="S436">
        <f>R436</f>
        <v/>
      </c>
      <c r="T436">
        <f>S436</f>
        <v/>
      </c>
      <c r="U436">
        <f>T436</f>
        <v/>
      </c>
      <c r="V436">
        <f>U436</f>
        <v/>
      </c>
      <c r="W436">
        <f>V436</f>
        <v/>
      </c>
    </row>
    <row r="437">
      <c r="A437" t="inlineStr">
        <is>
          <t>CIMS.CAN.ON.Transportation Freight.Freight.Land.Heavy.Rail</t>
        </is>
      </c>
      <c r="B437" t="inlineStr">
        <is>
          <t>Service</t>
        </is>
      </c>
      <c r="C437" t="inlineStr">
        <is>
          <t>ON</t>
        </is>
      </c>
      <c r="D437" t="inlineStr">
        <is>
          <t>Transportation Freight</t>
        </is>
      </c>
      <c r="E437" t="inlineStr">
        <is>
          <t>Rail</t>
        </is>
      </c>
      <c r="F437" t="inlineStr">
        <is>
          <t>Biodiesel</t>
        </is>
      </c>
      <c r="G437" t="inlineStr">
        <is>
          <t>dcc_capacity_1</t>
        </is>
      </c>
      <c r="L437" t="inlineStr">
        <is>
          <t>k*tkm</t>
        </is>
      </c>
      <c r="M437">
        <f>80000000*25*100/1000</f>
        <v/>
      </c>
      <c r="N437">
        <f>M437</f>
        <v/>
      </c>
      <c r="O437">
        <f>N437</f>
        <v/>
      </c>
      <c r="P437">
        <f>O437</f>
        <v/>
      </c>
      <c r="Q437">
        <f>P437</f>
        <v/>
      </c>
      <c r="R437">
        <f>Q437</f>
        <v/>
      </c>
      <c r="S437">
        <f>R437</f>
        <v/>
      </c>
      <c r="T437">
        <f>S437</f>
        <v/>
      </c>
      <c r="U437">
        <f>T437</f>
        <v/>
      </c>
      <c r="V437">
        <f>U437</f>
        <v/>
      </c>
      <c r="W437">
        <f>V437</f>
        <v/>
      </c>
      <c r="X437" t="inlineStr">
        <is>
          <t>80,000,000 tkm annual * 25 yr lifetime * 100 trains / 5 years</t>
        </is>
      </c>
    </row>
    <row r="438">
      <c r="A438" t="inlineStr">
        <is>
          <t>CIMS.CAN.ON.Transportation Freight.Freight.Land.Heavy.Rail</t>
        </is>
      </c>
      <c r="B438" t="inlineStr">
        <is>
          <t>Service</t>
        </is>
      </c>
      <c r="C438" t="inlineStr">
        <is>
          <t>ON</t>
        </is>
      </c>
      <c r="D438" t="inlineStr">
        <is>
          <t>Transportation Freight</t>
        </is>
      </c>
      <c r="E438" t="inlineStr">
        <is>
          <t>Rail</t>
        </is>
      </c>
      <c r="F438" t="inlineStr">
        <is>
          <t>Biodiesel</t>
        </is>
      </c>
      <c r="G438" t="inlineStr">
        <is>
          <t>dcc_progress_ratio_1</t>
        </is>
      </c>
      <c r="L438" t="inlineStr">
        <is>
          <t>%</t>
        </is>
      </c>
      <c r="M438" t="n">
        <v>0.95</v>
      </c>
      <c r="N438">
        <f>M438</f>
        <v/>
      </c>
      <c r="O438">
        <f>N438</f>
        <v/>
      </c>
      <c r="P438">
        <f>O438</f>
        <v/>
      </c>
      <c r="Q438">
        <f>P438</f>
        <v/>
      </c>
      <c r="R438">
        <f>Q438</f>
        <v/>
      </c>
      <c r="S438">
        <f>R438</f>
        <v/>
      </c>
      <c r="T438">
        <f>S438</f>
        <v/>
      </c>
      <c r="U438">
        <f>T438</f>
        <v/>
      </c>
      <c r="V438">
        <f>U438</f>
        <v/>
      </c>
      <c r="W438">
        <f>V438</f>
        <v/>
      </c>
    </row>
    <row r="439">
      <c r="A439" t="inlineStr">
        <is>
          <t>CIMS.CAN.ON.Transportation Freight.Freight.Land.Heavy.Rail</t>
        </is>
      </c>
      <c r="B439" t="inlineStr">
        <is>
          <t>Service</t>
        </is>
      </c>
      <c r="C439" t="inlineStr">
        <is>
          <t>ON</t>
        </is>
      </c>
      <c r="D439" t="inlineStr">
        <is>
          <t>Transportation Freight</t>
        </is>
      </c>
      <c r="E439" t="inlineStr">
        <is>
          <t>Rail</t>
        </is>
      </c>
      <c r="F439" t="inlineStr">
        <is>
          <t>Hydrogen</t>
        </is>
      </c>
      <c r="G439" t="inlineStr">
        <is>
          <t>dcc_class</t>
        </is>
      </c>
      <c r="H439" t="inlineStr">
        <is>
          <t>Hydrogen fuel cell</t>
        </is>
      </c>
    </row>
    <row r="440">
      <c r="A440" t="inlineStr">
        <is>
          <t>CIMS.CAN.ON.Transportation Freight.Freight.Land.Heavy.Rail</t>
        </is>
      </c>
      <c r="B440" t="inlineStr">
        <is>
          <t>Service</t>
        </is>
      </c>
      <c r="C440" t="inlineStr">
        <is>
          <t>ON</t>
        </is>
      </c>
      <c r="D440" t="inlineStr">
        <is>
          <t>Transportation Freight</t>
        </is>
      </c>
      <c r="E440" t="inlineStr">
        <is>
          <t>Rail</t>
        </is>
      </c>
      <c r="F440" t="inlineStr">
        <is>
          <t>Hydrogen</t>
        </is>
      </c>
      <c r="G440" t="inlineStr">
        <is>
          <t>dcc_limit</t>
        </is>
      </c>
      <c r="L440" t="inlineStr">
        <is>
          <t>%</t>
        </is>
      </c>
      <c r="M440" t="n">
        <v>0.45</v>
      </c>
      <c r="N440">
        <f>M440</f>
        <v/>
      </c>
      <c r="O440">
        <f>N440</f>
        <v/>
      </c>
      <c r="P440">
        <f>O440</f>
        <v/>
      </c>
      <c r="Q440">
        <f>P440</f>
        <v/>
      </c>
      <c r="R440">
        <f>Q440</f>
        <v/>
      </c>
      <c r="S440">
        <f>R440</f>
        <v/>
      </c>
      <c r="T440">
        <f>S440</f>
        <v/>
      </c>
      <c r="U440">
        <f>T440</f>
        <v/>
      </c>
      <c r="V440">
        <f>U440</f>
        <v/>
      </c>
      <c r="W440">
        <f>V440</f>
        <v/>
      </c>
    </row>
    <row r="441">
      <c r="A441" t="inlineStr">
        <is>
          <t>CIMS.CAN.ON.Transportation Freight.Freight.Land.Heavy.Rail</t>
        </is>
      </c>
      <c r="B441" t="inlineStr">
        <is>
          <t>Service</t>
        </is>
      </c>
      <c r="C441" t="inlineStr">
        <is>
          <t>ON</t>
        </is>
      </c>
      <c r="D441" t="inlineStr">
        <is>
          <t>Transportation Freight</t>
        </is>
      </c>
      <c r="E441" t="inlineStr">
        <is>
          <t>Rail</t>
        </is>
      </c>
      <c r="F441" t="inlineStr">
        <is>
          <t>Hydrogen</t>
        </is>
      </c>
      <c r="G441" t="inlineStr">
        <is>
          <t>dcc_learning_min</t>
        </is>
      </c>
      <c r="L441" t="inlineStr">
        <is>
          <t>%</t>
        </is>
      </c>
      <c r="M441" t="n">
        <v>0.025</v>
      </c>
      <c r="N441">
        <f>M441</f>
        <v/>
      </c>
      <c r="O441">
        <f>N441</f>
        <v/>
      </c>
      <c r="P441">
        <f>O441</f>
        <v/>
      </c>
      <c r="Q441">
        <f>P441</f>
        <v/>
      </c>
      <c r="R441">
        <f>Q441</f>
        <v/>
      </c>
      <c r="S441">
        <f>R441</f>
        <v/>
      </c>
      <c r="T441">
        <f>S441</f>
        <v/>
      </c>
      <c r="U441">
        <f>T441</f>
        <v/>
      </c>
      <c r="V441">
        <f>U441</f>
        <v/>
      </c>
      <c r="W441">
        <f>V441</f>
        <v/>
      </c>
    </row>
    <row r="442">
      <c r="A442" t="inlineStr">
        <is>
          <t>CIMS.CAN.ON.Transportation Freight.Freight.Land.Heavy.Rail</t>
        </is>
      </c>
      <c r="B442" t="inlineStr">
        <is>
          <t>Service</t>
        </is>
      </c>
      <c r="C442" t="inlineStr">
        <is>
          <t>ON</t>
        </is>
      </c>
      <c r="D442" t="inlineStr">
        <is>
          <t>Transportation Freight</t>
        </is>
      </c>
      <c r="E442" t="inlineStr">
        <is>
          <t>Rail</t>
        </is>
      </c>
      <c r="F442" t="inlineStr">
        <is>
          <t>Hydrogen</t>
        </is>
      </c>
      <c r="G442" t="inlineStr">
        <is>
          <t>dcc_capacity_1</t>
        </is>
      </c>
      <c r="L442" t="inlineStr">
        <is>
          <t>k*tkm</t>
        </is>
      </c>
      <c r="M442">
        <f>80000000*25*100/1000</f>
        <v/>
      </c>
      <c r="N442">
        <f>M442</f>
        <v/>
      </c>
      <c r="O442">
        <f>N442</f>
        <v/>
      </c>
      <c r="P442">
        <f>O442</f>
        <v/>
      </c>
      <c r="Q442">
        <f>P442</f>
        <v/>
      </c>
      <c r="R442">
        <f>Q442</f>
        <v/>
      </c>
      <c r="S442">
        <f>R442</f>
        <v/>
      </c>
      <c r="T442">
        <f>S442</f>
        <v/>
      </c>
      <c r="U442">
        <f>T442</f>
        <v/>
      </c>
      <c r="V442">
        <f>U442</f>
        <v/>
      </c>
      <c r="W442">
        <f>V442</f>
        <v/>
      </c>
      <c r="X442" t="inlineStr">
        <is>
          <t>80,000,000 tkm annual * 25 yr lifetime * 100 trains / 5 years</t>
        </is>
      </c>
    </row>
    <row r="443">
      <c r="A443" t="inlineStr">
        <is>
          <t>CIMS.CAN.ON.Transportation Freight.Freight.Land.Heavy.Rail</t>
        </is>
      </c>
      <c r="B443" t="inlineStr">
        <is>
          <t>Service</t>
        </is>
      </c>
      <c r="C443" t="inlineStr">
        <is>
          <t>ON</t>
        </is>
      </c>
      <c r="D443" t="inlineStr">
        <is>
          <t>Transportation Freight</t>
        </is>
      </c>
      <c r="E443" t="inlineStr">
        <is>
          <t>Rail</t>
        </is>
      </c>
      <c r="F443" t="inlineStr">
        <is>
          <t>Hydrogen</t>
        </is>
      </c>
      <c r="G443" t="inlineStr">
        <is>
          <t>dcc_progress_ratio_1</t>
        </is>
      </c>
      <c r="L443" t="inlineStr">
        <is>
          <t>%</t>
        </is>
      </c>
      <c r="M443" t="n">
        <v>0.8</v>
      </c>
      <c r="N443">
        <f>M443</f>
        <v/>
      </c>
      <c r="O443">
        <f>N443</f>
        <v/>
      </c>
      <c r="P443">
        <f>O443</f>
        <v/>
      </c>
      <c r="Q443">
        <f>P443</f>
        <v/>
      </c>
      <c r="R443">
        <f>Q443</f>
        <v/>
      </c>
      <c r="S443">
        <f>R443</f>
        <v/>
      </c>
      <c r="T443">
        <f>S443</f>
        <v/>
      </c>
      <c r="U443">
        <f>T443</f>
        <v/>
      </c>
      <c r="V443">
        <f>U443</f>
        <v/>
      </c>
      <c r="W443">
        <f>V443</f>
        <v/>
      </c>
    </row>
    <row r="444">
      <c r="A444" t="inlineStr">
        <is>
          <t>CIMS.CAN.ON.Transportation Freight.Freight.Land.Heavy.Rail</t>
        </is>
      </c>
      <c r="B444" t="inlineStr">
        <is>
          <t>Service</t>
        </is>
      </c>
      <c r="C444" t="inlineStr">
        <is>
          <t>ON</t>
        </is>
      </c>
      <c r="D444" t="inlineStr">
        <is>
          <t>Transportation Freight</t>
        </is>
      </c>
      <c r="E444" t="inlineStr">
        <is>
          <t>Rail</t>
        </is>
      </c>
      <c r="F444" t="inlineStr">
        <is>
          <t>Electric</t>
        </is>
      </c>
      <c r="G444" t="inlineStr">
        <is>
          <t>dcc_class</t>
        </is>
      </c>
      <c r="H444" t="inlineStr">
        <is>
          <t>Electric motor</t>
        </is>
      </c>
    </row>
    <row r="445">
      <c r="A445" t="inlineStr">
        <is>
          <t>CIMS.CAN.ON.Transportation Freight.Freight.Land.Heavy.Rail</t>
        </is>
      </c>
      <c r="B445" t="inlineStr">
        <is>
          <t>Service</t>
        </is>
      </c>
      <c r="C445" t="inlineStr">
        <is>
          <t>ON</t>
        </is>
      </c>
      <c r="D445" t="inlineStr">
        <is>
          <t>Transportation Freight</t>
        </is>
      </c>
      <c r="E445" t="inlineStr">
        <is>
          <t>Rail</t>
        </is>
      </c>
      <c r="F445" t="inlineStr">
        <is>
          <t>Electric</t>
        </is>
      </c>
      <c r="G445" t="inlineStr">
        <is>
          <t>dcc_limit</t>
        </is>
      </c>
      <c r="L445" t="inlineStr">
        <is>
          <t>%</t>
        </is>
      </c>
      <c r="M445" t="n">
        <v>0.4</v>
      </c>
      <c r="N445">
        <f>M445</f>
        <v/>
      </c>
      <c r="O445">
        <f>N445</f>
        <v/>
      </c>
      <c r="P445">
        <f>O445</f>
        <v/>
      </c>
      <c r="Q445">
        <f>P445</f>
        <v/>
      </c>
      <c r="R445">
        <f>Q445</f>
        <v/>
      </c>
      <c r="S445">
        <f>R445</f>
        <v/>
      </c>
      <c r="T445">
        <f>S445</f>
        <v/>
      </c>
      <c r="U445">
        <f>T445</f>
        <v/>
      </c>
      <c r="V445">
        <f>U445</f>
        <v/>
      </c>
      <c r="W445">
        <f>V445</f>
        <v/>
      </c>
    </row>
    <row r="446">
      <c r="A446" t="inlineStr">
        <is>
          <t>CIMS.CAN.ON.Transportation Freight.Freight.Land.Heavy.Rail</t>
        </is>
      </c>
      <c r="B446" t="inlineStr">
        <is>
          <t>Service</t>
        </is>
      </c>
      <c r="C446" t="inlineStr">
        <is>
          <t>ON</t>
        </is>
      </c>
      <c r="D446" t="inlineStr">
        <is>
          <t>Transportation Freight</t>
        </is>
      </c>
      <c r="E446" t="inlineStr">
        <is>
          <t>Rail</t>
        </is>
      </c>
      <c r="F446" t="inlineStr">
        <is>
          <t>Electric</t>
        </is>
      </c>
      <c r="G446" t="inlineStr">
        <is>
          <t>dcc_learning_min</t>
        </is>
      </c>
      <c r="L446" t="inlineStr">
        <is>
          <t>%</t>
        </is>
      </c>
      <c r="M446" t="n">
        <v>0.02</v>
      </c>
      <c r="N446">
        <f>M446</f>
        <v/>
      </c>
      <c r="O446">
        <f>N446</f>
        <v/>
      </c>
      <c r="P446">
        <f>O446</f>
        <v/>
      </c>
      <c r="Q446">
        <f>P446</f>
        <v/>
      </c>
      <c r="R446">
        <f>Q446</f>
        <v/>
      </c>
      <c r="S446">
        <f>R446</f>
        <v/>
      </c>
      <c r="T446">
        <f>S446</f>
        <v/>
      </c>
      <c r="U446">
        <f>T446</f>
        <v/>
      </c>
      <c r="V446">
        <f>U446</f>
        <v/>
      </c>
      <c r="W446">
        <f>V446</f>
        <v/>
      </c>
    </row>
    <row r="447">
      <c r="A447" t="inlineStr">
        <is>
          <t>CIMS.CAN.ON.Transportation Freight.Freight.Land.Heavy.Rail</t>
        </is>
      </c>
      <c r="B447" t="inlineStr">
        <is>
          <t>Service</t>
        </is>
      </c>
      <c r="C447" t="inlineStr">
        <is>
          <t>ON</t>
        </is>
      </c>
      <c r="D447" t="inlineStr">
        <is>
          <t>Transportation Freight</t>
        </is>
      </c>
      <c r="E447" t="inlineStr">
        <is>
          <t>Rail</t>
        </is>
      </c>
      <c r="F447" t="inlineStr">
        <is>
          <t>Electric</t>
        </is>
      </c>
      <c r="G447" t="inlineStr">
        <is>
          <t>dcc_capacity_1</t>
        </is>
      </c>
      <c r="L447" t="inlineStr">
        <is>
          <t>k*tkm</t>
        </is>
      </c>
      <c r="M447">
        <f>80000000*25*100/1000</f>
        <v/>
      </c>
      <c r="N447">
        <f>M447</f>
        <v/>
      </c>
      <c r="O447">
        <f>N447</f>
        <v/>
      </c>
      <c r="P447">
        <f>O447</f>
        <v/>
      </c>
      <c r="Q447">
        <f>P447</f>
        <v/>
      </c>
      <c r="R447">
        <f>Q447</f>
        <v/>
      </c>
      <c r="S447">
        <f>R447</f>
        <v/>
      </c>
      <c r="T447">
        <f>S447</f>
        <v/>
      </c>
      <c r="U447">
        <f>T447</f>
        <v/>
      </c>
      <c r="V447">
        <f>U447</f>
        <v/>
      </c>
      <c r="W447">
        <f>V447</f>
        <v/>
      </c>
      <c r="X447" t="inlineStr">
        <is>
          <t>80,000,000 tkm annual * 25 yr lifetime * 100 trains / 5 years</t>
        </is>
      </c>
    </row>
    <row r="448">
      <c r="A448" t="inlineStr">
        <is>
          <t>CIMS.CAN.ON.Transportation Freight.Freight.Land.Heavy.Rail</t>
        </is>
      </c>
      <c r="B448" t="inlineStr">
        <is>
          <t>Service</t>
        </is>
      </c>
      <c r="C448" t="inlineStr">
        <is>
          <t>ON</t>
        </is>
      </c>
      <c r="D448" t="inlineStr">
        <is>
          <t>Transportation Freight</t>
        </is>
      </c>
      <c r="E448" t="inlineStr">
        <is>
          <t>Rail</t>
        </is>
      </c>
      <c r="F448" t="inlineStr">
        <is>
          <t>Electric</t>
        </is>
      </c>
      <c r="G448" t="inlineStr">
        <is>
          <t>dcc_progress_ratio_1</t>
        </is>
      </c>
      <c r="L448" t="inlineStr">
        <is>
          <t>%</t>
        </is>
      </c>
      <c r="M448" t="n">
        <v>0.8</v>
      </c>
      <c r="N448">
        <f>M448</f>
        <v/>
      </c>
      <c r="O448">
        <f>N448</f>
        <v/>
      </c>
      <c r="P448">
        <f>O448</f>
        <v/>
      </c>
      <c r="Q448">
        <f>P448</f>
        <v/>
      </c>
      <c r="R448">
        <f>Q448</f>
        <v/>
      </c>
      <c r="S448">
        <f>R448</f>
        <v/>
      </c>
      <c r="T448">
        <f>S448</f>
        <v/>
      </c>
      <c r="U448">
        <f>T448</f>
        <v/>
      </c>
      <c r="V448">
        <f>U448</f>
        <v/>
      </c>
      <c r="W448">
        <f>V448</f>
        <v/>
      </c>
    </row>
    <row r="449">
      <c r="A449" t="inlineStr">
        <is>
          <t>CIMS.CAN.ON.Transportation Freight.Freight.Marine</t>
        </is>
      </c>
      <c r="B449" t="inlineStr">
        <is>
          <t>Service</t>
        </is>
      </c>
      <c r="C449" t="inlineStr">
        <is>
          <t>ON</t>
        </is>
      </c>
      <c r="D449" t="inlineStr">
        <is>
          <t>Transportation Freight</t>
        </is>
      </c>
      <c r="E449" t="inlineStr">
        <is>
          <t>Marine</t>
        </is>
      </c>
      <c r="F449" t="inlineStr">
        <is>
          <t>Biodiesel</t>
        </is>
      </c>
      <c r="G449" t="inlineStr">
        <is>
          <t>dcc_class</t>
        </is>
      </c>
      <c r="H449" t="inlineStr">
        <is>
          <t>Biofuel motor</t>
        </is>
      </c>
    </row>
    <row r="450">
      <c r="A450" t="inlineStr">
        <is>
          <t>CIMS.CAN.ON.Transportation Freight.Freight.Marine</t>
        </is>
      </c>
      <c r="B450" t="inlineStr">
        <is>
          <t>Service</t>
        </is>
      </c>
      <c r="C450" t="inlineStr">
        <is>
          <t>ON</t>
        </is>
      </c>
      <c r="D450" t="inlineStr">
        <is>
          <t>Transportation Freight</t>
        </is>
      </c>
      <c r="E450" t="inlineStr">
        <is>
          <t>Marine</t>
        </is>
      </c>
      <c r="F450" t="inlineStr">
        <is>
          <t>Biodiesel</t>
        </is>
      </c>
      <c r="G450" t="inlineStr">
        <is>
          <t>dcc_limit</t>
        </is>
      </c>
      <c r="L450" t="inlineStr">
        <is>
          <t>%</t>
        </is>
      </c>
      <c r="M450" t="n">
        <v>0.4</v>
      </c>
      <c r="N450">
        <f>M450</f>
        <v/>
      </c>
      <c r="O450">
        <f>N450</f>
        <v/>
      </c>
      <c r="P450">
        <f>O450</f>
        <v/>
      </c>
      <c r="Q450">
        <f>P450</f>
        <v/>
      </c>
      <c r="R450">
        <f>Q450</f>
        <v/>
      </c>
      <c r="S450">
        <f>R450</f>
        <v/>
      </c>
      <c r="T450">
        <f>S450</f>
        <v/>
      </c>
      <c r="U450">
        <f>T450</f>
        <v/>
      </c>
      <c r="V450">
        <f>U450</f>
        <v/>
      </c>
      <c r="W450">
        <f>V450</f>
        <v/>
      </c>
    </row>
    <row r="451">
      <c r="A451" t="inlineStr">
        <is>
          <t>CIMS.CAN.ON.Transportation Freight.Freight.Marine</t>
        </is>
      </c>
      <c r="B451" t="inlineStr">
        <is>
          <t>Service</t>
        </is>
      </c>
      <c r="C451" t="inlineStr">
        <is>
          <t>ON</t>
        </is>
      </c>
      <c r="D451" t="inlineStr">
        <is>
          <t>Transportation Freight</t>
        </is>
      </c>
      <c r="E451" t="inlineStr">
        <is>
          <t>Marine</t>
        </is>
      </c>
      <c r="F451" t="inlineStr">
        <is>
          <t>Biodiesel</t>
        </is>
      </c>
      <c r="G451" t="inlineStr">
        <is>
          <t>dcc_learning_min</t>
        </is>
      </c>
      <c r="L451" t="inlineStr">
        <is>
          <t>%</t>
        </is>
      </c>
      <c r="M451" t="n">
        <v>0.01</v>
      </c>
      <c r="N451">
        <f>M451</f>
        <v/>
      </c>
      <c r="O451">
        <f>N451</f>
        <v/>
      </c>
      <c r="P451">
        <f>O451</f>
        <v/>
      </c>
      <c r="Q451">
        <f>P451</f>
        <v/>
      </c>
      <c r="R451">
        <f>Q451</f>
        <v/>
      </c>
      <c r="S451">
        <f>R451</f>
        <v/>
      </c>
      <c r="T451">
        <f>S451</f>
        <v/>
      </c>
      <c r="U451">
        <f>T451</f>
        <v/>
      </c>
      <c r="V451">
        <f>U451</f>
        <v/>
      </c>
      <c r="W451">
        <f>V451</f>
        <v/>
      </c>
    </row>
    <row r="452">
      <c r="A452" t="inlineStr">
        <is>
          <t>CIMS.CAN.ON.Transportation Freight.Freight.Marine</t>
        </is>
      </c>
      <c r="B452" t="inlineStr">
        <is>
          <t>Service</t>
        </is>
      </c>
      <c r="C452" t="inlineStr">
        <is>
          <t>ON</t>
        </is>
      </c>
      <c r="D452" t="inlineStr">
        <is>
          <t>Transportation Freight</t>
        </is>
      </c>
      <c r="E452" t="inlineStr">
        <is>
          <t>Marine</t>
        </is>
      </c>
      <c r="F452" t="inlineStr">
        <is>
          <t>Biodiesel</t>
        </is>
      </c>
      <c r="G452" t="inlineStr">
        <is>
          <t>dcc_capacity_1</t>
        </is>
      </c>
      <c r="L452" t="inlineStr">
        <is>
          <t>k*tkm</t>
        </is>
      </c>
      <c r="M452">
        <f>800000000*35*100/1000</f>
        <v/>
      </c>
      <c r="N452">
        <f>M452</f>
        <v/>
      </c>
      <c r="O452">
        <f>N452</f>
        <v/>
      </c>
      <c r="P452">
        <f>O452</f>
        <v/>
      </c>
      <c r="Q452">
        <f>P452</f>
        <v/>
      </c>
      <c r="R452">
        <f>Q452</f>
        <v/>
      </c>
      <c r="S452">
        <f>R452</f>
        <v/>
      </c>
      <c r="T452">
        <f>S452</f>
        <v/>
      </c>
      <c r="U452">
        <f>T452</f>
        <v/>
      </c>
      <c r="V452">
        <f>U452</f>
        <v/>
      </c>
      <c r="W452">
        <f>V452</f>
        <v/>
      </c>
      <c r="X452" t="inlineStr">
        <is>
          <t>800,000,000 tkm annual * 35 yr lifetime * 100 ships / 5 years</t>
        </is>
      </c>
    </row>
    <row r="453">
      <c r="A453" t="inlineStr">
        <is>
          <t>CIMS.CAN.ON.Transportation Freight.Freight.Marine</t>
        </is>
      </c>
      <c r="B453" t="inlineStr">
        <is>
          <t>Service</t>
        </is>
      </c>
      <c r="C453" t="inlineStr">
        <is>
          <t>ON</t>
        </is>
      </c>
      <c r="D453" t="inlineStr">
        <is>
          <t>Transportation Freight</t>
        </is>
      </c>
      <c r="E453" t="inlineStr">
        <is>
          <t>Marine</t>
        </is>
      </c>
      <c r="F453" t="inlineStr">
        <is>
          <t>Biodiesel</t>
        </is>
      </c>
      <c r="G453" t="inlineStr">
        <is>
          <t>dcc_progress_ratio_1</t>
        </is>
      </c>
      <c r="L453" t="inlineStr">
        <is>
          <t>%</t>
        </is>
      </c>
      <c r="M453" t="n">
        <v>0.9</v>
      </c>
      <c r="N453">
        <f>M453</f>
        <v/>
      </c>
      <c r="O453">
        <f>N453</f>
        <v/>
      </c>
      <c r="P453">
        <f>O453</f>
        <v/>
      </c>
      <c r="Q453">
        <f>P453</f>
        <v/>
      </c>
      <c r="R453">
        <f>Q453</f>
        <v/>
      </c>
      <c r="S453">
        <f>R453</f>
        <v/>
      </c>
      <c r="T453">
        <f>S453</f>
        <v/>
      </c>
      <c r="U453">
        <f>T453</f>
        <v/>
      </c>
      <c r="V453">
        <f>U453</f>
        <v/>
      </c>
      <c r="W453">
        <f>V453</f>
        <v/>
      </c>
    </row>
    <row r="454">
      <c r="A454" t="inlineStr">
        <is>
          <t>CIMS.CAN.ON.Transportation Freight.Freight.Marine</t>
        </is>
      </c>
      <c r="B454" t="inlineStr">
        <is>
          <t>Service</t>
        </is>
      </c>
      <c r="C454" t="inlineStr">
        <is>
          <t>ON</t>
        </is>
      </c>
      <c r="D454" t="inlineStr">
        <is>
          <t>Transportation Freight</t>
        </is>
      </c>
      <c r="E454" t="inlineStr">
        <is>
          <t>Marine</t>
        </is>
      </c>
      <c r="F454" t="inlineStr">
        <is>
          <t>Hydrogen</t>
        </is>
      </c>
      <c r="G454" t="inlineStr">
        <is>
          <t>dcc_class</t>
        </is>
      </c>
      <c r="H454" t="inlineStr">
        <is>
          <t>Hydrogen fuel cell</t>
        </is>
      </c>
    </row>
    <row r="455">
      <c r="A455" t="inlineStr">
        <is>
          <t>CIMS.CAN.ON.Transportation Freight.Freight.Marine</t>
        </is>
      </c>
      <c r="B455" t="inlineStr">
        <is>
          <t>Service</t>
        </is>
      </c>
      <c r="C455" t="inlineStr">
        <is>
          <t>ON</t>
        </is>
      </c>
      <c r="D455" t="inlineStr">
        <is>
          <t>Transportation Freight</t>
        </is>
      </c>
      <c r="E455" t="inlineStr">
        <is>
          <t>Marine</t>
        </is>
      </c>
      <c r="F455" t="inlineStr">
        <is>
          <t>Hydrogen</t>
        </is>
      </c>
      <c r="G455" t="inlineStr">
        <is>
          <t>dcc_limit</t>
        </is>
      </c>
      <c r="L455" t="inlineStr">
        <is>
          <t>%</t>
        </is>
      </c>
      <c r="M455" t="n">
        <v>0.4</v>
      </c>
      <c r="N455">
        <f>M455</f>
        <v/>
      </c>
      <c r="O455">
        <f>N455</f>
        <v/>
      </c>
      <c r="P455">
        <f>O455</f>
        <v/>
      </c>
      <c r="Q455">
        <f>P455</f>
        <v/>
      </c>
      <c r="R455">
        <f>Q455</f>
        <v/>
      </c>
      <c r="S455">
        <f>R455</f>
        <v/>
      </c>
      <c r="T455">
        <f>S455</f>
        <v/>
      </c>
      <c r="U455">
        <f>T455</f>
        <v/>
      </c>
      <c r="V455">
        <f>U455</f>
        <v/>
      </c>
      <c r="W455">
        <f>V455</f>
        <v/>
      </c>
    </row>
    <row r="456">
      <c r="A456" t="inlineStr">
        <is>
          <t>CIMS.CAN.ON.Transportation Freight.Freight.Marine</t>
        </is>
      </c>
      <c r="B456" t="inlineStr">
        <is>
          <t>Service</t>
        </is>
      </c>
      <c r="C456" t="inlineStr">
        <is>
          <t>ON</t>
        </is>
      </c>
      <c r="D456" t="inlineStr">
        <is>
          <t>Transportation Freight</t>
        </is>
      </c>
      <c r="E456" t="inlineStr">
        <is>
          <t>Marine</t>
        </is>
      </c>
      <c r="F456" t="inlineStr">
        <is>
          <t>Hydrogen</t>
        </is>
      </c>
      <c r="G456" t="inlineStr">
        <is>
          <t>dcc_learning_min</t>
        </is>
      </c>
      <c r="L456" t="inlineStr">
        <is>
          <t>%</t>
        </is>
      </c>
      <c r="M456" t="n">
        <v>0.01</v>
      </c>
      <c r="N456">
        <f>M456</f>
        <v/>
      </c>
      <c r="O456">
        <f>N456</f>
        <v/>
      </c>
      <c r="P456">
        <f>O456</f>
        <v/>
      </c>
      <c r="Q456">
        <f>P456</f>
        <v/>
      </c>
      <c r="R456">
        <f>Q456</f>
        <v/>
      </c>
      <c r="S456">
        <f>R456</f>
        <v/>
      </c>
      <c r="T456">
        <f>S456</f>
        <v/>
      </c>
      <c r="U456">
        <f>T456</f>
        <v/>
      </c>
      <c r="V456">
        <f>U456</f>
        <v/>
      </c>
      <c r="W456">
        <f>V456</f>
        <v/>
      </c>
    </row>
    <row r="457">
      <c r="A457" t="inlineStr">
        <is>
          <t>CIMS.CAN.ON.Transportation Freight.Freight.Marine</t>
        </is>
      </c>
      <c r="B457" t="inlineStr">
        <is>
          <t>Service</t>
        </is>
      </c>
      <c r="C457" t="inlineStr">
        <is>
          <t>ON</t>
        </is>
      </c>
      <c r="D457" t="inlineStr">
        <is>
          <t>Transportation Freight</t>
        </is>
      </c>
      <c r="E457" t="inlineStr">
        <is>
          <t>Marine</t>
        </is>
      </c>
      <c r="F457" t="inlineStr">
        <is>
          <t>Hydrogen</t>
        </is>
      </c>
      <c r="G457" t="inlineStr">
        <is>
          <t>dcc_capacity_1</t>
        </is>
      </c>
      <c r="L457" t="inlineStr">
        <is>
          <t>k*tkm</t>
        </is>
      </c>
      <c r="M457">
        <f>800000000*35*100/1000</f>
        <v/>
      </c>
      <c r="N457">
        <f>M457</f>
        <v/>
      </c>
      <c r="O457">
        <f>N457</f>
        <v/>
      </c>
      <c r="P457">
        <f>O457</f>
        <v/>
      </c>
      <c r="Q457">
        <f>P457</f>
        <v/>
      </c>
      <c r="R457">
        <f>Q457</f>
        <v/>
      </c>
      <c r="S457">
        <f>R457</f>
        <v/>
      </c>
      <c r="T457">
        <f>S457</f>
        <v/>
      </c>
      <c r="U457">
        <f>T457</f>
        <v/>
      </c>
      <c r="V457">
        <f>U457</f>
        <v/>
      </c>
      <c r="W457">
        <f>V457</f>
        <v/>
      </c>
      <c r="X457" t="inlineStr">
        <is>
          <t>800,000,000 tkm annual * 35 yr lifetime * 100 ships / 5 years</t>
        </is>
      </c>
    </row>
    <row r="458">
      <c r="A458" t="inlineStr">
        <is>
          <t>CIMS.CAN.ON.Transportation Freight.Freight.Marine</t>
        </is>
      </c>
      <c r="B458" t="inlineStr">
        <is>
          <t>Service</t>
        </is>
      </c>
      <c r="C458" t="inlineStr">
        <is>
          <t>ON</t>
        </is>
      </c>
      <c r="D458" t="inlineStr">
        <is>
          <t>Transportation Freight</t>
        </is>
      </c>
      <c r="E458" t="inlineStr">
        <is>
          <t>Marine</t>
        </is>
      </c>
      <c r="F458" t="inlineStr">
        <is>
          <t>Hydrogen</t>
        </is>
      </c>
      <c r="G458" t="inlineStr">
        <is>
          <t>dcc_progress_ratio_1</t>
        </is>
      </c>
      <c r="L458" t="inlineStr">
        <is>
          <t>%</t>
        </is>
      </c>
      <c r="M458" t="n">
        <v>0.9</v>
      </c>
      <c r="N458">
        <f>M458</f>
        <v/>
      </c>
      <c r="O458">
        <f>N458</f>
        <v/>
      </c>
      <c r="P458">
        <f>O458</f>
        <v/>
      </c>
      <c r="Q458">
        <f>P458</f>
        <v/>
      </c>
      <c r="R458">
        <f>Q458</f>
        <v/>
      </c>
      <c r="S458">
        <f>R458</f>
        <v/>
      </c>
      <c r="T458">
        <f>S458</f>
        <v/>
      </c>
      <c r="U458">
        <f>T458</f>
        <v/>
      </c>
      <c r="V458">
        <f>U458</f>
        <v/>
      </c>
      <c r="W458">
        <f>V458</f>
        <v/>
      </c>
    </row>
    <row r="459">
      <c r="A459" t="inlineStr">
        <is>
          <t>CIMS.CAN.ON.Agriculture.Tractors</t>
        </is>
      </c>
      <c r="B459" t="inlineStr">
        <is>
          <t>Service</t>
        </is>
      </c>
      <c r="C459" t="inlineStr">
        <is>
          <t>ON</t>
        </is>
      </c>
      <c r="D459" t="inlineStr">
        <is>
          <t>Agriculture</t>
        </is>
      </c>
      <c r="E459" t="inlineStr">
        <is>
          <t>Tractors</t>
        </is>
      </c>
      <c r="F459" t="inlineStr">
        <is>
          <t>Hydrogen</t>
        </is>
      </c>
      <c r="G459" t="inlineStr">
        <is>
          <t>dcc_class</t>
        </is>
      </c>
      <c r="H459" t="inlineStr">
        <is>
          <t>Hydrogen fuel cell</t>
        </is>
      </c>
    </row>
    <row r="460">
      <c r="A460" t="inlineStr">
        <is>
          <t>CIMS.CAN.ON.Agriculture.Tractors</t>
        </is>
      </c>
      <c r="B460" t="inlineStr">
        <is>
          <t>Service</t>
        </is>
      </c>
      <c r="C460" t="inlineStr">
        <is>
          <t>ON</t>
        </is>
      </c>
      <c r="D460" t="inlineStr">
        <is>
          <t>Agriculture</t>
        </is>
      </c>
      <c r="E460" t="inlineStr">
        <is>
          <t>Tractors</t>
        </is>
      </c>
      <c r="F460" t="inlineStr">
        <is>
          <t>Hydrogen</t>
        </is>
      </c>
      <c r="G460" t="inlineStr">
        <is>
          <t>dcc_limit</t>
        </is>
      </c>
      <c r="L460" t="inlineStr">
        <is>
          <t>%</t>
        </is>
      </c>
      <c r="M460" t="n">
        <v>0.4</v>
      </c>
      <c r="N460">
        <f>M460</f>
        <v/>
      </c>
      <c r="O460">
        <f>N460</f>
        <v/>
      </c>
      <c r="P460">
        <f>O460</f>
        <v/>
      </c>
      <c r="Q460">
        <f>P460</f>
        <v/>
      </c>
      <c r="R460">
        <f>Q460</f>
        <v/>
      </c>
      <c r="S460">
        <f>R460</f>
        <v/>
      </c>
      <c r="T460">
        <f>S460</f>
        <v/>
      </c>
      <c r="U460">
        <f>T460</f>
        <v/>
      </c>
      <c r="V460">
        <f>U460</f>
        <v/>
      </c>
      <c r="W460">
        <f>V460</f>
        <v/>
      </c>
    </row>
    <row r="461">
      <c r="A461" t="inlineStr">
        <is>
          <t>CIMS.CAN.ON.Agriculture.Tractors</t>
        </is>
      </c>
      <c r="B461" t="inlineStr">
        <is>
          <t>Service</t>
        </is>
      </c>
      <c r="C461" t="inlineStr">
        <is>
          <t>ON</t>
        </is>
      </c>
      <c r="D461" t="inlineStr">
        <is>
          <t>Agriculture</t>
        </is>
      </c>
      <c r="E461" t="inlineStr">
        <is>
          <t>Tractors</t>
        </is>
      </c>
      <c r="F461" t="inlineStr">
        <is>
          <t>Hydrogen</t>
        </is>
      </c>
      <c r="G461" t="inlineStr">
        <is>
          <t>dcc_learning_min</t>
        </is>
      </c>
      <c r="L461" t="inlineStr">
        <is>
          <t>%</t>
        </is>
      </c>
      <c r="M461" t="n">
        <v>0.01</v>
      </c>
      <c r="N461">
        <f>M461</f>
        <v/>
      </c>
      <c r="O461">
        <f>N461</f>
        <v/>
      </c>
      <c r="P461">
        <f>O461</f>
        <v/>
      </c>
      <c r="Q461">
        <f>P461</f>
        <v/>
      </c>
      <c r="R461">
        <f>Q461</f>
        <v/>
      </c>
      <c r="S461">
        <f>R461</f>
        <v/>
      </c>
      <c r="T461">
        <f>S461</f>
        <v/>
      </c>
      <c r="U461">
        <f>T461</f>
        <v/>
      </c>
      <c r="V461">
        <f>U461</f>
        <v/>
      </c>
      <c r="W461">
        <f>V461</f>
        <v/>
      </c>
    </row>
    <row r="462">
      <c r="A462" t="inlineStr">
        <is>
          <t>CIMS.CAN.ON.Agriculture.Tractors</t>
        </is>
      </c>
      <c r="B462" t="inlineStr">
        <is>
          <t>Service</t>
        </is>
      </c>
      <c r="C462" t="inlineStr">
        <is>
          <t>ON</t>
        </is>
      </c>
      <c r="D462" t="inlineStr">
        <is>
          <t>Agriculture</t>
        </is>
      </c>
      <c r="E462" t="inlineStr">
        <is>
          <t>Tractors</t>
        </is>
      </c>
      <c r="F462" t="inlineStr">
        <is>
          <t>Hydrogen</t>
        </is>
      </c>
      <c r="G462" t="inlineStr">
        <is>
          <t>dcc_capacity_1</t>
        </is>
      </c>
      <c r="L462" t="inlineStr">
        <is>
          <t>vkm</t>
        </is>
      </c>
      <c r="M462" t="n">
        <v>92227251.1753704</v>
      </c>
      <c r="N462">
        <f>M462</f>
        <v/>
      </c>
      <c r="O462">
        <f>N462</f>
        <v/>
      </c>
      <c r="P462">
        <f>O462</f>
        <v/>
      </c>
      <c r="Q462">
        <f>P462</f>
        <v/>
      </c>
      <c r="R462">
        <f>Q462</f>
        <v/>
      </c>
      <c r="S462">
        <f>R462</f>
        <v/>
      </c>
      <c r="T462">
        <f>S462</f>
        <v/>
      </c>
      <c r="U462">
        <f>T462</f>
        <v/>
      </c>
      <c r="V462">
        <f>U462</f>
        <v/>
      </c>
      <c r="W462">
        <f>V462</f>
        <v/>
      </c>
    </row>
    <row r="463">
      <c r="A463" t="inlineStr">
        <is>
          <t>CIMS.CAN.ON.Agriculture.Tractors</t>
        </is>
      </c>
      <c r="B463" t="inlineStr">
        <is>
          <t>Service</t>
        </is>
      </c>
      <c r="C463" t="inlineStr">
        <is>
          <t>ON</t>
        </is>
      </c>
      <c r="D463" t="inlineStr">
        <is>
          <t>Agriculture</t>
        </is>
      </c>
      <c r="E463" t="inlineStr">
        <is>
          <t>Tractors</t>
        </is>
      </c>
      <c r="F463" t="inlineStr">
        <is>
          <t>Hydrogen</t>
        </is>
      </c>
      <c r="G463" t="inlineStr">
        <is>
          <t>dcc_progress_ratio_1</t>
        </is>
      </c>
      <c r="L463" t="inlineStr">
        <is>
          <t>%</t>
        </is>
      </c>
      <c r="M463" t="n">
        <v>0.9</v>
      </c>
      <c r="N463">
        <f>M463</f>
        <v/>
      </c>
      <c r="O463">
        <f>N463</f>
        <v/>
      </c>
      <c r="P463">
        <f>O463</f>
        <v/>
      </c>
      <c r="Q463">
        <f>P463</f>
        <v/>
      </c>
      <c r="R463">
        <f>Q463</f>
        <v/>
      </c>
      <c r="S463">
        <f>R463</f>
        <v/>
      </c>
      <c r="T463">
        <f>S463</f>
        <v/>
      </c>
      <c r="U463">
        <f>T463</f>
        <v/>
      </c>
      <c r="V463">
        <f>U463</f>
        <v/>
      </c>
      <c r="W463">
        <f>V463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2025-06-23T17:01:58Z</dcterms:created>
  <dcterms:modified xsi:type="dcterms:W3CDTF">2025-09-19T06:08:00Z</dcterms:modified>
  <cp:lastModifiedBy>Bradford Griffin</cp:lastModifiedBy>
</cp:coreProperties>
</file>