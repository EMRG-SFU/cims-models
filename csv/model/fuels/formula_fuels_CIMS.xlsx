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1935" yWindow="1335" windowWidth="17280" windowHeight="8475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prod_cost" refersTo="='Prices'!$K$11:$U$23"/>
      <definedName name="CER_prod_cost_index" refersTo="='Prices'!$CJ$11:$CJ$23"/>
      <definedName name="CER_year" refersTo="='Prices'!$K$2:$U$2"/>
      <definedName name="JCIMS_price_inflator" refersTo="='Prices'!$K$809"/>
      <definedName name="JCIMS_prices" refersTo="='Prices'!$K$795:$U$807"/>
      <definedName name="JCIMS_prices_index" refersTo="='Prices'!$E$795:$E$807"/>
    </definedNames>
    <sheetDataSet>
      <sheetData sheetId="0"/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795">
          <cell r="E795" t="str">
            <v>Biogas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</row>
        <row r="796">
          <cell r="E796" t="str">
            <v>Black Liquor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</row>
        <row r="797">
          <cell r="E797" t="str">
            <v>Coal</v>
          </cell>
          <cell r="K797">
            <v>2.6451827310390286</v>
          </cell>
          <cell r="L797">
            <v>2.5675436842813699</v>
          </cell>
          <cell r="M797">
            <v>2.33462654400839</v>
          </cell>
          <cell r="N797">
            <v>2.33462654400839</v>
          </cell>
          <cell r="O797">
            <v>2.33462654400839</v>
          </cell>
          <cell r="P797">
            <v>2.33462654400839</v>
          </cell>
          <cell r="Q797">
            <v>2.33462654400839</v>
          </cell>
          <cell r="R797">
            <v>2.33462654400839</v>
          </cell>
          <cell r="S797">
            <v>2.33462654400839</v>
          </cell>
          <cell r="T797">
            <v>2.33462654400839</v>
          </cell>
          <cell r="U797">
            <v>2.33462654400839</v>
          </cell>
        </row>
        <row r="798">
          <cell r="E798" t="str">
            <v>Coke</v>
          </cell>
          <cell r="K798">
            <v>2.7114430765744828</v>
          </cell>
          <cell r="L798">
            <v>2.8733728858611101</v>
          </cell>
          <cell r="M798">
            <v>3.3591623137209599</v>
          </cell>
          <cell r="N798">
            <v>3.3591623137209599</v>
          </cell>
          <cell r="O798">
            <v>3.3591623137209599</v>
          </cell>
          <cell r="P798">
            <v>3.3591623137209599</v>
          </cell>
          <cell r="Q798">
            <v>3.3591623137209599</v>
          </cell>
          <cell r="R798">
            <v>3.3591623137209599</v>
          </cell>
          <cell r="S798">
            <v>3.3591623137209599</v>
          </cell>
          <cell r="T798">
            <v>3.3591623137209599</v>
          </cell>
          <cell r="U798">
            <v>3.3591623137209599</v>
          </cell>
        </row>
        <row r="799">
          <cell r="E799" t="str">
            <v>Hydrogen</v>
          </cell>
          <cell r="K799">
            <v>59.532871676928607</v>
          </cell>
          <cell r="L799">
            <v>55.585908894687201</v>
          </cell>
          <cell r="M799">
            <v>46.639973843363798</v>
          </cell>
          <cell r="N799">
            <v>45.1924971956634</v>
          </cell>
          <cell r="O799">
            <v>42.6822408830553</v>
          </cell>
          <cell r="P799">
            <v>42.6822408830553</v>
          </cell>
          <cell r="Q799">
            <v>42.6822408830553</v>
          </cell>
          <cell r="R799">
            <v>42.6822408830553</v>
          </cell>
          <cell r="S799">
            <v>42.6822408830553</v>
          </cell>
          <cell r="T799">
            <v>42.6822408830553</v>
          </cell>
          <cell r="U799">
            <v>42.6822408830553</v>
          </cell>
        </row>
        <row r="800">
          <cell r="E800" t="str">
            <v>Jet Fuel</v>
          </cell>
          <cell r="K800">
            <v>17.588550071448253</v>
          </cell>
          <cell r="L800">
            <v>20.286557707742901</v>
          </cell>
          <cell r="M800">
            <v>27.204590863547502</v>
          </cell>
          <cell r="N800">
            <v>27.792585740087301</v>
          </cell>
          <cell r="O800">
            <v>32.830982809845999</v>
          </cell>
          <cell r="P800">
            <v>34.830041283130299</v>
          </cell>
          <cell r="Q800">
            <v>36.154675431643497</v>
          </cell>
          <cell r="R800">
            <v>36.751568264299401</v>
          </cell>
          <cell r="S800">
            <v>37.830547209983003</v>
          </cell>
          <cell r="T800">
            <v>37.830547209983003</v>
          </cell>
          <cell r="U800">
            <v>37.830547209983003</v>
          </cell>
        </row>
        <row r="801">
          <cell r="E801" t="str">
            <v>LPG</v>
          </cell>
          <cell r="K801">
            <v>34.654406149177703</v>
          </cell>
          <cell r="L801">
            <v>27.8413380552951</v>
          </cell>
          <cell r="M801">
            <v>35.450484776971301</v>
          </cell>
          <cell r="N801">
            <v>21.4263092753094</v>
          </cell>
          <cell r="O801">
            <v>28.561317388655102</v>
          </cell>
          <cell r="P801">
            <v>30.3903221376506</v>
          </cell>
          <cell r="Q801">
            <v>30.9916705857359</v>
          </cell>
          <cell r="R801">
            <v>31.5209767507625</v>
          </cell>
          <cell r="S801">
            <v>32.137212259876797</v>
          </cell>
          <cell r="T801">
            <v>32.137212259876797</v>
          </cell>
          <cell r="U801">
            <v>32.137212259876797</v>
          </cell>
        </row>
        <row r="802">
          <cell r="E802" t="str">
            <v>Petroleum Coke</v>
          </cell>
          <cell r="K802">
            <v>2.7114430765744828</v>
          </cell>
          <cell r="L802">
            <v>2.8733728858611101</v>
          </cell>
          <cell r="M802">
            <v>3.3591623137209599</v>
          </cell>
          <cell r="N802">
            <v>3.3591623137209599</v>
          </cell>
          <cell r="O802">
            <v>3.3591623137209599</v>
          </cell>
          <cell r="P802">
            <v>3.3591623137209599</v>
          </cell>
          <cell r="Q802">
            <v>3.3591623137209599</v>
          </cell>
          <cell r="R802">
            <v>3.3591623137209599</v>
          </cell>
          <cell r="S802">
            <v>3.3591623137209599</v>
          </cell>
          <cell r="T802">
            <v>3.3591623137209599</v>
          </cell>
          <cell r="U802">
            <v>3.3591623137209599</v>
          </cell>
        </row>
        <row r="803">
          <cell r="E803" t="str">
            <v>Propane</v>
          </cell>
          <cell r="K803">
            <v>13.396871273564102</v>
          </cell>
          <cell r="L803">
            <v>27.8413380552951</v>
          </cell>
          <cell r="M803">
            <v>47.012111104128799</v>
          </cell>
          <cell r="N803">
            <v>59.093424752308799</v>
          </cell>
          <cell r="O803">
            <v>67.870915586325594</v>
          </cell>
          <cell r="P803">
            <v>71.452462793724607</v>
          </cell>
          <cell r="Q803">
            <v>74.057171945186894</v>
          </cell>
          <cell r="R803">
            <v>75.465710440620697</v>
          </cell>
          <cell r="S803">
            <v>77.119170702216906</v>
          </cell>
          <cell r="T803">
            <v>77.119170702216906</v>
          </cell>
          <cell r="U803">
            <v>77.119170702216906</v>
          </cell>
        </row>
        <row r="804">
          <cell r="E804" t="str">
            <v>Refinery Fuel Gas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0</v>
          </cell>
        </row>
        <row r="805">
          <cell r="E805" t="str">
            <v>Solid Biomass</v>
          </cell>
          <cell r="K805">
            <v>1.5054207166802769</v>
          </cell>
          <cell r="L805">
            <v>1.22168905950096</v>
          </cell>
          <cell r="M805">
            <v>0.37049408796290201</v>
          </cell>
          <cell r="N805">
            <v>0.37049408796290201</v>
          </cell>
          <cell r="O805">
            <v>0.37049408796290201</v>
          </cell>
          <cell r="P805">
            <v>0.37049408796290201</v>
          </cell>
          <cell r="Q805">
            <v>0.37049408796290201</v>
          </cell>
          <cell r="R805">
            <v>0.37049408796290201</v>
          </cell>
          <cell r="S805">
            <v>0.37049408796290201</v>
          </cell>
          <cell r="T805">
            <v>0.37049408796290201</v>
          </cell>
          <cell r="U805">
            <v>0.37049408796290201</v>
          </cell>
        </row>
        <row r="806">
          <cell r="E806" t="str">
            <v>Uranium</v>
          </cell>
          <cell r="K806">
            <v>0.15835207918590033</v>
          </cell>
          <cell r="L806">
            <v>0.157112434</v>
          </cell>
          <cell r="M806">
            <v>0.15339349844229899</v>
          </cell>
          <cell r="N806">
            <v>0.15339349844229899</v>
          </cell>
          <cell r="O806">
            <v>0.15339349844229899</v>
          </cell>
          <cell r="P806">
            <v>0.15339349844229899</v>
          </cell>
          <cell r="Q806">
            <v>0.15339349844229899</v>
          </cell>
          <cell r="R806">
            <v>0.15339349844229899</v>
          </cell>
          <cell r="S806">
            <v>0.15339349844229899</v>
          </cell>
          <cell r="T806">
            <v>0.15339349844229899</v>
          </cell>
          <cell r="U806">
            <v>0.15339349844229899</v>
          </cell>
        </row>
        <row r="807">
          <cell r="E807" t="str">
            <v>Waste Fuel</v>
          </cell>
          <cell r="K807">
            <v>1.0445441458733233</v>
          </cell>
          <cell r="L807">
            <v>1.05676103646833</v>
          </cell>
          <cell r="M807">
            <v>1.0934117082533501</v>
          </cell>
          <cell r="N807">
            <v>1.0934117082533501</v>
          </cell>
          <cell r="O807">
            <v>1.0934117082533501</v>
          </cell>
          <cell r="P807">
            <v>1.0934117082533501</v>
          </cell>
          <cell r="Q807">
            <v>1.0934117082533501</v>
          </cell>
          <cell r="R807">
            <v>1.0934117082533501</v>
          </cell>
          <cell r="S807">
            <v>1.0934117082533501</v>
          </cell>
          <cell r="T807">
            <v>1.0934117082533501</v>
          </cell>
          <cell r="U807">
            <v>1.0934117082533501</v>
          </cell>
        </row>
        <row r="809">
          <cell r="K809">
            <v>1.280373831775701</v>
          </cell>
        </row>
      </sheetData>
      <sheetData sheetId="3"/>
      <sheetData sheetId="4"/>
      <sheetData sheetId="5"/>
      <sheetData sheetId="6"/>
      <sheetData sheetId="7"/>
      <sheetData sheetId="8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  <row r="156">
          <cell r="G156">
            <v>3.9913102253513877E-6</v>
          </cell>
          <cell r="H156">
            <v>3.9913102253513877E-6</v>
          </cell>
          <cell r="I156">
            <v>3.9913102253513877E-6</v>
          </cell>
          <cell r="J156">
            <v>3.9913102253513877E-6</v>
          </cell>
          <cell r="K156">
            <v>3.9913102253513877E-6</v>
          </cell>
          <cell r="L156">
            <v>3.9913102253513877E-6</v>
          </cell>
          <cell r="M156">
            <v>3.9913102253513877E-6</v>
          </cell>
          <cell r="N156">
            <v>3.9913102253513877E-6</v>
          </cell>
          <cell r="O156">
            <v>3.9913102253513877E-6</v>
          </cell>
          <cell r="P156">
            <v>3.9913102253513877E-6</v>
          </cell>
          <cell r="Q156">
            <v>3.9913102253513877E-6</v>
          </cell>
          <cell r="R156">
            <v>3.9913102253513877E-6</v>
          </cell>
          <cell r="S156">
            <v>3.9913102253513877E-6</v>
          </cell>
          <cell r="T156">
            <v>3.9913102253513877E-6</v>
          </cell>
          <cell r="U156">
            <v>3.9913102253513877E-6</v>
          </cell>
          <cell r="V156">
            <v>3.9913102253513877E-6</v>
          </cell>
          <cell r="W156">
            <v>3.9913102253513877E-6</v>
          </cell>
          <cell r="X156">
            <v>3.9913102253513877E-6</v>
          </cell>
          <cell r="Y156">
            <v>3.9913102253513877E-6</v>
          </cell>
          <cell r="Z156">
            <v>3.9913102253513877E-6</v>
          </cell>
          <cell r="AA156">
            <v>3.9913102253513877E-6</v>
          </cell>
          <cell r="AB156">
            <v>3.9913102253513877E-6</v>
          </cell>
          <cell r="AC156">
            <v>3.9913102253513877E-6</v>
          </cell>
          <cell r="AD156">
            <v>3.9913102253513877E-6</v>
          </cell>
          <cell r="AE156">
            <v>3.9913102253513877E-6</v>
          </cell>
          <cell r="AF156">
            <v>3.9913102253513877E-6</v>
          </cell>
          <cell r="AG156">
            <v>3.9913102253513877E-6</v>
          </cell>
          <cell r="AH156">
            <v>3.9913102253513877E-6</v>
          </cell>
          <cell r="AI156">
            <v>3.9913102253513877E-6</v>
          </cell>
          <cell r="AJ156">
            <v>3.9913102253513877E-6</v>
          </cell>
          <cell r="AK156">
            <v>3.9913102253513877E-6</v>
          </cell>
          <cell r="AL156">
            <v>3.9913102253513877E-6</v>
          </cell>
          <cell r="AM156">
            <v>3.9913102253513877E-6</v>
          </cell>
          <cell r="AN156">
            <v>3.9913102253513877E-6</v>
          </cell>
          <cell r="AO156">
            <v>3.9913102253513877E-6</v>
          </cell>
          <cell r="AP156">
            <v>3.9913102253513877E-6</v>
          </cell>
          <cell r="AQ156">
            <v>3.9913102253513877E-6</v>
          </cell>
          <cell r="AR156">
            <v>3.9913102253513877E-6</v>
          </cell>
          <cell r="AS156">
            <v>3.9913102253513877E-6</v>
          </cell>
          <cell r="AT156">
            <v>3.9913102253513877E-6</v>
          </cell>
          <cell r="AU156">
            <v>3.9913102253513877E-6</v>
          </cell>
          <cell r="AV156">
            <v>3.9913102253513877E-6</v>
          </cell>
          <cell r="AW156">
            <v>3.9913102253513877E-6</v>
          </cell>
          <cell r="AX156">
            <v>3.9913102253513877E-6</v>
          </cell>
          <cell r="AY156">
            <v>3.9913102253513877E-6</v>
          </cell>
          <cell r="AZ156">
            <v>3.9913102253513877E-6</v>
          </cell>
          <cell r="BA156">
            <v>3.9913102253513877E-6</v>
          </cell>
          <cell r="BB156">
            <v>3.9913102253513877E-6</v>
          </cell>
          <cell r="BC156">
            <v>3.9913102253513877E-6</v>
          </cell>
          <cell r="BD156">
            <v>3.9913102253513877E-6</v>
          </cell>
          <cell r="BE156">
            <v>3.9913102253513877E-6</v>
          </cell>
          <cell r="BF156">
            <v>3.9913102253513877E-6</v>
          </cell>
          <cell r="BG156">
            <v>3.9913102253513877E-6</v>
          </cell>
          <cell r="BH156">
            <v>3.9913102253513877E-6</v>
          </cell>
          <cell r="BI156">
            <v>3.9913102253513877E-6</v>
          </cell>
          <cell r="BJ156">
            <v>3.9913102253513877E-6</v>
          </cell>
          <cell r="BK156">
            <v>3.9913102253513877E-6</v>
          </cell>
          <cell r="BL156">
            <v>3.9913102253513877E-6</v>
          </cell>
          <cell r="BM156">
            <v>3.9913102253513877E-6</v>
          </cell>
          <cell r="BN156">
            <v>3.9913102253513877E-6</v>
          </cell>
          <cell r="BO156">
            <v>3.9913102253513877E-6</v>
          </cell>
        </row>
        <row r="157">
          <cell r="G157">
            <v>9.7394051232794818E-7</v>
          </cell>
          <cell r="H157">
            <v>9.7138356351785468E-7</v>
          </cell>
          <cell r="I157">
            <v>9.7138356667125818E-7</v>
          </cell>
          <cell r="J157">
            <v>9.6858638743455478E-7</v>
          </cell>
          <cell r="K157">
            <v>9.6833289572591836E-7</v>
          </cell>
          <cell r="L157">
            <v>9.6706745968712354E-7</v>
          </cell>
          <cell r="M157">
            <v>9.670674287828192E-7</v>
          </cell>
          <cell r="N157">
            <v>9.7087377090997642E-7</v>
          </cell>
          <cell r="O157">
            <v>9.6329083616292674E-7</v>
          </cell>
          <cell r="P157">
            <v>9.6278946445229952E-7</v>
          </cell>
          <cell r="Q157">
            <v>9.6053998074030376E-7</v>
          </cell>
          <cell r="R157">
            <v>9.595435413772697E-7</v>
          </cell>
          <cell r="S157">
            <v>9.5508515933911687E-7</v>
          </cell>
          <cell r="T157">
            <v>9.5238092844104533E-7</v>
          </cell>
          <cell r="U157">
            <v>9.4871796761961505E-7</v>
          </cell>
          <cell r="V157">
            <v>9.4291540484527353E-7</v>
          </cell>
          <cell r="W157">
            <v>9.479888954209107E-7</v>
          </cell>
          <cell r="X157">
            <v>9.4339642625143072E-7</v>
          </cell>
          <cell r="Y157">
            <v>9.4604958855190435E-7</v>
          </cell>
          <cell r="Z157">
            <v>9.4195422041698765E-7</v>
          </cell>
          <cell r="AA157">
            <v>9.4195570993630577E-7</v>
          </cell>
          <cell r="AB157">
            <v>9.4195570993630577E-7</v>
          </cell>
          <cell r="AC157">
            <v>9.4195570993630577E-7</v>
          </cell>
          <cell r="AD157">
            <v>9.4195570993630577E-7</v>
          </cell>
          <cell r="AE157">
            <v>9.4195570993630577E-7</v>
          </cell>
          <cell r="AF157">
            <v>9.4195570993630577E-7</v>
          </cell>
          <cell r="AG157">
            <v>9.4195570993630577E-7</v>
          </cell>
          <cell r="AH157">
            <v>9.4195570993630577E-7</v>
          </cell>
          <cell r="AI157">
            <v>9.4195570993630577E-7</v>
          </cell>
          <cell r="AJ157">
            <v>9.4195570993630577E-7</v>
          </cell>
          <cell r="AK157">
            <v>9.4195570993630577E-7</v>
          </cell>
          <cell r="AL157">
            <v>9.4195570993630577E-7</v>
          </cell>
          <cell r="AM157">
            <v>9.4195570993630577E-7</v>
          </cell>
          <cell r="AN157">
            <v>9.4195570993630577E-7</v>
          </cell>
          <cell r="AO157">
            <v>9.4195570993630577E-7</v>
          </cell>
          <cell r="AP157">
            <v>9.4195570993630577E-7</v>
          </cell>
          <cell r="AQ157">
            <v>9.4195570993630577E-7</v>
          </cell>
          <cell r="AR157">
            <v>9.4195570993630577E-7</v>
          </cell>
          <cell r="AS157">
            <v>9.4195570993630577E-7</v>
          </cell>
          <cell r="AT157">
            <v>9.4195570993630577E-7</v>
          </cell>
          <cell r="AU157">
            <v>9.4195570993630577E-7</v>
          </cell>
          <cell r="AV157">
            <v>9.4195570993630577E-7</v>
          </cell>
          <cell r="AW157">
            <v>9.4195570993630577E-7</v>
          </cell>
          <cell r="AX157">
            <v>9.4195570993630577E-7</v>
          </cell>
          <cell r="AY157">
            <v>9.4195570993630577E-7</v>
          </cell>
          <cell r="AZ157">
            <v>9.4195570993630577E-7</v>
          </cell>
          <cell r="BA157">
            <v>9.4195570993630577E-7</v>
          </cell>
          <cell r="BB157">
            <v>9.4195570993630577E-7</v>
          </cell>
          <cell r="BC157">
            <v>9.4195570993630577E-7</v>
          </cell>
          <cell r="BD157">
            <v>9.4195570993630577E-7</v>
          </cell>
          <cell r="BE157">
            <v>9.4195570993630577E-7</v>
          </cell>
          <cell r="BF157">
            <v>9.4195570993630577E-7</v>
          </cell>
          <cell r="BG157">
            <v>9.4195570993630577E-7</v>
          </cell>
          <cell r="BH157">
            <v>9.4195570993630577E-7</v>
          </cell>
          <cell r="BI157">
            <v>9.4195570993630577E-7</v>
          </cell>
          <cell r="BJ157">
            <v>9.4195570993630577E-7</v>
          </cell>
          <cell r="BK157">
            <v>9.4195570993630577E-7</v>
          </cell>
          <cell r="BL157">
            <v>9.4195570993630577E-7</v>
          </cell>
          <cell r="BM157">
            <v>9.4195570993630577E-7</v>
          </cell>
          <cell r="BN157">
            <v>9.4195570993630577E-7</v>
          </cell>
          <cell r="BO157">
            <v>9.4195570993630577E-7</v>
          </cell>
        </row>
        <row r="158">
          <cell r="G158">
            <v>2.1897810218978103E-6</v>
          </cell>
          <cell r="H158">
            <v>2.1897810218978103E-6</v>
          </cell>
          <cell r="I158">
            <v>2.1897810218978103E-6</v>
          </cell>
          <cell r="J158">
            <v>2.1897810218978103E-6</v>
          </cell>
          <cell r="K158">
            <v>2.1897810218978103E-6</v>
          </cell>
          <cell r="L158">
            <v>2.1897810049559439E-6</v>
          </cell>
          <cell r="M158">
            <v>2.1897810522249288E-6</v>
          </cell>
          <cell r="N158">
            <v>2.1897810611595408E-6</v>
          </cell>
          <cell r="O158">
            <v>2.189780962473383E-6</v>
          </cell>
          <cell r="P158">
            <v>2.1897809760540837E-6</v>
          </cell>
          <cell r="Q158">
            <v>2.1897810986889842E-6</v>
          </cell>
          <cell r="R158">
            <v>2.1897810882067376E-6</v>
          </cell>
          <cell r="S158">
            <v>2.189781043463325E-6</v>
          </cell>
          <cell r="T158">
            <v>2.1897809657625118E-6</v>
          </cell>
          <cell r="U158">
            <v>2.1897810328282271E-6</v>
          </cell>
          <cell r="V158">
            <v>2.1897809807353955E-6</v>
          </cell>
          <cell r="W158">
            <v>2.1897810765811499E-6</v>
          </cell>
          <cell r="X158">
            <v>2.1897809940801353E-6</v>
          </cell>
          <cell r="Y158">
            <v>2.1897809768716662E-6</v>
          </cell>
          <cell r="Z158">
            <v>2.1897810128390449E-6</v>
          </cell>
          <cell r="AA158">
            <v>2.1897810888611765E-6</v>
          </cell>
          <cell r="AB158">
            <v>2.1897810888611765E-6</v>
          </cell>
          <cell r="AC158">
            <v>2.1897810888611765E-6</v>
          </cell>
          <cell r="AD158">
            <v>2.1897810888611765E-6</v>
          </cell>
          <cell r="AE158">
            <v>2.1897810888611765E-6</v>
          </cell>
          <cell r="AF158">
            <v>2.1897810888611765E-6</v>
          </cell>
          <cell r="AG158">
            <v>2.1897810888611765E-6</v>
          </cell>
          <cell r="AH158">
            <v>2.1897810888611765E-6</v>
          </cell>
          <cell r="AI158">
            <v>2.1897810888611765E-6</v>
          </cell>
          <cell r="AJ158">
            <v>2.1897810888611765E-6</v>
          </cell>
          <cell r="AK158">
            <v>2.1897810888611765E-6</v>
          </cell>
          <cell r="AL158">
            <v>2.1897810888611765E-6</v>
          </cell>
          <cell r="AM158">
            <v>2.1897810888611765E-6</v>
          </cell>
          <cell r="AN158">
            <v>2.1897810888611765E-6</v>
          </cell>
          <cell r="AO158">
            <v>2.1897810888611765E-6</v>
          </cell>
          <cell r="AP158">
            <v>2.1897810888611765E-6</v>
          </cell>
          <cell r="AQ158">
            <v>2.1897810888611765E-6</v>
          </cell>
          <cell r="AR158">
            <v>2.1897810888611765E-6</v>
          </cell>
          <cell r="AS158">
            <v>2.1897810888611765E-6</v>
          </cell>
          <cell r="AT158">
            <v>2.1897810888611765E-6</v>
          </cell>
          <cell r="AU158">
            <v>2.1897810888611765E-6</v>
          </cell>
          <cell r="AV158">
            <v>2.1897810888611765E-6</v>
          </cell>
          <cell r="AW158">
            <v>2.1897810888611765E-6</v>
          </cell>
          <cell r="AX158">
            <v>2.1897810888611765E-6</v>
          </cell>
          <cell r="AY158">
            <v>2.1897810888611765E-6</v>
          </cell>
          <cell r="AZ158">
            <v>2.1897810888611765E-6</v>
          </cell>
          <cell r="BA158">
            <v>2.1897810888611765E-6</v>
          </cell>
          <cell r="BB158">
            <v>2.1897810888611765E-6</v>
          </cell>
          <cell r="BC158">
            <v>2.1897810888611765E-6</v>
          </cell>
          <cell r="BD158">
            <v>2.1897810888611765E-6</v>
          </cell>
          <cell r="BE158">
            <v>2.1897810888611765E-6</v>
          </cell>
          <cell r="BF158">
            <v>2.1897810888611765E-6</v>
          </cell>
          <cell r="BG158">
            <v>2.1897810888611765E-6</v>
          </cell>
          <cell r="BH158">
            <v>2.1897810888611765E-6</v>
          </cell>
          <cell r="BI158">
            <v>2.1897810888611765E-6</v>
          </cell>
          <cell r="BJ158">
            <v>2.1897810888611765E-6</v>
          </cell>
          <cell r="BK158">
            <v>2.1897810888611765E-6</v>
          </cell>
          <cell r="BL158">
            <v>2.1897810888611765E-6</v>
          </cell>
          <cell r="BM158">
            <v>2.1897810888611765E-6</v>
          </cell>
          <cell r="BN158">
            <v>2.1897810888611765E-6</v>
          </cell>
          <cell r="BO158">
            <v>2.1897810888611765E-6</v>
          </cell>
        </row>
        <row r="159">
          <cell r="G159">
            <v>1.099660992763225E-6</v>
          </cell>
          <cell r="H159">
            <v>1.097834536662813E-6</v>
          </cell>
          <cell r="I159">
            <v>1.1001501306039834E-6</v>
          </cell>
          <cell r="J159">
            <v>1.1257189355240153E-6</v>
          </cell>
          <cell r="K159">
            <v>1.1347875921419111E-6</v>
          </cell>
          <cell r="L159">
            <v>1.150968508982634E-6</v>
          </cell>
          <cell r="M159">
            <v>1.1555574852369488E-6</v>
          </cell>
          <cell r="N159">
            <v>1.1750414394980755E-6</v>
          </cell>
          <cell r="O159">
            <v>1.1608481726434009E-6</v>
          </cell>
          <cell r="P159">
            <v>1.1196945381425979E-6</v>
          </cell>
          <cell r="Q159">
            <v>1.1199747470652502E-6</v>
          </cell>
          <cell r="R159">
            <v>1.1464104649860592E-6</v>
          </cell>
          <cell r="S159">
            <v>1.1252827557020538E-6</v>
          </cell>
          <cell r="T159">
            <v>1.1104431817708095E-6</v>
          </cell>
          <cell r="U159">
            <v>1.1120400553729264E-6</v>
          </cell>
          <cell r="V159">
            <v>1.1089293529824441E-6</v>
          </cell>
          <cell r="W159">
            <v>1.1044288227366507E-6</v>
          </cell>
          <cell r="X159">
            <v>1.120855213046706E-6</v>
          </cell>
          <cell r="Y159">
            <v>1.1125831797841986E-6</v>
          </cell>
          <cell r="Z159">
            <v>1.1042123434939637E-6</v>
          </cell>
          <cell r="AA159">
            <v>1.1178886592441805E-6</v>
          </cell>
          <cell r="AB159">
            <v>1.1178886592441805E-6</v>
          </cell>
          <cell r="AC159">
            <v>1.1178886592441805E-6</v>
          </cell>
          <cell r="AD159">
            <v>1.1178886592441805E-6</v>
          </cell>
          <cell r="AE159">
            <v>1.1178886592441805E-6</v>
          </cell>
          <cell r="AF159">
            <v>1.1178886592441805E-6</v>
          </cell>
          <cell r="AG159">
            <v>1.1178886592441805E-6</v>
          </cell>
          <cell r="AH159">
            <v>1.1178886592441805E-6</v>
          </cell>
          <cell r="AI159">
            <v>1.1178886592441805E-6</v>
          </cell>
          <cell r="AJ159">
            <v>1.1178886592441805E-6</v>
          </cell>
          <cell r="AK159">
            <v>1.1178886592441805E-6</v>
          </cell>
          <cell r="AL159">
            <v>1.1178886592441805E-6</v>
          </cell>
          <cell r="AM159">
            <v>1.1178886592441805E-6</v>
          </cell>
          <cell r="AN159">
            <v>1.1178886592441805E-6</v>
          </cell>
          <cell r="AO159">
            <v>1.1178886592441805E-6</v>
          </cell>
          <cell r="AP159">
            <v>1.1178886592441805E-6</v>
          </cell>
          <cell r="AQ159">
            <v>1.1178886592441805E-6</v>
          </cell>
          <cell r="AR159">
            <v>1.1178886592441805E-6</v>
          </cell>
          <cell r="AS159">
            <v>1.1178886592441805E-6</v>
          </cell>
          <cell r="AT159">
            <v>1.1178886592441805E-6</v>
          </cell>
          <cell r="AU159">
            <v>1.1178886592441805E-6</v>
          </cell>
          <cell r="AV159">
            <v>1.1178886592441805E-6</v>
          </cell>
          <cell r="AW159">
            <v>1.1178886592441805E-6</v>
          </cell>
          <cell r="AX159">
            <v>1.1178886592441805E-6</v>
          </cell>
          <cell r="AY159">
            <v>1.1178886592441805E-6</v>
          </cell>
          <cell r="AZ159">
            <v>1.1178886592441805E-6</v>
          </cell>
          <cell r="BA159">
            <v>1.1178886592441805E-6</v>
          </cell>
          <cell r="BB159">
            <v>1.1178886592441805E-6</v>
          </cell>
          <cell r="BC159">
            <v>1.1178886592441805E-6</v>
          </cell>
          <cell r="BD159">
            <v>1.1178886592441805E-6</v>
          </cell>
          <cell r="BE159">
            <v>1.1178886592441805E-6</v>
          </cell>
          <cell r="BF159">
            <v>1.1178886592441805E-6</v>
          </cell>
          <cell r="BG159">
            <v>1.1178886592441805E-6</v>
          </cell>
          <cell r="BH159">
            <v>1.1178886592441805E-6</v>
          </cell>
          <cell r="BI159">
            <v>1.1178886592441805E-6</v>
          </cell>
          <cell r="BJ159">
            <v>1.1178886592441805E-6</v>
          </cell>
          <cell r="BK159">
            <v>1.1178886592441805E-6</v>
          </cell>
          <cell r="BL159">
            <v>1.1178886592441805E-6</v>
          </cell>
          <cell r="BM159">
            <v>1.1178886592441805E-6</v>
          </cell>
          <cell r="BN159">
            <v>1.1178886592441805E-6</v>
          </cell>
          <cell r="BO159">
            <v>1.1178886592441805E-6</v>
          </cell>
        </row>
        <row r="160">
          <cell r="G160">
            <v>1.0405827176744446E-6</v>
          </cell>
          <cell r="H160">
            <v>1.0405827279469411E-6</v>
          </cell>
          <cell r="I160">
            <v>1.0405827257690807E-6</v>
          </cell>
          <cell r="J160">
            <v>1.0405827282446435E-6</v>
          </cell>
          <cell r="K160">
            <v>1.0405827298923233E-6</v>
          </cell>
          <cell r="L160">
            <v>1.0405827240857723E-6</v>
          </cell>
          <cell r="M160">
            <v>1.0405828421386253E-6</v>
          </cell>
          <cell r="N160">
            <v>1.0405828599512854E-6</v>
          </cell>
          <cell r="O160">
            <v>1.0405827907429522E-6</v>
          </cell>
          <cell r="P160">
            <v>1.0405826514025066E-6</v>
          </cell>
          <cell r="Q160">
            <v>1.0405829049547356E-6</v>
          </cell>
          <cell r="R160">
            <v>1.0405828434654549E-6</v>
          </cell>
          <cell r="S160">
            <v>1.0405827597674191E-6</v>
          </cell>
          <cell r="T160">
            <v>1.0405825415368488E-6</v>
          </cell>
          <cell r="U160">
            <v>1.0405826394642279E-6</v>
          </cell>
          <cell r="V160">
            <v>1.0405827574764618E-6</v>
          </cell>
          <cell r="W160">
            <v>1.0405825582982004E-6</v>
          </cell>
          <cell r="X160">
            <v>1.0405827800752839E-6</v>
          </cell>
          <cell r="Y160">
            <v>1.0405826162605125E-6</v>
          </cell>
          <cell r="Z160">
            <v>1.0405828517444191E-6</v>
          </cell>
          <cell r="AA160">
            <v>1.040582705338272E-6</v>
          </cell>
          <cell r="AB160">
            <v>1.040582705338272E-6</v>
          </cell>
          <cell r="AC160">
            <v>1.040582705338272E-6</v>
          </cell>
          <cell r="AD160">
            <v>1.040582705338272E-6</v>
          </cell>
          <cell r="AE160">
            <v>1.040582705338272E-6</v>
          </cell>
          <cell r="AF160">
            <v>1.040582705338272E-6</v>
          </cell>
          <cell r="AG160">
            <v>1.040582705338272E-6</v>
          </cell>
          <cell r="AH160">
            <v>1.040582705338272E-6</v>
          </cell>
          <cell r="AI160">
            <v>1.040582705338272E-6</v>
          </cell>
          <cell r="AJ160">
            <v>1.040582705338272E-6</v>
          </cell>
          <cell r="AK160">
            <v>1.040582705338272E-6</v>
          </cell>
          <cell r="AL160">
            <v>1.040582705338272E-6</v>
          </cell>
          <cell r="AM160">
            <v>1.040582705338272E-6</v>
          </cell>
          <cell r="AN160">
            <v>1.040582705338272E-6</v>
          </cell>
          <cell r="AO160">
            <v>1.040582705338272E-6</v>
          </cell>
          <cell r="AP160">
            <v>1.040582705338272E-6</v>
          </cell>
          <cell r="AQ160">
            <v>1.040582705338272E-6</v>
          </cell>
          <cell r="AR160">
            <v>1.040582705338272E-6</v>
          </cell>
          <cell r="AS160">
            <v>1.040582705338272E-6</v>
          </cell>
          <cell r="AT160">
            <v>1.040582705338272E-6</v>
          </cell>
          <cell r="AU160">
            <v>1.040582705338272E-6</v>
          </cell>
          <cell r="AV160">
            <v>1.040582705338272E-6</v>
          </cell>
          <cell r="AW160">
            <v>1.040582705338272E-6</v>
          </cell>
          <cell r="AX160">
            <v>1.040582705338272E-6</v>
          </cell>
          <cell r="AY160">
            <v>1.040582705338272E-6</v>
          </cell>
          <cell r="AZ160">
            <v>1.040582705338272E-6</v>
          </cell>
          <cell r="BA160">
            <v>1.040582705338272E-6</v>
          </cell>
          <cell r="BB160">
            <v>1.040582705338272E-6</v>
          </cell>
          <cell r="BC160">
            <v>1.040582705338272E-6</v>
          </cell>
          <cell r="BD160">
            <v>1.040582705338272E-6</v>
          </cell>
          <cell r="BE160">
            <v>1.040582705338272E-6</v>
          </cell>
          <cell r="BF160">
            <v>1.040582705338272E-6</v>
          </cell>
          <cell r="BG160">
            <v>1.040582705338272E-6</v>
          </cell>
          <cell r="BH160">
            <v>1.040582705338272E-6</v>
          </cell>
          <cell r="BI160">
            <v>1.040582705338272E-6</v>
          </cell>
          <cell r="BJ160">
            <v>1.040582705338272E-6</v>
          </cell>
          <cell r="BK160">
            <v>1.040582705338272E-6</v>
          </cell>
          <cell r="BL160">
            <v>1.040582705338272E-6</v>
          </cell>
          <cell r="BM160">
            <v>1.040582705338272E-6</v>
          </cell>
          <cell r="BN160">
            <v>1.040582705338272E-6</v>
          </cell>
          <cell r="BO160">
            <v>1.040582705338272E-6</v>
          </cell>
        </row>
        <row r="161">
          <cell r="G161">
            <v>3.4384761216833145E-6</v>
          </cell>
          <cell r="H161">
            <v>3.4384636730050162E-6</v>
          </cell>
          <cell r="I161">
            <v>3.4725888755324284E-6</v>
          </cell>
          <cell r="J161">
            <v>3.4725831005824543E-6</v>
          </cell>
          <cell r="K161">
            <v>3.4725850014726555E-6</v>
          </cell>
          <cell r="L161">
            <v>3.4725910359665046E-6</v>
          </cell>
          <cell r="M161">
            <v>3.4725846490119225E-6</v>
          </cell>
          <cell r="N161">
            <v>3.4725828121424573E-6</v>
          </cell>
          <cell r="O161">
            <v>3.472590915207677E-6</v>
          </cell>
          <cell r="P161">
            <v>3.4725888096762181E-6</v>
          </cell>
          <cell r="Q161">
            <v>3.4725894521905806E-6</v>
          </cell>
          <cell r="R161">
            <v>3.4725821611460424E-6</v>
          </cell>
          <cell r="S161">
            <v>3.4725823341060829E-6</v>
          </cell>
          <cell r="T161">
            <v>3.4725889460729468E-6</v>
          </cell>
          <cell r="U161">
            <v>3.4725825620035635E-6</v>
          </cell>
          <cell r="V161">
            <v>3.4725893908652516E-6</v>
          </cell>
          <cell r="W161">
            <v>3.4725877114341268E-6</v>
          </cell>
          <cell r="X161">
            <v>3.4725813551444388E-6</v>
          </cell>
          <cell r="Y161">
            <v>3.4725878303051065E-6</v>
          </cell>
          <cell r="Z161">
            <v>3.4725880582413511E-6</v>
          </cell>
          <cell r="AA161">
            <v>3.4725913619891544E-6</v>
          </cell>
          <cell r="AB161">
            <v>3.4725913619891544E-6</v>
          </cell>
          <cell r="AC161">
            <v>3.4725913619891544E-6</v>
          </cell>
          <cell r="AD161">
            <v>3.4725913619891544E-6</v>
          </cell>
          <cell r="AE161">
            <v>3.4725913619891544E-6</v>
          </cell>
          <cell r="AF161">
            <v>3.4725913619891544E-6</v>
          </cell>
          <cell r="AG161">
            <v>3.4725913619891544E-6</v>
          </cell>
          <cell r="AH161">
            <v>3.4725913619891544E-6</v>
          </cell>
          <cell r="AI161">
            <v>3.4725913619891544E-6</v>
          </cell>
          <cell r="AJ161">
            <v>3.4725913619891544E-6</v>
          </cell>
          <cell r="AK161">
            <v>3.4725913619891544E-6</v>
          </cell>
          <cell r="AL161">
            <v>3.4725913619891544E-6</v>
          </cell>
          <cell r="AM161">
            <v>3.4725913619891544E-6</v>
          </cell>
          <cell r="AN161">
            <v>3.4725913619891544E-6</v>
          </cell>
          <cell r="AO161">
            <v>3.4725913619891544E-6</v>
          </cell>
          <cell r="AP161">
            <v>3.4725913619891544E-6</v>
          </cell>
          <cell r="AQ161">
            <v>3.4725913619891544E-6</v>
          </cell>
          <cell r="AR161">
            <v>3.4725913619891544E-6</v>
          </cell>
          <cell r="AS161">
            <v>3.4725913619891544E-6</v>
          </cell>
          <cell r="AT161">
            <v>3.4725913619891544E-6</v>
          </cell>
          <cell r="AU161">
            <v>3.4725913619891544E-6</v>
          </cell>
          <cell r="AV161">
            <v>3.4725913619891544E-6</v>
          </cell>
          <cell r="AW161">
            <v>3.4725913619891544E-6</v>
          </cell>
          <cell r="AX161">
            <v>3.4725913619891544E-6</v>
          </cell>
          <cell r="AY161">
            <v>3.4725913619891544E-6</v>
          </cell>
          <cell r="AZ161">
            <v>3.4725913619891544E-6</v>
          </cell>
          <cell r="BA161">
            <v>3.4725913619891544E-6</v>
          </cell>
          <cell r="BB161">
            <v>3.4725913619891544E-6</v>
          </cell>
          <cell r="BC161">
            <v>3.4725913619891544E-6</v>
          </cell>
          <cell r="BD161">
            <v>3.4725913619891544E-6</v>
          </cell>
          <cell r="BE161">
            <v>3.4725913619891544E-6</v>
          </cell>
          <cell r="BF161">
            <v>3.4725913619891544E-6</v>
          </cell>
          <cell r="BG161">
            <v>3.4725913619891544E-6</v>
          </cell>
          <cell r="BH161">
            <v>3.4725913619891544E-6</v>
          </cell>
          <cell r="BI161">
            <v>3.4725913619891544E-6</v>
          </cell>
          <cell r="BJ161">
            <v>3.4725913619891544E-6</v>
          </cell>
          <cell r="BK161">
            <v>3.4725913619891544E-6</v>
          </cell>
          <cell r="BL161">
            <v>3.4725913619891544E-6</v>
          </cell>
          <cell r="BM161">
            <v>3.4725913619891544E-6</v>
          </cell>
          <cell r="BN161">
            <v>3.4725913619891544E-6</v>
          </cell>
          <cell r="BO161">
            <v>3.4725913619891544E-6</v>
          </cell>
        </row>
        <row r="162"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</row>
        <row r="163">
          <cell r="G163">
            <v>4.7002197368249499E-6</v>
          </cell>
          <cell r="H163">
            <v>4.7002197368249499E-6</v>
          </cell>
          <cell r="I163">
            <v>4.7002197368249499E-6</v>
          </cell>
          <cell r="J163">
            <v>4.7002197368249499E-6</v>
          </cell>
          <cell r="K163">
            <v>4.7002197368249499E-6</v>
          </cell>
          <cell r="L163">
            <v>4.7002197368249499E-6</v>
          </cell>
          <cell r="M163">
            <v>4.7002197368249499E-6</v>
          </cell>
          <cell r="N163">
            <v>4.7002197368249499E-6</v>
          </cell>
          <cell r="O163">
            <v>4.7002197368249499E-6</v>
          </cell>
          <cell r="P163">
            <v>4.7002197368249499E-6</v>
          </cell>
          <cell r="Q163">
            <v>4.7002197368249499E-6</v>
          </cell>
          <cell r="R163">
            <v>4.7002197368249499E-6</v>
          </cell>
          <cell r="S163">
            <v>4.7002197368249499E-6</v>
          </cell>
          <cell r="T163">
            <v>4.7002197368249499E-6</v>
          </cell>
          <cell r="U163">
            <v>4.7002197368249499E-6</v>
          </cell>
          <cell r="V163">
            <v>4.7002197368249499E-6</v>
          </cell>
          <cell r="W163">
            <v>4.7002197368249499E-6</v>
          </cell>
          <cell r="X163">
            <v>4.7002197368249499E-6</v>
          </cell>
          <cell r="Y163">
            <v>4.7002197368249499E-6</v>
          </cell>
          <cell r="Z163">
            <v>4.7002197368249499E-6</v>
          </cell>
          <cell r="AA163">
            <v>4.7002197368249499E-6</v>
          </cell>
          <cell r="AB163">
            <v>4.7002197368249499E-6</v>
          </cell>
          <cell r="AC163">
            <v>4.7002197368249499E-6</v>
          </cell>
          <cell r="AD163">
            <v>4.7002197368249499E-6</v>
          </cell>
          <cell r="AE163">
            <v>4.7002197368249499E-6</v>
          </cell>
          <cell r="AF163">
            <v>4.7002197368249499E-6</v>
          </cell>
          <cell r="AG163">
            <v>4.7002197368249499E-6</v>
          </cell>
          <cell r="AH163">
            <v>4.7002197368249499E-6</v>
          </cell>
          <cell r="AI163">
            <v>4.7002197368249499E-6</v>
          </cell>
          <cell r="AJ163">
            <v>4.7002197368249499E-6</v>
          </cell>
          <cell r="AK163">
            <v>4.7002197368249499E-6</v>
          </cell>
          <cell r="AL163">
            <v>4.7002197368249499E-6</v>
          </cell>
          <cell r="AM163">
            <v>4.7002197368249499E-6</v>
          </cell>
          <cell r="AN163">
            <v>4.7002197368249499E-6</v>
          </cell>
          <cell r="AO163">
            <v>4.7002197368249499E-6</v>
          </cell>
          <cell r="AP163">
            <v>4.7002197368249499E-6</v>
          </cell>
          <cell r="AQ163">
            <v>4.7002197368249499E-6</v>
          </cell>
          <cell r="AR163">
            <v>4.7002197368249499E-6</v>
          </cell>
          <cell r="AS163">
            <v>4.7002197368249499E-6</v>
          </cell>
          <cell r="AT163">
            <v>4.7002197368249499E-6</v>
          </cell>
          <cell r="AU163">
            <v>4.7002197368249499E-6</v>
          </cell>
          <cell r="AV163">
            <v>4.7002197368249499E-6</v>
          </cell>
          <cell r="AW163">
            <v>4.7002197368249499E-6</v>
          </cell>
          <cell r="AX163">
            <v>4.7002197368249499E-6</v>
          </cell>
          <cell r="AY163">
            <v>4.7002197368249499E-6</v>
          </cell>
          <cell r="AZ163">
            <v>4.7002197368249499E-6</v>
          </cell>
          <cell r="BA163">
            <v>4.7002197368249499E-6</v>
          </cell>
          <cell r="BB163">
            <v>4.7002197368249499E-6</v>
          </cell>
          <cell r="BC163">
            <v>4.7002197368249499E-6</v>
          </cell>
          <cell r="BD163">
            <v>4.7002197368249499E-6</v>
          </cell>
          <cell r="BE163">
            <v>4.7002197368249499E-6</v>
          </cell>
          <cell r="BF163">
            <v>4.7002197368249499E-6</v>
          </cell>
          <cell r="BG163">
            <v>4.7002197368249499E-6</v>
          </cell>
          <cell r="BH163">
            <v>4.7002197368249499E-6</v>
          </cell>
          <cell r="BI163">
            <v>4.7002197368249499E-6</v>
          </cell>
          <cell r="BJ163">
            <v>4.7002197368249499E-6</v>
          </cell>
          <cell r="BK163">
            <v>4.7002197368249499E-6</v>
          </cell>
          <cell r="BL163">
            <v>4.7002197368249499E-6</v>
          </cell>
          <cell r="BM163">
            <v>4.7002197368249499E-6</v>
          </cell>
          <cell r="BN163">
            <v>4.7002197368249499E-6</v>
          </cell>
          <cell r="BO163">
            <v>4.7002197368249499E-6</v>
          </cell>
        </row>
        <row r="164">
          <cell r="G164">
            <v>2.8235293001734373E-6</v>
          </cell>
          <cell r="H164">
            <v>2.8235293205859475E-6</v>
          </cell>
          <cell r="I164">
            <v>2.8235292886308541E-6</v>
          </cell>
          <cell r="J164">
            <v>2.8235294015858939E-6</v>
          </cell>
          <cell r="K164">
            <v>2.8235293083962409E-6</v>
          </cell>
          <cell r="L164">
            <v>2.8235297690850697E-6</v>
          </cell>
          <cell r="M164">
            <v>2.8235298636353346E-6</v>
          </cell>
          <cell r="N164">
            <v>2.8235288846391223E-6</v>
          </cell>
          <cell r="O164">
            <v>2.8235291524956956E-6</v>
          </cell>
          <cell r="P164">
            <v>2.8235290179346673E-6</v>
          </cell>
          <cell r="Q164">
            <v>2.8235296739699532E-6</v>
          </cell>
          <cell r="R164">
            <v>2.8235288747788435E-6</v>
          </cell>
          <cell r="S164">
            <v>2.8235276368673148E-6</v>
          </cell>
          <cell r="T164">
            <v>2.8235290432602849E-6</v>
          </cell>
          <cell r="U164">
            <v>2.8235290432602849E-6</v>
          </cell>
          <cell r="V164">
            <v>2.8235290432602849E-6</v>
          </cell>
          <cell r="W164">
            <v>2.8235279859362284E-6</v>
          </cell>
          <cell r="X164">
            <v>2.8235273923552028E-6</v>
          </cell>
          <cell r="Y164">
            <v>2.8235273923552028E-6</v>
          </cell>
          <cell r="Z164">
            <v>2.8235288932861631E-6</v>
          </cell>
          <cell r="AA164">
            <v>2.8235418415560557E-6</v>
          </cell>
          <cell r="AB164">
            <v>2.8235418415560557E-6</v>
          </cell>
          <cell r="AC164">
            <v>2.8235418415560557E-6</v>
          </cell>
          <cell r="AD164">
            <v>2.8235418415560557E-6</v>
          </cell>
          <cell r="AE164">
            <v>2.8235418415560557E-6</v>
          </cell>
          <cell r="AF164">
            <v>2.8235418415560557E-6</v>
          </cell>
          <cell r="AG164">
            <v>2.8235418415560557E-6</v>
          </cell>
          <cell r="AH164">
            <v>2.8235418415560557E-6</v>
          </cell>
          <cell r="AI164">
            <v>2.8235418415560557E-6</v>
          </cell>
          <cell r="AJ164">
            <v>2.8235418415560557E-6</v>
          </cell>
          <cell r="AK164">
            <v>2.8235418415560557E-6</v>
          </cell>
          <cell r="AL164">
            <v>2.8235418415560557E-6</v>
          </cell>
          <cell r="AM164">
            <v>2.8235418415560557E-6</v>
          </cell>
          <cell r="AN164">
            <v>2.8235418415560557E-6</v>
          </cell>
          <cell r="AO164">
            <v>2.8235418415560557E-6</v>
          </cell>
          <cell r="AP164">
            <v>2.8235418415560557E-6</v>
          </cell>
          <cell r="AQ164">
            <v>2.8235418415560557E-6</v>
          </cell>
          <cell r="AR164">
            <v>2.8235418415560557E-6</v>
          </cell>
          <cell r="AS164">
            <v>2.8235418415560557E-6</v>
          </cell>
          <cell r="AT164">
            <v>2.8235418415560557E-6</v>
          </cell>
          <cell r="AU164">
            <v>2.8235418415560557E-6</v>
          </cell>
          <cell r="AV164">
            <v>2.8235418415560557E-6</v>
          </cell>
          <cell r="AW164">
            <v>2.8235418415560557E-6</v>
          </cell>
          <cell r="AX164">
            <v>2.8235418415560557E-6</v>
          </cell>
          <cell r="AY164">
            <v>2.8235418415560557E-6</v>
          </cell>
          <cell r="AZ164">
            <v>2.8235418415560557E-6</v>
          </cell>
          <cell r="BA164">
            <v>2.8235418415560557E-6</v>
          </cell>
          <cell r="BB164">
            <v>2.8235418415560557E-6</v>
          </cell>
          <cell r="BC164">
            <v>2.8235418415560557E-6</v>
          </cell>
          <cell r="BD164">
            <v>2.8235418415560557E-6</v>
          </cell>
          <cell r="BE164">
            <v>2.8235418415560557E-6</v>
          </cell>
          <cell r="BF164">
            <v>2.8235418415560557E-6</v>
          </cell>
          <cell r="BG164">
            <v>2.8235418415560557E-6</v>
          </cell>
          <cell r="BH164">
            <v>2.8235418415560557E-6</v>
          </cell>
          <cell r="BI164">
            <v>2.8235418415560557E-6</v>
          </cell>
          <cell r="BJ164">
            <v>2.8235418415560557E-6</v>
          </cell>
          <cell r="BK164">
            <v>2.8235418415560557E-6</v>
          </cell>
          <cell r="BL164">
            <v>2.8235418415560557E-6</v>
          </cell>
          <cell r="BM164">
            <v>2.8235418415560557E-6</v>
          </cell>
          <cell r="BN164">
            <v>2.8235418415560557E-6</v>
          </cell>
          <cell r="BO164">
            <v>2.8235418415560557E-6</v>
          </cell>
        </row>
        <row r="165">
          <cell r="G165">
            <v>2.8851702942581023E-6</v>
          </cell>
          <cell r="H165">
            <v>2.8851741764973704E-6</v>
          </cell>
          <cell r="I165">
            <v>2.8571469952248602E-6</v>
          </cell>
          <cell r="J165">
            <v>2.8571408208891936E-6</v>
          </cell>
          <cell r="K165">
            <v>2.8571428571428573E-6</v>
          </cell>
          <cell r="L165">
            <v>2.8571438566883642E-6</v>
          </cell>
          <cell r="M165">
            <v>2.8571428571428573E-6</v>
          </cell>
          <cell r="N165">
            <v>2.8571428571428573E-6</v>
          </cell>
          <cell r="O165">
            <v>2.857141878529187E-6</v>
          </cell>
          <cell r="P165">
            <v>2.8571447894974979E-6</v>
          </cell>
          <cell r="Q165">
            <v>2.8571409759473164E-6</v>
          </cell>
          <cell r="R165">
            <v>2.8571428571428573E-6</v>
          </cell>
          <cell r="S165">
            <v>2.8571438056255458E-6</v>
          </cell>
          <cell r="T165">
            <v>2.8571437844349931E-6</v>
          </cell>
          <cell r="U165">
            <v>2.8571446568056545E-6</v>
          </cell>
          <cell r="V165">
            <v>2.8571455822852664E-6</v>
          </cell>
          <cell r="W165">
            <v>2.8571419760700631E-6</v>
          </cell>
          <cell r="X165">
            <v>2.8571454779837142E-6</v>
          </cell>
          <cell r="Y165">
            <v>2.8571428571428573E-6</v>
          </cell>
          <cell r="Z165">
            <v>2.8571454251195541E-6</v>
          </cell>
          <cell r="AA165">
            <v>2.8571458873488601E-6</v>
          </cell>
          <cell r="AB165">
            <v>2.8571458873488601E-6</v>
          </cell>
          <cell r="AC165">
            <v>2.8571458873488601E-6</v>
          </cell>
          <cell r="AD165">
            <v>2.8571458873488601E-6</v>
          </cell>
          <cell r="AE165">
            <v>2.8571458873488601E-6</v>
          </cell>
          <cell r="AF165">
            <v>2.8571458873488601E-6</v>
          </cell>
          <cell r="AG165">
            <v>2.8571458873488601E-6</v>
          </cell>
          <cell r="AH165">
            <v>2.8571458873488601E-6</v>
          </cell>
          <cell r="AI165">
            <v>2.8571458873488601E-6</v>
          </cell>
          <cell r="AJ165">
            <v>2.8571458873488601E-6</v>
          </cell>
          <cell r="AK165">
            <v>2.8571458873488601E-6</v>
          </cell>
          <cell r="AL165">
            <v>2.8571458873488601E-6</v>
          </cell>
          <cell r="AM165">
            <v>2.8571458873488601E-6</v>
          </cell>
          <cell r="AN165">
            <v>2.8571458873488601E-6</v>
          </cell>
          <cell r="AO165">
            <v>2.8571458873488601E-6</v>
          </cell>
          <cell r="AP165">
            <v>2.8571458873488601E-6</v>
          </cell>
          <cell r="AQ165">
            <v>2.8571458873488601E-6</v>
          </cell>
          <cell r="AR165">
            <v>2.8571458873488601E-6</v>
          </cell>
          <cell r="AS165">
            <v>2.8571458873488601E-6</v>
          </cell>
          <cell r="AT165">
            <v>2.8571458873488601E-6</v>
          </cell>
          <cell r="AU165">
            <v>2.8571458873488601E-6</v>
          </cell>
          <cell r="AV165">
            <v>2.8571458873488601E-6</v>
          </cell>
          <cell r="AW165">
            <v>2.8571458873488601E-6</v>
          </cell>
          <cell r="AX165">
            <v>2.8571458873488601E-6</v>
          </cell>
          <cell r="AY165">
            <v>2.8571458873488601E-6</v>
          </cell>
          <cell r="AZ165">
            <v>2.8571458873488601E-6</v>
          </cell>
          <cell r="BA165">
            <v>2.8571458873488601E-6</v>
          </cell>
          <cell r="BB165">
            <v>2.8571458873488601E-6</v>
          </cell>
          <cell r="BC165">
            <v>2.8571458873488601E-6</v>
          </cell>
          <cell r="BD165">
            <v>2.8571458873488601E-6</v>
          </cell>
          <cell r="BE165">
            <v>2.8571458873488601E-6</v>
          </cell>
          <cell r="BF165">
            <v>2.8571458873488601E-6</v>
          </cell>
          <cell r="BG165">
            <v>2.8571458873488601E-6</v>
          </cell>
          <cell r="BH165">
            <v>2.8571458873488601E-6</v>
          </cell>
          <cell r="BI165">
            <v>2.8571458873488601E-6</v>
          </cell>
          <cell r="BJ165">
            <v>2.8571458873488601E-6</v>
          </cell>
          <cell r="BK165">
            <v>2.8571458873488601E-6</v>
          </cell>
          <cell r="BL165">
            <v>2.8571458873488601E-6</v>
          </cell>
          <cell r="BM165">
            <v>2.8571458873488601E-6</v>
          </cell>
          <cell r="BN165">
            <v>2.8571458873488601E-6</v>
          </cell>
          <cell r="BO165">
            <v>2.8571458873488601E-6</v>
          </cell>
        </row>
        <row r="166"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</row>
        <row r="167">
          <cell r="G167">
            <v>7.9736249556157934E-7</v>
          </cell>
          <cell r="H167">
            <v>7.9736022959592476E-7</v>
          </cell>
          <cell r="I167">
            <v>7.7540003383703026E-7</v>
          </cell>
          <cell r="J167">
            <v>7.7539967549540893E-7</v>
          </cell>
          <cell r="K167">
            <v>7.7540145501549478E-7</v>
          </cell>
          <cell r="L167">
            <v>7.7539724202773649E-7</v>
          </cell>
          <cell r="M167">
            <v>7.7539983891381881E-7</v>
          </cell>
          <cell r="N167">
            <v>7.7539779872985618E-7</v>
          </cell>
          <cell r="O167">
            <v>7.754002311984898E-7</v>
          </cell>
          <cell r="P167">
            <v>7.7539965408187943E-7</v>
          </cell>
          <cell r="Q167">
            <v>7.7539739027283511E-7</v>
          </cell>
          <cell r="R167">
            <v>7.7539611797730377E-7</v>
          </cell>
          <cell r="S167">
            <v>7.7540234419950352E-7</v>
          </cell>
          <cell r="T167">
            <v>7.7539772865841272E-7</v>
          </cell>
          <cell r="U167">
            <v>7.7539938945356478E-7</v>
          </cell>
          <cell r="V167">
            <v>7.7539752024383434E-7</v>
          </cell>
          <cell r="W167">
            <v>7.7539727058422559E-7</v>
          </cell>
          <cell r="X167">
            <v>7.7539820675105488E-7</v>
          </cell>
          <cell r="Y167">
            <v>7.7540025010127346E-7</v>
          </cell>
          <cell r="Z167">
            <v>7.7540366649039309E-7</v>
          </cell>
          <cell r="AA167">
            <v>7.7540540869332489E-7</v>
          </cell>
          <cell r="AB167">
            <v>7.7540540869332489E-7</v>
          </cell>
          <cell r="AC167">
            <v>7.7540540869332489E-7</v>
          </cell>
          <cell r="AD167">
            <v>7.7540540869332489E-7</v>
          </cell>
          <cell r="AE167">
            <v>7.7540540869332489E-7</v>
          </cell>
          <cell r="AF167">
            <v>7.7540540869332489E-7</v>
          </cell>
          <cell r="AG167">
            <v>7.7540540869332489E-7</v>
          </cell>
          <cell r="AH167">
            <v>7.7540540869332489E-7</v>
          </cell>
          <cell r="AI167">
            <v>7.7540540869332489E-7</v>
          </cell>
          <cell r="AJ167">
            <v>7.7540540869332489E-7</v>
          </cell>
          <cell r="AK167">
            <v>7.7540540869332489E-7</v>
          </cell>
          <cell r="AL167">
            <v>7.7540540869332489E-7</v>
          </cell>
          <cell r="AM167">
            <v>7.7540540869332489E-7</v>
          </cell>
          <cell r="AN167">
            <v>7.7540540869332489E-7</v>
          </cell>
          <cell r="AO167">
            <v>7.7540540869332489E-7</v>
          </cell>
          <cell r="AP167">
            <v>7.7540540869332489E-7</v>
          </cell>
          <cell r="AQ167">
            <v>7.7540540869332489E-7</v>
          </cell>
          <cell r="AR167">
            <v>7.7540540869332489E-7</v>
          </cell>
          <cell r="AS167">
            <v>7.7540540869332489E-7</v>
          </cell>
          <cell r="AT167">
            <v>7.7540540869332489E-7</v>
          </cell>
          <cell r="AU167">
            <v>7.7540540869332489E-7</v>
          </cell>
          <cell r="AV167">
            <v>7.7540540869332489E-7</v>
          </cell>
          <cell r="AW167">
            <v>7.7540540869332489E-7</v>
          </cell>
          <cell r="AX167">
            <v>7.7540540869332489E-7</v>
          </cell>
          <cell r="AY167">
            <v>7.7540540869332489E-7</v>
          </cell>
          <cell r="AZ167">
            <v>7.7540540869332489E-7</v>
          </cell>
          <cell r="BA167">
            <v>7.7540540869332489E-7</v>
          </cell>
          <cell r="BB167">
            <v>7.7540540869332489E-7</v>
          </cell>
          <cell r="BC167">
            <v>7.7540540869332489E-7</v>
          </cell>
          <cell r="BD167">
            <v>7.7540540869332489E-7</v>
          </cell>
          <cell r="BE167">
            <v>7.7540540869332489E-7</v>
          </cell>
          <cell r="BF167">
            <v>7.7540540869332489E-7</v>
          </cell>
          <cell r="BG167">
            <v>7.7540540869332489E-7</v>
          </cell>
          <cell r="BH167">
            <v>7.7540540869332489E-7</v>
          </cell>
          <cell r="BI167">
            <v>7.7540540869332489E-7</v>
          </cell>
          <cell r="BJ167">
            <v>7.7540540869332489E-7</v>
          </cell>
          <cell r="BK167">
            <v>7.7540540869332489E-7</v>
          </cell>
          <cell r="BL167">
            <v>7.7540540869332489E-7</v>
          </cell>
          <cell r="BM167">
            <v>7.7540540869332489E-7</v>
          </cell>
          <cell r="BN167">
            <v>7.7540540869332489E-7</v>
          </cell>
          <cell r="BO167">
            <v>7.7540540869332489E-7</v>
          </cell>
        </row>
        <row r="168">
          <cell r="G168">
            <v>8.9391766268260293E-7</v>
          </cell>
          <cell r="H168">
            <v>8.9391766268260293E-7</v>
          </cell>
          <cell r="I168">
            <v>8.9391766268260293E-7</v>
          </cell>
          <cell r="J168">
            <v>8.9551962763743971E-7</v>
          </cell>
          <cell r="K168">
            <v>8.9552582730589518E-7</v>
          </cell>
          <cell r="L168">
            <v>8.9552582730589518E-7</v>
          </cell>
          <cell r="M168">
            <v>8.9552582730589518E-7</v>
          </cell>
          <cell r="N168">
            <v>8.9552582730589518E-7</v>
          </cell>
          <cell r="O168">
            <v>8.9552582730589518E-7</v>
          </cell>
          <cell r="P168">
            <v>8.9552582730589518E-7</v>
          </cell>
          <cell r="Q168">
            <v>8.9552582730589518E-7</v>
          </cell>
          <cell r="R168">
            <v>8.9552582730589518E-7</v>
          </cell>
          <cell r="S168">
            <v>8.9552582730589518E-7</v>
          </cell>
          <cell r="T168">
            <v>8.9552582730589518E-7</v>
          </cell>
          <cell r="U168">
            <v>8.9552582730589518E-7</v>
          </cell>
          <cell r="V168">
            <v>8.9552582730589518E-7</v>
          </cell>
          <cell r="W168">
            <v>8.9552582730589518E-7</v>
          </cell>
          <cell r="X168">
            <v>8.9552582730589518E-7</v>
          </cell>
          <cell r="Y168">
            <v>8.9552582730589518E-7</v>
          </cell>
          <cell r="Z168">
            <v>8.9552582730589518E-7</v>
          </cell>
          <cell r="AA168">
            <v>8.9552582730589518E-7</v>
          </cell>
          <cell r="AB168">
            <v>8.9552582730589518E-7</v>
          </cell>
          <cell r="AC168">
            <v>8.9552582730589518E-7</v>
          </cell>
          <cell r="AD168">
            <v>8.9552582730589518E-7</v>
          </cell>
          <cell r="AE168">
            <v>8.9552582730589518E-7</v>
          </cell>
          <cell r="AF168">
            <v>8.9552582730589518E-7</v>
          </cell>
          <cell r="AG168">
            <v>8.9552582730589518E-7</v>
          </cell>
          <cell r="AH168">
            <v>8.9552582730589518E-7</v>
          </cell>
          <cell r="AI168">
            <v>8.9552582730589518E-7</v>
          </cell>
          <cell r="AJ168">
            <v>8.9552582730589518E-7</v>
          </cell>
          <cell r="AK168">
            <v>8.9552582730589518E-7</v>
          </cell>
          <cell r="AL168">
            <v>8.9552582730589518E-7</v>
          </cell>
          <cell r="AM168">
            <v>8.9552582730589518E-7</v>
          </cell>
          <cell r="AN168">
            <v>8.9552582730589518E-7</v>
          </cell>
          <cell r="AO168">
            <v>8.9552582730589518E-7</v>
          </cell>
          <cell r="AP168">
            <v>8.9552582730589518E-7</v>
          </cell>
          <cell r="AQ168">
            <v>8.9552582730589518E-7</v>
          </cell>
          <cell r="AR168">
            <v>8.9552582730589518E-7</v>
          </cell>
          <cell r="AS168">
            <v>8.9552582730589518E-7</v>
          </cell>
          <cell r="AT168">
            <v>8.9552582730589518E-7</v>
          </cell>
          <cell r="AU168">
            <v>8.9552582730589518E-7</v>
          </cell>
          <cell r="AV168">
            <v>8.9552582730589518E-7</v>
          </cell>
          <cell r="AW168">
            <v>8.9552582730589518E-7</v>
          </cell>
          <cell r="AX168">
            <v>8.9552582730589518E-7</v>
          </cell>
          <cell r="AY168">
            <v>8.9552582730589518E-7</v>
          </cell>
          <cell r="AZ168">
            <v>8.9552582730589518E-7</v>
          </cell>
          <cell r="BA168">
            <v>8.9552582730589518E-7</v>
          </cell>
          <cell r="BB168">
            <v>8.9552582730589518E-7</v>
          </cell>
          <cell r="BC168">
            <v>8.9552582730589518E-7</v>
          </cell>
          <cell r="BD168">
            <v>8.9552582730589518E-7</v>
          </cell>
          <cell r="BE168">
            <v>8.9552582730589518E-7</v>
          </cell>
          <cell r="BF168">
            <v>8.9552582730589518E-7</v>
          </cell>
          <cell r="BG168">
            <v>8.9552582730589518E-7</v>
          </cell>
          <cell r="BH168">
            <v>8.9552582730589518E-7</v>
          </cell>
          <cell r="BI168">
            <v>8.9552582730589518E-7</v>
          </cell>
          <cell r="BJ168">
            <v>8.9552582730589518E-7</v>
          </cell>
          <cell r="BK168">
            <v>8.9552582730589518E-7</v>
          </cell>
          <cell r="BL168">
            <v>8.9552582730589518E-7</v>
          </cell>
          <cell r="BM168">
            <v>8.9552582730589518E-7</v>
          </cell>
          <cell r="BN168">
            <v>8.9552582730589518E-7</v>
          </cell>
          <cell r="BO168">
            <v>8.9552582730589518E-7</v>
          </cell>
        </row>
        <row r="169">
          <cell r="G169">
            <v>9.7394051232794818E-7</v>
          </cell>
          <cell r="H169">
            <v>9.7138356351785468E-7</v>
          </cell>
          <cell r="I169">
            <v>9.7138356667125818E-7</v>
          </cell>
          <cell r="J169">
            <v>9.6858638743455478E-7</v>
          </cell>
          <cell r="K169">
            <v>9.6833289572591836E-7</v>
          </cell>
          <cell r="L169">
            <v>9.6706745968712354E-7</v>
          </cell>
          <cell r="M169">
            <v>9.670674287828192E-7</v>
          </cell>
          <cell r="N169">
            <v>9.7087377090997642E-7</v>
          </cell>
          <cell r="O169">
            <v>9.6329083616292674E-7</v>
          </cell>
          <cell r="P169">
            <v>9.6278946445229952E-7</v>
          </cell>
          <cell r="Q169">
            <v>9.6053998074030376E-7</v>
          </cell>
          <cell r="R169">
            <v>9.595435413772697E-7</v>
          </cell>
          <cell r="S169">
            <v>9.5508515933911687E-7</v>
          </cell>
          <cell r="T169">
            <v>9.5238092844104533E-7</v>
          </cell>
          <cell r="U169">
            <v>9.4871796761961505E-7</v>
          </cell>
          <cell r="V169">
            <v>9.4291540484527353E-7</v>
          </cell>
          <cell r="W169">
            <v>9.479888954209107E-7</v>
          </cell>
          <cell r="X169">
            <v>9.4339642625143072E-7</v>
          </cell>
          <cell r="Y169">
            <v>9.4604958855190435E-7</v>
          </cell>
          <cell r="Z169">
            <v>9.4195422041698765E-7</v>
          </cell>
          <cell r="AA169">
            <v>9.4195570993630577E-7</v>
          </cell>
          <cell r="AB169">
            <v>9.4195570993630577E-7</v>
          </cell>
          <cell r="AC169">
            <v>9.4195570993630577E-7</v>
          </cell>
          <cell r="AD169">
            <v>9.4195570993630577E-7</v>
          </cell>
          <cell r="AE169">
            <v>9.4195570993630577E-7</v>
          </cell>
          <cell r="AF169">
            <v>9.4195570993630577E-7</v>
          </cell>
          <cell r="AG169">
            <v>9.4195570993630577E-7</v>
          </cell>
          <cell r="AH169">
            <v>9.4195570993630577E-7</v>
          </cell>
          <cell r="AI169">
            <v>9.4195570993630577E-7</v>
          </cell>
          <cell r="AJ169">
            <v>9.4195570993630577E-7</v>
          </cell>
          <cell r="AK169">
            <v>9.4195570993630577E-7</v>
          </cell>
          <cell r="AL169">
            <v>9.4195570993630577E-7</v>
          </cell>
          <cell r="AM169">
            <v>9.4195570993630577E-7</v>
          </cell>
          <cell r="AN169">
            <v>9.4195570993630577E-7</v>
          </cell>
          <cell r="AO169">
            <v>9.4195570993630577E-7</v>
          </cell>
          <cell r="AP169">
            <v>9.4195570993630577E-7</v>
          </cell>
          <cell r="AQ169">
            <v>9.4195570993630577E-7</v>
          </cell>
          <cell r="AR169">
            <v>9.4195570993630577E-7</v>
          </cell>
          <cell r="AS169">
            <v>9.4195570993630577E-7</v>
          </cell>
          <cell r="AT169">
            <v>9.4195570993630577E-7</v>
          </cell>
          <cell r="AU169">
            <v>9.4195570993630577E-7</v>
          </cell>
          <cell r="AV169">
            <v>9.4195570993630577E-7</v>
          </cell>
          <cell r="AW169">
            <v>9.4195570993630577E-7</v>
          </cell>
          <cell r="AX169">
            <v>9.4195570993630577E-7</v>
          </cell>
          <cell r="AY169">
            <v>9.4195570993630577E-7</v>
          </cell>
          <cell r="AZ169">
            <v>9.4195570993630577E-7</v>
          </cell>
          <cell r="BA169">
            <v>9.4195570993630577E-7</v>
          </cell>
          <cell r="BB169">
            <v>9.4195570993630577E-7</v>
          </cell>
          <cell r="BC169">
            <v>9.4195570993630577E-7</v>
          </cell>
          <cell r="BD169">
            <v>9.4195570993630577E-7</v>
          </cell>
          <cell r="BE169">
            <v>9.4195570993630577E-7</v>
          </cell>
          <cell r="BF169">
            <v>9.4195570993630577E-7</v>
          </cell>
          <cell r="BG169">
            <v>9.4195570993630577E-7</v>
          </cell>
          <cell r="BH169">
            <v>9.4195570993630577E-7</v>
          </cell>
          <cell r="BI169">
            <v>9.4195570993630577E-7</v>
          </cell>
          <cell r="BJ169">
            <v>9.4195570993630577E-7</v>
          </cell>
          <cell r="BK169">
            <v>9.4195570993630577E-7</v>
          </cell>
          <cell r="BL169">
            <v>9.4195570993630577E-7</v>
          </cell>
          <cell r="BM169">
            <v>9.4195570993630577E-7</v>
          </cell>
          <cell r="BN169">
            <v>9.4195570993630577E-7</v>
          </cell>
          <cell r="BO169">
            <v>9.4195570993630577E-7</v>
          </cell>
        </row>
        <row r="170">
          <cell r="G170">
            <v>2.5889967532216271E-6</v>
          </cell>
          <cell r="H170">
            <v>2.5889967567509678E-6</v>
          </cell>
          <cell r="I170">
            <v>2.5889967473666931E-6</v>
          </cell>
          <cell r="J170">
            <v>2.5889967649113162E-6</v>
          </cell>
          <cell r="K170">
            <v>2.5889967529541222E-6</v>
          </cell>
          <cell r="L170">
            <v>2.5889967686127557E-6</v>
          </cell>
          <cell r="M170">
            <v>2.5889971681382565E-6</v>
          </cell>
          <cell r="N170">
            <v>2.5889975690344362E-6</v>
          </cell>
          <cell r="O170">
            <v>2.588997293722101E-6</v>
          </cell>
          <cell r="P170">
            <v>2.5889972199744079E-6</v>
          </cell>
          <cell r="Q170">
            <v>2.5889975645349421E-6</v>
          </cell>
          <cell r="R170">
            <v>2.5889969367003036E-6</v>
          </cell>
          <cell r="S170">
            <v>2.5889973423615687E-6</v>
          </cell>
          <cell r="T170">
            <v>2.5889961470582676E-6</v>
          </cell>
          <cell r="U170">
            <v>2.5888323445489533E-6</v>
          </cell>
          <cell r="V170">
            <v>2.5888319141025715E-6</v>
          </cell>
          <cell r="W170">
            <v>2.5888327551652638E-6</v>
          </cell>
          <cell r="X170">
            <v>2.5888325426735722E-6</v>
          </cell>
          <cell r="Y170">
            <v>2.5888327773760766E-6</v>
          </cell>
          <cell r="Z170">
            <v>2.588831141078311E-6</v>
          </cell>
          <cell r="AA170">
            <v>2.5888326702776725E-6</v>
          </cell>
          <cell r="AB170">
            <v>2.5888326702776725E-6</v>
          </cell>
          <cell r="AC170">
            <v>2.5888326702776725E-6</v>
          </cell>
          <cell r="AD170">
            <v>2.5888326702776725E-6</v>
          </cell>
          <cell r="AE170">
            <v>2.5888326702776725E-6</v>
          </cell>
          <cell r="AF170">
            <v>2.5888326702776725E-6</v>
          </cell>
          <cell r="AG170">
            <v>2.5888326702776725E-6</v>
          </cell>
          <cell r="AH170">
            <v>2.5888326702776725E-6</v>
          </cell>
          <cell r="AI170">
            <v>2.5888326702776725E-6</v>
          </cell>
          <cell r="AJ170">
            <v>2.5888326702776725E-6</v>
          </cell>
          <cell r="AK170">
            <v>2.5888326702776725E-6</v>
          </cell>
          <cell r="AL170">
            <v>2.5888326702776725E-6</v>
          </cell>
          <cell r="AM170">
            <v>2.5888326702776725E-6</v>
          </cell>
          <cell r="AN170">
            <v>2.5888326702776725E-6</v>
          </cell>
          <cell r="AO170">
            <v>2.5888326702776725E-6</v>
          </cell>
          <cell r="AP170">
            <v>2.5888326702776725E-6</v>
          </cell>
          <cell r="AQ170">
            <v>2.5888326702776725E-6</v>
          </cell>
          <cell r="AR170">
            <v>2.5888326702776725E-6</v>
          </cell>
          <cell r="AS170">
            <v>2.5888326702776725E-6</v>
          </cell>
          <cell r="AT170">
            <v>2.5888326702776725E-6</v>
          </cell>
          <cell r="AU170">
            <v>2.5888326702776725E-6</v>
          </cell>
          <cell r="AV170">
            <v>2.5888326702776725E-6</v>
          </cell>
          <cell r="AW170">
            <v>2.5888326702776725E-6</v>
          </cell>
          <cell r="AX170">
            <v>2.5888326702776725E-6</v>
          </cell>
          <cell r="AY170">
            <v>2.5888326702776725E-6</v>
          </cell>
          <cell r="AZ170">
            <v>2.5888326702776725E-6</v>
          </cell>
          <cell r="BA170">
            <v>2.5888326702776725E-6</v>
          </cell>
          <cell r="BB170">
            <v>2.5888326702776725E-6</v>
          </cell>
          <cell r="BC170">
            <v>2.5888326702776725E-6</v>
          </cell>
          <cell r="BD170">
            <v>2.5888326702776725E-6</v>
          </cell>
          <cell r="BE170">
            <v>2.5888326702776725E-6</v>
          </cell>
          <cell r="BF170">
            <v>2.5888326702776725E-6</v>
          </cell>
          <cell r="BG170">
            <v>2.5888326702776725E-6</v>
          </cell>
          <cell r="BH170">
            <v>2.5888326702776725E-6</v>
          </cell>
          <cell r="BI170">
            <v>2.5888326702776725E-6</v>
          </cell>
          <cell r="BJ170">
            <v>2.5888326702776725E-6</v>
          </cell>
          <cell r="BK170">
            <v>2.5888326702776725E-6</v>
          </cell>
          <cell r="BL170">
            <v>2.5888326702776725E-6</v>
          </cell>
          <cell r="BM170">
            <v>2.5888326702776725E-6</v>
          </cell>
          <cell r="BN170">
            <v>2.5888326702776725E-6</v>
          </cell>
          <cell r="BO170">
            <v>2.5888326702776725E-6</v>
          </cell>
        </row>
        <row r="171">
          <cell r="G171">
            <v>9.4824184391688377E-7</v>
          </cell>
          <cell r="H171">
            <v>9.482417658479457E-7</v>
          </cell>
          <cell r="I171">
            <v>9.4824194420074309E-7</v>
          </cell>
          <cell r="J171">
            <v>9.4824177720811866E-7</v>
          </cell>
          <cell r="K171">
            <v>9.4824181169534642E-7</v>
          </cell>
          <cell r="L171">
            <v>9.482416274889288E-7</v>
          </cell>
          <cell r="M171">
            <v>9.4824146680607779E-7</v>
          </cell>
          <cell r="N171">
            <v>9.4824311196085648E-7</v>
          </cell>
          <cell r="O171">
            <v>9.4824119846906824E-7</v>
          </cell>
          <cell r="P171">
            <v>9.4824347139947907E-7</v>
          </cell>
          <cell r="Q171">
            <v>9.4824254332834167E-7</v>
          </cell>
          <cell r="R171">
            <v>9.4824128922670058E-7</v>
          </cell>
          <cell r="S171">
            <v>9.4824259850741151E-7</v>
          </cell>
          <cell r="T171">
            <v>9.4824259850741151E-7</v>
          </cell>
          <cell r="U171">
            <v>9.4824259850741151E-7</v>
          </cell>
          <cell r="V171">
            <v>9.4824259850741151E-7</v>
          </cell>
          <cell r="W171">
            <v>9.4824848973068197E-7</v>
          </cell>
          <cell r="X171">
            <v>9.4824470051774394E-7</v>
          </cell>
          <cell r="Y171">
            <v>9.4824427702417313E-7</v>
          </cell>
          <cell r="Z171">
            <v>9.4828447551293711E-7</v>
          </cell>
          <cell r="AA171">
            <v>9.4828447551293711E-7</v>
          </cell>
          <cell r="AB171">
            <v>9.4828447551293711E-7</v>
          </cell>
          <cell r="AC171">
            <v>9.4828447551293711E-7</v>
          </cell>
          <cell r="AD171">
            <v>9.4828447551293711E-7</v>
          </cell>
          <cell r="AE171">
            <v>9.4828447551293711E-7</v>
          </cell>
          <cell r="AF171">
            <v>9.4828447551293711E-7</v>
          </cell>
          <cell r="AG171">
            <v>9.4828447551293711E-7</v>
          </cell>
          <cell r="AH171">
            <v>9.4828447551293711E-7</v>
          </cell>
          <cell r="AI171">
            <v>9.4828447551293711E-7</v>
          </cell>
          <cell r="AJ171">
            <v>9.4828447551293711E-7</v>
          </cell>
          <cell r="AK171">
            <v>9.4828447551293711E-7</v>
          </cell>
          <cell r="AL171">
            <v>9.4828447551293711E-7</v>
          </cell>
          <cell r="AM171">
            <v>9.4828447551293711E-7</v>
          </cell>
          <cell r="AN171">
            <v>9.4828447551293711E-7</v>
          </cell>
          <cell r="AO171">
            <v>9.4828447551293711E-7</v>
          </cell>
          <cell r="AP171">
            <v>9.4828447551293711E-7</v>
          </cell>
          <cell r="AQ171">
            <v>9.4828447551293711E-7</v>
          </cell>
          <cell r="AR171">
            <v>9.4828447551293711E-7</v>
          </cell>
          <cell r="AS171">
            <v>9.4828447551293711E-7</v>
          </cell>
          <cell r="AT171">
            <v>9.4828447551293711E-7</v>
          </cell>
          <cell r="AU171">
            <v>9.4828447551293711E-7</v>
          </cell>
          <cell r="AV171">
            <v>9.4828447551293711E-7</v>
          </cell>
          <cell r="AW171">
            <v>9.4828447551293711E-7</v>
          </cell>
          <cell r="AX171">
            <v>9.4828447551293711E-7</v>
          </cell>
          <cell r="AY171">
            <v>9.4828447551293711E-7</v>
          </cell>
          <cell r="AZ171">
            <v>9.4828447551293711E-7</v>
          </cell>
          <cell r="BA171">
            <v>9.4828447551293711E-7</v>
          </cell>
          <cell r="BB171">
            <v>9.4828447551293711E-7</v>
          </cell>
          <cell r="BC171">
            <v>9.4828447551293711E-7</v>
          </cell>
          <cell r="BD171">
            <v>9.4828447551293711E-7</v>
          </cell>
          <cell r="BE171">
            <v>9.4828447551293711E-7</v>
          </cell>
          <cell r="BF171">
            <v>9.4828447551293711E-7</v>
          </cell>
          <cell r="BG171">
            <v>9.4828447551293711E-7</v>
          </cell>
          <cell r="BH171">
            <v>9.4828447551293711E-7</v>
          </cell>
          <cell r="BI171">
            <v>9.4828447551293711E-7</v>
          </cell>
          <cell r="BJ171">
            <v>9.4828447551293711E-7</v>
          </cell>
          <cell r="BK171">
            <v>9.4828447551293711E-7</v>
          </cell>
          <cell r="BL171">
            <v>9.4828447551293711E-7</v>
          </cell>
          <cell r="BM171">
            <v>9.4828447551293711E-7</v>
          </cell>
          <cell r="BN171">
            <v>9.4828447551293711E-7</v>
          </cell>
          <cell r="BO171">
            <v>9.4828447551293711E-7</v>
          </cell>
        </row>
        <row r="172">
          <cell r="G172">
            <v>9.3680709534368085E-7</v>
          </cell>
          <cell r="H172">
            <v>9.2682926829268296E-7</v>
          </cell>
          <cell r="I172">
            <v>9.1685144124168507E-7</v>
          </cell>
          <cell r="J172">
            <v>9.0687361419068718E-7</v>
          </cell>
          <cell r="K172">
            <v>8.9689578713968929E-7</v>
          </cell>
          <cell r="L172">
            <v>8.8691796008869141E-7</v>
          </cell>
          <cell r="M172">
            <v>8.8691796008869183E-7</v>
          </cell>
          <cell r="N172">
            <v>8.9246119733924611E-7</v>
          </cell>
          <cell r="O172">
            <v>8.7583148558758328E-7</v>
          </cell>
          <cell r="P172">
            <v>8.8691796008869183E-7</v>
          </cell>
          <cell r="Q172">
            <v>8.8968957871396907E-7</v>
          </cell>
          <cell r="R172">
            <v>9.0354767184035476E-7</v>
          </cell>
          <cell r="S172">
            <v>8.4534368070953444E-7</v>
          </cell>
          <cell r="T172">
            <v>8.5920177383592024E-7</v>
          </cell>
          <cell r="U172">
            <v>8.5920177383592024E-7</v>
          </cell>
          <cell r="V172">
            <v>8.5920177383592024E-7</v>
          </cell>
          <cell r="W172">
            <v>8.5920177383592024E-7</v>
          </cell>
          <cell r="X172">
            <v>8.5920177383592024E-7</v>
          </cell>
          <cell r="Y172">
            <v>8.5920177383592024E-7</v>
          </cell>
          <cell r="Z172">
            <v>8.5920177383592024E-7</v>
          </cell>
          <cell r="AA172">
            <v>8.5920177383592024E-7</v>
          </cell>
          <cell r="AB172">
            <v>8.5920177383592024E-7</v>
          </cell>
          <cell r="AC172">
            <v>8.5920177383592024E-7</v>
          </cell>
          <cell r="AD172">
            <v>8.5920177383592024E-7</v>
          </cell>
          <cell r="AE172">
            <v>8.5920177383592024E-7</v>
          </cell>
          <cell r="AF172">
            <v>8.5920177383592024E-7</v>
          </cell>
          <cell r="AG172">
            <v>8.5920177383592024E-7</v>
          </cell>
          <cell r="AH172">
            <v>8.5920177383592024E-7</v>
          </cell>
          <cell r="AI172">
            <v>8.5920177383592024E-7</v>
          </cell>
          <cell r="AJ172">
            <v>8.5920177383592024E-7</v>
          </cell>
          <cell r="AK172">
            <v>8.5920177383592024E-7</v>
          </cell>
          <cell r="AL172">
            <v>8.5920177383592024E-7</v>
          </cell>
          <cell r="AM172">
            <v>8.5920177383592024E-7</v>
          </cell>
          <cell r="AN172">
            <v>8.5920177383592024E-7</v>
          </cell>
          <cell r="AO172">
            <v>8.5920177383592024E-7</v>
          </cell>
          <cell r="AP172">
            <v>8.5920177383592024E-7</v>
          </cell>
          <cell r="AQ172">
            <v>8.5920177383592024E-7</v>
          </cell>
          <cell r="AR172">
            <v>8.5920177383592024E-7</v>
          </cell>
          <cell r="AS172">
            <v>8.5920177383592024E-7</v>
          </cell>
          <cell r="AT172">
            <v>8.5920177383592024E-7</v>
          </cell>
          <cell r="AU172">
            <v>8.5920177383592024E-7</v>
          </cell>
          <cell r="AV172">
            <v>8.5920177383592024E-7</v>
          </cell>
          <cell r="AW172">
            <v>8.5920177383592024E-7</v>
          </cell>
          <cell r="AX172">
            <v>8.5920177383592024E-7</v>
          </cell>
          <cell r="AY172">
            <v>8.5920177383592024E-7</v>
          </cell>
          <cell r="AZ172">
            <v>8.5920177383592024E-7</v>
          </cell>
          <cell r="BA172">
            <v>8.5920177383592024E-7</v>
          </cell>
          <cell r="BB172">
            <v>8.5920177383592024E-7</v>
          </cell>
          <cell r="BC172">
            <v>8.5920177383592024E-7</v>
          </cell>
          <cell r="BD172">
            <v>8.5920177383592024E-7</v>
          </cell>
          <cell r="BE172">
            <v>8.5920177383592024E-7</v>
          </cell>
          <cell r="BF172">
            <v>8.5920177383592024E-7</v>
          </cell>
          <cell r="BG172">
            <v>8.5920177383592024E-7</v>
          </cell>
          <cell r="BH172">
            <v>8.5920177383592024E-7</v>
          </cell>
          <cell r="BI172">
            <v>8.5920177383592024E-7</v>
          </cell>
          <cell r="BJ172">
            <v>8.5920177383592024E-7</v>
          </cell>
          <cell r="BK172">
            <v>8.5920177383592024E-7</v>
          </cell>
          <cell r="BL172">
            <v>8.5920177383592024E-7</v>
          </cell>
          <cell r="BM172">
            <v>8.5920177383592024E-7</v>
          </cell>
          <cell r="BN172">
            <v>8.5920177383592024E-7</v>
          </cell>
          <cell r="BO172">
            <v>8.5920177383592024E-7</v>
          </cell>
        </row>
        <row r="173">
          <cell r="G173">
            <v>4.8923679060665363E-6</v>
          </cell>
          <cell r="H173">
            <v>4.8923679060665363E-6</v>
          </cell>
          <cell r="I173">
            <v>4.8923679060665363E-6</v>
          </cell>
          <cell r="J173">
            <v>4.8923679060665363E-6</v>
          </cell>
          <cell r="K173">
            <v>4.8923679060665363E-6</v>
          </cell>
          <cell r="L173">
            <v>4.8923678596556005E-6</v>
          </cell>
          <cell r="M173">
            <v>4.8923678127073247E-6</v>
          </cell>
          <cell r="N173">
            <v>4.8923679833408253E-6</v>
          </cell>
          <cell r="O173">
            <v>4.8923680355792216E-6</v>
          </cell>
          <cell r="P173">
            <v>4.8923680207911309E-6</v>
          </cell>
          <cell r="Q173">
            <v>4.8923679872944769E-6</v>
          </cell>
          <cell r="R173">
            <v>4.8923679332824978E-6</v>
          </cell>
          <cell r="S173">
            <v>4.8923677375376746E-6</v>
          </cell>
          <cell r="T173">
            <v>4.8923677944607688E-6</v>
          </cell>
          <cell r="U173">
            <v>4.8923679883093842E-6</v>
          </cell>
          <cell r="V173">
            <v>4.8923679323432915E-6</v>
          </cell>
          <cell r="W173">
            <v>4.8923680505927815E-6</v>
          </cell>
          <cell r="X173">
            <v>4.8923676159539784E-6</v>
          </cell>
          <cell r="Y173">
            <v>4.8923680091380624E-6</v>
          </cell>
          <cell r="Z173">
            <v>4.8923675860138616E-6</v>
          </cell>
          <cell r="AA173">
            <v>4.8923688171506844E-6</v>
          </cell>
          <cell r="AB173">
            <v>4.8923688171506844E-6</v>
          </cell>
          <cell r="AC173">
            <v>4.8923688171506844E-6</v>
          </cell>
          <cell r="AD173">
            <v>4.8923688171506844E-6</v>
          </cell>
          <cell r="AE173">
            <v>4.8923688171506844E-6</v>
          </cell>
          <cell r="AF173">
            <v>4.8923688171506844E-6</v>
          </cell>
          <cell r="AG173">
            <v>4.8923688171506844E-6</v>
          </cell>
          <cell r="AH173">
            <v>4.8923688171506844E-6</v>
          </cell>
          <cell r="AI173">
            <v>4.8923688171506844E-6</v>
          </cell>
          <cell r="AJ173">
            <v>4.8923688171506844E-6</v>
          </cell>
          <cell r="AK173">
            <v>4.8923688171506844E-6</v>
          </cell>
          <cell r="AL173">
            <v>4.8923688171506844E-6</v>
          </cell>
          <cell r="AM173">
            <v>4.8923688171506844E-6</v>
          </cell>
          <cell r="AN173">
            <v>4.8923688171506844E-6</v>
          </cell>
          <cell r="AO173">
            <v>4.8923688171506844E-6</v>
          </cell>
          <cell r="AP173">
            <v>4.8923688171506844E-6</v>
          </cell>
          <cell r="AQ173">
            <v>4.8923688171506844E-6</v>
          </cell>
          <cell r="AR173">
            <v>4.8923688171506844E-6</v>
          </cell>
          <cell r="AS173">
            <v>4.8923688171506844E-6</v>
          </cell>
          <cell r="AT173">
            <v>4.8923688171506844E-6</v>
          </cell>
          <cell r="AU173">
            <v>4.8923688171506844E-6</v>
          </cell>
          <cell r="AV173">
            <v>4.8923688171506844E-6</v>
          </cell>
          <cell r="AW173">
            <v>4.8923688171506844E-6</v>
          </cell>
          <cell r="AX173">
            <v>4.8923688171506844E-6</v>
          </cell>
          <cell r="AY173">
            <v>4.8923688171506844E-6</v>
          </cell>
          <cell r="AZ173">
            <v>4.8923688171506844E-6</v>
          </cell>
          <cell r="BA173">
            <v>4.8923688171506844E-6</v>
          </cell>
          <cell r="BB173">
            <v>4.8923688171506844E-6</v>
          </cell>
          <cell r="BC173">
            <v>4.8923688171506844E-6</v>
          </cell>
          <cell r="BD173">
            <v>4.8923688171506844E-6</v>
          </cell>
          <cell r="BE173">
            <v>4.8923688171506844E-6</v>
          </cell>
          <cell r="BF173">
            <v>4.8923688171506844E-6</v>
          </cell>
          <cell r="BG173">
            <v>4.8923688171506844E-6</v>
          </cell>
          <cell r="BH173">
            <v>4.8923688171506844E-6</v>
          </cell>
          <cell r="BI173">
            <v>4.8923688171506844E-6</v>
          </cell>
          <cell r="BJ173">
            <v>4.8923688171506844E-6</v>
          </cell>
          <cell r="BK173">
            <v>4.8923688171506844E-6</v>
          </cell>
          <cell r="BL173">
            <v>4.8923688171506844E-6</v>
          </cell>
          <cell r="BM173">
            <v>4.8923688171506844E-6</v>
          </cell>
          <cell r="BN173">
            <v>4.8923688171506844E-6</v>
          </cell>
          <cell r="BO173">
            <v>4.8923688171506844E-6</v>
          </cell>
        </row>
        <row r="174"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</row>
        <row r="175">
          <cell r="G175">
            <v>1.2591368443306713E-6</v>
          </cell>
          <cell r="H175">
            <v>1.2591368443306713E-6</v>
          </cell>
          <cell r="I175">
            <v>1.2591368443306713E-6</v>
          </cell>
          <cell r="J175">
            <v>1.2591368443306713E-6</v>
          </cell>
          <cell r="K175">
            <v>1.2591368443306713E-6</v>
          </cell>
          <cell r="L175">
            <v>1.2591368443306713E-6</v>
          </cell>
          <cell r="M175">
            <v>1.2591368443306713E-6</v>
          </cell>
          <cell r="N175">
            <v>1.2591368443306713E-6</v>
          </cell>
          <cell r="O175">
            <v>1.2591368443306713E-6</v>
          </cell>
          <cell r="P175">
            <v>1.2591368443306713E-6</v>
          </cell>
          <cell r="Q175">
            <v>1.2591368443306713E-6</v>
          </cell>
          <cell r="R175">
            <v>1.2591368443306713E-6</v>
          </cell>
          <cell r="S175">
            <v>1.1634409814267689E-6</v>
          </cell>
          <cell r="T175">
            <v>1.1944744337432164E-6</v>
          </cell>
          <cell r="U175">
            <v>1.5080846752455638E-6</v>
          </cell>
          <cell r="V175">
            <v>1.5933718953699915E-6</v>
          </cell>
          <cell r="W175">
            <v>1.5390049835512746E-6</v>
          </cell>
          <cell r="X175">
            <v>1.5796156703079691E-6</v>
          </cell>
          <cell r="Y175">
            <v>1.505325523768056E-6</v>
          </cell>
          <cell r="Z175">
            <v>1.6135252458587462E-6</v>
          </cell>
          <cell r="AA175">
            <v>1.6135252458587462E-6</v>
          </cell>
          <cell r="AB175">
            <v>1.6135252458587462E-6</v>
          </cell>
          <cell r="AC175">
            <v>1.6135252458587462E-6</v>
          </cell>
          <cell r="AD175">
            <v>1.6135252458587462E-6</v>
          </cell>
          <cell r="AE175">
            <v>1.6135252458587462E-6</v>
          </cell>
          <cell r="AF175">
            <v>1.6135252458587462E-6</v>
          </cell>
          <cell r="AG175">
            <v>1.6135252458587462E-6</v>
          </cell>
          <cell r="AH175">
            <v>1.6135252458587462E-6</v>
          </cell>
          <cell r="AI175">
            <v>1.6135252458587462E-6</v>
          </cell>
          <cell r="AJ175">
            <v>1.6135252458587462E-6</v>
          </cell>
          <cell r="AK175">
            <v>1.6135252458587462E-6</v>
          </cell>
          <cell r="AL175">
            <v>1.6135252458587462E-6</v>
          </cell>
          <cell r="AM175">
            <v>1.6135252458587462E-6</v>
          </cell>
          <cell r="AN175">
            <v>1.6135252458587462E-6</v>
          </cell>
          <cell r="AO175">
            <v>1.6135252458587462E-6</v>
          </cell>
          <cell r="AP175">
            <v>1.6135252458587462E-6</v>
          </cell>
          <cell r="AQ175">
            <v>1.6135252458587462E-6</v>
          </cell>
          <cell r="AR175">
            <v>1.6135252458587462E-6</v>
          </cell>
          <cell r="AS175">
            <v>1.6135252458587462E-6</v>
          </cell>
          <cell r="AT175">
            <v>1.6135252458587462E-6</v>
          </cell>
          <cell r="AU175">
            <v>1.6135252458587462E-6</v>
          </cell>
          <cell r="AV175">
            <v>1.6135252458587462E-6</v>
          </cell>
          <cell r="AW175">
            <v>1.6135252458587462E-6</v>
          </cell>
          <cell r="AX175">
            <v>1.6135252458587462E-6</v>
          </cell>
          <cell r="AY175">
            <v>1.6135252458587462E-6</v>
          </cell>
          <cell r="AZ175">
            <v>1.6135252458587462E-6</v>
          </cell>
          <cell r="BA175">
            <v>1.6135252458587462E-6</v>
          </cell>
          <cell r="BB175">
            <v>1.6135252458587462E-6</v>
          </cell>
          <cell r="BC175">
            <v>1.6135252458587462E-6</v>
          </cell>
          <cell r="BD175">
            <v>1.6135252458587462E-6</v>
          </cell>
          <cell r="BE175">
            <v>1.6135252458587462E-6</v>
          </cell>
          <cell r="BF175">
            <v>1.6135252458587462E-6</v>
          </cell>
          <cell r="BG175">
            <v>1.6135252458587462E-6</v>
          </cell>
          <cell r="BH175">
            <v>1.6135252458587462E-6</v>
          </cell>
          <cell r="BI175">
            <v>1.6135252458587462E-6</v>
          </cell>
          <cell r="BJ175">
            <v>1.6135252458587462E-6</v>
          </cell>
          <cell r="BK175">
            <v>1.6135252458587462E-6</v>
          </cell>
          <cell r="BL175">
            <v>1.6135252458587462E-6</v>
          </cell>
          <cell r="BM175">
            <v>1.6135252458587462E-6</v>
          </cell>
          <cell r="BN175">
            <v>1.6135252458587462E-6</v>
          </cell>
          <cell r="BO175">
            <v>1.6135252458587462E-6</v>
          </cell>
        </row>
        <row r="180">
          <cell r="G180">
            <v>1.2003940527372594E-5</v>
          </cell>
          <cell r="H180">
            <v>1.2003940527372594E-5</v>
          </cell>
          <cell r="I180">
            <v>1.2003940527372594E-5</v>
          </cell>
          <cell r="J180">
            <v>1.2003940527372594E-5</v>
          </cell>
          <cell r="K180">
            <v>1.2003940527372594E-5</v>
          </cell>
          <cell r="L180">
            <v>1.2003940527372594E-5</v>
          </cell>
          <cell r="M180">
            <v>1.2003940527372594E-5</v>
          </cell>
          <cell r="N180">
            <v>1.2003940527372594E-5</v>
          </cell>
          <cell r="O180">
            <v>1.2003940527372594E-5</v>
          </cell>
          <cell r="P180">
            <v>1.2003940527372594E-5</v>
          </cell>
          <cell r="Q180">
            <v>1.2003940527372594E-5</v>
          </cell>
          <cell r="R180">
            <v>1.2003940527372594E-5</v>
          </cell>
          <cell r="S180">
            <v>1.2003940527372594E-5</v>
          </cell>
          <cell r="T180">
            <v>1.2003940527372594E-5</v>
          </cell>
          <cell r="U180">
            <v>1.2003940527372594E-5</v>
          </cell>
          <cell r="V180">
            <v>1.2003940527372594E-5</v>
          </cell>
          <cell r="W180">
            <v>1.2003940527372594E-5</v>
          </cell>
          <cell r="X180">
            <v>1.2003940527372594E-5</v>
          </cell>
          <cell r="Y180">
            <v>1.2003940527372594E-5</v>
          </cell>
          <cell r="Z180">
            <v>1.2003940527372594E-5</v>
          </cell>
          <cell r="AA180">
            <v>1.2003940527372594E-5</v>
          </cell>
          <cell r="AB180">
            <v>1.2003940527372594E-5</v>
          </cell>
          <cell r="AC180">
            <v>1.2003940527372594E-5</v>
          </cell>
          <cell r="AD180">
            <v>1.2003940527372594E-5</v>
          </cell>
          <cell r="AE180">
            <v>1.2003940527372594E-5</v>
          </cell>
          <cell r="AF180">
            <v>1.2003940527372594E-5</v>
          </cell>
          <cell r="AG180">
            <v>1.2003940527372594E-5</v>
          </cell>
          <cell r="AH180">
            <v>1.2003940527372594E-5</v>
          </cell>
          <cell r="AI180">
            <v>1.2003940527372594E-5</v>
          </cell>
          <cell r="AJ180">
            <v>1.2003940527372594E-5</v>
          </cell>
          <cell r="AK180">
            <v>1.2003940527372594E-5</v>
          </cell>
          <cell r="AL180">
            <v>1.2003940527372594E-5</v>
          </cell>
          <cell r="AM180">
            <v>1.2003940527372594E-5</v>
          </cell>
          <cell r="AN180">
            <v>1.2003940527372594E-5</v>
          </cell>
          <cell r="AO180">
            <v>1.2003940527372594E-5</v>
          </cell>
          <cell r="AP180">
            <v>1.2003940527372594E-5</v>
          </cell>
          <cell r="AQ180">
            <v>1.2003940527372594E-5</v>
          </cell>
          <cell r="AR180">
            <v>1.2003940527372594E-5</v>
          </cell>
          <cell r="AS180">
            <v>1.2003940527372594E-5</v>
          </cell>
          <cell r="AT180">
            <v>1.2003940527372594E-5</v>
          </cell>
          <cell r="AU180">
            <v>1.2003940527372594E-5</v>
          </cell>
          <cell r="AV180">
            <v>1.2003940527372594E-5</v>
          </cell>
          <cell r="AW180">
            <v>1.2003940527372594E-5</v>
          </cell>
          <cell r="AX180">
            <v>1.2003940527372594E-5</v>
          </cell>
          <cell r="AY180">
            <v>1.2003940527372594E-5</v>
          </cell>
          <cell r="AZ180">
            <v>1.2003940527372594E-5</v>
          </cell>
          <cell r="BA180">
            <v>1.2003940527372594E-5</v>
          </cell>
          <cell r="BB180">
            <v>1.2003940527372594E-5</v>
          </cell>
          <cell r="BC180">
            <v>1.2003940527372594E-5</v>
          </cell>
          <cell r="BD180">
            <v>1.2003940527372594E-5</v>
          </cell>
          <cell r="BE180">
            <v>1.2003940527372594E-5</v>
          </cell>
          <cell r="BF180">
            <v>1.2003940527372594E-5</v>
          </cell>
          <cell r="BG180">
            <v>1.2003940527372594E-5</v>
          </cell>
          <cell r="BH180">
            <v>1.2003940527372594E-5</v>
          </cell>
          <cell r="BI180">
            <v>1.2003940527372594E-5</v>
          </cell>
          <cell r="BJ180">
            <v>1.2003940527372594E-5</v>
          </cell>
          <cell r="BK180">
            <v>1.2003940527372594E-5</v>
          </cell>
          <cell r="BL180">
            <v>1.2003940527372594E-5</v>
          </cell>
          <cell r="BM180">
            <v>1.2003940527372594E-5</v>
          </cell>
          <cell r="BN180">
            <v>1.2003940527372594E-5</v>
          </cell>
          <cell r="BO180">
            <v>1.2003940527372594E-5</v>
          </cell>
        </row>
        <row r="181">
          <cell r="G181">
            <v>8.6864964613033235E-7</v>
          </cell>
          <cell r="H181">
            <v>8.6636912421862735E-7</v>
          </cell>
          <cell r="I181">
            <v>8.6636912703112222E-7</v>
          </cell>
          <cell r="J181">
            <v>8.6387434554973826E-7</v>
          </cell>
          <cell r="K181">
            <v>8.6364825835014342E-7</v>
          </cell>
          <cell r="L181">
            <v>8.6251962620743449E-7</v>
          </cell>
          <cell r="M181">
            <v>8.625195986441362E-7</v>
          </cell>
          <cell r="N181">
            <v>8.6591444432511414E-7</v>
          </cell>
          <cell r="O181">
            <v>8.5915128630747526E-7</v>
          </cell>
          <cell r="P181">
            <v>8.5870411694394287E-7</v>
          </cell>
          <cell r="Q181">
            <v>8.5669782066027099E-7</v>
          </cell>
          <cell r="R181">
            <v>8.5580910447161907E-7</v>
          </cell>
          <cell r="S181">
            <v>8.5183270968083418E-7</v>
          </cell>
          <cell r="T181">
            <v>8.4942082806904052E-7</v>
          </cell>
          <cell r="U181">
            <v>8.4615386301208915E-7</v>
          </cell>
          <cell r="V181">
            <v>8.409786043214603E-7</v>
          </cell>
          <cell r="W181">
            <v>8.4550360942946101E-7</v>
          </cell>
          <cell r="X181">
            <v>8.4140762341343829E-7</v>
          </cell>
          <cell r="Y181">
            <v>8.4377395735710395E-7</v>
          </cell>
          <cell r="Z181">
            <v>8.401213317232594E-7</v>
          </cell>
          <cell r="AA181">
            <v>8.4012266021346199E-7</v>
          </cell>
          <cell r="AB181">
            <v>8.4012266021346199E-7</v>
          </cell>
          <cell r="AC181">
            <v>8.4012266021346199E-7</v>
          </cell>
          <cell r="AD181">
            <v>8.4012266021346199E-7</v>
          </cell>
          <cell r="AE181">
            <v>8.4012266021346199E-7</v>
          </cell>
          <cell r="AF181">
            <v>8.4012266021346199E-7</v>
          </cell>
          <cell r="AG181">
            <v>8.4012266021346199E-7</v>
          </cell>
          <cell r="AH181">
            <v>8.4012266021346199E-7</v>
          </cell>
          <cell r="AI181">
            <v>8.4012266021346199E-7</v>
          </cell>
          <cell r="AJ181">
            <v>8.4012266021346199E-7</v>
          </cell>
          <cell r="AK181">
            <v>8.4012266021346199E-7</v>
          </cell>
          <cell r="AL181">
            <v>8.4012266021346199E-7</v>
          </cell>
          <cell r="AM181">
            <v>8.4012266021346199E-7</v>
          </cell>
          <cell r="AN181">
            <v>8.4012266021346199E-7</v>
          </cell>
          <cell r="AO181">
            <v>8.4012266021346199E-7</v>
          </cell>
          <cell r="AP181">
            <v>8.4012266021346199E-7</v>
          </cell>
          <cell r="AQ181">
            <v>8.4012266021346199E-7</v>
          </cell>
          <cell r="AR181">
            <v>8.4012266021346199E-7</v>
          </cell>
          <cell r="AS181">
            <v>8.4012266021346199E-7</v>
          </cell>
          <cell r="AT181">
            <v>8.4012266021346199E-7</v>
          </cell>
          <cell r="AU181">
            <v>8.4012266021346199E-7</v>
          </cell>
          <cell r="AV181">
            <v>8.4012266021346199E-7</v>
          </cell>
          <cell r="AW181">
            <v>8.4012266021346199E-7</v>
          </cell>
          <cell r="AX181">
            <v>8.4012266021346199E-7</v>
          </cell>
          <cell r="AY181">
            <v>8.4012266021346199E-7</v>
          </cell>
          <cell r="AZ181">
            <v>8.4012266021346199E-7</v>
          </cell>
          <cell r="BA181">
            <v>8.4012266021346199E-7</v>
          </cell>
          <cell r="BB181">
            <v>8.4012266021346199E-7</v>
          </cell>
          <cell r="BC181">
            <v>8.4012266021346199E-7</v>
          </cell>
          <cell r="BD181">
            <v>8.4012266021346199E-7</v>
          </cell>
          <cell r="BE181">
            <v>8.4012266021346199E-7</v>
          </cell>
          <cell r="BF181">
            <v>8.4012266021346199E-7</v>
          </cell>
          <cell r="BG181">
            <v>8.4012266021346199E-7</v>
          </cell>
          <cell r="BH181">
            <v>8.4012266021346199E-7</v>
          </cell>
          <cell r="BI181">
            <v>8.4012266021346199E-7</v>
          </cell>
          <cell r="BJ181">
            <v>8.4012266021346199E-7</v>
          </cell>
          <cell r="BK181">
            <v>8.4012266021346199E-7</v>
          </cell>
          <cell r="BL181">
            <v>8.4012266021346199E-7</v>
          </cell>
          <cell r="BM181">
            <v>8.4012266021346199E-7</v>
          </cell>
          <cell r="BN181">
            <v>8.4012266021346199E-7</v>
          </cell>
          <cell r="BO181">
            <v>8.4012266021346199E-7</v>
          </cell>
        </row>
        <row r="182">
          <cell r="G182">
            <v>3.6496350364963505E-7</v>
          </cell>
          <cell r="H182">
            <v>3.6496350364963505E-7</v>
          </cell>
          <cell r="I182">
            <v>3.6496350364963505E-7</v>
          </cell>
          <cell r="J182">
            <v>3.6496350364963505E-7</v>
          </cell>
          <cell r="K182">
            <v>3.6496350364963505E-7</v>
          </cell>
          <cell r="L182">
            <v>3.6496350082599063E-7</v>
          </cell>
          <cell r="M182">
            <v>3.6496350870415477E-7</v>
          </cell>
          <cell r="N182">
            <v>3.6496351019325679E-7</v>
          </cell>
          <cell r="O182">
            <v>3.6496349374556377E-7</v>
          </cell>
          <cell r="P182">
            <v>3.6496349600901395E-7</v>
          </cell>
          <cell r="Q182">
            <v>3.6496351644816402E-7</v>
          </cell>
          <cell r="R182">
            <v>3.6496351470112294E-7</v>
          </cell>
          <cell r="S182">
            <v>3.6496350724388749E-7</v>
          </cell>
          <cell r="T182">
            <v>3.6496349429375195E-7</v>
          </cell>
          <cell r="U182">
            <v>3.649635054713712E-7</v>
          </cell>
          <cell r="V182">
            <v>3.6496349678923251E-7</v>
          </cell>
          <cell r="W182">
            <v>3.6496351276352496E-7</v>
          </cell>
          <cell r="X182">
            <v>3.6496349901335585E-7</v>
          </cell>
          <cell r="Y182">
            <v>3.6496349614527767E-7</v>
          </cell>
          <cell r="Z182">
            <v>3.649635021398408E-7</v>
          </cell>
          <cell r="AA182">
            <v>3.6496351481019606E-7</v>
          </cell>
          <cell r="AB182">
            <v>3.6496351481019606E-7</v>
          </cell>
          <cell r="AC182">
            <v>3.6496351481019606E-7</v>
          </cell>
          <cell r="AD182">
            <v>3.6496351481019606E-7</v>
          </cell>
          <cell r="AE182">
            <v>3.6496351481019606E-7</v>
          </cell>
          <cell r="AF182">
            <v>3.6496351481019606E-7</v>
          </cell>
          <cell r="AG182">
            <v>3.6496351481019606E-7</v>
          </cell>
          <cell r="AH182">
            <v>3.6496351481019606E-7</v>
          </cell>
          <cell r="AI182">
            <v>3.6496351481019606E-7</v>
          </cell>
          <cell r="AJ182">
            <v>3.6496351481019606E-7</v>
          </cell>
          <cell r="AK182">
            <v>3.6496351481019606E-7</v>
          </cell>
          <cell r="AL182">
            <v>3.6496351481019606E-7</v>
          </cell>
          <cell r="AM182">
            <v>3.6496351481019606E-7</v>
          </cell>
          <cell r="AN182">
            <v>3.6496351481019606E-7</v>
          </cell>
          <cell r="AO182">
            <v>3.6496351481019606E-7</v>
          </cell>
          <cell r="AP182">
            <v>3.6496351481019606E-7</v>
          </cell>
          <cell r="AQ182">
            <v>3.6496351481019606E-7</v>
          </cell>
          <cell r="AR182">
            <v>3.6496351481019606E-7</v>
          </cell>
          <cell r="AS182">
            <v>3.6496351481019606E-7</v>
          </cell>
          <cell r="AT182">
            <v>3.6496351481019606E-7</v>
          </cell>
          <cell r="AU182">
            <v>3.6496351481019606E-7</v>
          </cell>
          <cell r="AV182">
            <v>3.6496351481019606E-7</v>
          </cell>
          <cell r="AW182">
            <v>3.6496351481019606E-7</v>
          </cell>
          <cell r="AX182">
            <v>3.6496351481019606E-7</v>
          </cell>
          <cell r="AY182">
            <v>3.6496351481019606E-7</v>
          </cell>
          <cell r="AZ182">
            <v>3.6496351481019606E-7</v>
          </cell>
          <cell r="BA182">
            <v>3.6496351481019606E-7</v>
          </cell>
          <cell r="BB182">
            <v>3.6496351481019606E-7</v>
          </cell>
          <cell r="BC182">
            <v>3.6496351481019606E-7</v>
          </cell>
          <cell r="BD182">
            <v>3.6496351481019606E-7</v>
          </cell>
          <cell r="BE182">
            <v>3.6496351481019606E-7</v>
          </cell>
          <cell r="BF182">
            <v>3.6496351481019606E-7</v>
          </cell>
          <cell r="BG182">
            <v>3.6496351481019606E-7</v>
          </cell>
          <cell r="BH182">
            <v>3.6496351481019606E-7</v>
          </cell>
          <cell r="BI182">
            <v>3.6496351481019606E-7</v>
          </cell>
          <cell r="BJ182">
            <v>3.6496351481019606E-7</v>
          </cell>
          <cell r="BK182">
            <v>3.6496351481019606E-7</v>
          </cell>
          <cell r="BL182">
            <v>3.6496351481019606E-7</v>
          </cell>
          <cell r="BM182">
            <v>3.6496351481019606E-7</v>
          </cell>
          <cell r="BN182">
            <v>3.6496351481019606E-7</v>
          </cell>
          <cell r="BO182">
            <v>3.6496351481019606E-7</v>
          </cell>
        </row>
        <row r="183">
          <cell r="G183">
            <v>7.3310732850881664E-7</v>
          </cell>
          <cell r="H183">
            <v>7.3188969110854199E-7</v>
          </cell>
          <cell r="I183">
            <v>7.3343342040265568E-7</v>
          </cell>
          <cell r="J183">
            <v>7.5047929034934349E-7</v>
          </cell>
          <cell r="K183">
            <v>7.5652506142794078E-7</v>
          </cell>
          <cell r="L183">
            <v>7.6731233932175597E-7</v>
          </cell>
          <cell r="M183">
            <v>7.7037165682463259E-7</v>
          </cell>
          <cell r="N183">
            <v>7.833609596653838E-7</v>
          </cell>
          <cell r="O183">
            <v>7.7389878176226733E-7</v>
          </cell>
          <cell r="P183">
            <v>7.4646302542839876E-7</v>
          </cell>
          <cell r="Q183">
            <v>7.4664983137683352E-7</v>
          </cell>
          <cell r="R183">
            <v>7.6427364332403948E-7</v>
          </cell>
          <cell r="S183">
            <v>7.5018850380136923E-7</v>
          </cell>
          <cell r="T183">
            <v>7.4029545451387303E-7</v>
          </cell>
          <cell r="U183">
            <v>7.413600369152842E-7</v>
          </cell>
          <cell r="V183">
            <v>7.3928623532162953E-7</v>
          </cell>
          <cell r="W183">
            <v>7.3628588182443376E-7</v>
          </cell>
          <cell r="X183">
            <v>7.4723680869780409E-7</v>
          </cell>
          <cell r="Y183">
            <v>7.4172211985613242E-7</v>
          </cell>
          <cell r="Z183">
            <v>7.3614156232930918E-7</v>
          </cell>
          <cell r="AA183">
            <v>7.45259106162787E-7</v>
          </cell>
          <cell r="AB183">
            <v>7.45259106162787E-7</v>
          </cell>
          <cell r="AC183">
            <v>7.45259106162787E-7</v>
          </cell>
          <cell r="AD183">
            <v>7.45259106162787E-7</v>
          </cell>
          <cell r="AE183">
            <v>7.45259106162787E-7</v>
          </cell>
          <cell r="AF183">
            <v>7.45259106162787E-7</v>
          </cell>
          <cell r="AG183">
            <v>7.45259106162787E-7</v>
          </cell>
          <cell r="AH183">
            <v>7.45259106162787E-7</v>
          </cell>
          <cell r="AI183">
            <v>7.45259106162787E-7</v>
          </cell>
          <cell r="AJ183">
            <v>7.45259106162787E-7</v>
          </cell>
          <cell r="AK183">
            <v>7.45259106162787E-7</v>
          </cell>
          <cell r="AL183">
            <v>7.45259106162787E-7</v>
          </cell>
          <cell r="AM183">
            <v>7.45259106162787E-7</v>
          </cell>
          <cell r="AN183">
            <v>7.45259106162787E-7</v>
          </cell>
          <cell r="AO183">
            <v>7.45259106162787E-7</v>
          </cell>
          <cell r="AP183">
            <v>7.45259106162787E-7</v>
          </cell>
          <cell r="AQ183">
            <v>7.45259106162787E-7</v>
          </cell>
          <cell r="AR183">
            <v>7.45259106162787E-7</v>
          </cell>
          <cell r="AS183">
            <v>7.45259106162787E-7</v>
          </cell>
          <cell r="AT183">
            <v>7.45259106162787E-7</v>
          </cell>
          <cell r="AU183">
            <v>7.45259106162787E-7</v>
          </cell>
          <cell r="AV183">
            <v>7.45259106162787E-7</v>
          </cell>
          <cell r="AW183">
            <v>7.45259106162787E-7</v>
          </cell>
          <cell r="AX183">
            <v>7.45259106162787E-7</v>
          </cell>
          <cell r="AY183">
            <v>7.45259106162787E-7</v>
          </cell>
          <cell r="AZ183">
            <v>7.45259106162787E-7</v>
          </cell>
          <cell r="BA183">
            <v>7.45259106162787E-7</v>
          </cell>
          <cell r="BB183">
            <v>7.45259106162787E-7</v>
          </cell>
          <cell r="BC183">
            <v>7.45259106162787E-7</v>
          </cell>
          <cell r="BD183">
            <v>7.45259106162787E-7</v>
          </cell>
          <cell r="BE183">
            <v>7.45259106162787E-7</v>
          </cell>
          <cell r="BF183">
            <v>7.45259106162787E-7</v>
          </cell>
          <cell r="BG183">
            <v>7.45259106162787E-7</v>
          </cell>
          <cell r="BH183">
            <v>7.45259106162787E-7</v>
          </cell>
          <cell r="BI183">
            <v>7.45259106162787E-7</v>
          </cell>
          <cell r="BJ183">
            <v>7.45259106162787E-7</v>
          </cell>
          <cell r="BK183">
            <v>7.45259106162787E-7</v>
          </cell>
          <cell r="BL183">
            <v>7.45259106162787E-7</v>
          </cell>
          <cell r="BM183">
            <v>7.45259106162787E-7</v>
          </cell>
          <cell r="BN183">
            <v>7.45259106162787E-7</v>
          </cell>
          <cell r="BO183">
            <v>7.45259106162787E-7</v>
          </cell>
        </row>
        <row r="184">
          <cell r="G184">
            <v>6.9372181178296311E-7</v>
          </cell>
          <cell r="H184">
            <v>6.9372181863129416E-7</v>
          </cell>
          <cell r="I184">
            <v>6.9372181717938715E-7</v>
          </cell>
          <cell r="J184">
            <v>6.9372181882976234E-7</v>
          </cell>
          <cell r="K184">
            <v>6.9372181992821563E-7</v>
          </cell>
          <cell r="L184">
            <v>6.9372181605718157E-7</v>
          </cell>
          <cell r="M184">
            <v>6.9372189475908354E-7</v>
          </cell>
          <cell r="N184">
            <v>6.9372190663419027E-7</v>
          </cell>
          <cell r="O184">
            <v>6.9372186049530148E-7</v>
          </cell>
          <cell r="P184">
            <v>6.9372176760167111E-7</v>
          </cell>
          <cell r="Q184">
            <v>6.937219366364905E-7</v>
          </cell>
          <cell r="R184">
            <v>6.9372189564363666E-7</v>
          </cell>
          <cell r="S184">
            <v>6.9372183984494612E-7</v>
          </cell>
          <cell r="T184">
            <v>6.9372169435789911E-7</v>
          </cell>
          <cell r="U184">
            <v>6.9372175964281857E-7</v>
          </cell>
          <cell r="V184">
            <v>6.9372183831764121E-7</v>
          </cell>
          <cell r="W184">
            <v>6.9372170553213361E-7</v>
          </cell>
          <cell r="X184">
            <v>6.9372185338352264E-7</v>
          </cell>
          <cell r="Y184">
            <v>6.9372174417367513E-7</v>
          </cell>
          <cell r="Z184">
            <v>6.9372190116294622E-7</v>
          </cell>
          <cell r="AA184">
            <v>6.9372180355884812E-7</v>
          </cell>
          <cell r="AB184">
            <v>6.9372180355884812E-7</v>
          </cell>
          <cell r="AC184">
            <v>6.9372180355884812E-7</v>
          </cell>
          <cell r="AD184">
            <v>6.9372180355884812E-7</v>
          </cell>
          <cell r="AE184">
            <v>6.9372180355884812E-7</v>
          </cell>
          <cell r="AF184">
            <v>6.9372180355884812E-7</v>
          </cell>
          <cell r="AG184">
            <v>6.9372180355884812E-7</v>
          </cell>
          <cell r="AH184">
            <v>6.9372180355884812E-7</v>
          </cell>
          <cell r="AI184">
            <v>6.9372180355884812E-7</v>
          </cell>
          <cell r="AJ184">
            <v>6.9372180355884812E-7</v>
          </cell>
          <cell r="AK184">
            <v>6.9372180355884812E-7</v>
          </cell>
          <cell r="AL184">
            <v>6.9372180355884812E-7</v>
          </cell>
          <cell r="AM184">
            <v>6.9372180355884812E-7</v>
          </cell>
          <cell r="AN184">
            <v>6.9372180355884812E-7</v>
          </cell>
          <cell r="AO184">
            <v>6.9372180355884812E-7</v>
          </cell>
          <cell r="AP184">
            <v>6.9372180355884812E-7</v>
          </cell>
          <cell r="AQ184">
            <v>6.9372180355884812E-7</v>
          </cell>
          <cell r="AR184">
            <v>6.9372180355884812E-7</v>
          </cell>
          <cell r="AS184">
            <v>6.9372180355884812E-7</v>
          </cell>
          <cell r="AT184">
            <v>6.9372180355884812E-7</v>
          </cell>
          <cell r="AU184">
            <v>6.9372180355884812E-7</v>
          </cell>
          <cell r="AV184">
            <v>6.9372180355884812E-7</v>
          </cell>
          <cell r="AW184">
            <v>6.9372180355884812E-7</v>
          </cell>
          <cell r="AX184">
            <v>6.9372180355884812E-7</v>
          </cell>
          <cell r="AY184">
            <v>6.9372180355884812E-7</v>
          </cell>
          <cell r="AZ184">
            <v>6.9372180355884812E-7</v>
          </cell>
          <cell r="BA184">
            <v>6.9372180355884812E-7</v>
          </cell>
          <cell r="BB184">
            <v>6.9372180355884812E-7</v>
          </cell>
          <cell r="BC184">
            <v>6.9372180355884812E-7</v>
          </cell>
          <cell r="BD184">
            <v>6.9372180355884812E-7</v>
          </cell>
          <cell r="BE184">
            <v>6.9372180355884812E-7</v>
          </cell>
          <cell r="BF184">
            <v>6.9372180355884812E-7</v>
          </cell>
          <cell r="BG184">
            <v>6.9372180355884812E-7</v>
          </cell>
          <cell r="BH184">
            <v>6.9372180355884812E-7</v>
          </cell>
          <cell r="BI184">
            <v>6.9372180355884812E-7</v>
          </cell>
          <cell r="BJ184">
            <v>6.9372180355884812E-7</v>
          </cell>
          <cell r="BK184">
            <v>6.9372180355884812E-7</v>
          </cell>
          <cell r="BL184">
            <v>6.9372180355884812E-7</v>
          </cell>
          <cell r="BM184">
            <v>6.9372180355884812E-7</v>
          </cell>
          <cell r="BN184">
            <v>6.9372180355884812E-7</v>
          </cell>
          <cell r="BO184">
            <v>6.9372180355884812E-7</v>
          </cell>
        </row>
        <row r="185">
          <cell r="G185">
            <v>1.0341281568972375E-5</v>
          </cell>
          <cell r="H185">
            <v>1.0341244129338394E-5</v>
          </cell>
          <cell r="I185">
            <v>1.0443876317390763E-5</v>
          </cell>
          <cell r="J185">
            <v>1.0443858949120162E-5</v>
          </cell>
          <cell r="K185">
            <v>1.0443864666083176E-5</v>
          </cell>
          <cell r="L185">
            <v>1.0443882814936855E-5</v>
          </cell>
          <cell r="M185">
            <v>1.0443863606050895E-5</v>
          </cell>
          <cell r="N185">
            <v>1.044385808163145E-5</v>
          </cell>
          <cell r="O185">
            <v>1.0443882451752413E-5</v>
          </cell>
          <cell r="P185">
            <v>1.0443876119326972E-5</v>
          </cell>
          <cell r="Q185">
            <v>1.0443878051700994E-5</v>
          </cell>
          <cell r="R185">
            <v>1.0443856123747497E-5</v>
          </cell>
          <cell r="S185">
            <v>1.0443856643928068E-5</v>
          </cell>
          <cell r="T185">
            <v>1.0443876529542697E-5</v>
          </cell>
          <cell r="U185">
            <v>1.0443857329334026E-5</v>
          </cell>
          <cell r="V185">
            <v>1.0443877867263915E-5</v>
          </cell>
          <cell r="W185">
            <v>1.0443872816343238E-5</v>
          </cell>
          <cell r="X185">
            <v>1.0443853699682523E-5</v>
          </cell>
          <cell r="Y185">
            <v>1.0443873173849944E-5</v>
          </cell>
          <cell r="Z185">
            <v>1.0443873859372486E-5</v>
          </cell>
          <cell r="AA185">
            <v>1.0443883795456103E-5</v>
          </cell>
          <cell r="AB185">
            <v>1.0443883795456103E-5</v>
          </cell>
          <cell r="AC185">
            <v>1.0443883795456103E-5</v>
          </cell>
          <cell r="AD185">
            <v>1.0443883795456103E-5</v>
          </cell>
          <cell r="AE185">
            <v>1.0443883795456103E-5</v>
          </cell>
          <cell r="AF185">
            <v>1.0443883795456103E-5</v>
          </cell>
          <cell r="AG185">
            <v>1.0443883795456103E-5</v>
          </cell>
          <cell r="AH185">
            <v>1.0443883795456103E-5</v>
          </cell>
          <cell r="AI185">
            <v>1.0443883795456103E-5</v>
          </cell>
          <cell r="AJ185">
            <v>1.0443883795456103E-5</v>
          </cell>
          <cell r="AK185">
            <v>1.0443883795456103E-5</v>
          </cell>
          <cell r="AL185">
            <v>1.0443883795456103E-5</v>
          </cell>
          <cell r="AM185">
            <v>1.0443883795456103E-5</v>
          </cell>
          <cell r="AN185">
            <v>1.0443883795456103E-5</v>
          </cell>
          <cell r="AO185">
            <v>1.0443883795456103E-5</v>
          </cell>
          <cell r="AP185">
            <v>1.0443883795456103E-5</v>
          </cell>
          <cell r="AQ185">
            <v>1.0443883795456103E-5</v>
          </cell>
          <cell r="AR185">
            <v>1.0443883795456103E-5</v>
          </cell>
          <cell r="AS185">
            <v>1.0443883795456103E-5</v>
          </cell>
          <cell r="AT185">
            <v>1.0443883795456103E-5</v>
          </cell>
          <cell r="AU185">
            <v>1.0443883795456103E-5</v>
          </cell>
          <cell r="AV185">
            <v>1.0443883795456103E-5</v>
          </cell>
          <cell r="AW185">
            <v>1.0443883795456103E-5</v>
          </cell>
          <cell r="AX185">
            <v>1.0443883795456103E-5</v>
          </cell>
          <cell r="AY185">
            <v>1.0443883795456103E-5</v>
          </cell>
          <cell r="AZ185">
            <v>1.0443883795456103E-5</v>
          </cell>
          <cell r="BA185">
            <v>1.0443883795456103E-5</v>
          </cell>
          <cell r="BB185">
            <v>1.0443883795456103E-5</v>
          </cell>
          <cell r="BC185">
            <v>1.0443883795456103E-5</v>
          </cell>
          <cell r="BD185">
            <v>1.0443883795456103E-5</v>
          </cell>
          <cell r="BE185">
            <v>1.0443883795456103E-5</v>
          </cell>
          <cell r="BF185">
            <v>1.0443883795456103E-5</v>
          </cell>
          <cell r="BG185">
            <v>1.0443883795456103E-5</v>
          </cell>
          <cell r="BH185">
            <v>1.0443883795456103E-5</v>
          </cell>
          <cell r="BI185">
            <v>1.0443883795456103E-5</v>
          </cell>
          <cell r="BJ185">
            <v>1.0443883795456103E-5</v>
          </cell>
          <cell r="BK185">
            <v>1.0443883795456103E-5</v>
          </cell>
          <cell r="BL185">
            <v>1.0443883795456103E-5</v>
          </cell>
          <cell r="BM185">
            <v>1.0443883795456103E-5</v>
          </cell>
          <cell r="BN185">
            <v>1.0443883795456103E-5</v>
          </cell>
          <cell r="BO185">
            <v>1.0443883795456103E-5</v>
          </cell>
        </row>
        <row r="186"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</row>
        <row r="187">
          <cell r="G187">
            <v>9.4004394736498995E-7</v>
          </cell>
          <cell r="H187">
            <v>9.4004394736498995E-7</v>
          </cell>
          <cell r="I187">
            <v>9.4004394736498995E-7</v>
          </cell>
          <cell r="J187">
            <v>9.4004394736498995E-7</v>
          </cell>
          <cell r="K187">
            <v>9.4004394736498995E-7</v>
          </cell>
          <cell r="L187">
            <v>9.4004394736498995E-7</v>
          </cell>
          <cell r="M187">
            <v>9.4004394736498995E-7</v>
          </cell>
          <cell r="N187">
            <v>9.4004394736498995E-7</v>
          </cell>
          <cell r="O187">
            <v>9.4004394736498995E-7</v>
          </cell>
          <cell r="P187">
            <v>9.4004394736498995E-7</v>
          </cell>
          <cell r="Q187">
            <v>9.4004394736498995E-7</v>
          </cell>
          <cell r="R187">
            <v>9.4004394736498995E-7</v>
          </cell>
          <cell r="S187">
            <v>9.4004394736498995E-7</v>
          </cell>
          <cell r="T187">
            <v>9.4004394736498995E-7</v>
          </cell>
          <cell r="U187">
            <v>9.4004394736498995E-7</v>
          </cell>
          <cell r="V187">
            <v>9.4004394736498995E-7</v>
          </cell>
          <cell r="W187">
            <v>9.4004394736498995E-7</v>
          </cell>
          <cell r="X187">
            <v>9.4004394736498995E-7</v>
          </cell>
          <cell r="Y187">
            <v>9.4004394736498995E-7</v>
          </cell>
          <cell r="Z187">
            <v>9.4004394736498995E-7</v>
          </cell>
          <cell r="AA187">
            <v>9.4004394736498995E-7</v>
          </cell>
          <cell r="AB187">
            <v>9.4004394736498995E-7</v>
          </cell>
          <cell r="AC187">
            <v>9.4004394736498995E-7</v>
          </cell>
          <cell r="AD187">
            <v>9.4004394736498995E-7</v>
          </cell>
          <cell r="AE187">
            <v>9.4004394736498995E-7</v>
          </cell>
          <cell r="AF187">
            <v>9.4004394736498995E-7</v>
          </cell>
          <cell r="AG187">
            <v>9.4004394736498995E-7</v>
          </cell>
          <cell r="AH187">
            <v>9.4004394736498995E-7</v>
          </cell>
          <cell r="AI187">
            <v>9.4004394736498995E-7</v>
          </cell>
          <cell r="AJ187">
            <v>9.4004394736498995E-7</v>
          </cell>
          <cell r="AK187">
            <v>9.4004394736498995E-7</v>
          </cell>
          <cell r="AL187">
            <v>9.4004394736498995E-7</v>
          </cell>
          <cell r="AM187">
            <v>9.4004394736498995E-7</v>
          </cell>
          <cell r="AN187">
            <v>9.4004394736498995E-7</v>
          </cell>
          <cell r="AO187">
            <v>9.4004394736498995E-7</v>
          </cell>
          <cell r="AP187">
            <v>9.4004394736498995E-7</v>
          </cell>
          <cell r="AQ187">
            <v>9.4004394736498995E-7</v>
          </cell>
          <cell r="AR187">
            <v>9.4004394736498995E-7</v>
          </cell>
          <cell r="AS187">
            <v>9.4004394736498995E-7</v>
          </cell>
          <cell r="AT187">
            <v>9.4004394736498995E-7</v>
          </cell>
          <cell r="AU187">
            <v>9.4004394736498995E-7</v>
          </cell>
          <cell r="AV187">
            <v>9.4004394736498995E-7</v>
          </cell>
          <cell r="AW187">
            <v>9.4004394736498995E-7</v>
          </cell>
          <cell r="AX187">
            <v>9.4004394736498995E-7</v>
          </cell>
          <cell r="AY187">
            <v>9.4004394736498995E-7</v>
          </cell>
          <cell r="AZ187">
            <v>9.4004394736498995E-7</v>
          </cell>
          <cell r="BA187">
            <v>9.4004394736498995E-7</v>
          </cell>
          <cell r="BB187">
            <v>9.4004394736498995E-7</v>
          </cell>
          <cell r="BC187">
            <v>9.4004394736498995E-7</v>
          </cell>
          <cell r="BD187">
            <v>9.4004394736498995E-7</v>
          </cell>
          <cell r="BE187">
            <v>9.4004394736498995E-7</v>
          </cell>
          <cell r="BF187">
            <v>9.4004394736498995E-7</v>
          </cell>
          <cell r="BG187">
            <v>9.4004394736498995E-7</v>
          </cell>
          <cell r="BH187">
            <v>9.4004394736498995E-7</v>
          </cell>
          <cell r="BI187">
            <v>9.4004394736498995E-7</v>
          </cell>
          <cell r="BJ187">
            <v>9.4004394736498995E-7</v>
          </cell>
          <cell r="BK187">
            <v>9.4004394736498995E-7</v>
          </cell>
          <cell r="BL187">
            <v>9.4004394736498995E-7</v>
          </cell>
          <cell r="BM187">
            <v>9.4004394736498995E-7</v>
          </cell>
          <cell r="BN187">
            <v>9.4004394736498995E-7</v>
          </cell>
          <cell r="BO187">
            <v>9.4004394736498995E-7</v>
          </cell>
        </row>
        <row r="188">
          <cell r="G188">
            <v>1.5058822934258332E-6</v>
          </cell>
          <cell r="H188">
            <v>1.5058823043125054E-6</v>
          </cell>
          <cell r="I188">
            <v>1.5058822872697887E-6</v>
          </cell>
          <cell r="J188">
            <v>1.5058823475124766E-6</v>
          </cell>
          <cell r="K188">
            <v>1.5058822978113285E-6</v>
          </cell>
          <cell r="L188">
            <v>1.5058825435120371E-6</v>
          </cell>
          <cell r="M188">
            <v>1.5058825939388451E-6</v>
          </cell>
          <cell r="N188">
            <v>1.5058820718075319E-6</v>
          </cell>
          <cell r="O188">
            <v>1.5058822146643708E-6</v>
          </cell>
          <cell r="P188">
            <v>1.5058821428984892E-6</v>
          </cell>
          <cell r="Q188">
            <v>1.5058824927839748E-6</v>
          </cell>
          <cell r="R188">
            <v>1.5058820665487164E-6</v>
          </cell>
          <cell r="S188">
            <v>1.5058814063292345E-6</v>
          </cell>
          <cell r="T188">
            <v>1.5058821564054852E-6</v>
          </cell>
          <cell r="U188">
            <v>1.5058821564054852E-6</v>
          </cell>
          <cell r="V188">
            <v>1.5058821564054852E-6</v>
          </cell>
          <cell r="W188">
            <v>1.5058815924993217E-6</v>
          </cell>
          <cell r="X188">
            <v>1.5058812759227748E-6</v>
          </cell>
          <cell r="Y188">
            <v>1.5058812759227748E-6</v>
          </cell>
          <cell r="Z188">
            <v>1.5058820764192869E-6</v>
          </cell>
          <cell r="AA188">
            <v>1.5058889821632295E-6</v>
          </cell>
          <cell r="AB188">
            <v>1.5058889821632295E-6</v>
          </cell>
          <cell r="AC188">
            <v>1.5058889821632295E-6</v>
          </cell>
          <cell r="AD188">
            <v>1.5058889821632295E-6</v>
          </cell>
          <cell r="AE188">
            <v>1.5058889821632295E-6</v>
          </cell>
          <cell r="AF188">
            <v>1.5058889821632295E-6</v>
          </cell>
          <cell r="AG188">
            <v>1.5058889821632295E-6</v>
          </cell>
          <cell r="AH188">
            <v>1.5058889821632295E-6</v>
          </cell>
          <cell r="AI188">
            <v>1.5058889821632295E-6</v>
          </cell>
          <cell r="AJ188">
            <v>1.5058889821632295E-6</v>
          </cell>
          <cell r="AK188">
            <v>1.5058889821632295E-6</v>
          </cell>
          <cell r="AL188">
            <v>1.5058889821632295E-6</v>
          </cell>
          <cell r="AM188">
            <v>1.5058889821632295E-6</v>
          </cell>
          <cell r="AN188">
            <v>1.5058889821632295E-6</v>
          </cell>
          <cell r="AO188">
            <v>1.5058889821632295E-6</v>
          </cell>
          <cell r="AP188">
            <v>1.5058889821632295E-6</v>
          </cell>
          <cell r="AQ188">
            <v>1.5058889821632295E-6</v>
          </cell>
          <cell r="AR188">
            <v>1.5058889821632295E-6</v>
          </cell>
          <cell r="AS188">
            <v>1.5058889821632295E-6</v>
          </cell>
          <cell r="AT188">
            <v>1.5058889821632295E-6</v>
          </cell>
          <cell r="AU188">
            <v>1.5058889821632295E-6</v>
          </cell>
          <cell r="AV188">
            <v>1.5058889821632295E-6</v>
          </cell>
          <cell r="AW188">
            <v>1.5058889821632295E-6</v>
          </cell>
          <cell r="AX188">
            <v>1.5058889821632295E-6</v>
          </cell>
          <cell r="AY188">
            <v>1.5058889821632295E-6</v>
          </cell>
          <cell r="AZ188">
            <v>1.5058889821632295E-6</v>
          </cell>
          <cell r="BA188">
            <v>1.5058889821632295E-6</v>
          </cell>
          <cell r="BB188">
            <v>1.5058889821632295E-6</v>
          </cell>
          <cell r="BC188">
            <v>1.5058889821632295E-6</v>
          </cell>
          <cell r="BD188">
            <v>1.5058889821632295E-6</v>
          </cell>
          <cell r="BE188">
            <v>1.5058889821632295E-6</v>
          </cell>
          <cell r="BF188">
            <v>1.5058889821632295E-6</v>
          </cell>
          <cell r="BG188">
            <v>1.5058889821632295E-6</v>
          </cell>
          <cell r="BH188">
            <v>1.5058889821632295E-6</v>
          </cell>
          <cell r="BI188">
            <v>1.5058889821632295E-6</v>
          </cell>
          <cell r="BJ188">
            <v>1.5058889821632295E-6</v>
          </cell>
          <cell r="BK188">
            <v>1.5058889821632295E-6</v>
          </cell>
          <cell r="BL188">
            <v>1.5058889821632295E-6</v>
          </cell>
          <cell r="BM188">
            <v>1.5058889821632295E-6</v>
          </cell>
          <cell r="BN188">
            <v>1.5058889821632295E-6</v>
          </cell>
          <cell r="BO188">
            <v>1.5058889821632295E-6</v>
          </cell>
        </row>
        <row r="189">
          <cell r="G189">
            <v>5.7703405885162051E-7</v>
          </cell>
          <cell r="H189">
            <v>5.770348352994741E-7</v>
          </cell>
          <cell r="I189">
            <v>5.7142939904497212E-7</v>
          </cell>
          <cell r="J189">
            <v>5.7142816417783874E-7</v>
          </cell>
          <cell r="K189">
            <v>5.7142857142857149E-7</v>
          </cell>
          <cell r="L189">
            <v>5.7142877133767288E-7</v>
          </cell>
          <cell r="M189">
            <v>5.7142857142857149E-7</v>
          </cell>
          <cell r="N189">
            <v>5.7142857142857149E-7</v>
          </cell>
          <cell r="O189">
            <v>5.7142837570583738E-7</v>
          </cell>
          <cell r="P189">
            <v>5.714289578994996E-7</v>
          </cell>
          <cell r="Q189">
            <v>5.7142819518946321E-7</v>
          </cell>
          <cell r="R189">
            <v>5.7142857142857149E-7</v>
          </cell>
          <cell r="S189">
            <v>5.7142876112510918E-7</v>
          </cell>
          <cell r="T189">
            <v>5.7142875688699868E-7</v>
          </cell>
          <cell r="U189">
            <v>5.7142893136113098E-7</v>
          </cell>
          <cell r="V189">
            <v>5.7142911645705326E-7</v>
          </cell>
          <cell r="W189">
            <v>5.7142839521401264E-7</v>
          </cell>
          <cell r="X189">
            <v>5.7142909559674289E-7</v>
          </cell>
          <cell r="Y189">
            <v>5.7142857142857149E-7</v>
          </cell>
          <cell r="Z189">
            <v>5.7142908502391088E-7</v>
          </cell>
          <cell r="AA189">
            <v>5.71429177469772E-7</v>
          </cell>
          <cell r="AB189">
            <v>5.71429177469772E-7</v>
          </cell>
          <cell r="AC189">
            <v>5.71429177469772E-7</v>
          </cell>
          <cell r="AD189">
            <v>5.71429177469772E-7</v>
          </cell>
          <cell r="AE189">
            <v>5.71429177469772E-7</v>
          </cell>
          <cell r="AF189">
            <v>5.71429177469772E-7</v>
          </cell>
          <cell r="AG189">
            <v>5.71429177469772E-7</v>
          </cell>
          <cell r="AH189">
            <v>5.71429177469772E-7</v>
          </cell>
          <cell r="AI189">
            <v>5.71429177469772E-7</v>
          </cell>
          <cell r="AJ189">
            <v>5.71429177469772E-7</v>
          </cell>
          <cell r="AK189">
            <v>5.71429177469772E-7</v>
          </cell>
          <cell r="AL189">
            <v>5.71429177469772E-7</v>
          </cell>
          <cell r="AM189">
            <v>5.71429177469772E-7</v>
          </cell>
          <cell r="AN189">
            <v>5.71429177469772E-7</v>
          </cell>
          <cell r="AO189">
            <v>5.71429177469772E-7</v>
          </cell>
          <cell r="AP189">
            <v>5.71429177469772E-7</v>
          </cell>
          <cell r="AQ189">
            <v>5.71429177469772E-7</v>
          </cell>
          <cell r="AR189">
            <v>5.71429177469772E-7</v>
          </cell>
          <cell r="AS189">
            <v>5.71429177469772E-7</v>
          </cell>
          <cell r="AT189">
            <v>5.71429177469772E-7</v>
          </cell>
          <cell r="AU189">
            <v>5.71429177469772E-7</v>
          </cell>
          <cell r="AV189">
            <v>5.71429177469772E-7</v>
          </cell>
          <cell r="AW189">
            <v>5.71429177469772E-7</v>
          </cell>
          <cell r="AX189">
            <v>5.71429177469772E-7</v>
          </cell>
          <cell r="AY189">
            <v>5.71429177469772E-7</v>
          </cell>
          <cell r="AZ189">
            <v>5.71429177469772E-7</v>
          </cell>
          <cell r="BA189">
            <v>5.71429177469772E-7</v>
          </cell>
          <cell r="BB189">
            <v>5.71429177469772E-7</v>
          </cell>
          <cell r="BC189">
            <v>5.71429177469772E-7</v>
          </cell>
          <cell r="BD189">
            <v>5.71429177469772E-7</v>
          </cell>
          <cell r="BE189">
            <v>5.71429177469772E-7</v>
          </cell>
          <cell r="BF189">
            <v>5.71429177469772E-7</v>
          </cell>
          <cell r="BG189">
            <v>5.71429177469772E-7</v>
          </cell>
          <cell r="BH189">
            <v>5.71429177469772E-7</v>
          </cell>
          <cell r="BI189">
            <v>5.71429177469772E-7</v>
          </cell>
          <cell r="BJ189">
            <v>5.71429177469772E-7</v>
          </cell>
          <cell r="BK189">
            <v>5.71429177469772E-7</v>
          </cell>
          <cell r="BL189">
            <v>5.71429177469772E-7</v>
          </cell>
          <cell r="BM189">
            <v>5.71429177469772E-7</v>
          </cell>
          <cell r="BN189">
            <v>5.71429177469772E-7</v>
          </cell>
          <cell r="BO189">
            <v>5.71429177469772E-7</v>
          </cell>
        </row>
        <row r="190"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G191">
            <v>1.9521633512024873E-6</v>
          </cell>
          <cell r="H191">
            <v>1.9521578034934713E-6</v>
          </cell>
          <cell r="I191">
            <v>1.8983931862906604E-6</v>
          </cell>
          <cell r="J191">
            <v>1.8983923089715184E-6</v>
          </cell>
          <cell r="K191">
            <v>1.8983966657275909E-6</v>
          </cell>
          <cell r="L191">
            <v>1.8983863511713548E-6</v>
          </cell>
          <cell r="M191">
            <v>1.8983927090648671E-6</v>
          </cell>
          <cell r="N191">
            <v>1.898387714131717E-6</v>
          </cell>
          <cell r="O191">
            <v>1.8983936694859577E-6</v>
          </cell>
          <cell r="P191">
            <v>1.8983922565452912E-6</v>
          </cell>
          <cell r="Q191">
            <v>1.8983867141162517E-6</v>
          </cell>
          <cell r="R191">
            <v>1.8983835991858128E-6</v>
          </cell>
          <cell r="S191">
            <v>1.8983988426953363E-6</v>
          </cell>
          <cell r="T191">
            <v>1.8983875425774933E-6</v>
          </cell>
          <cell r="U191">
            <v>1.898391608662176E-6</v>
          </cell>
          <cell r="V191">
            <v>1.8983870323211118E-6</v>
          </cell>
          <cell r="W191">
            <v>1.898386421085518E-6</v>
          </cell>
          <cell r="X191">
            <v>1.8983887130801691E-6</v>
          </cell>
          <cell r="Y191">
            <v>1.8983937157651868E-6</v>
          </cell>
          <cell r="Z191">
            <v>1.8984020800282037E-6</v>
          </cell>
          <cell r="AA191">
            <v>1.8984063454215886E-6</v>
          </cell>
          <cell r="AB191">
            <v>1.8984063454215886E-6</v>
          </cell>
          <cell r="AC191">
            <v>1.8984063454215886E-6</v>
          </cell>
          <cell r="AD191">
            <v>1.8984063454215886E-6</v>
          </cell>
          <cell r="AE191">
            <v>1.8984063454215886E-6</v>
          </cell>
          <cell r="AF191">
            <v>1.8984063454215886E-6</v>
          </cell>
          <cell r="AG191">
            <v>1.8984063454215886E-6</v>
          </cell>
          <cell r="AH191">
            <v>1.8984063454215886E-6</v>
          </cell>
          <cell r="AI191">
            <v>1.8984063454215886E-6</v>
          </cell>
          <cell r="AJ191">
            <v>1.8984063454215886E-6</v>
          </cell>
          <cell r="AK191">
            <v>1.8984063454215886E-6</v>
          </cell>
          <cell r="AL191">
            <v>1.8984063454215886E-6</v>
          </cell>
          <cell r="AM191">
            <v>1.8984063454215886E-6</v>
          </cell>
          <cell r="AN191">
            <v>1.8984063454215886E-6</v>
          </cell>
          <cell r="AO191">
            <v>1.8984063454215886E-6</v>
          </cell>
          <cell r="AP191">
            <v>1.8984063454215886E-6</v>
          </cell>
          <cell r="AQ191">
            <v>1.8984063454215886E-6</v>
          </cell>
          <cell r="AR191">
            <v>1.8984063454215886E-6</v>
          </cell>
          <cell r="AS191">
            <v>1.8984063454215886E-6</v>
          </cell>
          <cell r="AT191">
            <v>1.8984063454215886E-6</v>
          </cell>
          <cell r="AU191">
            <v>1.8984063454215886E-6</v>
          </cell>
          <cell r="AV191">
            <v>1.8984063454215886E-6</v>
          </cell>
          <cell r="AW191">
            <v>1.8984063454215886E-6</v>
          </cell>
          <cell r="AX191">
            <v>1.8984063454215886E-6</v>
          </cell>
          <cell r="AY191">
            <v>1.8984063454215886E-6</v>
          </cell>
          <cell r="AZ191">
            <v>1.8984063454215886E-6</v>
          </cell>
          <cell r="BA191">
            <v>1.8984063454215886E-6</v>
          </cell>
          <cell r="BB191">
            <v>1.8984063454215886E-6</v>
          </cell>
          <cell r="BC191">
            <v>1.8984063454215886E-6</v>
          </cell>
          <cell r="BD191">
            <v>1.8984063454215886E-6</v>
          </cell>
          <cell r="BE191">
            <v>1.8984063454215886E-6</v>
          </cell>
          <cell r="BF191">
            <v>1.8984063454215886E-6</v>
          </cell>
          <cell r="BG191">
            <v>1.8984063454215886E-6</v>
          </cell>
          <cell r="BH191">
            <v>1.8984063454215886E-6</v>
          </cell>
          <cell r="BI191">
            <v>1.8984063454215886E-6</v>
          </cell>
          <cell r="BJ191">
            <v>1.8984063454215886E-6</v>
          </cell>
          <cell r="BK191">
            <v>1.8984063454215886E-6</v>
          </cell>
          <cell r="BL191">
            <v>1.8984063454215886E-6</v>
          </cell>
          <cell r="BM191">
            <v>1.8984063454215886E-6</v>
          </cell>
          <cell r="BN191">
            <v>1.8984063454215886E-6</v>
          </cell>
          <cell r="BO191">
            <v>1.8984063454215886E-6</v>
          </cell>
        </row>
        <row r="192">
          <cell r="G192">
            <v>4.0226294820717126E-6</v>
          </cell>
          <cell r="H192">
            <v>4.0226294820717126E-6</v>
          </cell>
          <cell r="I192">
            <v>4.0226294820717126E-6</v>
          </cell>
          <cell r="J192">
            <v>4.0298383243684784E-6</v>
          </cell>
          <cell r="K192">
            <v>4.0298662228765281E-6</v>
          </cell>
          <cell r="L192">
            <v>4.0298662228765281E-6</v>
          </cell>
          <cell r="M192">
            <v>4.0298662228765281E-6</v>
          </cell>
          <cell r="N192">
            <v>4.0298662228765281E-6</v>
          </cell>
          <cell r="O192">
            <v>4.0298662228765281E-6</v>
          </cell>
          <cell r="P192">
            <v>4.0298662228765281E-6</v>
          </cell>
          <cell r="Q192">
            <v>4.0298662228765281E-6</v>
          </cell>
          <cell r="R192">
            <v>4.0298662228765281E-6</v>
          </cell>
          <cell r="S192">
            <v>4.0298662228765281E-6</v>
          </cell>
          <cell r="T192">
            <v>4.0298662228765281E-6</v>
          </cell>
          <cell r="U192">
            <v>4.0298662228765281E-6</v>
          </cell>
          <cell r="V192">
            <v>4.0298662228765281E-6</v>
          </cell>
          <cell r="W192">
            <v>4.0298662228765281E-6</v>
          </cell>
          <cell r="X192">
            <v>4.0298662228765281E-6</v>
          </cell>
          <cell r="Y192">
            <v>4.0298662228765281E-6</v>
          </cell>
          <cell r="Z192">
            <v>4.0298662228765281E-6</v>
          </cell>
          <cell r="AA192">
            <v>4.0298662228765281E-6</v>
          </cell>
          <cell r="AB192">
            <v>4.0298662228765281E-6</v>
          </cell>
          <cell r="AC192">
            <v>4.0298662228765281E-6</v>
          </cell>
          <cell r="AD192">
            <v>4.0298662228765281E-6</v>
          </cell>
          <cell r="AE192">
            <v>4.0298662228765281E-6</v>
          </cell>
          <cell r="AF192">
            <v>4.0298662228765281E-6</v>
          </cell>
          <cell r="AG192">
            <v>4.0298662228765281E-6</v>
          </cell>
          <cell r="AH192">
            <v>4.0298662228765281E-6</v>
          </cell>
          <cell r="AI192">
            <v>4.0298662228765281E-6</v>
          </cell>
          <cell r="AJ192">
            <v>4.0298662228765281E-6</v>
          </cell>
          <cell r="AK192">
            <v>4.0298662228765281E-6</v>
          </cell>
          <cell r="AL192">
            <v>4.0298662228765281E-6</v>
          </cell>
          <cell r="AM192">
            <v>4.0298662228765281E-6</v>
          </cell>
          <cell r="AN192">
            <v>4.0298662228765281E-6</v>
          </cell>
          <cell r="AO192">
            <v>4.0298662228765281E-6</v>
          </cell>
          <cell r="AP192">
            <v>4.0298662228765281E-6</v>
          </cell>
          <cell r="AQ192">
            <v>4.0298662228765281E-6</v>
          </cell>
          <cell r="AR192">
            <v>4.0298662228765281E-6</v>
          </cell>
          <cell r="AS192">
            <v>4.0298662228765281E-6</v>
          </cell>
          <cell r="AT192">
            <v>4.0298662228765281E-6</v>
          </cell>
          <cell r="AU192">
            <v>4.0298662228765281E-6</v>
          </cell>
          <cell r="AV192">
            <v>4.0298662228765281E-6</v>
          </cell>
          <cell r="AW192">
            <v>4.0298662228765281E-6</v>
          </cell>
          <cell r="AX192">
            <v>4.0298662228765281E-6</v>
          </cell>
          <cell r="AY192">
            <v>4.0298662228765281E-6</v>
          </cell>
          <cell r="AZ192">
            <v>4.0298662228765281E-6</v>
          </cell>
          <cell r="BA192">
            <v>4.0298662228765281E-6</v>
          </cell>
          <cell r="BB192">
            <v>4.0298662228765281E-6</v>
          </cell>
          <cell r="BC192">
            <v>4.0298662228765281E-6</v>
          </cell>
          <cell r="BD192">
            <v>4.0298662228765281E-6</v>
          </cell>
          <cell r="BE192">
            <v>4.0298662228765281E-6</v>
          </cell>
          <cell r="BF192">
            <v>4.0298662228765281E-6</v>
          </cell>
          <cell r="BG192">
            <v>4.0298662228765281E-6</v>
          </cell>
          <cell r="BH192">
            <v>4.0298662228765281E-6</v>
          </cell>
          <cell r="BI192">
            <v>4.0298662228765281E-6</v>
          </cell>
          <cell r="BJ192">
            <v>4.0298662228765281E-6</v>
          </cell>
          <cell r="BK192">
            <v>4.0298662228765281E-6</v>
          </cell>
          <cell r="BL192">
            <v>4.0298662228765281E-6</v>
          </cell>
          <cell r="BM192">
            <v>4.0298662228765281E-6</v>
          </cell>
          <cell r="BN192">
            <v>4.0298662228765281E-6</v>
          </cell>
          <cell r="BO192">
            <v>4.0298662228765281E-6</v>
          </cell>
        </row>
        <row r="193">
          <cell r="G193">
            <v>8.6864964613033235E-7</v>
          </cell>
          <cell r="H193">
            <v>8.6636912421862735E-7</v>
          </cell>
          <cell r="I193">
            <v>8.6636912703112222E-7</v>
          </cell>
          <cell r="J193">
            <v>8.6387434554973826E-7</v>
          </cell>
          <cell r="K193">
            <v>8.6364825835014342E-7</v>
          </cell>
          <cell r="L193">
            <v>8.6251962620743449E-7</v>
          </cell>
          <cell r="M193">
            <v>8.625195986441362E-7</v>
          </cell>
          <cell r="N193">
            <v>8.6591444432511414E-7</v>
          </cell>
          <cell r="O193">
            <v>8.5915128630747526E-7</v>
          </cell>
          <cell r="P193">
            <v>8.5870411694394287E-7</v>
          </cell>
          <cell r="Q193">
            <v>8.5669782066027099E-7</v>
          </cell>
          <cell r="R193">
            <v>8.5580910447161907E-7</v>
          </cell>
          <cell r="S193">
            <v>8.5183270968083418E-7</v>
          </cell>
          <cell r="T193">
            <v>8.4942082806904052E-7</v>
          </cell>
          <cell r="U193">
            <v>8.4615386301208915E-7</v>
          </cell>
          <cell r="V193">
            <v>8.409786043214603E-7</v>
          </cell>
          <cell r="W193">
            <v>8.4550360942946101E-7</v>
          </cell>
          <cell r="X193">
            <v>8.4140762341343829E-7</v>
          </cell>
          <cell r="Y193">
            <v>8.4377395735710395E-7</v>
          </cell>
          <cell r="Z193">
            <v>8.401213317232594E-7</v>
          </cell>
          <cell r="AA193">
            <v>8.4012266021346199E-7</v>
          </cell>
          <cell r="AB193">
            <v>8.4012266021346199E-7</v>
          </cell>
          <cell r="AC193">
            <v>8.4012266021346199E-7</v>
          </cell>
          <cell r="AD193">
            <v>8.4012266021346199E-7</v>
          </cell>
          <cell r="AE193">
            <v>8.4012266021346199E-7</v>
          </cell>
          <cell r="AF193">
            <v>8.4012266021346199E-7</v>
          </cell>
          <cell r="AG193">
            <v>8.4012266021346199E-7</v>
          </cell>
          <cell r="AH193">
            <v>8.4012266021346199E-7</v>
          </cell>
          <cell r="AI193">
            <v>8.4012266021346199E-7</v>
          </cell>
          <cell r="AJ193">
            <v>8.4012266021346199E-7</v>
          </cell>
          <cell r="AK193">
            <v>8.4012266021346199E-7</v>
          </cell>
          <cell r="AL193">
            <v>8.4012266021346199E-7</v>
          </cell>
          <cell r="AM193">
            <v>8.4012266021346199E-7</v>
          </cell>
          <cell r="AN193">
            <v>8.4012266021346199E-7</v>
          </cell>
          <cell r="AO193">
            <v>8.4012266021346199E-7</v>
          </cell>
          <cell r="AP193">
            <v>8.4012266021346199E-7</v>
          </cell>
          <cell r="AQ193">
            <v>8.4012266021346199E-7</v>
          </cell>
          <cell r="AR193">
            <v>8.4012266021346199E-7</v>
          </cell>
          <cell r="AS193">
            <v>8.4012266021346199E-7</v>
          </cell>
          <cell r="AT193">
            <v>8.4012266021346199E-7</v>
          </cell>
          <cell r="AU193">
            <v>8.4012266021346199E-7</v>
          </cell>
          <cell r="AV193">
            <v>8.4012266021346199E-7</v>
          </cell>
          <cell r="AW193">
            <v>8.4012266021346199E-7</v>
          </cell>
          <cell r="AX193">
            <v>8.4012266021346199E-7</v>
          </cell>
          <cell r="AY193">
            <v>8.4012266021346199E-7</v>
          </cell>
          <cell r="AZ193">
            <v>8.4012266021346199E-7</v>
          </cell>
          <cell r="BA193">
            <v>8.4012266021346199E-7</v>
          </cell>
          <cell r="BB193">
            <v>8.4012266021346199E-7</v>
          </cell>
          <cell r="BC193">
            <v>8.4012266021346199E-7</v>
          </cell>
          <cell r="BD193">
            <v>8.4012266021346199E-7</v>
          </cell>
          <cell r="BE193">
            <v>8.4012266021346199E-7</v>
          </cell>
          <cell r="BF193">
            <v>8.4012266021346199E-7</v>
          </cell>
          <cell r="BG193">
            <v>8.4012266021346199E-7</v>
          </cell>
          <cell r="BH193">
            <v>8.4012266021346199E-7</v>
          </cell>
          <cell r="BI193">
            <v>8.4012266021346199E-7</v>
          </cell>
          <cell r="BJ193">
            <v>8.4012266021346199E-7</v>
          </cell>
          <cell r="BK193">
            <v>8.4012266021346199E-7</v>
          </cell>
          <cell r="BL193">
            <v>8.4012266021346199E-7</v>
          </cell>
          <cell r="BM193">
            <v>8.4012266021346199E-7</v>
          </cell>
          <cell r="BN193">
            <v>8.4012266021346199E-7</v>
          </cell>
          <cell r="BO193">
            <v>8.4012266021346199E-7</v>
          </cell>
        </row>
        <row r="194">
          <cell r="G194">
            <v>5.9546925324097432E-7</v>
          </cell>
          <cell r="H194">
            <v>5.9331175675543012E-7</v>
          </cell>
          <cell r="I194">
            <v>5.9331175460486715E-7</v>
          </cell>
          <cell r="J194">
            <v>5.9331175862550999E-7</v>
          </cell>
          <cell r="K194">
            <v>5.9331175588531965E-7</v>
          </cell>
          <cell r="L194">
            <v>5.9331175947375652E-7</v>
          </cell>
          <cell r="M194">
            <v>5.933118510316838E-7</v>
          </cell>
          <cell r="N194">
            <v>5.9331194290372498E-7</v>
          </cell>
          <cell r="O194">
            <v>5.9331187981131484E-7</v>
          </cell>
          <cell r="P194">
            <v>5.9331186291080176E-7</v>
          </cell>
          <cell r="Q194">
            <v>5.9331194187259091E-7</v>
          </cell>
          <cell r="R194">
            <v>5.9331179799381954E-7</v>
          </cell>
          <cell r="S194">
            <v>5.9331189095785941E-7</v>
          </cell>
          <cell r="T194">
            <v>5.9331161703418625E-7</v>
          </cell>
          <cell r="U194">
            <v>5.932740789591351E-7</v>
          </cell>
          <cell r="V194">
            <v>5.9327398031517265E-7</v>
          </cell>
          <cell r="W194">
            <v>5.9327417305870628E-7</v>
          </cell>
          <cell r="X194">
            <v>5.9327412436269363E-7</v>
          </cell>
          <cell r="Y194">
            <v>5.9327417814868417E-7</v>
          </cell>
          <cell r="Z194">
            <v>5.9327380316377959E-7</v>
          </cell>
          <cell r="AA194">
            <v>5.9327415360529985E-7</v>
          </cell>
          <cell r="AB194">
            <v>5.9327415360529985E-7</v>
          </cell>
          <cell r="AC194">
            <v>5.9327415360529985E-7</v>
          </cell>
          <cell r="AD194">
            <v>5.9327415360529985E-7</v>
          </cell>
          <cell r="AE194">
            <v>5.9327415360529985E-7</v>
          </cell>
          <cell r="AF194">
            <v>5.9327415360529985E-7</v>
          </cell>
          <cell r="AG194">
            <v>5.9327415360529985E-7</v>
          </cell>
          <cell r="AH194">
            <v>5.9327415360529985E-7</v>
          </cell>
          <cell r="AI194">
            <v>5.9327415360529985E-7</v>
          </cell>
          <cell r="AJ194">
            <v>5.9327415360529985E-7</v>
          </cell>
          <cell r="AK194">
            <v>5.9327415360529985E-7</v>
          </cell>
          <cell r="AL194">
            <v>5.9327415360529985E-7</v>
          </cell>
          <cell r="AM194">
            <v>5.9327415360529985E-7</v>
          </cell>
          <cell r="AN194">
            <v>5.9327415360529985E-7</v>
          </cell>
          <cell r="AO194">
            <v>5.9327415360529985E-7</v>
          </cell>
          <cell r="AP194">
            <v>5.9327415360529985E-7</v>
          </cell>
          <cell r="AQ194">
            <v>5.9327415360529985E-7</v>
          </cell>
          <cell r="AR194">
            <v>5.9327415360529985E-7</v>
          </cell>
          <cell r="AS194">
            <v>5.9327415360529985E-7</v>
          </cell>
          <cell r="AT194">
            <v>5.9327415360529985E-7</v>
          </cell>
          <cell r="AU194">
            <v>5.9327415360529985E-7</v>
          </cell>
          <cell r="AV194">
            <v>5.9327415360529985E-7</v>
          </cell>
          <cell r="AW194">
            <v>5.9327415360529985E-7</v>
          </cell>
          <cell r="AX194">
            <v>5.9327415360529985E-7</v>
          </cell>
          <cell r="AY194">
            <v>5.9327415360529985E-7</v>
          </cell>
          <cell r="AZ194">
            <v>5.9327415360529985E-7</v>
          </cell>
          <cell r="BA194">
            <v>5.9327415360529985E-7</v>
          </cell>
          <cell r="BB194">
            <v>5.9327415360529985E-7</v>
          </cell>
          <cell r="BC194">
            <v>5.9327415360529985E-7</v>
          </cell>
          <cell r="BD194">
            <v>5.9327415360529985E-7</v>
          </cell>
          <cell r="BE194">
            <v>5.9327415360529985E-7</v>
          </cell>
          <cell r="BF194">
            <v>5.9327415360529985E-7</v>
          </cell>
          <cell r="BG194">
            <v>5.9327415360529985E-7</v>
          </cell>
          <cell r="BH194">
            <v>5.9327415360529985E-7</v>
          </cell>
          <cell r="BI194">
            <v>5.9327415360529985E-7</v>
          </cell>
          <cell r="BJ194">
            <v>5.9327415360529985E-7</v>
          </cell>
          <cell r="BK194">
            <v>5.9327415360529985E-7</v>
          </cell>
          <cell r="BL194">
            <v>5.9327415360529985E-7</v>
          </cell>
          <cell r="BM194">
            <v>5.9327415360529985E-7</v>
          </cell>
          <cell r="BN194">
            <v>5.9327415360529985E-7</v>
          </cell>
          <cell r="BO194">
            <v>5.9327415360529985E-7</v>
          </cell>
        </row>
        <row r="195">
          <cell r="G195">
            <v>4.2670882976259764E-6</v>
          </cell>
          <cell r="H195">
            <v>4.2670879463157555E-6</v>
          </cell>
          <cell r="I195">
            <v>4.2670887489033433E-6</v>
          </cell>
          <cell r="J195">
            <v>4.2670879974365334E-6</v>
          </cell>
          <cell r="K195">
            <v>4.2670881526290587E-6</v>
          </cell>
          <cell r="L195">
            <v>4.2670873237001795E-6</v>
          </cell>
          <cell r="M195">
            <v>4.2670866006273497E-6</v>
          </cell>
          <cell r="N195">
            <v>4.2670940038238536E-6</v>
          </cell>
          <cell r="O195">
            <v>4.2670853931108063E-6</v>
          </cell>
          <cell r="P195">
            <v>4.2670956212976553E-6</v>
          </cell>
          <cell r="Q195">
            <v>4.2670914449775371E-6</v>
          </cell>
          <cell r="R195">
            <v>4.2670858015201517E-6</v>
          </cell>
          <cell r="S195">
            <v>4.2670916932833516E-6</v>
          </cell>
          <cell r="T195">
            <v>4.2670916932833516E-6</v>
          </cell>
          <cell r="U195">
            <v>4.2670916932833516E-6</v>
          </cell>
          <cell r="V195">
            <v>4.2670916932833516E-6</v>
          </cell>
          <cell r="W195">
            <v>4.2671182037880687E-6</v>
          </cell>
          <cell r="X195">
            <v>4.2671011523298475E-6</v>
          </cell>
          <cell r="Y195">
            <v>4.2670992466087789E-6</v>
          </cell>
          <cell r="Z195">
            <v>4.2672801398082167E-6</v>
          </cell>
          <cell r="AA195">
            <v>4.2672801398082167E-6</v>
          </cell>
          <cell r="AB195">
            <v>4.2672801398082167E-6</v>
          </cell>
          <cell r="AC195">
            <v>4.2672801398082167E-6</v>
          </cell>
          <cell r="AD195">
            <v>4.2672801398082167E-6</v>
          </cell>
          <cell r="AE195">
            <v>4.2672801398082167E-6</v>
          </cell>
          <cell r="AF195">
            <v>4.2672801398082167E-6</v>
          </cell>
          <cell r="AG195">
            <v>4.2672801398082167E-6</v>
          </cell>
          <cell r="AH195">
            <v>4.2672801398082167E-6</v>
          </cell>
          <cell r="AI195">
            <v>4.2672801398082167E-6</v>
          </cell>
          <cell r="AJ195">
            <v>4.2672801398082167E-6</v>
          </cell>
          <cell r="AK195">
            <v>4.2672801398082167E-6</v>
          </cell>
          <cell r="AL195">
            <v>4.2672801398082167E-6</v>
          </cell>
          <cell r="AM195">
            <v>4.2672801398082167E-6</v>
          </cell>
          <cell r="AN195">
            <v>4.2672801398082167E-6</v>
          </cell>
          <cell r="AO195">
            <v>4.2672801398082167E-6</v>
          </cell>
          <cell r="AP195">
            <v>4.2672801398082167E-6</v>
          </cell>
          <cell r="AQ195">
            <v>4.2672801398082167E-6</v>
          </cell>
          <cell r="AR195">
            <v>4.2672801398082167E-6</v>
          </cell>
          <cell r="AS195">
            <v>4.2672801398082167E-6</v>
          </cell>
          <cell r="AT195">
            <v>4.2672801398082167E-6</v>
          </cell>
          <cell r="AU195">
            <v>4.2672801398082167E-6</v>
          </cell>
          <cell r="AV195">
            <v>4.2672801398082167E-6</v>
          </cell>
          <cell r="AW195">
            <v>4.2672801398082167E-6</v>
          </cell>
          <cell r="AX195">
            <v>4.2672801398082167E-6</v>
          </cell>
          <cell r="AY195">
            <v>4.2672801398082167E-6</v>
          </cell>
          <cell r="AZ195">
            <v>4.2672801398082167E-6</v>
          </cell>
          <cell r="BA195">
            <v>4.2672801398082167E-6</v>
          </cell>
          <cell r="BB195">
            <v>4.2672801398082167E-6</v>
          </cell>
          <cell r="BC195">
            <v>4.2672801398082167E-6</v>
          </cell>
          <cell r="BD195">
            <v>4.2672801398082167E-6</v>
          </cell>
          <cell r="BE195">
            <v>4.2672801398082167E-6</v>
          </cell>
          <cell r="BF195">
            <v>4.2672801398082167E-6</v>
          </cell>
          <cell r="BG195">
            <v>4.2672801398082167E-6</v>
          </cell>
          <cell r="BH195">
            <v>4.2672801398082167E-6</v>
          </cell>
          <cell r="BI195">
            <v>4.2672801398082167E-6</v>
          </cell>
          <cell r="BJ195">
            <v>4.2672801398082167E-6</v>
          </cell>
          <cell r="BK195">
            <v>4.2672801398082167E-6</v>
          </cell>
          <cell r="BL195">
            <v>4.2672801398082167E-6</v>
          </cell>
          <cell r="BM195">
            <v>4.2672801398082167E-6</v>
          </cell>
          <cell r="BN195">
            <v>4.2672801398082167E-6</v>
          </cell>
          <cell r="BO195">
            <v>4.2672801398082167E-6</v>
          </cell>
        </row>
        <row r="196">
          <cell r="G196">
            <v>5.5432372505543243E-10</v>
          </cell>
          <cell r="H196">
            <v>5.5432372505543243E-10</v>
          </cell>
          <cell r="I196">
            <v>5.5432372505543243E-10</v>
          </cell>
          <cell r="J196">
            <v>5.5432372505543243E-10</v>
          </cell>
          <cell r="K196">
            <v>5.5432372505543243E-10</v>
          </cell>
          <cell r="L196">
            <v>5.5432372505543243E-10</v>
          </cell>
          <cell r="M196">
            <v>5.5432372505543243E-10</v>
          </cell>
          <cell r="N196">
            <v>5.5432372505543243E-10</v>
          </cell>
          <cell r="O196">
            <v>5.5432372505543243E-10</v>
          </cell>
          <cell r="P196">
            <v>5.5432372505543243E-10</v>
          </cell>
          <cell r="Q196">
            <v>5.5432372505543243E-10</v>
          </cell>
          <cell r="R196">
            <v>5.5432372505543243E-10</v>
          </cell>
          <cell r="S196">
            <v>5.5432372505543243E-10</v>
          </cell>
          <cell r="T196">
            <v>5.5432372505543243E-10</v>
          </cell>
          <cell r="U196">
            <v>5.5432372505543243E-10</v>
          </cell>
          <cell r="V196">
            <v>5.5432372505543243E-10</v>
          </cell>
          <cell r="W196">
            <v>5.5432372505543243E-10</v>
          </cell>
          <cell r="X196">
            <v>5.5432372505543243E-10</v>
          </cell>
          <cell r="Y196">
            <v>5.5432372505543243E-10</v>
          </cell>
          <cell r="Z196">
            <v>5.5432372505543243E-10</v>
          </cell>
          <cell r="AA196">
            <v>5.5432372505543243E-10</v>
          </cell>
          <cell r="AB196">
            <v>5.5432372505543243E-10</v>
          </cell>
          <cell r="AC196">
            <v>5.5432372505543243E-10</v>
          </cell>
          <cell r="AD196">
            <v>5.5432372505543243E-10</v>
          </cell>
          <cell r="AE196">
            <v>5.5432372505543243E-10</v>
          </cell>
          <cell r="AF196">
            <v>5.5432372505543243E-10</v>
          </cell>
          <cell r="AG196">
            <v>5.5432372505543243E-10</v>
          </cell>
          <cell r="AH196">
            <v>5.5432372505543243E-10</v>
          </cell>
          <cell r="AI196">
            <v>5.5432372505543243E-10</v>
          </cell>
          <cell r="AJ196">
            <v>5.5432372505543243E-10</v>
          </cell>
          <cell r="AK196">
            <v>5.5432372505543243E-10</v>
          </cell>
          <cell r="AL196">
            <v>5.5432372505543243E-10</v>
          </cell>
          <cell r="AM196">
            <v>5.5432372505543243E-10</v>
          </cell>
          <cell r="AN196">
            <v>5.5432372505543243E-10</v>
          </cell>
          <cell r="AO196">
            <v>5.5432372505543243E-10</v>
          </cell>
          <cell r="AP196">
            <v>5.5432372505543243E-10</v>
          </cell>
          <cell r="AQ196">
            <v>5.5432372505543243E-10</v>
          </cell>
          <cell r="AR196">
            <v>5.5432372505543243E-10</v>
          </cell>
          <cell r="AS196">
            <v>5.5432372505543243E-10</v>
          </cell>
          <cell r="AT196">
            <v>5.5432372505543243E-10</v>
          </cell>
          <cell r="AU196">
            <v>5.5432372505543243E-10</v>
          </cell>
          <cell r="AV196">
            <v>5.5432372505543243E-10</v>
          </cell>
          <cell r="AW196">
            <v>5.5432372505543243E-10</v>
          </cell>
          <cell r="AX196">
            <v>5.5432372505543243E-10</v>
          </cell>
          <cell r="AY196">
            <v>5.5432372505543243E-10</v>
          </cell>
          <cell r="AZ196">
            <v>5.5432372505543243E-10</v>
          </cell>
          <cell r="BA196">
            <v>5.5432372505543243E-10</v>
          </cell>
          <cell r="BB196">
            <v>5.5432372505543243E-10</v>
          </cell>
          <cell r="BC196">
            <v>5.5432372505543243E-10</v>
          </cell>
          <cell r="BD196">
            <v>5.5432372505543243E-10</v>
          </cell>
          <cell r="BE196">
            <v>5.5432372505543243E-10</v>
          </cell>
          <cell r="BF196">
            <v>5.5432372505543243E-10</v>
          </cell>
          <cell r="BG196">
            <v>5.5432372505543243E-10</v>
          </cell>
          <cell r="BH196">
            <v>5.5432372505543243E-10</v>
          </cell>
          <cell r="BI196">
            <v>5.5432372505543243E-10</v>
          </cell>
          <cell r="BJ196">
            <v>5.5432372505543243E-10</v>
          </cell>
          <cell r="BK196">
            <v>5.5432372505543243E-10</v>
          </cell>
          <cell r="BL196">
            <v>5.5432372505543243E-10</v>
          </cell>
          <cell r="BM196">
            <v>5.5432372505543243E-10</v>
          </cell>
          <cell r="BN196">
            <v>5.5432372505543243E-10</v>
          </cell>
          <cell r="BO196">
            <v>5.5432372505543243E-10</v>
          </cell>
        </row>
        <row r="197">
          <cell r="G197">
            <v>3.4246575342465754E-6</v>
          </cell>
          <cell r="H197">
            <v>3.4246575342465754E-6</v>
          </cell>
          <cell r="I197">
            <v>3.4246575342465754E-6</v>
          </cell>
          <cell r="J197">
            <v>3.4246575342465754E-6</v>
          </cell>
          <cell r="K197">
            <v>3.4246575342465754E-6</v>
          </cell>
          <cell r="L197">
            <v>3.4246575017589207E-6</v>
          </cell>
          <cell r="M197">
            <v>3.4246574688951274E-6</v>
          </cell>
          <cell r="N197">
            <v>3.4246575883385776E-6</v>
          </cell>
          <cell r="O197">
            <v>3.4246576249054554E-6</v>
          </cell>
          <cell r="P197">
            <v>3.4246576145537916E-6</v>
          </cell>
          <cell r="Q197">
            <v>3.4246575911061337E-6</v>
          </cell>
          <cell r="R197">
            <v>3.4246575532977483E-6</v>
          </cell>
          <cell r="S197">
            <v>3.4246574162763721E-6</v>
          </cell>
          <cell r="T197">
            <v>3.4246574561225384E-6</v>
          </cell>
          <cell r="U197">
            <v>3.424657591816569E-6</v>
          </cell>
          <cell r="V197">
            <v>3.4246575526403042E-6</v>
          </cell>
          <cell r="W197">
            <v>3.4246576354149472E-6</v>
          </cell>
          <cell r="X197">
            <v>3.4246573311677849E-6</v>
          </cell>
          <cell r="Y197">
            <v>3.4246576063966437E-6</v>
          </cell>
          <cell r="Z197">
            <v>3.4246573102097033E-6</v>
          </cell>
          <cell r="AA197">
            <v>3.4246581720054794E-6</v>
          </cell>
          <cell r="AB197">
            <v>3.4246581720054794E-6</v>
          </cell>
          <cell r="AC197">
            <v>3.4246581720054794E-6</v>
          </cell>
          <cell r="AD197">
            <v>3.4246581720054794E-6</v>
          </cell>
          <cell r="AE197">
            <v>3.4246581720054794E-6</v>
          </cell>
          <cell r="AF197">
            <v>3.4246581720054794E-6</v>
          </cell>
          <cell r="AG197">
            <v>3.4246581720054794E-6</v>
          </cell>
          <cell r="AH197">
            <v>3.4246581720054794E-6</v>
          </cell>
          <cell r="AI197">
            <v>3.4246581720054794E-6</v>
          </cell>
          <cell r="AJ197">
            <v>3.4246581720054794E-6</v>
          </cell>
          <cell r="AK197">
            <v>3.4246581720054794E-6</v>
          </cell>
          <cell r="AL197">
            <v>3.4246581720054794E-6</v>
          </cell>
          <cell r="AM197">
            <v>3.4246581720054794E-6</v>
          </cell>
          <cell r="AN197">
            <v>3.4246581720054794E-6</v>
          </cell>
          <cell r="AO197">
            <v>3.4246581720054794E-6</v>
          </cell>
          <cell r="AP197">
            <v>3.4246581720054794E-6</v>
          </cell>
          <cell r="AQ197">
            <v>3.4246581720054794E-6</v>
          </cell>
          <cell r="AR197">
            <v>3.4246581720054794E-6</v>
          </cell>
          <cell r="AS197">
            <v>3.4246581720054794E-6</v>
          </cell>
          <cell r="AT197">
            <v>3.4246581720054794E-6</v>
          </cell>
          <cell r="AU197">
            <v>3.4246581720054794E-6</v>
          </cell>
          <cell r="AV197">
            <v>3.4246581720054794E-6</v>
          </cell>
          <cell r="AW197">
            <v>3.4246581720054794E-6</v>
          </cell>
          <cell r="AX197">
            <v>3.4246581720054794E-6</v>
          </cell>
          <cell r="AY197">
            <v>3.4246581720054794E-6</v>
          </cell>
          <cell r="AZ197">
            <v>3.4246581720054794E-6</v>
          </cell>
          <cell r="BA197">
            <v>3.4246581720054794E-6</v>
          </cell>
          <cell r="BB197">
            <v>3.4246581720054794E-6</v>
          </cell>
          <cell r="BC197">
            <v>3.4246581720054794E-6</v>
          </cell>
          <cell r="BD197">
            <v>3.4246581720054794E-6</v>
          </cell>
          <cell r="BE197">
            <v>3.4246581720054794E-6</v>
          </cell>
          <cell r="BF197">
            <v>3.4246581720054794E-6</v>
          </cell>
          <cell r="BG197">
            <v>3.4246581720054794E-6</v>
          </cell>
          <cell r="BH197">
            <v>3.4246581720054794E-6</v>
          </cell>
          <cell r="BI197">
            <v>3.4246581720054794E-6</v>
          </cell>
          <cell r="BJ197">
            <v>3.4246581720054794E-6</v>
          </cell>
          <cell r="BK197">
            <v>3.4246581720054794E-6</v>
          </cell>
          <cell r="BL197">
            <v>3.4246581720054794E-6</v>
          </cell>
          <cell r="BM197">
            <v>3.4246581720054794E-6</v>
          </cell>
          <cell r="BN197">
            <v>3.4246581720054794E-6</v>
          </cell>
          <cell r="BO197">
            <v>3.4246581720054794E-6</v>
          </cell>
        </row>
        <row r="198"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G199">
            <v>1.6788491257742283E-7</v>
          </cell>
          <cell r="H199">
            <v>1.6788491257742283E-7</v>
          </cell>
          <cell r="I199">
            <v>1.6788491257742283E-7</v>
          </cell>
          <cell r="J199">
            <v>1.6788491257742283E-7</v>
          </cell>
          <cell r="K199">
            <v>1.6788491257742283E-7</v>
          </cell>
          <cell r="L199">
            <v>1.6788491257742283E-7</v>
          </cell>
          <cell r="M199">
            <v>1.6788491257742283E-7</v>
          </cell>
          <cell r="N199">
            <v>1.6788491257742283E-7</v>
          </cell>
          <cell r="O199">
            <v>1.6788491257742283E-7</v>
          </cell>
          <cell r="P199">
            <v>1.6788491257742283E-7</v>
          </cell>
          <cell r="Q199">
            <v>1.6788491257742283E-7</v>
          </cell>
          <cell r="R199">
            <v>1.6788491257742283E-7</v>
          </cell>
          <cell r="S199">
            <v>1.5512546419023584E-7</v>
          </cell>
          <cell r="T199">
            <v>1.5926325783242885E-7</v>
          </cell>
          <cell r="U199">
            <v>2.0107795669940849E-7</v>
          </cell>
          <cell r="V199">
            <v>2.1244958604933219E-7</v>
          </cell>
          <cell r="W199">
            <v>2.0520066447350329E-7</v>
          </cell>
          <cell r="X199">
            <v>2.1061542270772917E-7</v>
          </cell>
          <cell r="Y199">
            <v>2.0071006983574079E-7</v>
          </cell>
          <cell r="Z199">
            <v>2.1513669944783283E-7</v>
          </cell>
          <cell r="AA199">
            <v>2.1513669944783283E-7</v>
          </cell>
          <cell r="AB199">
            <v>2.1513669944783283E-7</v>
          </cell>
          <cell r="AC199">
            <v>2.1513669944783283E-7</v>
          </cell>
          <cell r="AD199">
            <v>2.1513669944783283E-7</v>
          </cell>
          <cell r="AE199">
            <v>2.1513669944783283E-7</v>
          </cell>
          <cell r="AF199">
            <v>2.1513669944783283E-7</v>
          </cell>
          <cell r="AG199">
            <v>2.1513669944783283E-7</v>
          </cell>
          <cell r="AH199">
            <v>2.1513669944783283E-7</v>
          </cell>
          <cell r="AI199">
            <v>2.1513669944783283E-7</v>
          </cell>
          <cell r="AJ199">
            <v>2.1513669944783283E-7</v>
          </cell>
          <cell r="AK199">
            <v>2.1513669944783283E-7</v>
          </cell>
          <cell r="AL199">
            <v>2.1513669944783283E-7</v>
          </cell>
          <cell r="AM199">
            <v>2.1513669944783283E-7</v>
          </cell>
          <cell r="AN199">
            <v>2.1513669944783283E-7</v>
          </cell>
          <cell r="AO199">
            <v>2.1513669944783283E-7</v>
          </cell>
          <cell r="AP199">
            <v>2.1513669944783283E-7</v>
          </cell>
          <cell r="AQ199">
            <v>2.1513669944783283E-7</v>
          </cell>
          <cell r="AR199">
            <v>2.1513669944783283E-7</v>
          </cell>
          <cell r="AS199">
            <v>2.1513669944783283E-7</v>
          </cell>
          <cell r="AT199">
            <v>2.1513669944783283E-7</v>
          </cell>
          <cell r="AU199">
            <v>2.1513669944783283E-7</v>
          </cell>
          <cell r="AV199">
            <v>2.1513669944783283E-7</v>
          </cell>
          <cell r="AW199">
            <v>2.1513669944783283E-7</v>
          </cell>
          <cell r="AX199">
            <v>2.1513669944783283E-7</v>
          </cell>
          <cell r="AY199">
            <v>2.1513669944783283E-7</v>
          </cell>
          <cell r="AZ199">
            <v>2.1513669944783283E-7</v>
          </cell>
          <cell r="BA199">
            <v>2.1513669944783283E-7</v>
          </cell>
          <cell r="BB199">
            <v>2.1513669944783283E-7</v>
          </cell>
          <cell r="BC199">
            <v>2.1513669944783283E-7</v>
          </cell>
          <cell r="BD199">
            <v>2.1513669944783283E-7</v>
          </cell>
          <cell r="BE199">
            <v>2.1513669944783283E-7</v>
          </cell>
          <cell r="BF199">
            <v>2.1513669944783283E-7</v>
          </cell>
          <cell r="BG199">
            <v>2.1513669944783283E-7</v>
          </cell>
          <cell r="BH199">
            <v>2.1513669944783283E-7</v>
          </cell>
          <cell r="BI199">
            <v>2.1513669944783283E-7</v>
          </cell>
          <cell r="BJ199">
            <v>2.1513669944783283E-7</v>
          </cell>
          <cell r="BK199">
            <v>2.1513669944783283E-7</v>
          </cell>
          <cell r="BL199">
            <v>2.1513669944783283E-7</v>
          </cell>
          <cell r="BM199">
            <v>2.1513669944783283E-7</v>
          </cell>
          <cell r="BN199">
            <v>2.1513669944783283E-7</v>
          </cell>
          <cell r="BO199">
            <v>2.1513669944783283E-7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50"/>
  <sheetViews>
    <sheetView tabSelected="1" workbookViewId="0">
      <selection activeCell="A1" sqref="A1:X15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CIMS.Generic Fuels</t>
        </is>
      </c>
      <c r="B3" t="inlineStr">
        <is>
          <t>Service</t>
        </is>
      </c>
      <c r="C3" t="inlineStr">
        <is>
          <t>CIMS</t>
        </is>
      </c>
      <c r="E3" t="inlineStr">
        <is>
          <t>Generic Fuels</t>
        </is>
      </c>
      <c r="G3" t="inlineStr">
        <is>
          <t>Service provided</t>
        </is>
      </c>
      <c r="L3" t="inlineStr">
        <is>
          <t>GJ</t>
        </is>
      </c>
    </row>
    <row r="4">
      <c r="A4" t="inlineStr">
        <is>
          <t>CIMS.Generic Fuels</t>
        </is>
      </c>
      <c r="B4" t="inlineStr">
        <is>
          <t>Service</t>
        </is>
      </c>
      <c r="C4" t="inlineStr">
        <is>
          <t>CIMS</t>
        </is>
      </c>
      <c r="E4" t="inlineStr">
        <is>
          <t>Generic Fuels</t>
        </is>
      </c>
      <c r="G4" t="inlineStr">
        <is>
          <t>Competition type</t>
        </is>
      </c>
      <c r="H4" t="inlineStr">
        <is>
          <t>Fixed Ratio</t>
        </is>
      </c>
    </row>
    <row r="5">
      <c r="A5" t="inlineStr">
        <is>
          <t>CIMS.Generic Fuels.Biogas</t>
        </is>
      </c>
      <c r="B5" t="inlineStr">
        <is>
          <t>Service</t>
        </is>
      </c>
      <c r="C5" t="inlineStr">
        <is>
          <t>CIMS</t>
        </is>
      </c>
      <c r="E5" t="inlineStr">
        <is>
          <t>Biogas</t>
        </is>
      </c>
      <c r="G5" t="inlineStr">
        <is>
          <t>Service provided</t>
        </is>
      </c>
      <c r="L5" t="inlineStr">
        <is>
          <t>GJ</t>
        </is>
      </c>
    </row>
    <row r="6">
      <c r="A6" t="inlineStr">
        <is>
          <t>CIMS.Generic Fuels.Biogas</t>
        </is>
      </c>
      <c r="B6" t="inlineStr">
        <is>
          <t>Service</t>
        </is>
      </c>
      <c r="C6" t="inlineStr">
        <is>
          <t>CIMS</t>
        </is>
      </c>
      <c r="E6" t="inlineStr">
        <is>
          <t>Biogas</t>
        </is>
      </c>
      <c r="G6" t="inlineStr">
        <is>
          <t>Competition type</t>
        </is>
      </c>
      <c r="H6" t="inlineStr">
        <is>
          <t>Supply - Fixed Price</t>
        </is>
      </c>
    </row>
    <row r="7">
      <c r="A7" t="inlineStr">
        <is>
          <t>CIMS.Generic Fuels.Biogas</t>
        </is>
      </c>
      <c r="B7" t="inlineStr">
        <is>
          <t>Service</t>
        </is>
      </c>
      <c r="C7" t="inlineStr">
        <is>
          <t>CIMS</t>
        </is>
      </c>
      <c r="E7" t="inlineStr">
        <is>
          <t>Biogas</t>
        </is>
      </c>
      <c r="G7" t="inlineStr">
        <is>
          <t>Is supply</t>
        </is>
      </c>
      <c r="H7" t="b">
        <v>1</v>
      </c>
    </row>
    <row r="8">
      <c r="A8" t="inlineStr">
        <is>
          <t>CIMS.Generic Fuels.Biogas</t>
        </is>
      </c>
      <c r="B8" t="inlineStr">
        <is>
          <t>Service</t>
        </is>
      </c>
      <c r="C8" t="inlineStr">
        <is>
          <t>CIMS</t>
        </is>
      </c>
      <c r="E8" t="inlineStr">
        <is>
          <t>Biogas</t>
        </is>
      </c>
      <c r="G8" t="inlineStr">
        <is>
          <t>LCC_financial</t>
        </is>
      </c>
      <c r="K8" t="inlineStr">
        <is>
          <t>JCIMS</t>
        </is>
      </c>
      <c r="L8" t="inlineStr">
        <is>
          <t>$/GJ</t>
        </is>
      </c>
      <c r="M8">
        <f>M81*1.5</f>
        <v/>
      </c>
      <c r="N8">
        <f>N81*1.5</f>
        <v/>
      </c>
      <c r="O8">
        <f>O81*1.5</f>
        <v/>
      </c>
      <c r="P8">
        <f>P81*1.5</f>
        <v/>
      </c>
      <c r="Q8">
        <f>Q81*1.5</f>
        <v/>
      </c>
      <c r="R8">
        <f>R81*1.5</f>
        <v/>
      </c>
      <c r="S8">
        <f>S81*1.5</f>
        <v/>
      </c>
      <c r="T8">
        <f>T81*1.5</f>
        <v/>
      </c>
      <c r="U8">
        <f>U81*1.5</f>
        <v/>
      </c>
      <c r="V8">
        <f>V81*1.5</f>
        <v/>
      </c>
      <c r="W8">
        <f>W81*1.5</f>
        <v/>
      </c>
      <c r="X8" t="inlineStr">
        <is>
          <t>Roughly based on FortisBC markup for RNG vs NG</t>
        </is>
      </c>
    </row>
    <row r="9">
      <c r="A9" t="inlineStr">
        <is>
          <t>CIMS.Generic Fuels.Biogas</t>
        </is>
      </c>
      <c r="B9" t="inlineStr">
        <is>
          <t>Service</t>
        </is>
      </c>
      <c r="C9" t="inlineStr">
        <is>
          <t>CIMS</t>
        </is>
      </c>
      <c r="E9" t="inlineStr">
        <is>
          <t>Biogas</t>
        </is>
      </c>
      <c r="G9" t="inlineStr">
        <is>
          <t>Emissions_biomass</t>
        </is>
      </c>
      <c r="H9" t="inlineStr">
        <is>
          <t>CO2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tCO2</t>
        </is>
      </c>
      <c r="M9">
        <f t="array" ref="M9">INDEX([1]Coefficients!$G$60:$BO$79,_xlfn.XMATCH($E9,[1]Coefficients!$B$60:$B$79),_xlfn.XMATCH(M$2,[1]Coefficients!$G$1:$BO$1))/INDEX([1]Coefficients!$G$29:$BO$48,_xlfn.XMATCH($E9,[1]Coefficients!$B$29:$B$48),_xlfn.XMATCH(M$2,[1]Coefficients!$G$1:$BO$1))</f>
        <v/>
      </c>
      <c r="N9">
        <f t="array" ref="N9">INDEX([1]Coefficients!$G$60:$BO$79,_xlfn.XMATCH($E9,[1]Coefficients!$B$60:$B$79),_xlfn.XMATCH(N$2,[1]Coefficients!$G$1:$BO$1))/INDEX([1]Coefficients!$G$29:$BO$48,_xlfn.XMATCH($E9,[1]Coefficients!$B$29:$B$48),_xlfn.XMATCH(N$2,[1]Coefficients!$G$1:$BO$1))</f>
        <v/>
      </c>
      <c r="O9">
        <f t="array" ref="O9">INDEX([1]Coefficients!$G$60:$BO$79,_xlfn.XMATCH($E9,[1]Coefficients!$B$60:$B$79),_xlfn.XMATCH(O$2,[1]Coefficients!$G$1:$BO$1))/INDEX([1]Coefficients!$G$29:$BO$48,_xlfn.XMATCH($E9,[1]Coefficients!$B$29:$B$48),_xlfn.XMATCH(O$2,[1]Coefficients!$G$1:$BO$1))</f>
        <v/>
      </c>
      <c r="P9">
        <f t="array" ref="P9">INDEX([1]Coefficients!$G$60:$BO$79,_xlfn.XMATCH($E9,[1]Coefficients!$B$60:$B$79),_xlfn.XMATCH(P$2,[1]Coefficients!$G$1:$BO$1))/INDEX([1]Coefficients!$G$29:$BO$48,_xlfn.XMATCH($E9,[1]Coefficients!$B$29:$B$48),_xlfn.XMATCH(P$2,[1]Coefficients!$G$1:$BO$1))</f>
        <v/>
      </c>
      <c r="Q9">
        <f t="array" ref="Q9">INDEX([1]Coefficients!$G$60:$BO$79,_xlfn.XMATCH($E9,[1]Coefficients!$B$60:$B$79),_xlfn.XMATCH(Q$2,[1]Coefficients!$G$1:$BO$1))/INDEX([1]Coefficients!$G$29:$BO$48,_xlfn.XMATCH($E9,[1]Coefficients!$B$29:$B$48),_xlfn.XMATCH(Q$2,[1]Coefficients!$G$1:$BO$1))</f>
        <v/>
      </c>
      <c r="R9">
        <f t="array" ref="R9">INDEX([1]Coefficients!$G$60:$BO$79,_xlfn.XMATCH($E9,[1]Coefficients!$B$60:$B$79),_xlfn.XMATCH(R$2,[1]Coefficients!$G$1:$BO$1))/INDEX([1]Coefficients!$G$29:$BO$48,_xlfn.XMATCH($E9,[1]Coefficients!$B$29:$B$48),_xlfn.XMATCH(R$2,[1]Coefficients!$G$1:$BO$1))</f>
        <v/>
      </c>
      <c r="S9">
        <f t="array" ref="S9">INDEX([1]Coefficients!$G$60:$BO$79,_xlfn.XMATCH($E9,[1]Coefficients!$B$60:$B$79),_xlfn.XMATCH(S$2,[1]Coefficients!$G$1:$BO$1))/INDEX([1]Coefficients!$G$29:$BO$48,_xlfn.XMATCH($E9,[1]Coefficients!$B$29:$B$48),_xlfn.XMATCH(S$2,[1]Coefficients!$G$1:$BO$1))</f>
        <v/>
      </c>
      <c r="T9">
        <f t="array" ref="T9">INDEX([1]Coefficients!$G$60:$BO$79,_xlfn.XMATCH($E9,[1]Coefficients!$B$60:$B$79),_xlfn.XMATCH(T$2,[1]Coefficients!$G$1:$BO$1))/INDEX([1]Coefficients!$G$29:$BO$48,_xlfn.XMATCH($E9,[1]Coefficients!$B$29:$B$48),_xlfn.XMATCH(T$2,[1]Coefficients!$G$1:$BO$1))</f>
        <v/>
      </c>
      <c r="U9">
        <f t="array" ref="U9">INDEX([1]Coefficients!$G$60:$BO$79,_xlfn.XMATCH($E9,[1]Coefficients!$B$60:$B$79),_xlfn.XMATCH(U$2,[1]Coefficients!$G$1:$BO$1))/INDEX([1]Coefficients!$G$29:$BO$48,_xlfn.XMATCH($E9,[1]Coefficients!$B$29:$B$48),_xlfn.XMATCH(U$2,[1]Coefficients!$G$1:$BO$1))</f>
        <v/>
      </c>
      <c r="V9">
        <f t="array" ref="V9">INDEX([1]Coefficients!$G$60:$BO$79,_xlfn.XMATCH($E9,[1]Coefficients!$B$60:$B$79),_xlfn.XMATCH(V$2,[1]Coefficients!$G$1:$BO$1))/INDEX([1]Coefficients!$G$29:$BO$48,_xlfn.XMATCH($E9,[1]Coefficients!$B$29:$B$48),_xlfn.XMATCH(V$2,[1]Coefficients!$G$1:$BO$1))</f>
        <v/>
      </c>
      <c r="W9">
        <f t="array" ref="W9">INDEX([1]Coefficients!$G$60:$BO$79,_xlfn.XMATCH($E9,[1]Coefficients!$B$60:$B$79),_xlfn.XMATCH(W$2,[1]Coefficients!$G$1:$BO$1))/INDEX([1]Coefficients!$G$29:$BO$48,_xlfn.XMATCH($E9,[1]Coefficients!$B$29:$B$48),_xlfn.XMATCH(W$2,[1]Coefficients!$G$1:$BO$1))</f>
        <v/>
      </c>
    </row>
    <row r="10">
      <c r="A10" t="inlineStr">
        <is>
          <t>CIMS.Generic Fuels.Biogas</t>
        </is>
      </c>
      <c r="B10" t="inlineStr">
        <is>
          <t>Service</t>
        </is>
      </c>
      <c r="C10" t="inlineStr">
        <is>
          <t>CIMS</t>
        </is>
      </c>
      <c r="E10" t="inlineStr">
        <is>
          <t>Biogas</t>
        </is>
      </c>
      <c r="G10" t="inlineStr">
        <is>
          <t>Emissions</t>
        </is>
      </c>
      <c r="H10" t="inlineStr">
        <is>
          <t>CO2</t>
        </is>
      </c>
      <c r="I10" t="inlineStr">
        <is>
          <t>Combustion</t>
        </is>
      </c>
      <c r="K10" t="inlineStr">
        <is>
          <t>ECCC, NIR</t>
        </is>
      </c>
      <c r="L10" t="inlineStr">
        <is>
          <t>tCO2</t>
        </is>
      </c>
      <c r="M10">
        <f t="array" ref="M10">INDEX([1]Coefficients!$G$132:$BO$151,_xlfn.XMATCH($E10,[1]Coefficients!$B$132:$B$151),_xlfn.XMATCH(M$2,[1]Coefficients!$G$1:$BO$1))</f>
        <v/>
      </c>
      <c r="N10">
        <f t="array" ref="N10">INDEX([1]Coefficients!$G$132:$BO$151,_xlfn.XMATCH($E10,[1]Coefficients!$B$132:$B$151),_xlfn.XMATCH(N$2,[1]Coefficients!$G$1:$BO$1))</f>
        <v/>
      </c>
      <c r="O10">
        <f t="array" ref="O10">INDEX([1]Coefficients!$G$132:$BO$151,_xlfn.XMATCH($E10,[1]Coefficients!$B$132:$B$151),_xlfn.XMATCH(O$2,[1]Coefficients!$G$1:$BO$1))</f>
        <v/>
      </c>
      <c r="P10">
        <f t="array" ref="P10">INDEX([1]Coefficients!$G$132:$BO$151,_xlfn.XMATCH($E10,[1]Coefficients!$B$132:$B$151),_xlfn.XMATCH(P$2,[1]Coefficients!$G$1:$BO$1))</f>
        <v/>
      </c>
      <c r="Q10">
        <f t="array" ref="Q10">INDEX([1]Coefficients!$G$132:$BO$151,_xlfn.XMATCH($E10,[1]Coefficients!$B$132:$B$151),_xlfn.XMATCH(Q$2,[1]Coefficients!$G$1:$BO$1))</f>
        <v/>
      </c>
      <c r="R10">
        <f t="array" ref="R10">INDEX([1]Coefficients!$G$132:$BO$151,_xlfn.XMATCH($E10,[1]Coefficients!$B$132:$B$151),_xlfn.XMATCH(R$2,[1]Coefficients!$G$1:$BO$1))</f>
        <v/>
      </c>
      <c r="S10">
        <f t="array" ref="S10">INDEX([1]Coefficients!$G$132:$BO$151,_xlfn.XMATCH($E10,[1]Coefficients!$B$132:$B$151),_xlfn.XMATCH(S$2,[1]Coefficients!$G$1:$BO$1))</f>
        <v/>
      </c>
      <c r="T10">
        <f t="array" ref="T10">INDEX([1]Coefficients!$G$132:$BO$151,_xlfn.XMATCH($E10,[1]Coefficients!$B$132:$B$151),_xlfn.XMATCH(T$2,[1]Coefficients!$G$1:$BO$1))</f>
        <v/>
      </c>
      <c r="U10">
        <f t="array" ref="U10">INDEX([1]Coefficients!$G$132:$BO$151,_xlfn.XMATCH($E10,[1]Coefficients!$B$132:$B$151),_xlfn.XMATCH(U$2,[1]Coefficients!$G$1:$BO$1))</f>
        <v/>
      </c>
      <c r="V10">
        <f t="array" ref="V10">INDEX([1]Coefficients!$G$132:$BO$151,_xlfn.XMATCH($E10,[1]Coefficients!$B$132:$B$151),_xlfn.XMATCH(V$2,[1]Coefficients!$G$1:$BO$1))</f>
        <v/>
      </c>
      <c r="W10">
        <f t="array" ref="W10">INDEX([1]Coefficients!$G$132:$BO$151,_xlfn.XMATCH($E10,[1]Coefficients!$B$132:$B$151),_xlfn.XMATCH(W$2,[1]Coefficients!$G$1:$BO$1))</f>
        <v/>
      </c>
    </row>
    <row r="11">
      <c r="A11" t="inlineStr">
        <is>
          <t>CIMS.Generic Fuels.Biogas</t>
        </is>
      </c>
      <c r="B11" t="inlineStr">
        <is>
          <t>Service</t>
        </is>
      </c>
      <c r="C11" t="inlineStr">
        <is>
          <t>CIMS</t>
        </is>
      </c>
      <c r="E11" t="inlineStr">
        <is>
          <t>Biogas</t>
        </is>
      </c>
      <c r="G11" t="inlineStr">
        <is>
          <t>Emissions</t>
        </is>
      </c>
      <c r="H11" t="inlineStr">
        <is>
          <t>CH4</t>
        </is>
      </c>
      <c r="I11" t="inlineStr">
        <is>
          <t>Combustion</t>
        </is>
      </c>
      <c r="K11" t="inlineStr">
        <is>
          <t>ECCC, NIR</t>
        </is>
      </c>
      <c r="L11" t="inlineStr">
        <is>
          <t>tCH4</t>
        </is>
      </c>
      <c r="M11">
        <f t="array" ref="M11">INDEX([1]Coefficients!$G$156:$BO$175,_xlfn.XMATCH($E11,[1]Coefficients!$B$132:$B$151),_xlfn.XMATCH(M$2,[1]Coefficients!$G$1:$BO$1))</f>
        <v/>
      </c>
      <c r="N11">
        <f t="array" ref="N11">INDEX([1]Coefficients!$G$156:$BO$175,_xlfn.XMATCH($E11,[1]Coefficients!$B$132:$B$151),_xlfn.XMATCH(N$2,[1]Coefficients!$G$1:$BO$1))</f>
        <v/>
      </c>
      <c r="O11">
        <f t="array" ref="O11">INDEX([1]Coefficients!$G$156:$BO$175,_xlfn.XMATCH($E11,[1]Coefficients!$B$132:$B$151),_xlfn.XMATCH(O$2,[1]Coefficients!$G$1:$BO$1))</f>
        <v/>
      </c>
      <c r="P11">
        <f t="array" ref="P11">INDEX([1]Coefficients!$G$156:$BO$175,_xlfn.XMATCH($E11,[1]Coefficients!$B$132:$B$151),_xlfn.XMATCH(P$2,[1]Coefficients!$G$1:$BO$1))</f>
        <v/>
      </c>
      <c r="Q11">
        <f t="array" ref="Q11">INDEX([1]Coefficients!$G$156:$BO$175,_xlfn.XMATCH($E11,[1]Coefficients!$B$132:$B$151),_xlfn.XMATCH(Q$2,[1]Coefficients!$G$1:$BO$1))</f>
        <v/>
      </c>
      <c r="R11">
        <f t="array" ref="R11">INDEX([1]Coefficients!$G$156:$BO$175,_xlfn.XMATCH($E11,[1]Coefficients!$B$132:$B$151),_xlfn.XMATCH(R$2,[1]Coefficients!$G$1:$BO$1))</f>
        <v/>
      </c>
      <c r="S11">
        <f t="array" ref="S11">INDEX([1]Coefficients!$G$156:$BO$175,_xlfn.XMATCH($E11,[1]Coefficients!$B$132:$B$151),_xlfn.XMATCH(S$2,[1]Coefficients!$G$1:$BO$1))</f>
        <v/>
      </c>
      <c r="T11">
        <f t="array" ref="T11">INDEX([1]Coefficients!$G$156:$BO$175,_xlfn.XMATCH($E11,[1]Coefficients!$B$132:$B$151),_xlfn.XMATCH(T$2,[1]Coefficients!$G$1:$BO$1))</f>
        <v/>
      </c>
      <c r="U11">
        <f t="array" ref="U11">INDEX([1]Coefficients!$G$156:$BO$175,_xlfn.XMATCH($E11,[1]Coefficients!$B$132:$B$151),_xlfn.XMATCH(U$2,[1]Coefficients!$G$1:$BO$1))</f>
        <v/>
      </c>
      <c r="V11">
        <f t="array" ref="V11">INDEX([1]Coefficients!$G$156:$BO$175,_xlfn.XMATCH($E11,[1]Coefficients!$B$132:$B$151),_xlfn.XMATCH(V$2,[1]Coefficients!$G$1:$BO$1))</f>
        <v/>
      </c>
      <c r="W11">
        <f t="array" ref="W11">INDEX([1]Coefficients!$G$156:$BO$175,_xlfn.XMATCH($E11,[1]Coefficients!$B$132:$B$151),_xlfn.XMATCH(W$2,[1]Coefficients!$G$1:$BO$1))</f>
        <v/>
      </c>
    </row>
    <row r="12">
      <c r="A12" t="inlineStr">
        <is>
          <t>CIMS.Generic Fuels.Biogas</t>
        </is>
      </c>
      <c r="B12" t="inlineStr">
        <is>
          <t>Service</t>
        </is>
      </c>
      <c r="C12" t="inlineStr">
        <is>
          <t>CIMS</t>
        </is>
      </c>
      <c r="E12" t="inlineStr">
        <is>
          <t>Biogas</t>
        </is>
      </c>
      <c r="G12" t="inlineStr">
        <is>
          <t>Emissions</t>
        </is>
      </c>
      <c r="H12" t="inlineStr">
        <is>
          <t>N2O</t>
        </is>
      </c>
      <c r="I12" t="inlineStr">
        <is>
          <t>Combustion</t>
        </is>
      </c>
      <c r="K12" t="inlineStr">
        <is>
          <t>ECCC, NIR</t>
        </is>
      </c>
      <c r="L12" t="inlineStr">
        <is>
          <t>tN2O</t>
        </is>
      </c>
      <c r="M12">
        <f t="array" ref="M12">INDEX([1]Coefficients!$G$180:$BO$199,_xlfn.XMATCH($E12,[1]Coefficients!$B$132:$B$151),_xlfn.XMATCH(M$2,[1]Coefficients!$G$1:$BO$1))</f>
        <v/>
      </c>
      <c r="N12">
        <f t="array" ref="N12">INDEX([1]Coefficients!$G$180:$BO$199,_xlfn.XMATCH($E12,[1]Coefficients!$B$132:$B$151),_xlfn.XMATCH(N$2,[1]Coefficients!$G$1:$BO$1))</f>
        <v/>
      </c>
      <c r="O12">
        <f t="array" ref="O12">INDEX([1]Coefficients!$G$180:$BO$199,_xlfn.XMATCH($E12,[1]Coefficients!$B$132:$B$151),_xlfn.XMATCH(O$2,[1]Coefficients!$G$1:$BO$1))</f>
        <v/>
      </c>
      <c r="P12">
        <f t="array" ref="P12">INDEX([1]Coefficients!$G$180:$BO$199,_xlfn.XMATCH($E12,[1]Coefficients!$B$132:$B$151),_xlfn.XMATCH(P$2,[1]Coefficients!$G$1:$BO$1))</f>
        <v/>
      </c>
      <c r="Q12">
        <f t="array" ref="Q12">INDEX([1]Coefficients!$G$180:$BO$199,_xlfn.XMATCH($E12,[1]Coefficients!$B$132:$B$151),_xlfn.XMATCH(Q$2,[1]Coefficients!$G$1:$BO$1))</f>
        <v/>
      </c>
      <c r="R12">
        <f t="array" ref="R12">INDEX([1]Coefficients!$G$180:$BO$199,_xlfn.XMATCH($E12,[1]Coefficients!$B$132:$B$151),_xlfn.XMATCH(R$2,[1]Coefficients!$G$1:$BO$1))</f>
        <v/>
      </c>
      <c r="S12">
        <f t="array" ref="S12">INDEX([1]Coefficients!$G$180:$BO$199,_xlfn.XMATCH($E12,[1]Coefficients!$B$132:$B$151),_xlfn.XMATCH(S$2,[1]Coefficients!$G$1:$BO$1))</f>
        <v/>
      </c>
      <c r="T12">
        <f t="array" ref="T12">INDEX([1]Coefficients!$G$180:$BO$199,_xlfn.XMATCH($E12,[1]Coefficients!$B$132:$B$151),_xlfn.XMATCH(T$2,[1]Coefficients!$G$1:$BO$1))</f>
        <v/>
      </c>
      <c r="U12">
        <f t="array" ref="U12">INDEX([1]Coefficients!$G$180:$BO$199,_xlfn.XMATCH($E12,[1]Coefficients!$B$132:$B$151),_xlfn.XMATCH(U$2,[1]Coefficients!$G$1:$BO$1))</f>
        <v/>
      </c>
      <c r="V12">
        <f t="array" ref="V12">INDEX([1]Coefficients!$G$180:$BO$199,_xlfn.XMATCH($E12,[1]Coefficients!$B$132:$B$151),_xlfn.XMATCH(V$2,[1]Coefficients!$G$1:$BO$1))</f>
        <v/>
      </c>
      <c r="W12">
        <f t="array" ref="W12">INDEX([1]Coefficients!$G$180:$BO$199,_xlfn.XMATCH($E12,[1]Coefficients!$B$132:$B$151),_xlfn.XMATCH(W$2,[1]Coefficients!$G$1:$BO$1))</f>
        <v/>
      </c>
    </row>
    <row r="13">
      <c r="A13" t="inlineStr">
        <is>
          <t>CIMS.Generic Fuels.Black Liquor</t>
        </is>
      </c>
      <c r="B13" t="inlineStr">
        <is>
          <t>Service</t>
        </is>
      </c>
      <c r="C13" t="inlineStr">
        <is>
          <t>CIMS</t>
        </is>
      </c>
      <c r="E13" t="inlineStr">
        <is>
          <t>Black Liquor</t>
        </is>
      </c>
      <c r="G13" t="inlineStr">
        <is>
          <t>Service provided</t>
        </is>
      </c>
      <c r="L13" t="inlineStr">
        <is>
          <t>GJ</t>
        </is>
      </c>
    </row>
    <row r="14">
      <c r="A14" t="inlineStr">
        <is>
          <t>CIMS.Generic Fuels.Black Liquor</t>
        </is>
      </c>
      <c r="B14" t="inlineStr">
        <is>
          <t>Service</t>
        </is>
      </c>
      <c r="C14" t="inlineStr">
        <is>
          <t>CIMS</t>
        </is>
      </c>
      <c r="E14" t="inlineStr">
        <is>
          <t>Black Liquor</t>
        </is>
      </c>
      <c r="G14" t="inlineStr">
        <is>
          <t>Competition type</t>
        </is>
      </c>
      <c r="H14" t="inlineStr">
        <is>
          <t>Supply - Fixed Price</t>
        </is>
      </c>
    </row>
    <row r="15">
      <c r="A15" t="inlineStr">
        <is>
          <t>CIMS.Generic Fuels.Black Liquor</t>
        </is>
      </c>
      <c r="B15" t="inlineStr">
        <is>
          <t>Service</t>
        </is>
      </c>
      <c r="C15" t="inlineStr">
        <is>
          <t>CIMS</t>
        </is>
      </c>
      <c r="E15" t="inlineStr">
        <is>
          <t>Black Liquor</t>
        </is>
      </c>
      <c r="G15" t="inlineStr">
        <is>
          <t>Is supply</t>
        </is>
      </c>
      <c r="H15" t="b">
        <v>1</v>
      </c>
    </row>
    <row r="16">
      <c r="A16" t="inlineStr">
        <is>
          <t>CIMS.Generic Fuels.Black Liquor</t>
        </is>
      </c>
      <c r="B16" t="inlineStr">
        <is>
          <t>Service</t>
        </is>
      </c>
      <c r="C16" t="inlineStr">
        <is>
          <t>CIMS</t>
        </is>
      </c>
      <c r="E16" t="inlineStr">
        <is>
          <t>Black Liquor</t>
        </is>
      </c>
      <c r="G16" t="inlineStr">
        <is>
          <t>LCC_financial</t>
        </is>
      </c>
      <c r="K16" t="inlineStr">
        <is>
          <t>JCIMS</t>
        </is>
      </c>
      <c r="L16" t="inlineStr">
        <is>
          <t>$/GJ</t>
        </is>
      </c>
      <c r="M16" t="n">
        <v>0.0001</v>
      </c>
      <c r="N16" t="n">
        <v>0.0001</v>
      </c>
      <c r="O16" t="n">
        <v>0.0001</v>
      </c>
      <c r="P16" t="n">
        <v>0.0001</v>
      </c>
      <c r="Q16" t="n">
        <v>0.0001</v>
      </c>
      <c r="R16" t="n">
        <v>0.0001</v>
      </c>
      <c r="S16" t="n">
        <v>0.0001</v>
      </c>
      <c r="T16" t="n">
        <v>0.0001</v>
      </c>
      <c r="U16" t="n">
        <v>0.0001</v>
      </c>
      <c r="V16" t="n">
        <v>0.0001</v>
      </c>
      <c r="W16" t="n">
        <v>0.0001</v>
      </c>
      <c r="X16" t="inlineStr">
        <is>
          <t>Cost in pulp &amp; paper - BC (use $0.0001 instead of $0.00)</t>
        </is>
      </c>
    </row>
    <row r="17">
      <c r="A17" t="inlineStr">
        <is>
          <t>CIMS.Generic Fuels.Black Liquor</t>
        </is>
      </c>
      <c r="B17" t="inlineStr">
        <is>
          <t>Service</t>
        </is>
      </c>
      <c r="C17" t="inlineStr">
        <is>
          <t>CIMS</t>
        </is>
      </c>
      <c r="E17" t="inlineStr">
        <is>
          <t>Black Liquor</t>
        </is>
      </c>
      <c r="G17" t="inlineStr">
        <is>
          <t>Emissions_biomass</t>
        </is>
      </c>
      <c r="H17" t="inlineStr">
        <is>
          <t>CO2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tCO2</t>
        </is>
      </c>
      <c r="M17">
        <f t="array" ref="M17">INDEX([1]Coefficients!$G$60:$BO$79,_xlfn.XMATCH($E17,[1]Coefficients!$B$60:$B$79),_xlfn.XMATCH(M$2,[1]Coefficients!$G$1:$BO$1))/INDEX([1]Coefficients!$G$29:$BO$48,_xlfn.XMATCH($E17,[1]Coefficients!$B$29:$B$48),_xlfn.XMATCH(M$2,[1]Coefficients!$G$1:$BO$1))</f>
        <v/>
      </c>
      <c r="N17">
        <f t="array" ref="N17">INDEX([1]Coefficients!$G$60:$BO$79,_xlfn.XMATCH($E17,[1]Coefficients!$B$60:$B$79),_xlfn.XMATCH(N$2,[1]Coefficients!$G$1:$BO$1))/INDEX([1]Coefficients!$G$29:$BO$48,_xlfn.XMATCH($E17,[1]Coefficients!$B$29:$B$48),_xlfn.XMATCH(N$2,[1]Coefficients!$G$1:$BO$1))</f>
        <v/>
      </c>
      <c r="O17">
        <f t="array" ref="O17">INDEX([1]Coefficients!$G$60:$BO$79,_xlfn.XMATCH($E17,[1]Coefficients!$B$60:$B$79),_xlfn.XMATCH(O$2,[1]Coefficients!$G$1:$BO$1))/INDEX([1]Coefficients!$G$29:$BO$48,_xlfn.XMATCH($E17,[1]Coefficients!$B$29:$B$48),_xlfn.XMATCH(O$2,[1]Coefficients!$G$1:$BO$1))</f>
        <v/>
      </c>
      <c r="P17">
        <f t="array" ref="P17">INDEX([1]Coefficients!$G$60:$BO$79,_xlfn.XMATCH($E17,[1]Coefficients!$B$60:$B$79),_xlfn.XMATCH(P$2,[1]Coefficients!$G$1:$BO$1))/INDEX([1]Coefficients!$G$29:$BO$48,_xlfn.XMATCH($E17,[1]Coefficients!$B$29:$B$48),_xlfn.XMATCH(P$2,[1]Coefficients!$G$1:$BO$1))</f>
        <v/>
      </c>
      <c r="Q17">
        <f t="array" ref="Q17">INDEX([1]Coefficients!$G$60:$BO$79,_xlfn.XMATCH($E17,[1]Coefficients!$B$60:$B$79),_xlfn.XMATCH(Q$2,[1]Coefficients!$G$1:$BO$1))/INDEX([1]Coefficients!$G$29:$BO$48,_xlfn.XMATCH($E17,[1]Coefficients!$B$29:$B$48),_xlfn.XMATCH(Q$2,[1]Coefficients!$G$1:$BO$1))</f>
        <v/>
      </c>
      <c r="R17">
        <f t="array" ref="R17">INDEX([1]Coefficients!$G$60:$BO$79,_xlfn.XMATCH($E17,[1]Coefficients!$B$60:$B$79),_xlfn.XMATCH(R$2,[1]Coefficients!$G$1:$BO$1))/INDEX([1]Coefficients!$G$29:$BO$48,_xlfn.XMATCH($E17,[1]Coefficients!$B$29:$B$48),_xlfn.XMATCH(R$2,[1]Coefficients!$G$1:$BO$1))</f>
        <v/>
      </c>
      <c r="S17">
        <f t="array" ref="S17">INDEX([1]Coefficients!$G$60:$BO$79,_xlfn.XMATCH($E17,[1]Coefficients!$B$60:$B$79),_xlfn.XMATCH(S$2,[1]Coefficients!$G$1:$BO$1))/INDEX([1]Coefficients!$G$29:$BO$48,_xlfn.XMATCH($E17,[1]Coefficients!$B$29:$B$48),_xlfn.XMATCH(S$2,[1]Coefficients!$G$1:$BO$1))</f>
        <v/>
      </c>
      <c r="T17">
        <f t="array" ref="T17">INDEX([1]Coefficients!$G$60:$BO$79,_xlfn.XMATCH($E17,[1]Coefficients!$B$60:$B$79),_xlfn.XMATCH(T$2,[1]Coefficients!$G$1:$BO$1))/INDEX([1]Coefficients!$G$29:$BO$48,_xlfn.XMATCH($E17,[1]Coefficients!$B$29:$B$48),_xlfn.XMATCH(T$2,[1]Coefficients!$G$1:$BO$1))</f>
        <v/>
      </c>
      <c r="U17">
        <f t="array" ref="U17">INDEX([1]Coefficients!$G$60:$BO$79,_xlfn.XMATCH($E17,[1]Coefficients!$B$60:$B$79),_xlfn.XMATCH(U$2,[1]Coefficients!$G$1:$BO$1))/INDEX([1]Coefficients!$G$29:$BO$48,_xlfn.XMATCH($E17,[1]Coefficients!$B$29:$B$48),_xlfn.XMATCH(U$2,[1]Coefficients!$G$1:$BO$1))</f>
        <v/>
      </c>
      <c r="V17">
        <f t="array" ref="V17">INDEX([1]Coefficients!$G$60:$BO$79,_xlfn.XMATCH($E17,[1]Coefficients!$B$60:$B$79),_xlfn.XMATCH(V$2,[1]Coefficients!$G$1:$BO$1))/INDEX([1]Coefficients!$G$29:$BO$48,_xlfn.XMATCH($E17,[1]Coefficients!$B$29:$B$48),_xlfn.XMATCH(V$2,[1]Coefficients!$G$1:$BO$1))</f>
        <v/>
      </c>
      <c r="W17">
        <f t="array" ref="W17">INDEX([1]Coefficients!$G$60:$BO$79,_xlfn.XMATCH($E17,[1]Coefficients!$B$60:$B$79),_xlfn.XMATCH(W$2,[1]Coefficients!$G$1:$BO$1))/INDEX([1]Coefficients!$G$29:$BO$48,_xlfn.XMATCH($E17,[1]Coefficients!$B$29:$B$48),_xlfn.XMATCH(W$2,[1]Coefficients!$G$1:$BO$1))</f>
        <v/>
      </c>
    </row>
    <row r="18">
      <c r="A18" t="inlineStr">
        <is>
          <t>CIMS.Generic Fuels.Black Liquor</t>
        </is>
      </c>
      <c r="B18" t="inlineStr">
        <is>
          <t>Service</t>
        </is>
      </c>
      <c r="C18" t="inlineStr">
        <is>
          <t>CIMS</t>
        </is>
      </c>
      <c r="E18" t="inlineStr">
        <is>
          <t>Black Liquor</t>
        </is>
      </c>
      <c r="G18" t="inlineStr">
        <is>
          <t>Emissions</t>
        </is>
      </c>
      <c r="H18" t="inlineStr">
        <is>
          <t>CO2</t>
        </is>
      </c>
      <c r="I18" t="inlineStr">
        <is>
          <t>Combustion</t>
        </is>
      </c>
      <c r="K18" t="inlineStr">
        <is>
          <t>ECCC, NIR</t>
        </is>
      </c>
      <c r="L18" t="inlineStr">
        <is>
          <t>tCO2</t>
        </is>
      </c>
      <c r="M18">
        <f t="array" ref="M18">INDEX([1]Coefficients!$G$132:$BO$151,_xlfn.XMATCH($E18,[1]Coefficients!$B$132:$B$151),_xlfn.XMATCH(M$2,[1]Coefficients!$G$1:$BO$1))</f>
        <v/>
      </c>
      <c r="N18">
        <f t="array" ref="N18">INDEX([1]Coefficients!$G$132:$BO$151,_xlfn.XMATCH($E18,[1]Coefficients!$B$132:$B$151),_xlfn.XMATCH(N$2,[1]Coefficients!$G$1:$BO$1))</f>
        <v/>
      </c>
      <c r="O18">
        <f t="array" ref="O18">INDEX([1]Coefficients!$G$132:$BO$151,_xlfn.XMATCH($E18,[1]Coefficients!$B$132:$B$151),_xlfn.XMATCH(O$2,[1]Coefficients!$G$1:$BO$1))</f>
        <v/>
      </c>
      <c r="P18">
        <f t="array" ref="P18">INDEX([1]Coefficients!$G$132:$BO$151,_xlfn.XMATCH($E18,[1]Coefficients!$B$132:$B$151),_xlfn.XMATCH(P$2,[1]Coefficients!$G$1:$BO$1))</f>
        <v/>
      </c>
      <c r="Q18">
        <f t="array" ref="Q18">INDEX([1]Coefficients!$G$132:$BO$151,_xlfn.XMATCH($E18,[1]Coefficients!$B$132:$B$151),_xlfn.XMATCH(Q$2,[1]Coefficients!$G$1:$BO$1))</f>
        <v/>
      </c>
      <c r="R18">
        <f t="array" ref="R18">INDEX([1]Coefficients!$G$132:$BO$151,_xlfn.XMATCH($E18,[1]Coefficients!$B$132:$B$151),_xlfn.XMATCH(R$2,[1]Coefficients!$G$1:$BO$1))</f>
        <v/>
      </c>
      <c r="S18">
        <f t="array" ref="S18">INDEX([1]Coefficients!$G$132:$BO$151,_xlfn.XMATCH($E18,[1]Coefficients!$B$132:$B$151),_xlfn.XMATCH(S$2,[1]Coefficients!$G$1:$BO$1))</f>
        <v/>
      </c>
      <c r="T18">
        <f t="array" ref="T18">INDEX([1]Coefficients!$G$132:$BO$151,_xlfn.XMATCH($E18,[1]Coefficients!$B$132:$B$151),_xlfn.XMATCH(T$2,[1]Coefficients!$G$1:$BO$1))</f>
        <v/>
      </c>
      <c r="U18">
        <f t="array" ref="U18">INDEX([1]Coefficients!$G$132:$BO$151,_xlfn.XMATCH($E18,[1]Coefficients!$B$132:$B$151),_xlfn.XMATCH(U$2,[1]Coefficients!$G$1:$BO$1))</f>
        <v/>
      </c>
      <c r="V18">
        <f t="array" ref="V18">INDEX([1]Coefficients!$G$132:$BO$151,_xlfn.XMATCH($E18,[1]Coefficients!$B$132:$B$151),_xlfn.XMATCH(V$2,[1]Coefficients!$G$1:$BO$1))</f>
        <v/>
      </c>
      <c r="W18">
        <f t="array" ref="W18">INDEX([1]Coefficients!$G$132:$BO$151,_xlfn.XMATCH($E18,[1]Coefficients!$B$132:$B$151),_xlfn.XMATCH(W$2,[1]Coefficients!$G$1:$BO$1))</f>
        <v/>
      </c>
    </row>
    <row r="19">
      <c r="A19" t="inlineStr">
        <is>
          <t>CIMS.Generic Fuels.Black Liquor</t>
        </is>
      </c>
      <c r="B19" t="inlineStr">
        <is>
          <t>Service</t>
        </is>
      </c>
      <c r="C19" t="inlineStr">
        <is>
          <t>CIMS</t>
        </is>
      </c>
      <c r="E19" t="inlineStr">
        <is>
          <t>Black Liquor</t>
        </is>
      </c>
      <c r="G19" t="inlineStr">
        <is>
          <t>Emissions</t>
        </is>
      </c>
      <c r="H19" t="inlineStr">
        <is>
          <t>CH4</t>
        </is>
      </c>
      <c r="I19" t="inlineStr">
        <is>
          <t>Combustion</t>
        </is>
      </c>
      <c r="K19" t="inlineStr">
        <is>
          <t>ECCC, NIR</t>
        </is>
      </c>
      <c r="L19" t="inlineStr">
        <is>
          <t>tCH4</t>
        </is>
      </c>
      <c r="M19">
        <f t="array" ref="M19">INDEX([1]Coefficients!$G$156:$BO$175,_xlfn.XMATCH($E19,[1]Coefficients!$B$132:$B$151),_xlfn.XMATCH(M$2,[1]Coefficients!$G$1:$BO$1))</f>
        <v/>
      </c>
      <c r="N19">
        <f t="array" ref="N19">INDEX([1]Coefficients!$G$156:$BO$175,_xlfn.XMATCH($E19,[1]Coefficients!$B$132:$B$151),_xlfn.XMATCH(N$2,[1]Coefficients!$G$1:$BO$1))</f>
        <v/>
      </c>
      <c r="O19">
        <f t="array" ref="O19">INDEX([1]Coefficients!$G$156:$BO$175,_xlfn.XMATCH($E19,[1]Coefficients!$B$132:$B$151),_xlfn.XMATCH(O$2,[1]Coefficients!$G$1:$BO$1))</f>
        <v/>
      </c>
      <c r="P19">
        <f t="array" ref="P19">INDEX([1]Coefficients!$G$156:$BO$175,_xlfn.XMATCH($E19,[1]Coefficients!$B$132:$B$151),_xlfn.XMATCH(P$2,[1]Coefficients!$G$1:$BO$1))</f>
        <v/>
      </c>
      <c r="Q19">
        <f t="array" ref="Q19">INDEX([1]Coefficients!$G$156:$BO$175,_xlfn.XMATCH($E19,[1]Coefficients!$B$132:$B$151),_xlfn.XMATCH(Q$2,[1]Coefficients!$G$1:$BO$1))</f>
        <v/>
      </c>
      <c r="R19">
        <f t="array" ref="R19">INDEX([1]Coefficients!$G$156:$BO$175,_xlfn.XMATCH($E19,[1]Coefficients!$B$132:$B$151),_xlfn.XMATCH(R$2,[1]Coefficients!$G$1:$BO$1))</f>
        <v/>
      </c>
      <c r="S19">
        <f t="array" ref="S19">INDEX([1]Coefficients!$G$156:$BO$175,_xlfn.XMATCH($E19,[1]Coefficients!$B$132:$B$151),_xlfn.XMATCH(S$2,[1]Coefficients!$G$1:$BO$1))</f>
        <v/>
      </c>
      <c r="T19">
        <f t="array" ref="T19">INDEX([1]Coefficients!$G$156:$BO$175,_xlfn.XMATCH($E19,[1]Coefficients!$B$132:$B$151),_xlfn.XMATCH(T$2,[1]Coefficients!$G$1:$BO$1))</f>
        <v/>
      </c>
      <c r="U19">
        <f t="array" ref="U19">INDEX([1]Coefficients!$G$156:$BO$175,_xlfn.XMATCH($E19,[1]Coefficients!$B$132:$B$151),_xlfn.XMATCH(U$2,[1]Coefficients!$G$1:$BO$1))</f>
        <v/>
      </c>
      <c r="V19">
        <f t="array" ref="V19">INDEX([1]Coefficients!$G$156:$BO$175,_xlfn.XMATCH($E19,[1]Coefficients!$B$132:$B$151),_xlfn.XMATCH(V$2,[1]Coefficients!$G$1:$BO$1))</f>
        <v/>
      </c>
      <c r="W19">
        <f t="array" ref="W19">INDEX([1]Coefficients!$G$156:$BO$175,_xlfn.XMATCH($E19,[1]Coefficients!$B$132:$B$151),_xlfn.XMATCH(W$2,[1]Coefficients!$G$1:$BO$1))</f>
        <v/>
      </c>
    </row>
    <row r="20">
      <c r="A20" t="inlineStr">
        <is>
          <t>CIMS.Generic Fuels.Black Liquor</t>
        </is>
      </c>
      <c r="B20" t="inlineStr">
        <is>
          <t>Service</t>
        </is>
      </c>
      <c r="C20" t="inlineStr">
        <is>
          <t>CIMS</t>
        </is>
      </c>
      <c r="E20" t="inlineStr">
        <is>
          <t>Black Liquor</t>
        </is>
      </c>
      <c r="G20" t="inlineStr">
        <is>
          <t>Emissions</t>
        </is>
      </c>
      <c r="H20" t="inlineStr">
        <is>
          <t>N2O</t>
        </is>
      </c>
      <c r="I20" t="inlineStr">
        <is>
          <t>Combustion</t>
        </is>
      </c>
      <c r="K20" t="inlineStr">
        <is>
          <t>ECCC, NIR</t>
        </is>
      </c>
      <c r="L20" t="inlineStr">
        <is>
          <t>tN2O</t>
        </is>
      </c>
      <c r="M20">
        <f t="array" ref="M20">INDEX([1]Coefficients!$G$180:$BO$199,_xlfn.XMATCH($E20,[1]Coefficients!$B$132:$B$151),_xlfn.XMATCH(M$2,[1]Coefficients!$G$1:$BO$1))</f>
        <v/>
      </c>
      <c r="N20">
        <f t="array" ref="N20">INDEX([1]Coefficients!$G$180:$BO$199,_xlfn.XMATCH($E20,[1]Coefficients!$B$132:$B$151),_xlfn.XMATCH(N$2,[1]Coefficients!$G$1:$BO$1))</f>
        <v/>
      </c>
      <c r="O20">
        <f t="array" ref="O20">INDEX([1]Coefficients!$G$180:$BO$199,_xlfn.XMATCH($E20,[1]Coefficients!$B$132:$B$151),_xlfn.XMATCH(O$2,[1]Coefficients!$G$1:$BO$1))</f>
        <v/>
      </c>
      <c r="P20">
        <f t="array" ref="P20">INDEX([1]Coefficients!$G$180:$BO$199,_xlfn.XMATCH($E20,[1]Coefficients!$B$132:$B$151),_xlfn.XMATCH(P$2,[1]Coefficients!$G$1:$BO$1))</f>
        <v/>
      </c>
      <c r="Q20">
        <f t="array" ref="Q20">INDEX([1]Coefficients!$G$180:$BO$199,_xlfn.XMATCH($E20,[1]Coefficients!$B$132:$B$151),_xlfn.XMATCH(Q$2,[1]Coefficients!$G$1:$BO$1))</f>
        <v/>
      </c>
      <c r="R20">
        <f t="array" ref="R20">INDEX([1]Coefficients!$G$180:$BO$199,_xlfn.XMATCH($E20,[1]Coefficients!$B$132:$B$151),_xlfn.XMATCH(R$2,[1]Coefficients!$G$1:$BO$1))</f>
        <v/>
      </c>
      <c r="S20">
        <f t="array" ref="S20">INDEX([1]Coefficients!$G$180:$BO$199,_xlfn.XMATCH($E20,[1]Coefficients!$B$132:$B$151),_xlfn.XMATCH(S$2,[1]Coefficients!$G$1:$BO$1))</f>
        <v/>
      </c>
      <c r="T20">
        <f t="array" ref="T20">INDEX([1]Coefficients!$G$180:$BO$199,_xlfn.XMATCH($E20,[1]Coefficients!$B$132:$B$151),_xlfn.XMATCH(T$2,[1]Coefficients!$G$1:$BO$1))</f>
        <v/>
      </c>
      <c r="U20">
        <f t="array" ref="U20">INDEX([1]Coefficients!$G$180:$BO$199,_xlfn.XMATCH($E20,[1]Coefficients!$B$132:$B$151),_xlfn.XMATCH(U$2,[1]Coefficients!$G$1:$BO$1))</f>
        <v/>
      </c>
      <c r="V20">
        <f t="array" ref="V20">INDEX([1]Coefficients!$G$180:$BO$199,_xlfn.XMATCH($E20,[1]Coefficients!$B$132:$B$151),_xlfn.XMATCH(V$2,[1]Coefficients!$G$1:$BO$1))</f>
        <v/>
      </c>
      <c r="W20">
        <f t="array" ref="W20">INDEX([1]Coefficients!$G$180:$BO$199,_xlfn.XMATCH($E20,[1]Coefficients!$B$132:$B$151),_xlfn.XMATCH(W$2,[1]Coefficients!$G$1:$BO$1))</f>
        <v/>
      </c>
    </row>
    <row r="21">
      <c r="A21" t="inlineStr">
        <is>
          <t>CIMS.Generic Fuels.Coal</t>
        </is>
      </c>
      <c r="B21" t="inlineStr">
        <is>
          <t>Service</t>
        </is>
      </c>
      <c r="C21" t="inlineStr">
        <is>
          <t>CIMS</t>
        </is>
      </c>
      <c r="E21" t="inlineStr">
        <is>
          <t>Coal</t>
        </is>
      </c>
      <c r="G21" t="inlineStr">
        <is>
          <t>Service provided</t>
        </is>
      </c>
      <c r="L21" t="inlineStr">
        <is>
          <t>GJ</t>
        </is>
      </c>
    </row>
    <row r="22">
      <c r="A22" t="inlineStr">
        <is>
          <t>CIMS.Generic Fuels.Coal</t>
        </is>
      </c>
      <c r="B22" t="inlineStr">
        <is>
          <t>Service</t>
        </is>
      </c>
      <c r="C22" t="inlineStr">
        <is>
          <t>CIMS</t>
        </is>
      </c>
      <c r="E22" t="inlineStr">
        <is>
          <t>Coal</t>
        </is>
      </c>
      <c r="G22" t="inlineStr">
        <is>
          <t>Competition type</t>
        </is>
      </c>
      <c r="H22" t="inlineStr">
        <is>
          <t>Supply - Fixed Price</t>
        </is>
      </c>
    </row>
    <row r="23">
      <c r="A23" t="inlineStr">
        <is>
          <t>CIMS.Generic Fuels.Coal</t>
        </is>
      </c>
      <c r="B23" t="inlineStr">
        <is>
          <t>Service</t>
        </is>
      </c>
      <c r="C23" t="inlineStr">
        <is>
          <t>CIMS</t>
        </is>
      </c>
      <c r="E23" t="inlineStr">
        <is>
          <t>Coal</t>
        </is>
      </c>
      <c r="G23" t="inlineStr">
        <is>
          <t>Is supply</t>
        </is>
      </c>
      <c r="H23" t="b">
        <v>1</v>
      </c>
    </row>
    <row r="24">
      <c r="A24" t="inlineStr">
        <is>
          <t>CIMS.Generic Fuels.Coal</t>
        </is>
      </c>
      <c r="B24" t="inlineStr">
        <is>
          <t>Service</t>
        </is>
      </c>
      <c r="C24" t="inlineStr">
        <is>
          <t>CIMS</t>
        </is>
      </c>
      <c r="E24" t="inlineStr">
        <is>
          <t>Coal</t>
        </is>
      </c>
      <c r="G24" t="inlineStr">
        <is>
          <t>LCC_financial</t>
        </is>
      </c>
      <c r="K24" t="inlineStr">
        <is>
          <t>JCIMS</t>
        </is>
      </c>
      <c r="L24" t="inlineStr">
        <is>
          <t>$/GJ</t>
        </is>
      </c>
      <c r="M24">
        <f t="array" ref="M24">INDEX([1]!JCIMS_prices,_xlfn.XMATCH($E24,[1]!JCIMS_prices_index),_xlfn.XMATCH(M$2,[1]!CER_year))*[1]!JCIMS_price_inflator</f>
        <v/>
      </c>
      <c r="N24">
        <f t="array" ref="N24">INDEX([1]!JCIMS_prices,_xlfn.XMATCH($E24,[1]!JCIMS_prices_index),_xlfn.XMATCH(N$2,[1]!CER_year))*[1]!JCIMS_price_inflator</f>
        <v/>
      </c>
      <c r="O24">
        <f t="array" ref="O24">INDEX([1]!JCIMS_prices,_xlfn.XMATCH($E24,[1]!JCIMS_prices_index),_xlfn.XMATCH(O$2,[1]!CER_year))*[1]!JCIMS_price_inflator</f>
        <v/>
      </c>
      <c r="P24">
        <f t="array" ref="P24">INDEX([1]!JCIMS_prices,_xlfn.XMATCH($E24,[1]!JCIMS_prices_index),_xlfn.XMATCH(P$2,[1]!CER_year))*[1]!JCIMS_price_inflator</f>
        <v/>
      </c>
      <c r="Q24">
        <f t="array" ref="Q24">INDEX([1]!JCIMS_prices,_xlfn.XMATCH($E24,[1]!JCIMS_prices_index),_xlfn.XMATCH(Q$2,[1]!CER_year))*[1]!JCIMS_price_inflator</f>
        <v/>
      </c>
      <c r="R24">
        <f t="array" ref="R24">INDEX([1]!JCIMS_prices,_xlfn.XMATCH($E24,[1]!JCIMS_prices_index),_xlfn.XMATCH(R$2,[1]!CER_year))*[1]!JCIMS_price_inflator</f>
        <v/>
      </c>
      <c r="S24">
        <f t="array" ref="S24">INDEX([1]!JCIMS_prices,_xlfn.XMATCH($E24,[1]!JCIMS_prices_index),_xlfn.XMATCH(S$2,[1]!CER_year))*[1]!JCIMS_price_inflator</f>
        <v/>
      </c>
      <c r="T24">
        <f t="array" ref="T24">INDEX([1]!JCIMS_prices,_xlfn.XMATCH($E24,[1]!JCIMS_prices_index),_xlfn.XMATCH(T$2,[1]!CER_year))*[1]!JCIMS_price_inflator</f>
        <v/>
      </c>
      <c r="U24">
        <f t="array" ref="U24">INDEX([1]!JCIMS_prices,_xlfn.XMATCH($E24,[1]!JCIMS_prices_index),_xlfn.XMATCH(U$2,[1]!CER_year))*[1]!JCIMS_price_inflator</f>
        <v/>
      </c>
      <c r="V24">
        <f t="array" ref="V24">INDEX([1]!JCIMS_prices,_xlfn.XMATCH($E24,[1]!JCIMS_prices_index),_xlfn.XMATCH(V$2,[1]!CER_year))*[1]!JCIMS_price_inflator</f>
        <v/>
      </c>
      <c r="W24">
        <f t="array" ref="W24">INDEX([1]!JCIMS_prices,_xlfn.XMATCH($E24,[1]!JCIMS_prices_index),_xlfn.XMATCH(W$2,[1]!CER_year))*[1]!JCIMS_price_inflator</f>
        <v/>
      </c>
      <c r="X24" t="inlineStr">
        <is>
          <t>Average cost to electricity generators based on JCIMS coal varieties - ON</t>
        </is>
      </c>
    </row>
    <row r="25">
      <c r="A25" t="inlineStr">
        <is>
          <t>CIMS.Generic Fuels.Coal</t>
        </is>
      </c>
      <c r="B25" t="inlineStr">
        <is>
          <t>Service</t>
        </is>
      </c>
      <c r="C25" t="inlineStr">
        <is>
          <t>CIMS</t>
        </is>
      </c>
      <c r="E25" t="inlineStr">
        <is>
          <t>Coal</t>
        </is>
      </c>
      <c r="G25" t="inlineStr">
        <is>
          <t>Emissions</t>
        </is>
      </c>
      <c r="H25" t="inlineStr">
        <is>
          <t>CO2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tCO2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CIMS.Generic Fuels.Coal</t>
        </is>
      </c>
      <c r="B26" t="inlineStr">
        <is>
          <t>Service</t>
        </is>
      </c>
      <c r="C26" t="inlineStr">
        <is>
          <t>CIMS</t>
        </is>
      </c>
      <c r="E26" t="inlineStr">
        <is>
          <t>Coal</t>
        </is>
      </c>
      <c r="G26" t="inlineStr">
        <is>
          <t>Emissions</t>
        </is>
      </c>
      <c r="H26" t="inlineStr">
        <is>
          <t>CH4</t>
        </is>
      </c>
      <c r="I26" t="inlineStr">
        <is>
          <t>Combustion</t>
        </is>
      </c>
      <c r="K26" t="inlineStr">
        <is>
          <t>ECCC, NIR</t>
        </is>
      </c>
      <c r="L26" t="inlineStr">
        <is>
          <t>tCH4</t>
        </is>
      </c>
      <c r="M26">
        <f t="array" ref="M26">INDEX([1]Coefficients!$G$156:$BO$175,_xlfn.XMATCH($E26,[1]Coefficients!$B$132:$B$151),_xlfn.XMATCH(M$2,[1]Coefficients!$G$1:$BO$1))</f>
        <v/>
      </c>
      <c r="N26">
        <f t="array" ref="N26">INDEX([1]Coefficients!$G$156:$BO$175,_xlfn.XMATCH($E26,[1]Coefficients!$B$132:$B$151),_xlfn.XMATCH(N$2,[1]Coefficients!$G$1:$BO$1))</f>
        <v/>
      </c>
      <c r="O26">
        <f t="array" ref="O26">INDEX([1]Coefficients!$G$156:$BO$175,_xlfn.XMATCH($E26,[1]Coefficients!$B$132:$B$151),_xlfn.XMATCH(O$2,[1]Coefficients!$G$1:$BO$1))</f>
        <v/>
      </c>
      <c r="P26">
        <f t="array" ref="P26">INDEX([1]Coefficients!$G$156:$BO$175,_xlfn.XMATCH($E26,[1]Coefficients!$B$132:$B$151),_xlfn.XMATCH(P$2,[1]Coefficients!$G$1:$BO$1))</f>
        <v/>
      </c>
      <c r="Q26">
        <f t="array" ref="Q26">INDEX([1]Coefficients!$G$156:$BO$175,_xlfn.XMATCH($E26,[1]Coefficients!$B$132:$B$151),_xlfn.XMATCH(Q$2,[1]Coefficients!$G$1:$BO$1))</f>
        <v/>
      </c>
      <c r="R26">
        <f t="array" ref="R26">INDEX([1]Coefficients!$G$156:$BO$175,_xlfn.XMATCH($E26,[1]Coefficients!$B$132:$B$151),_xlfn.XMATCH(R$2,[1]Coefficients!$G$1:$BO$1))</f>
        <v/>
      </c>
      <c r="S26">
        <f t="array" ref="S26">INDEX([1]Coefficients!$G$156:$BO$175,_xlfn.XMATCH($E26,[1]Coefficients!$B$132:$B$151),_xlfn.XMATCH(S$2,[1]Coefficients!$G$1:$BO$1))</f>
        <v/>
      </c>
      <c r="T26">
        <f t="array" ref="T26">INDEX([1]Coefficients!$G$156:$BO$175,_xlfn.XMATCH($E26,[1]Coefficients!$B$132:$B$151),_xlfn.XMATCH(T$2,[1]Coefficients!$G$1:$BO$1))</f>
        <v/>
      </c>
      <c r="U26">
        <f t="array" ref="U26">INDEX([1]Coefficients!$G$156:$BO$175,_xlfn.XMATCH($E26,[1]Coefficients!$B$132:$B$151),_xlfn.XMATCH(U$2,[1]Coefficients!$G$1:$BO$1))</f>
        <v/>
      </c>
      <c r="V26">
        <f t="array" ref="V26">INDEX([1]Coefficients!$G$156:$BO$175,_xlfn.XMATCH($E26,[1]Coefficients!$B$132:$B$151),_xlfn.XMATCH(V$2,[1]Coefficients!$G$1:$BO$1))</f>
        <v/>
      </c>
      <c r="W26">
        <f t="array" ref="W26">INDEX([1]Coefficients!$G$156:$BO$175,_xlfn.XMATCH($E26,[1]Coefficients!$B$132:$B$151),_xlfn.XMATCH(W$2,[1]Coefficients!$G$1:$BO$1))</f>
        <v/>
      </c>
    </row>
    <row r="27">
      <c r="A27" t="inlineStr">
        <is>
          <t>CIMS.Generic Fuels.Coal</t>
        </is>
      </c>
      <c r="B27" t="inlineStr">
        <is>
          <t>Service</t>
        </is>
      </c>
      <c r="C27" t="inlineStr">
        <is>
          <t>CIMS</t>
        </is>
      </c>
      <c r="E27" t="inlineStr">
        <is>
          <t>Coal</t>
        </is>
      </c>
      <c r="G27" t="inlineStr">
        <is>
          <t>Emissions</t>
        </is>
      </c>
      <c r="H27" t="inlineStr">
        <is>
          <t>N2O</t>
        </is>
      </c>
      <c r="I27" t="inlineStr">
        <is>
          <t>Combustion</t>
        </is>
      </c>
      <c r="K27" t="inlineStr">
        <is>
          <t>ECCC, NIR</t>
        </is>
      </c>
      <c r="L27" t="inlineStr">
        <is>
          <t>tN2O</t>
        </is>
      </c>
      <c r="M27">
        <f t="array" ref="M27">INDEX([1]Coefficients!$G$180:$BO$199,_xlfn.XMATCH($E27,[1]Coefficients!$B$132:$B$151),_xlfn.XMATCH(M$2,[1]Coefficients!$G$1:$BO$1))</f>
        <v/>
      </c>
      <c r="N27">
        <f t="array" ref="N27">INDEX([1]Coefficients!$G$180:$BO$199,_xlfn.XMATCH($E27,[1]Coefficients!$B$132:$B$151),_xlfn.XMATCH(N$2,[1]Coefficients!$G$1:$BO$1))</f>
        <v/>
      </c>
      <c r="O27">
        <f t="array" ref="O27">INDEX([1]Coefficients!$G$180:$BO$199,_xlfn.XMATCH($E27,[1]Coefficients!$B$132:$B$151),_xlfn.XMATCH(O$2,[1]Coefficients!$G$1:$BO$1))</f>
        <v/>
      </c>
      <c r="P27">
        <f t="array" ref="P27">INDEX([1]Coefficients!$G$180:$BO$199,_xlfn.XMATCH($E27,[1]Coefficients!$B$132:$B$151),_xlfn.XMATCH(P$2,[1]Coefficients!$G$1:$BO$1))</f>
        <v/>
      </c>
      <c r="Q27">
        <f t="array" ref="Q27">INDEX([1]Coefficients!$G$180:$BO$199,_xlfn.XMATCH($E27,[1]Coefficients!$B$132:$B$151),_xlfn.XMATCH(Q$2,[1]Coefficients!$G$1:$BO$1))</f>
        <v/>
      </c>
      <c r="R27">
        <f t="array" ref="R27">INDEX([1]Coefficients!$G$180:$BO$199,_xlfn.XMATCH($E27,[1]Coefficients!$B$132:$B$151),_xlfn.XMATCH(R$2,[1]Coefficients!$G$1:$BO$1))</f>
        <v/>
      </c>
      <c r="S27">
        <f t="array" ref="S27">INDEX([1]Coefficients!$G$180:$BO$199,_xlfn.XMATCH($E27,[1]Coefficients!$B$132:$B$151),_xlfn.XMATCH(S$2,[1]Coefficients!$G$1:$BO$1))</f>
        <v/>
      </c>
      <c r="T27">
        <f t="array" ref="T27">INDEX([1]Coefficients!$G$180:$BO$199,_xlfn.XMATCH($E27,[1]Coefficients!$B$132:$B$151),_xlfn.XMATCH(T$2,[1]Coefficients!$G$1:$BO$1))</f>
        <v/>
      </c>
      <c r="U27">
        <f t="array" ref="U27">INDEX([1]Coefficients!$G$180:$BO$199,_xlfn.XMATCH($E27,[1]Coefficients!$B$132:$B$151),_xlfn.XMATCH(U$2,[1]Coefficients!$G$1:$BO$1))</f>
        <v/>
      </c>
      <c r="V27">
        <f t="array" ref="V27">INDEX([1]Coefficients!$G$180:$BO$199,_xlfn.XMATCH($E27,[1]Coefficients!$B$132:$B$151),_xlfn.XMATCH(V$2,[1]Coefficients!$G$1:$BO$1))</f>
        <v/>
      </c>
      <c r="W27">
        <f t="array" ref="W27">INDEX([1]Coefficients!$G$180:$BO$199,_xlfn.XMATCH($E27,[1]Coefficients!$B$132:$B$151),_xlfn.XMATCH(W$2,[1]Coefficients!$G$1:$BO$1))</f>
        <v/>
      </c>
    </row>
    <row r="28">
      <c r="A28" t="inlineStr">
        <is>
          <t>CIMS.Generic Fuels.Metallurgical Coal</t>
        </is>
      </c>
      <c r="B28" t="inlineStr">
        <is>
          <t>Service</t>
        </is>
      </c>
      <c r="C28" t="inlineStr">
        <is>
          <t>CIMS</t>
        </is>
      </c>
      <c r="E28" t="inlineStr">
        <is>
          <t>Metallurgical Coal</t>
        </is>
      </c>
      <c r="G28" t="inlineStr">
        <is>
          <t>Service provided</t>
        </is>
      </c>
      <c r="L28" t="inlineStr">
        <is>
          <t>GJ</t>
        </is>
      </c>
    </row>
    <row r="29">
      <c r="A29" t="inlineStr">
        <is>
          <t>CIMS.Generic Fuels.Metallurgical Coal</t>
        </is>
      </c>
      <c r="B29" t="inlineStr">
        <is>
          <t>Service</t>
        </is>
      </c>
      <c r="C29" t="inlineStr">
        <is>
          <t>CIMS</t>
        </is>
      </c>
      <c r="E29" t="inlineStr">
        <is>
          <t>Metallurgical Coal</t>
        </is>
      </c>
      <c r="G29" t="inlineStr">
        <is>
          <t>Competition type</t>
        </is>
      </c>
      <c r="H29" t="inlineStr">
        <is>
          <t>Supply - Fixed Price</t>
        </is>
      </c>
    </row>
    <row r="30">
      <c r="A30" t="inlineStr">
        <is>
          <t>CIMS.Generic Fuels.Metallurgical Coal</t>
        </is>
      </c>
      <c r="B30" t="inlineStr">
        <is>
          <t>Service</t>
        </is>
      </c>
      <c r="C30" t="inlineStr">
        <is>
          <t>CIMS</t>
        </is>
      </c>
      <c r="E30" t="inlineStr">
        <is>
          <t>Metallurgical Coal</t>
        </is>
      </c>
      <c r="G30" t="inlineStr">
        <is>
          <t>Is supply</t>
        </is>
      </c>
      <c r="H30" t="b">
        <v>1</v>
      </c>
    </row>
    <row r="31">
      <c r="A31" t="inlineStr">
        <is>
          <t>CIMS.Generic Fuels.Metallurgical Coal</t>
        </is>
      </c>
      <c r="B31" t="inlineStr">
        <is>
          <t>Service</t>
        </is>
      </c>
      <c r="C31" t="inlineStr">
        <is>
          <t>CIMS</t>
        </is>
      </c>
      <c r="E31" t="inlineStr">
        <is>
          <t>Metallurgical Coal</t>
        </is>
      </c>
      <c r="G31" t="inlineStr">
        <is>
          <t>LCC_financial</t>
        </is>
      </c>
      <c r="K31" t="inlineStr">
        <is>
          <t>JCIMS</t>
        </is>
      </c>
      <c r="L31" t="inlineStr">
        <is>
          <t>$/GJ</t>
        </is>
      </c>
      <c r="M31">
        <f>M24</f>
        <v/>
      </c>
      <c r="N31">
        <f>N24</f>
        <v/>
      </c>
      <c r="O31">
        <f>O24</f>
        <v/>
      </c>
      <c r="P31">
        <f>P24</f>
        <v/>
      </c>
      <c r="Q31">
        <f>Q24</f>
        <v/>
      </c>
      <c r="R31">
        <f>R24</f>
        <v/>
      </c>
      <c r="S31">
        <f>S24</f>
        <v/>
      </c>
      <c r="T31">
        <f>T24</f>
        <v/>
      </c>
      <c r="U31">
        <f>U24</f>
        <v/>
      </c>
      <c r="V31">
        <f>V24</f>
        <v/>
      </c>
      <c r="W31">
        <f>W24</f>
        <v/>
      </c>
      <c r="X31" t="inlineStr">
        <is>
          <t>Average cost to electricity generators based on JCIMS coal varieties - ON</t>
        </is>
      </c>
    </row>
    <row r="32">
      <c r="A32" t="inlineStr">
        <is>
          <t>CIMS.Generic Fuels.Metallurgical Coal</t>
        </is>
      </c>
      <c r="B32" t="inlineStr">
        <is>
          <t>Service</t>
        </is>
      </c>
      <c r="C32" t="inlineStr">
        <is>
          <t>CIMS</t>
        </is>
      </c>
      <c r="E32" t="inlineStr">
        <is>
          <t>Metallurgical Coal</t>
        </is>
      </c>
      <c r="G32" t="inlineStr">
        <is>
          <t>Emissions</t>
        </is>
      </c>
      <c r="H32" t="inlineStr">
        <is>
          <t>CO2</t>
        </is>
      </c>
      <c r="I32" t="inlineStr">
        <is>
          <t>Process</t>
        </is>
      </c>
      <c r="K32" t="inlineStr">
        <is>
          <t>ECCC, NIR</t>
        </is>
      </c>
      <c r="L32" t="inlineStr">
        <is>
          <t>tCO2</t>
        </is>
      </c>
      <c r="M32">
        <f>M25*0.75</f>
        <v/>
      </c>
      <c r="N32">
        <f>N25*0.75</f>
        <v/>
      </c>
      <c r="O32">
        <f>O25*0.75</f>
        <v/>
      </c>
      <c r="P32">
        <f>P25*0.75</f>
        <v/>
      </c>
      <c r="Q32">
        <f>Q25*0.75</f>
        <v/>
      </c>
      <c r="R32">
        <f>R25*0.75</f>
        <v/>
      </c>
      <c r="S32">
        <f>S25*0.75</f>
        <v/>
      </c>
      <c r="T32">
        <f>T25*0.75</f>
        <v/>
      </c>
      <c r="U32">
        <f>U25*0.75</f>
        <v/>
      </c>
      <c r="V32">
        <f>V25*0.75</f>
        <v/>
      </c>
      <c r="W32">
        <f>W25*0.75</f>
        <v/>
      </c>
    </row>
    <row r="33">
      <c r="A33" t="inlineStr">
        <is>
          <t>CIMS.Generic Fuels.Metallurgical Coal</t>
        </is>
      </c>
      <c r="B33" t="inlineStr">
        <is>
          <t>Service</t>
        </is>
      </c>
      <c r="C33" t="inlineStr">
        <is>
          <t>CIMS</t>
        </is>
      </c>
      <c r="E33" t="inlineStr">
        <is>
          <t>Metallurgical Coal</t>
        </is>
      </c>
      <c r="G33" t="inlineStr">
        <is>
          <t>Emissions</t>
        </is>
      </c>
      <c r="H33" t="inlineStr">
        <is>
          <t>CO2</t>
        </is>
      </c>
      <c r="I33" t="inlineStr">
        <is>
          <t>Combustion</t>
        </is>
      </c>
      <c r="K33" t="inlineStr">
        <is>
          <t>ECCC, NIR</t>
        </is>
      </c>
      <c r="L33" t="inlineStr">
        <is>
          <t>tCO2</t>
        </is>
      </c>
      <c r="M33">
        <f>M25*0.25</f>
        <v/>
      </c>
      <c r="N33">
        <f>N25*0.25</f>
        <v/>
      </c>
      <c r="O33">
        <f>O25*0.25</f>
        <v/>
      </c>
      <c r="P33">
        <f>P25*0.25</f>
        <v/>
      </c>
      <c r="Q33">
        <f>Q25*0.25</f>
        <v/>
      </c>
      <c r="R33">
        <f>R25*0.25</f>
        <v/>
      </c>
      <c r="S33">
        <f>S25*0.25</f>
        <v/>
      </c>
      <c r="T33">
        <f>T25*0.25</f>
        <v/>
      </c>
      <c r="U33">
        <f>U25*0.25</f>
        <v/>
      </c>
      <c r="V33">
        <f>V25*0.25</f>
        <v/>
      </c>
      <c r="W33">
        <f>W25*0.25</f>
        <v/>
      </c>
    </row>
    <row r="34">
      <c r="A34" t="inlineStr">
        <is>
          <t>CIMS.Generic Fuels.Metallurgical Coal</t>
        </is>
      </c>
      <c r="B34" t="inlineStr">
        <is>
          <t>Service</t>
        </is>
      </c>
      <c r="C34" t="inlineStr">
        <is>
          <t>CIMS</t>
        </is>
      </c>
      <c r="E34" t="inlineStr">
        <is>
          <t>Metallurgical Coal</t>
        </is>
      </c>
      <c r="G34" t="inlineStr">
        <is>
          <t>Emissions</t>
        </is>
      </c>
      <c r="H34" t="inlineStr">
        <is>
          <t>CH4</t>
        </is>
      </c>
      <c r="I34" t="inlineStr">
        <is>
          <t>Combustion</t>
        </is>
      </c>
      <c r="K34" t="inlineStr">
        <is>
          <t>ECCC, NIR</t>
        </is>
      </c>
      <c r="L34" t="inlineStr">
        <is>
          <t>tCH4</t>
        </is>
      </c>
      <c r="M34">
        <f>M26</f>
        <v/>
      </c>
      <c r="N34">
        <f>N26</f>
        <v/>
      </c>
      <c r="O34">
        <f>O26</f>
        <v/>
      </c>
      <c r="P34">
        <f>P26</f>
        <v/>
      </c>
      <c r="Q34">
        <f>Q26</f>
        <v/>
      </c>
      <c r="R34">
        <f>R26</f>
        <v/>
      </c>
      <c r="S34">
        <f>S26</f>
        <v/>
      </c>
      <c r="T34">
        <f>T26</f>
        <v/>
      </c>
      <c r="U34">
        <f>U26</f>
        <v/>
      </c>
      <c r="V34">
        <f>V26</f>
        <v/>
      </c>
      <c r="W34">
        <f>W26</f>
        <v/>
      </c>
    </row>
    <row r="35">
      <c r="A35" t="inlineStr">
        <is>
          <t>CIMS.Generic Fuels.Metallurgical Coal</t>
        </is>
      </c>
      <c r="B35" t="inlineStr">
        <is>
          <t>Service</t>
        </is>
      </c>
      <c r="C35" t="inlineStr">
        <is>
          <t>CIMS</t>
        </is>
      </c>
      <c r="E35" t="inlineStr">
        <is>
          <t>Metallurgical Coal</t>
        </is>
      </c>
      <c r="G35" t="inlineStr">
        <is>
          <t>Emissions</t>
        </is>
      </c>
      <c r="H35" t="inlineStr">
        <is>
          <t>N2O</t>
        </is>
      </c>
      <c r="I35" t="inlineStr">
        <is>
          <t>Combustion</t>
        </is>
      </c>
      <c r="K35" t="inlineStr">
        <is>
          <t>ECCC, NIR</t>
        </is>
      </c>
      <c r="L35" t="inlineStr">
        <is>
          <t>tN2O</t>
        </is>
      </c>
      <c r="M35">
        <f>M27</f>
        <v/>
      </c>
      <c r="N35">
        <f>N27</f>
        <v/>
      </c>
      <c r="O35">
        <f>O27</f>
        <v/>
      </c>
      <c r="P35">
        <f>P27</f>
        <v/>
      </c>
      <c r="Q35">
        <f>Q27</f>
        <v/>
      </c>
      <c r="R35">
        <f>R27</f>
        <v/>
      </c>
      <c r="S35">
        <f>S27</f>
        <v/>
      </c>
      <c r="T35">
        <f>T27</f>
        <v/>
      </c>
      <c r="U35">
        <f>U27</f>
        <v/>
      </c>
      <c r="V35">
        <f>V27</f>
        <v/>
      </c>
      <c r="W35">
        <f>W27</f>
        <v/>
      </c>
    </row>
    <row r="36">
      <c r="A36" t="inlineStr">
        <is>
          <t>CIMS.Generic Fuels.Coke</t>
        </is>
      </c>
      <c r="B36" t="inlineStr">
        <is>
          <t>Service</t>
        </is>
      </c>
      <c r="C36" t="inlineStr">
        <is>
          <t>CIMS</t>
        </is>
      </c>
      <c r="E36" t="inlineStr">
        <is>
          <t>Coke</t>
        </is>
      </c>
      <c r="G36" t="inlineStr">
        <is>
          <t>Service provided</t>
        </is>
      </c>
      <c r="L36" t="inlineStr">
        <is>
          <t>GJ</t>
        </is>
      </c>
    </row>
    <row r="37">
      <c r="A37" t="inlineStr">
        <is>
          <t>CIMS.Generic Fuels.Coke</t>
        </is>
      </c>
      <c r="B37" t="inlineStr">
        <is>
          <t>Service</t>
        </is>
      </c>
      <c r="C37" t="inlineStr">
        <is>
          <t>CIMS</t>
        </is>
      </c>
      <c r="E37" t="inlineStr">
        <is>
          <t>Coke</t>
        </is>
      </c>
      <c r="G37" t="inlineStr">
        <is>
          <t>Competition type</t>
        </is>
      </c>
      <c r="H37" t="inlineStr">
        <is>
          <t>Supply - Fixed Price</t>
        </is>
      </c>
    </row>
    <row r="38">
      <c r="A38" t="inlineStr">
        <is>
          <t>CIMS.Generic Fuels.Coke</t>
        </is>
      </c>
      <c r="B38" t="inlineStr">
        <is>
          <t>Service</t>
        </is>
      </c>
      <c r="C38" t="inlineStr">
        <is>
          <t>CIMS</t>
        </is>
      </c>
      <c r="E38" t="inlineStr">
        <is>
          <t>Coke</t>
        </is>
      </c>
      <c r="G38" t="inlineStr">
        <is>
          <t>Is supply</t>
        </is>
      </c>
      <c r="H38" t="b">
        <v>1</v>
      </c>
    </row>
    <row r="39">
      <c r="A39" t="inlineStr">
        <is>
          <t>CIMS.Generic Fuels.Coke</t>
        </is>
      </c>
      <c r="B39" t="inlineStr">
        <is>
          <t>Service</t>
        </is>
      </c>
      <c r="C39" t="inlineStr">
        <is>
          <t>CIMS</t>
        </is>
      </c>
      <c r="E39" t="inlineStr">
        <is>
          <t>Coke</t>
        </is>
      </c>
      <c r="G39" t="inlineStr">
        <is>
          <t>LCC_financial</t>
        </is>
      </c>
      <c r="K39" t="inlineStr">
        <is>
          <t>JCIMS</t>
        </is>
      </c>
      <c r="L39" t="inlineStr">
        <is>
          <t>$/GJ</t>
        </is>
      </c>
      <c r="M39">
        <f t="array" ref="M39">INDEX([1]!JCIMS_prices,_xlfn.XMATCH($E39,[1]!JCIMS_prices_index),_xlfn.XMATCH(M$2,[1]!CER_year))*[1]!JCIMS_price_inflator</f>
        <v/>
      </c>
      <c r="N39">
        <f t="array" ref="N39">INDEX([1]!JCIMS_prices,_xlfn.XMATCH($E39,[1]!JCIMS_prices_index),_xlfn.XMATCH(N$2,[1]!CER_year))*[1]!JCIMS_price_inflator</f>
        <v/>
      </c>
      <c r="O39">
        <f t="array" ref="O39">INDEX([1]!JCIMS_prices,_xlfn.XMATCH($E39,[1]!JCIMS_prices_index),_xlfn.XMATCH(O$2,[1]!CER_year))*[1]!JCIMS_price_inflator</f>
        <v/>
      </c>
      <c r="P39">
        <f t="array" ref="P39">INDEX([1]!JCIMS_prices,_xlfn.XMATCH($E39,[1]!JCIMS_prices_index),_xlfn.XMATCH(P$2,[1]!CER_year))*[1]!JCIMS_price_inflator</f>
        <v/>
      </c>
      <c r="Q39">
        <f t="array" ref="Q39">INDEX([1]!JCIMS_prices,_xlfn.XMATCH($E39,[1]!JCIMS_prices_index),_xlfn.XMATCH(Q$2,[1]!CER_year))*[1]!JCIMS_price_inflator</f>
        <v/>
      </c>
      <c r="R39">
        <f t="array" ref="R39">INDEX([1]!JCIMS_prices,_xlfn.XMATCH($E39,[1]!JCIMS_prices_index),_xlfn.XMATCH(R$2,[1]!CER_year))*[1]!JCIMS_price_inflator</f>
        <v/>
      </c>
      <c r="S39">
        <f t="array" ref="S39">INDEX([1]!JCIMS_prices,_xlfn.XMATCH($E39,[1]!JCIMS_prices_index),_xlfn.XMATCH(S$2,[1]!CER_year))*[1]!JCIMS_price_inflator</f>
        <v/>
      </c>
      <c r="T39">
        <f t="array" ref="T39">INDEX([1]!JCIMS_prices,_xlfn.XMATCH($E39,[1]!JCIMS_prices_index),_xlfn.XMATCH(T$2,[1]!CER_year))*[1]!JCIMS_price_inflator</f>
        <v/>
      </c>
      <c r="U39">
        <f t="array" ref="U39">INDEX([1]!JCIMS_prices,_xlfn.XMATCH($E39,[1]!JCIMS_prices_index),_xlfn.XMATCH(U$2,[1]!CER_year))*[1]!JCIMS_price_inflator</f>
        <v/>
      </c>
      <c r="V39">
        <f t="array" ref="V39">INDEX([1]!JCIMS_prices,_xlfn.XMATCH($E39,[1]!JCIMS_prices_index),_xlfn.XMATCH(V$2,[1]!CER_year))*[1]!JCIMS_price_inflator</f>
        <v/>
      </c>
      <c r="W39">
        <f t="array" ref="W39">INDEX([1]!JCIMS_prices,_xlfn.XMATCH($E39,[1]!JCIMS_prices_index),_xlfn.XMATCH(W$2,[1]!CER_year))*[1]!JCIMS_price_inflator</f>
        <v/>
      </c>
      <c r="X39" t="inlineStr">
        <is>
          <t>Cost in iron &amp; steel - ON</t>
        </is>
      </c>
    </row>
    <row r="40">
      <c r="A40" t="inlineStr">
        <is>
          <t>CIMS.Generic Fuels.Coke</t>
        </is>
      </c>
      <c r="B40" t="inlineStr">
        <is>
          <t>Service</t>
        </is>
      </c>
      <c r="C40" t="inlineStr">
        <is>
          <t>CIMS</t>
        </is>
      </c>
      <c r="E40" t="inlineStr">
        <is>
          <t>Coke</t>
        </is>
      </c>
      <c r="G40" t="inlineStr">
        <is>
          <t>Emissions</t>
        </is>
      </c>
      <c r="H40" t="inlineStr">
        <is>
          <t>CO2</t>
        </is>
      </c>
      <c r="I40" t="inlineStr">
        <is>
          <t>Combustion</t>
        </is>
      </c>
      <c r="K40" t="inlineStr">
        <is>
          <t>ECCC, NIR</t>
        </is>
      </c>
      <c r="L40" t="inlineStr">
        <is>
          <t>tCO2</t>
        </is>
      </c>
      <c r="M40">
        <f t="array" ref="M40">INDEX([1]Coefficients!$G$132:$BO$151,_xlfn.XMATCH($E40,[1]Coefficients!$B$132:$B$151),_xlfn.XMATCH(M$2,[1]Coefficients!$G$1:$BO$1))</f>
        <v/>
      </c>
      <c r="N40">
        <f t="array" ref="N40">INDEX([1]Coefficients!$G$132:$BO$151,_xlfn.XMATCH($E40,[1]Coefficients!$B$132:$B$151),_xlfn.XMATCH(N$2,[1]Coefficients!$G$1:$BO$1))</f>
        <v/>
      </c>
      <c r="O40">
        <f t="array" ref="O40">INDEX([1]Coefficients!$G$132:$BO$151,_xlfn.XMATCH($E40,[1]Coefficients!$B$132:$B$151),_xlfn.XMATCH(O$2,[1]Coefficients!$G$1:$BO$1))</f>
        <v/>
      </c>
      <c r="P40">
        <f t="array" ref="P40">INDEX([1]Coefficients!$G$132:$BO$151,_xlfn.XMATCH($E40,[1]Coefficients!$B$132:$B$151),_xlfn.XMATCH(P$2,[1]Coefficients!$G$1:$BO$1))</f>
        <v/>
      </c>
      <c r="Q40">
        <f t="array" ref="Q40">INDEX([1]Coefficients!$G$132:$BO$151,_xlfn.XMATCH($E40,[1]Coefficients!$B$132:$B$151),_xlfn.XMATCH(Q$2,[1]Coefficients!$G$1:$BO$1))</f>
        <v/>
      </c>
      <c r="R40">
        <f t="array" ref="R40">INDEX([1]Coefficients!$G$132:$BO$151,_xlfn.XMATCH($E40,[1]Coefficients!$B$132:$B$151),_xlfn.XMATCH(R$2,[1]Coefficients!$G$1:$BO$1))</f>
        <v/>
      </c>
      <c r="S40">
        <f t="array" ref="S40">INDEX([1]Coefficients!$G$132:$BO$151,_xlfn.XMATCH($E40,[1]Coefficients!$B$132:$B$151),_xlfn.XMATCH(S$2,[1]Coefficients!$G$1:$BO$1))</f>
        <v/>
      </c>
      <c r="T40">
        <f t="array" ref="T40">INDEX([1]Coefficients!$G$132:$BO$151,_xlfn.XMATCH($E40,[1]Coefficients!$B$132:$B$151),_xlfn.XMATCH(T$2,[1]Coefficients!$G$1:$BO$1))</f>
        <v/>
      </c>
      <c r="U40">
        <f t="array" ref="U40">INDEX([1]Coefficients!$G$132:$BO$151,_xlfn.XMATCH($E40,[1]Coefficients!$B$132:$B$151),_xlfn.XMATCH(U$2,[1]Coefficients!$G$1:$BO$1))</f>
        <v/>
      </c>
      <c r="V40">
        <f t="array" ref="V40">INDEX([1]Coefficients!$G$132:$BO$151,_xlfn.XMATCH($E40,[1]Coefficients!$B$132:$B$151),_xlfn.XMATCH(V$2,[1]Coefficients!$G$1:$BO$1))</f>
        <v/>
      </c>
      <c r="W40">
        <f t="array" ref="W40">INDEX([1]Coefficients!$G$132:$BO$151,_xlfn.XMATCH($E40,[1]Coefficients!$B$132:$B$151),_xlfn.XMATCH(W$2,[1]Coefficients!$G$1:$BO$1))</f>
        <v/>
      </c>
    </row>
    <row r="41">
      <c r="A41" t="inlineStr">
        <is>
          <t>CIMS.Generic Fuels.Coke</t>
        </is>
      </c>
      <c r="B41" t="inlineStr">
        <is>
          <t>Service</t>
        </is>
      </c>
      <c r="C41" t="inlineStr">
        <is>
          <t>CIMS</t>
        </is>
      </c>
      <c r="E41" t="inlineStr">
        <is>
          <t>Coke</t>
        </is>
      </c>
      <c r="G41" t="inlineStr">
        <is>
          <t>Emissions</t>
        </is>
      </c>
      <c r="H41" t="inlineStr">
        <is>
          <t>CH4</t>
        </is>
      </c>
      <c r="I41" t="inlineStr">
        <is>
          <t>Combustion</t>
        </is>
      </c>
      <c r="K41" t="inlineStr">
        <is>
          <t>ECCC, NIR</t>
        </is>
      </c>
      <c r="L41" t="inlineStr">
        <is>
          <t>tCH4</t>
        </is>
      </c>
      <c r="M41">
        <f t="array" ref="M41">INDEX([1]Coefficients!$G$156:$BO$175,_xlfn.XMATCH($E41,[1]Coefficients!$B$132:$B$151),_xlfn.XMATCH(M$2,[1]Coefficients!$G$1:$BO$1))</f>
        <v/>
      </c>
      <c r="N41">
        <f t="array" ref="N41">INDEX([1]Coefficients!$G$156:$BO$175,_xlfn.XMATCH($E41,[1]Coefficients!$B$132:$B$151),_xlfn.XMATCH(N$2,[1]Coefficients!$G$1:$BO$1))</f>
        <v/>
      </c>
      <c r="O41">
        <f t="array" ref="O41">INDEX([1]Coefficients!$G$156:$BO$175,_xlfn.XMATCH($E41,[1]Coefficients!$B$132:$B$151),_xlfn.XMATCH(O$2,[1]Coefficients!$G$1:$BO$1))</f>
        <v/>
      </c>
      <c r="P41">
        <f t="array" ref="P41">INDEX([1]Coefficients!$G$156:$BO$175,_xlfn.XMATCH($E41,[1]Coefficients!$B$132:$B$151),_xlfn.XMATCH(P$2,[1]Coefficients!$G$1:$BO$1))</f>
        <v/>
      </c>
      <c r="Q41">
        <f t="array" ref="Q41">INDEX([1]Coefficients!$G$156:$BO$175,_xlfn.XMATCH($E41,[1]Coefficients!$B$132:$B$151),_xlfn.XMATCH(Q$2,[1]Coefficients!$G$1:$BO$1))</f>
        <v/>
      </c>
      <c r="R41">
        <f t="array" ref="R41">INDEX([1]Coefficients!$G$156:$BO$175,_xlfn.XMATCH($E41,[1]Coefficients!$B$132:$B$151),_xlfn.XMATCH(R$2,[1]Coefficients!$G$1:$BO$1))</f>
        <v/>
      </c>
      <c r="S41">
        <f t="array" ref="S41">INDEX([1]Coefficients!$G$156:$BO$175,_xlfn.XMATCH($E41,[1]Coefficients!$B$132:$B$151),_xlfn.XMATCH(S$2,[1]Coefficients!$G$1:$BO$1))</f>
        <v/>
      </c>
      <c r="T41">
        <f t="array" ref="T41">INDEX([1]Coefficients!$G$156:$BO$175,_xlfn.XMATCH($E41,[1]Coefficients!$B$132:$B$151),_xlfn.XMATCH(T$2,[1]Coefficients!$G$1:$BO$1))</f>
        <v/>
      </c>
      <c r="U41">
        <f t="array" ref="U41">INDEX([1]Coefficients!$G$156:$BO$175,_xlfn.XMATCH($E41,[1]Coefficients!$B$132:$B$151),_xlfn.XMATCH(U$2,[1]Coefficients!$G$1:$BO$1))</f>
        <v/>
      </c>
      <c r="V41">
        <f t="array" ref="V41">INDEX([1]Coefficients!$G$156:$BO$175,_xlfn.XMATCH($E41,[1]Coefficients!$B$132:$B$151),_xlfn.XMATCH(V$2,[1]Coefficients!$G$1:$BO$1))</f>
        <v/>
      </c>
      <c r="W41">
        <f t="array" ref="W41">INDEX([1]Coefficients!$G$156:$BO$175,_xlfn.XMATCH($E41,[1]Coefficients!$B$132:$B$151),_xlfn.XMATCH(W$2,[1]Coefficients!$G$1:$BO$1))</f>
        <v/>
      </c>
    </row>
    <row r="42">
      <c r="A42" t="inlineStr">
        <is>
          <t>CIMS.Generic Fuels.Coke</t>
        </is>
      </c>
      <c r="B42" t="inlineStr">
        <is>
          <t>Service</t>
        </is>
      </c>
      <c r="C42" t="inlineStr">
        <is>
          <t>CIMS</t>
        </is>
      </c>
      <c r="E42" t="inlineStr">
        <is>
          <t>Coke</t>
        </is>
      </c>
      <c r="G42" t="inlineStr">
        <is>
          <t>Emissions</t>
        </is>
      </c>
      <c r="H42" t="inlineStr">
        <is>
          <t>N2O</t>
        </is>
      </c>
      <c r="I42" t="inlineStr">
        <is>
          <t>Combustion</t>
        </is>
      </c>
      <c r="K42" t="inlineStr">
        <is>
          <t>ECCC, NIR</t>
        </is>
      </c>
      <c r="L42" t="inlineStr">
        <is>
          <t>tN2O</t>
        </is>
      </c>
      <c r="M42">
        <f t="array" ref="M42">INDEX([1]Coefficients!$G$180:$BO$199,_xlfn.XMATCH($E42,[1]Coefficients!$B$132:$B$151),_xlfn.XMATCH(M$2,[1]Coefficients!$G$1:$BO$1))</f>
        <v/>
      </c>
      <c r="N42">
        <f t="array" ref="N42">INDEX([1]Coefficients!$G$180:$BO$199,_xlfn.XMATCH($E42,[1]Coefficients!$B$132:$B$151),_xlfn.XMATCH(N$2,[1]Coefficients!$G$1:$BO$1))</f>
        <v/>
      </c>
      <c r="O42">
        <f t="array" ref="O42">INDEX([1]Coefficients!$G$180:$BO$199,_xlfn.XMATCH($E42,[1]Coefficients!$B$132:$B$151),_xlfn.XMATCH(O$2,[1]Coefficients!$G$1:$BO$1))</f>
        <v/>
      </c>
      <c r="P42">
        <f t="array" ref="P42">INDEX([1]Coefficients!$G$180:$BO$199,_xlfn.XMATCH($E42,[1]Coefficients!$B$132:$B$151),_xlfn.XMATCH(P$2,[1]Coefficients!$G$1:$BO$1))</f>
        <v/>
      </c>
      <c r="Q42">
        <f t="array" ref="Q42">INDEX([1]Coefficients!$G$180:$BO$199,_xlfn.XMATCH($E42,[1]Coefficients!$B$132:$B$151),_xlfn.XMATCH(Q$2,[1]Coefficients!$G$1:$BO$1))</f>
        <v/>
      </c>
      <c r="R42">
        <f t="array" ref="R42">INDEX([1]Coefficients!$G$180:$BO$199,_xlfn.XMATCH($E42,[1]Coefficients!$B$132:$B$151),_xlfn.XMATCH(R$2,[1]Coefficients!$G$1:$BO$1))</f>
        <v/>
      </c>
      <c r="S42">
        <f t="array" ref="S42">INDEX([1]Coefficients!$G$180:$BO$199,_xlfn.XMATCH($E42,[1]Coefficients!$B$132:$B$151),_xlfn.XMATCH(S$2,[1]Coefficients!$G$1:$BO$1))</f>
        <v/>
      </c>
      <c r="T42">
        <f t="array" ref="T42">INDEX([1]Coefficients!$G$180:$BO$199,_xlfn.XMATCH($E42,[1]Coefficients!$B$132:$B$151),_xlfn.XMATCH(T$2,[1]Coefficients!$G$1:$BO$1))</f>
        <v/>
      </c>
      <c r="U42">
        <f t="array" ref="U42">INDEX([1]Coefficients!$G$180:$BO$199,_xlfn.XMATCH($E42,[1]Coefficients!$B$132:$B$151),_xlfn.XMATCH(U$2,[1]Coefficients!$G$1:$BO$1))</f>
        <v/>
      </c>
      <c r="V42">
        <f t="array" ref="V42">INDEX([1]Coefficients!$G$180:$BO$199,_xlfn.XMATCH($E42,[1]Coefficients!$B$132:$B$151),_xlfn.XMATCH(V$2,[1]Coefficients!$G$1:$BO$1))</f>
        <v/>
      </c>
      <c r="W42">
        <f t="array" ref="W42">INDEX([1]Coefficients!$G$180:$BO$199,_xlfn.XMATCH($E42,[1]Coefficients!$B$132:$B$151),_xlfn.XMATCH(W$2,[1]Coefficients!$G$1:$BO$1))</f>
        <v/>
      </c>
    </row>
    <row r="43">
      <c r="A43" t="inlineStr">
        <is>
          <t>CIMS.Generic Fuels.Diesel</t>
        </is>
      </c>
      <c r="B43" t="inlineStr">
        <is>
          <t>Service</t>
        </is>
      </c>
      <c r="C43" t="inlineStr">
        <is>
          <t>CIMS</t>
        </is>
      </c>
      <c r="E43" t="inlineStr">
        <is>
          <t>Diesel</t>
        </is>
      </c>
      <c r="G43" t="inlineStr">
        <is>
          <t>Service provided</t>
        </is>
      </c>
      <c r="L43" t="inlineStr">
        <is>
          <t>GJ</t>
        </is>
      </c>
    </row>
    <row r="44">
      <c r="A44" t="inlineStr">
        <is>
          <t>CIMS.Generic Fuels.Diesel</t>
        </is>
      </c>
      <c r="B44" t="inlineStr">
        <is>
          <t>Service</t>
        </is>
      </c>
      <c r="C44" t="inlineStr">
        <is>
          <t>CIMS</t>
        </is>
      </c>
      <c r="E44" t="inlineStr">
        <is>
          <t>Diesel</t>
        </is>
      </c>
      <c r="G44" t="inlineStr">
        <is>
          <t>Competition type</t>
        </is>
      </c>
      <c r="H44" t="inlineStr">
        <is>
          <t>Supply - Fixed Price</t>
        </is>
      </c>
    </row>
    <row r="45">
      <c r="A45" t="inlineStr">
        <is>
          <t>CIMS.Generic Fuels.Diesel</t>
        </is>
      </c>
      <c r="B45" t="inlineStr">
        <is>
          <t>Service</t>
        </is>
      </c>
      <c r="C45" t="inlineStr">
        <is>
          <t>CIMS</t>
        </is>
      </c>
      <c r="E45" t="inlineStr">
        <is>
          <t>Diesel</t>
        </is>
      </c>
      <c r="G45" t="inlineStr">
        <is>
          <t>Is supply</t>
        </is>
      </c>
      <c r="H45" t="b">
        <v>1</v>
      </c>
    </row>
    <row r="46">
      <c r="A46" t="inlineStr">
        <is>
          <t>CIMS.Generic Fuels.Diesel</t>
        </is>
      </c>
      <c r="B46" t="inlineStr">
        <is>
          <t>Service</t>
        </is>
      </c>
      <c r="C46" t="inlineStr">
        <is>
          <t>CIMS</t>
        </is>
      </c>
      <c r="E46" t="inlineStr">
        <is>
          <t>Diesel</t>
        </is>
      </c>
      <c r="G46" t="inlineStr">
        <is>
          <t>LCC_financial</t>
        </is>
      </c>
      <c r="K46" t="inlineStr">
        <is>
          <t>CER</t>
        </is>
      </c>
      <c r="L46" t="inlineStr">
        <is>
          <t>$/GJ</t>
        </is>
      </c>
      <c r="M46">
        <f t="array" ref="M46">ROUND(INDEX([1]!CER_prices,_xlfn.XMATCH("CAN"&amp;"Transportation"&amp;$A46,[1]!CER_prices_index),_xlfn.XMATCH(M$2,[1]!CER_year)),2)</f>
        <v/>
      </c>
      <c r="N46">
        <f t="array" ref="N46">ROUND(INDEX([1]!CER_prices,_xlfn.XMATCH("CAN"&amp;"Transportation"&amp;$A46,[1]!CER_prices_index),_xlfn.XMATCH(N$2,[1]!CER_year)),2)</f>
        <v/>
      </c>
      <c r="O46">
        <f t="array" ref="O46">ROUND(INDEX([1]!CER_prices,_xlfn.XMATCH("CAN"&amp;"Transportation"&amp;$A46,[1]!CER_prices_index),_xlfn.XMATCH(O$2,[1]!CER_year)),2)</f>
        <v/>
      </c>
      <c r="P46">
        <f t="array" ref="P46">ROUND(INDEX([1]!CER_prices,_xlfn.XMATCH("CAN"&amp;"Transportation"&amp;$A46,[1]!CER_prices_index),_xlfn.XMATCH(P$2,[1]!CER_year)),2)</f>
        <v/>
      </c>
      <c r="Q46">
        <f t="array" ref="Q46">ROUND(INDEX([1]!CER_prices,_xlfn.XMATCH("CAN"&amp;"Transportation"&amp;$A46,[1]!CER_prices_index),_xlfn.XMATCH(Q$2,[1]!CER_year)),2)</f>
        <v/>
      </c>
      <c r="R46">
        <f t="array" ref="R46">ROUND(INDEX([1]!CER_prices,_xlfn.XMATCH("CAN"&amp;"Transportation"&amp;$A46,[1]!CER_prices_index),_xlfn.XMATCH(R$2,[1]!CER_year)),2)</f>
        <v/>
      </c>
      <c r="S46">
        <f t="array" ref="S46">ROUND(INDEX([1]!CER_prices,_xlfn.XMATCH("CAN"&amp;"Transportation"&amp;$A46,[1]!CER_prices_index),_xlfn.XMATCH(S$2,[1]!CER_year)),2)</f>
        <v/>
      </c>
      <c r="T46">
        <f t="array" ref="T46">ROUND(INDEX([1]!CER_prices,_xlfn.XMATCH("CAN"&amp;"Transportation"&amp;$A46,[1]!CER_prices_index),_xlfn.XMATCH(T$2,[1]!CER_year)),2)</f>
        <v/>
      </c>
      <c r="U46">
        <f t="array" ref="U46">ROUND(INDEX([1]!CER_prices,_xlfn.XMATCH("CAN"&amp;"Transportation"&amp;$A46,[1]!CER_prices_index),_xlfn.XMATCH(U$2,[1]!CER_year)),2)</f>
        <v/>
      </c>
      <c r="V46">
        <f t="array" ref="V46">ROUND(INDEX([1]!CER_prices,_xlfn.XMATCH("CAN"&amp;"Transportation"&amp;$A46,[1]!CER_prices_index),_xlfn.XMATCH(V$2,[1]!CER_year)),2)</f>
        <v/>
      </c>
      <c r="W46">
        <f t="array" ref="W46">ROUND(INDEX([1]!CER_prices,_xlfn.XMATCH("CAN"&amp;"Transportation"&amp;$A46,[1]!CER_prices_index),_xlfn.XMATCH(W$2,[1]!CER_year)),2)</f>
        <v/>
      </c>
      <c r="X46" t="inlineStr">
        <is>
          <t>CER forecast - CAN transportation</t>
        </is>
      </c>
    </row>
    <row r="47">
      <c r="A47" t="inlineStr">
        <is>
          <t>CIMS.Generic Fuels.Diesel</t>
        </is>
      </c>
      <c r="B47" t="inlineStr">
        <is>
          <t>Service</t>
        </is>
      </c>
      <c r="C47" t="inlineStr">
        <is>
          <t>CIMS</t>
        </is>
      </c>
      <c r="E47" t="inlineStr">
        <is>
          <t>Diesel</t>
        </is>
      </c>
      <c r="G47" t="inlineStr">
        <is>
          <t>Emissions</t>
        </is>
      </c>
      <c r="H47" t="inlineStr">
        <is>
          <t>CO2</t>
        </is>
      </c>
      <c r="I47" t="inlineStr">
        <is>
          <t>Combustion</t>
        </is>
      </c>
      <c r="K47" t="inlineStr">
        <is>
          <t>ECCC, NIR</t>
        </is>
      </c>
      <c r="L47" t="inlineStr">
        <is>
          <t>tCO2</t>
        </is>
      </c>
      <c r="M47">
        <f t="array" ref="M47">INDEX([1]Coefficients!$G$132:$BO$151,_xlfn.XMATCH($E47,[1]Coefficients!$B$132:$B$151),_xlfn.XMATCH(M$2,[1]Coefficients!$G$1:$BO$1))</f>
        <v/>
      </c>
      <c r="N47">
        <f t="array" ref="N47">INDEX([1]Coefficients!$G$132:$BO$151,_xlfn.XMATCH($E47,[1]Coefficients!$B$132:$B$151),_xlfn.XMATCH(N$2,[1]Coefficients!$G$1:$BO$1))</f>
        <v/>
      </c>
      <c r="O47">
        <f t="array" ref="O47">INDEX([1]Coefficients!$G$132:$BO$151,_xlfn.XMATCH($E47,[1]Coefficients!$B$132:$B$151),_xlfn.XMATCH(O$2,[1]Coefficients!$G$1:$BO$1))</f>
        <v/>
      </c>
      <c r="P47">
        <f t="array" ref="P47">INDEX([1]Coefficients!$G$132:$BO$151,_xlfn.XMATCH($E47,[1]Coefficients!$B$132:$B$151),_xlfn.XMATCH(P$2,[1]Coefficients!$G$1:$BO$1))</f>
        <v/>
      </c>
      <c r="Q47">
        <f t="array" ref="Q47">INDEX([1]Coefficients!$G$132:$BO$151,_xlfn.XMATCH($E47,[1]Coefficients!$B$132:$B$151),_xlfn.XMATCH(Q$2,[1]Coefficients!$G$1:$BO$1))</f>
        <v/>
      </c>
      <c r="R47">
        <f t="array" ref="R47">INDEX([1]Coefficients!$G$132:$BO$151,_xlfn.XMATCH($E47,[1]Coefficients!$B$132:$B$151),_xlfn.XMATCH(R$2,[1]Coefficients!$G$1:$BO$1))</f>
        <v/>
      </c>
      <c r="S47">
        <f t="array" ref="S47">INDEX([1]Coefficients!$G$132:$BO$151,_xlfn.XMATCH($E47,[1]Coefficients!$B$132:$B$151),_xlfn.XMATCH(S$2,[1]Coefficients!$G$1:$BO$1))</f>
        <v/>
      </c>
      <c r="T47">
        <f t="array" ref="T47">INDEX([1]Coefficients!$G$132:$BO$151,_xlfn.XMATCH($E47,[1]Coefficients!$B$132:$B$151),_xlfn.XMATCH(T$2,[1]Coefficients!$G$1:$BO$1))</f>
        <v/>
      </c>
      <c r="U47">
        <f t="array" ref="U47">INDEX([1]Coefficients!$G$132:$BO$151,_xlfn.XMATCH($E47,[1]Coefficients!$B$132:$B$151),_xlfn.XMATCH(U$2,[1]Coefficients!$G$1:$BO$1))</f>
        <v/>
      </c>
      <c r="V47">
        <f t="array" ref="V47">INDEX([1]Coefficients!$G$132:$BO$151,_xlfn.XMATCH($E47,[1]Coefficients!$B$132:$B$151),_xlfn.XMATCH(V$2,[1]Coefficients!$G$1:$BO$1))</f>
        <v/>
      </c>
      <c r="W47">
        <f t="array" ref="W47">INDEX([1]Coefficients!$G$132:$BO$151,_xlfn.XMATCH($E47,[1]Coefficients!$B$132:$B$151),_xlfn.XMATCH(W$2,[1]Coefficients!$G$1:$BO$1))</f>
        <v/>
      </c>
    </row>
    <row r="48">
      <c r="A48" t="inlineStr">
        <is>
          <t>CIMS.Generic Fuels.Diesel</t>
        </is>
      </c>
      <c r="B48" t="inlineStr">
        <is>
          <t>Service</t>
        </is>
      </c>
      <c r="C48" t="inlineStr">
        <is>
          <t>CIMS</t>
        </is>
      </c>
      <c r="E48" t="inlineStr">
        <is>
          <t>Diesel</t>
        </is>
      </c>
      <c r="G48" t="inlineStr">
        <is>
          <t>Emissions</t>
        </is>
      </c>
      <c r="H48" t="inlineStr">
        <is>
          <t>CH4</t>
        </is>
      </c>
      <c r="I48" t="inlineStr">
        <is>
          <t>Combustion</t>
        </is>
      </c>
      <c r="K48" t="inlineStr">
        <is>
          <t>ECCC, NIR</t>
        </is>
      </c>
      <c r="L48" t="inlineStr">
        <is>
          <t>tCH4</t>
        </is>
      </c>
      <c r="M48">
        <f t="array" ref="M48">INDEX([1]Coefficients!$G$156:$BO$175,_xlfn.XMATCH($E48,[1]Coefficients!$B$132:$B$151),_xlfn.XMATCH(M$2,[1]Coefficients!$G$1:$BO$1))</f>
        <v/>
      </c>
      <c r="N48">
        <f t="array" ref="N48">INDEX([1]Coefficients!$G$156:$BO$175,_xlfn.XMATCH($E48,[1]Coefficients!$B$132:$B$151),_xlfn.XMATCH(N$2,[1]Coefficients!$G$1:$BO$1))</f>
        <v/>
      </c>
      <c r="O48">
        <f t="array" ref="O48">INDEX([1]Coefficients!$G$156:$BO$175,_xlfn.XMATCH($E48,[1]Coefficients!$B$132:$B$151),_xlfn.XMATCH(O$2,[1]Coefficients!$G$1:$BO$1))</f>
        <v/>
      </c>
      <c r="P48">
        <f t="array" ref="P48">INDEX([1]Coefficients!$G$156:$BO$175,_xlfn.XMATCH($E48,[1]Coefficients!$B$132:$B$151),_xlfn.XMATCH(P$2,[1]Coefficients!$G$1:$BO$1))</f>
        <v/>
      </c>
      <c r="Q48">
        <f t="array" ref="Q48">INDEX([1]Coefficients!$G$156:$BO$175,_xlfn.XMATCH($E48,[1]Coefficients!$B$132:$B$151),_xlfn.XMATCH(Q$2,[1]Coefficients!$G$1:$BO$1))</f>
        <v/>
      </c>
      <c r="R48">
        <f t="array" ref="R48">INDEX([1]Coefficients!$G$156:$BO$175,_xlfn.XMATCH($E48,[1]Coefficients!$B$132:$B$151),_xlfn.XMATCH(R$2,[1]Coefficients!$G$1:$BO$1))</f>
        <v/>
      </c>
      <c r="S48">
        <f t="array" ref="S48">INDEX([1]Coefficients!$G$156:$BO$175,_xlfn.XMATCH($E48,[1]Coefficients!$B$132:$B$151),_xlfn.XMATCH(S$2,[1]Coefficients!$G$1:$BO$1))</f>
        <v/>
      </c>
      <c r="T48">
        <f t="array" ref="T48">INDEX([1]Coefficients!$G$156:$BO$175,_xlfn.XMATCH($E48,[1]Coefficients!$B$132:$B$151),_xlfn.XMATCH(T$2,[1]Coefficients!$G$1:$BO$1))</f>
        <v/>
      </c>
      <c r="U48">
        <f t="array" ref="U48">INDEX([1]Coefficients!$G$156:$BO$175,_xlfn.XMATCH($E48,[1]Coefficients!$B$132:$B$151),_xlfn.XMATCH(U$2,[1]Coefficients!$G$1:$BO$1))</f>
        <v/>
      </c>
      <c r="V48">
        <f t="array" ref="V48">INDEX([1]Coefficients!$G$156:$BO$175,_xlfn.XMATCH($E48,[1]Coefficients!$B$132:$B$151),_xlfn.XMATCH(V$2,[1]Coefficients!$G$1:$BO$1))</f>
        <v/>
      </c>
      <c r="W48">
        <f t="array" ref="W48">INDEX([1]Coefficients!$G$156:$BO$175,_xlfn.XMATCH($E48,[1]Coefficients!$B$132:$B$151),_xlfn.XMATCH(W$2,[1]Coefficients!$G$1:$BO$1))</f>
        <v/>
      </c>
    </row>
    <row r="49">
      <c r="A49" t="inlineStr">
        <is>
          <t>CIMS.Generic Fuels.Diesel</t>
        </is>
      </c>
      <c r="B49" t="inlineStr">
        <is>
          <t>Service</t>
        </is>
      </c>
      <c r="C49" t="inlineStr">
        <is>
          <t>CIMS</t>
        </is>
      </c>
      <c r="E49" t="inlineStr">
        <is>
          <t>Diesel</t>
        </is>
      </c>
      <c r="G49" t="inlineStr">
        <is>
          <t>Emissions</t>
        </is>
      </c>
      <c r="H49" t="inlineStr">
        <is>
          <t>N2O</t>
        </is>
      </c>
      <c r="I49" t="inlineStr">
        <is>
          <t>Combustion</t>
        </is>
      </c>
      <c r="K49" t="inlineStr">
        <is>
          <t>ECCC, NIR</t>
        </is>
      </c>
      <c r="L49" t="inlineStr">
        <is>
          <t>tN2O</t>
        </is>
      </c>
      <c r="M49">
        <f t="array" ref="M49">INDEX([1]Coefficients!$G$180:$BO$199,_xlfn.XMATCH($E49,[1]Coefficients!$B$132:$B$151),_xlfn.XMATCH(M$2,[1]Coefficients!$G$1:$BO$1))</f>
        <v/>
      </c>
      <c r="N49">
        <f t="array" ref="N49">INDEX([1]Coefficients!$G$180:$BO$199,_xlfn.XMATCH($E49,[1]Coefficients!$B$132:$B$151),_xlfn.XMATCH(N$2,[1]Coefficients!$G$1:$BO$1))</f>
        <v/>
      </c>
      <c r="O49">
        <f t="array" ref="O49">INDEX([1]Coefficients!$G$180:$BO$199,_xlfn.XMATCH($E49,[1]Coefficients!$B$132:$B$151),_xlfn.XMATCH(O$2,[1]Coefficients!$G$1:$BO$1))</f>
        <v/>
      </c>
      <c r="P49">
        <f t="array" ref="P49">INDEX([1]Coefficients!$G$180:$BO$199,_xlfn.XMATCH($E49,[1]Coefficients!$B$132:$B$151),_xlfn.XMATCH(P$2,[1]Coefficients!$G$1:$BO$1))</f>
        <v/>
      </c>
      <c r="Q49">
        <f t="array" ref="Q49">INDEX([1]Coefficients!$G$180:$BO$199,_xlfn.XMATCH($E49,[1]Coefficients!$B$132:$B$151),_xlfn.XMATCH(Q$2,[1]Coefficients!$G$1:$BO$1))</f>
        <v/>
      </c>
      <c r="R49">
        <f t="array" ref="R49">INDEX([1]Coefficients!$G$180:$BO$199,_xlfn.XMATCH($E49,[1]Coefficients!$B$132:$B$151),_xlfn.XMATCH(R$2,[1]Coefficients!$G$1:$BO$1))</f>
        <v/>
      </c>
      <c r="S49">
        <f t="array" ref="S49">INDEX([1]Coefficients!$G$180:$BO$199,_xlfn.XMATCH($E49,[1]Coefficients!$B$132:$B$151),_xlfn.XMATCH(S$2,[1]Coefficients!$G$1:$BO$1))</f>
        <v/>
      </c>
      <c r="T49">
        <f t="array" ref="T49">INDEX([1]Coefficients!$G$180:$BO$199,_xlfn.XMATCH($E49,[1]Coefficients!$B$132:$B$151),_xlfn.XMATCH(T$2,[1]Coefficients!$G$1:$BO$1))</f>
        <v/>
      </c>
      <c r="U49">
        <f t="array" ref="U49">INDEX([1]Coefficients!$G$180:$BO$199,_xlfn.XMATCH($E49,[1]Coefficients!$B$132:$B$151),_xlfn.XMATCH(U$2,[1]Coefficients!$G$1:$BO$1))</f>
        <v/>
      </c>
      <c r="V49">
        <f t="array" ref="V49">INDEX([1]Coefficients!$G$180:$BO$199,_xlfn.XMATCH($E49,[1]Coefficients!$B$132:$B$151),_xlfn.XMATCH(V$2,[1]Coefficients!$G$1:$BO$1))</f>
        <v/>
      </c>
      <c r="W49">
        <f t="array" ref="W49">INDEX([1]Coefficients!$G$180:$BO$199,_xlfn.XMATCH($E49,[1]Coefficients!$B$132:$B$151),_xlfn.XMATCH(W$2,[1]Coefficients!$G$1:$BO$1))</f>
        <v/>
      </c>
    </row>
    <row r="50">
      <c r="A50" t="inlineStr">
        <is>
          <t>CIMS.Generic Fuels.Fuel Oil</t>
        </is>
      </c>
      <c r="B50" t="inlineStr">
        <is>
          <t>Service</t>
        </is>
      </c>
      <c r="C50" t="inlineStr">
        <is>
          <t>CIMS</t>
        </is>
      </c>
      <c r="E50" t="inlineStr">
        <is>
          <t>Fuel Oil</t>
        </is>
      </c>
      <c r="G50" t="inlineStr">
        <is>
          <t>Service provided</t>
        </is>
      </c>
      <c r="L50" t="inlineStr">
        <is>
          <t>GJ</t>
        </is>
      </c>
    </row>
    <row r="51">
      <c r="A51" t="inlineStr">
        <is>
          <t>CIMS.Generic Fuels.Fuel Oil</t>
        </is>
      </c>
      <c r="B51" t="inlineStr">
        <is>
          <t>Service</t>
        </is>
      </c>
      <c r="C51" t="inlineStr">
        <is>
          <t>CIMS</t>
        </is>
      </c>
      <c r="E51" t="inlineStr">
        <is>
          <t>Fuel Oil</t>
        </is>
      </c>
      <c r="G51" t="inlineStr">
        <is>
          <t>Competition type</t>
        </is>
      </c>
      <c r="H51" t="inlineStr">
        <is>
          <t>Supply - Fixed Price</t>
        </is>
      </c>
    </row>
    <row r="52">
      <c r="A52" t="inlineStr">
        <is>
          <t>CIMS.Generic Fuels.Fuel Oil</t>
        </is>
      </c>
      <c r="B52" t="inlineStr">
        <is>
          <t>Service</t>
        </is>
      </c>
      <c r="C52" t="inlineStr">
        <is>
          <t>CIMS</t>
        </is>
      </c>
      <c r="E52" t="inlineStr">
        <is>
          <t>Fuel Oil</t>
        </is>
      </c>
      <c r="G52" t="inlineStr">
        <is>
          <t>Is supply</t>
        </is>
      </c>
      <c r="H52" t="b">
        <v>1</v>
      </c>
    </row>
    <row r="53">
      <c r="A53" t="inlineStr">
        <is>
          <t>CIMS.Generic Fuels.Fuel Oil</t>
        </is>
      </c>
      <c r="B53" t="inlineStr">
        <is>
          <t>Service</t>
        </is>
      </c>
      <c r="C53" t="inlineStr">
        <is>
          <t>CIMS</t>
        </is>
      </c>
      <c r="E53" t="inlineStr">
        <is>
          <t>Fuel Oil</t>
        </is>
      </c>
      <c r="G53" t="inlineStr">
        <is>
          <t>LCC_financial</t>
        </is>
      </c>
      <c r="K53" t="inlineStr">
        <is>
          <t>CER</t>
        </is>
      </c>
      <c r="L53" t="inlineStr">
        <is>
          <t>$/GJ</t>
        </is>
      </c>
      <c r="M53">
        <f t="array" ref="M53">ROUND(INDEX([1]!CER_prices,_xlfn.XMATCH("CAN"&amp;"Industrial"&amp;$A53,[1]!CER_prices_index),_xlfn.XMATCH(M$2,[1]!CER_year)),2)</f>
        <v/>
      </c>
      <c r="N53">
        <f t="array" ref="N53">ROUND(INDEX([1]!CER_prices,_xlfn.XMATCH("CAN"&amp;"Industrial"&amp;$A53,[1]!CER_prices_index),_xlfn.XMATCH(N$2,[1]!CER_year)),2)</f>
        <v/>
      </c>
      <c r="O53">
        <f t="array" ref="O53">ROUND(INDEX([1]!CER_prices,_xlfn.XMATCH("CAN"&amp;"Industrial"&amp;$A53,[1]!CER_prices_index),_xlfn.XMATCH(O$2,[1]!CER_year)),2)</f>
        <v/>
      </c>
      <c r="P53">
        <f t="array" ref="P53">ROUND(INDEX([1]!CER_prices,_xlfn.XMATCH("CAN"&amp;"Industrial"&amp;$A53,[1]!CER_prices_index),_xlfn.XMATCH(P$2,[1]!CER_year)),2)</f>
        <v/>
      </c>
      <c r="Q53">
        <f t="array" ref="Q53">ROUND(INDEX([1]!CER_prices,_xlfn.XMATCH("CAN"&amp;"Industrial"&amp;$A53,[1]!CER_prices_index),_xlfn.XMATCH(Q$2,[1]!CER_year)),2)</f>
        <v/>
      </c>
      <c r="R53">
        <f t="array" ref="R53">ROUND(INDEX([1]!CER_prices,_xlfn.XMATCH("CAN"&amp;"Industrial"&amp;$A53,[1]!CER_prices_index),_xlfn.XMATCH(R$2,[1]!CER_year)),2)</f>
        <v/>
      </c>
      <c r="S53">
        <f t="array" ref="S53">ROUND(INDEX([1]!CER_prices,_xlfn.XMATCH("CAN"&amp;"Industrial"&amp;$A53,[1]!CER_prices_index),_xlfn.XMATCH(S$2,[1]!CER_year)),2)</f>
        <v/>
      </c>
      <c r="T53">
        <f t="array" ref="T53">ROUND(INDEX([1]!CER_prices,_xlfn.XMATCH("CAN"&amp;"Industrial"&amp;$A53,[1]!CER_prices_index),_xlfn.XMATCH(T$2,[1]!CER_year)),2)</f>
        <v/>
      </c>
      <c r="U53">
        <f t="array" ref="U53">ROUND(INDEX([1]!CER_prices,_xlfn.XMATCH("CAN"&amp;"Industrial"&amp;$A53,[1]!CER_prices_index),_xlfn.XMATCH(U$2,[1]!CER_year)),2)</f>
        <v/>
      </c>
      <c r="V53">
        <f t="array" ref="V53">ROUND(INDEX([1]!CER_prices,_xlfn.XMATCH("CAN"&amp;"Industrial"&amp;$A53,[1]!CER_prices_index),_xlfn.XMATCH(V$2,[1]!CER_year)),2)</f>
        <v/>
      </c>
      <c r="W53">
        <f t="array" ref="W53">ROUND(INDEX([1]!CER_prices,_xlfn.XMATCH("CAN"&amp;"Industrial"&amp;$A53,[1]!CER_prices_index),_xlfn.XMATCH(W$2,[1]!CER_year)),2)</f>
        <v/>
      </c>
      <c r="X53" t="inlineStr">
        <is>
          <t>CER forecast - CAN industrial</t>
        </is>
      </c>
    </row>
    <row r="54">
      <c r="A54" t="inlineStr">
        <is>
          <t>CIMS.Generic Fuels.Fuel Oil</t>
        </is>
      </c>
      <c r="B54" t="inlineStr">
        <is>
          <t>Service</t>
        </is>
      </c>
      <c r="C54" t="inlineStr">
        <is>
          <t>CIMS</t>
        </is>
      </c>
      <c r="E54" t="inlineStr">
        <is>
          <t>Fuel Oil</t>
        </is>
      </c>
      <c r="G54" t="inlineStr">
        <is>
          <t>Emissions</t>
        </is>
      </c>
      <c r="H54" t="inlineStr">
        <is>
          <t>CO2</t>
        </is>
      </c>
      <c r="I54" t="inlineStr">
        <is>
          <t>Combustion</t>
        </is>
      </c>
      <c r="K54" t="inlineStr">
        <is>
          <t>ECCC, NIR</t>
        </is>
      </c>
      <c r="L54" t="inlineStr">
        <is>
          <t>tCO2</t>
        </is>
      </c>
      <c r="M54">
        <f t="array" ref="M54">INDEX([1]Coefficients!$G$132:$BO$151,_xlfn.XMATCH($E54,[1]Coefficients!$B$132:$B$151),_xlfn.XMATCH(M$2,[1]Coefficients!$G$1:$BO$1))</f>
        <v/>
      </c>
      <c r="N54">
        <f t="array" ref="N54">INDEX([1]Coefficients!$G$132:$BO$151,_xlfn.XMATCH($E54,[1]Coefficients!$B$132:$B$151),_xlfn.XMATCH(N$2,[1]Coefficients!$G$1:$BO$1))</f>
        <v/>
      </c>
      <c r="O54">
        <f t="array" ref="O54">INDEX([1]Coefficients!$G$132:$BO$151,_xlfn.XMATCH($E54,[1]Coefficients!$B$132:$B$151),_xlfn.XMATCH(O$2,[1]Coefficients!$G$1:$BO$1))</f>
        <v/>
      </c>
      <c r="P54">
        <f t="array" ref="P54">INDEX([1]Coefficients!$G$132:$BO$151,_xlfn.XMATCH($E54,[1]Coefficients!$B$132:$B$151),_xlfn.XMATCH(P$2,[1]Coefficients!$G$1:$BO$1))</f>
        <v/>
      </c>
      <c r="Q54">
        <f t="array" ref="Q54">INDEX([1]Coefficients!$G$132:$BO$151,_xlfn.XMATCH($E54,[1]Coefficients!$B$132:$B$151),_xlfn.XMATCH(Q$2,[1]Coefficients!$G$1:$BO$1))</f>
        <v/>
      </c>
      <c r="R54">
        <f t="array" ref="R54">INDEX([1]Coefficients!$G$132:$BO$151,_xlfn.XMATCH($E54,[1]Coefficients!$B$132:$B$151),_xlfn.XMATCH(R$2,[1]Coefficients!$G$1:$BO$1))</f>
        <v/>
      </c>
      <c r="S54">
        <f t="array" ref="S54">INDEX([1]Coefficients!$G$132:$BO$151,_xlfn.XMATCH($E54,[1]Coefficients!$B$132:$B$151),_xlfn.XMATCH(S$2,[1]Coefficients!$G$1:$BO$1))</f>
        <v/>
      </c>
      <c r="T54">
        <f t="array" ref="T54">INDEX([1]Coefficients!$G$132:$BO$151,_xlfn.XMATCH($E54,[1]Coefficients!$B$132:$B$151),_xlfn.XMATCH(T$2,[1]Coefficients!$G$1:$BO$1))</f>
        <v/>
      </c>
      <c r="U54">
        <f t="array" ref="U54">INDEX([1]Coefficients!$G$132:$BO$151,_xlfn.XMATCH($E54,[1]Coefficients!$B$132:$B$151),_xlfn.XMATCH(U$2,[1]Coefficients!$G$1:$BO$1))</f>
        <v/>
      </c>
      <c r="V54">
        <f t="array" ref="V54">INDEX([1]Coefficients!$G$132:$BO$151,_xlfn.XMATCH($E54,[1]Coefficients!$B$132:$B$151),_xlfn.XMATCH(V$2,[1]Coefficients!$G$1:$BO$1))</f>
        <v/>
      </c>
      <c r="W54">
        <f t="array" ref="W54">INDEX([1]Coefficients!$G$132:$BO$151,_xlfn.XMATCH($E54,[1]Coefficients!$B$132:$B$151),_xlfn.XMATCH(W$2,[1]Coefficients!$G$1:$BO$1))</f>
        <v/>
      </c>
    </row>
    <row r="55">
      <c r="A55" t="inlineStr">
        <is>
          <t>CIMS.Generic Fuels.Fuel Oil</t>
        </is>
      </c>
      <c r="B55" t="inlineStr">
        <is>
          <t>Service</t>
        </is>
      </c>
      <c r="C55" t="inlineStr">
        <is>
          <t>CIMS</t>
        </is>
      </c>
      <c r="E55" t="inlineStr">
        <is>
          <t>Fuel Oil</t>
        </is>
      </c>
      <c r="G55" t="inlineStr">
        <is>
          <t>Emissions</t>
        </is>
      </c>
      <c r="H55" t="inlineStr">
        <is>
          <t>CH4</t>
        </is>
      </c>
      <c r="I55" t="inlineStr">
        <is>
          <t>Combustion</t>
        </is>
      </c>
      <c r="K55" t="inlineStr">
        <is>
          <t>ECCC, NIR</t>
        </is>
      </c>
      <c r="L55" t="inlineStr">
        <is>
          <t>tCH4</t>
        </is>
      </c>
      <c r="M55">
        <f t="array" ref="M55">INDEX([1]Coefficients!$G$156:$BO$175,_xlfn.XMATCH($E55,[1]Coefficients!$B$132:$B$151),_xlfn.XMATCH(M$2,[1]Coefficients!$G$1:$BO$1))</f>
        <v/>
      </c>
      <c r="N55">
        <f t="array" ref="N55">INDEX([1]Coefficients!$G$156:$BO$175,_xlfn.XMATCH($E55,[1]Coefficients!$B$132:$B$151),_xlfn.XMATCH(N$2,[1]Coefficients!$G$1:$BO$1))</f>
        <v/>
      </c>
      <c r="O55">
        <f t="array" ref="O55">INDEX([1]Coefficients!$G$156:$BO$175,_xlfn.XMATCH($E55,[1]Coefficients!$B$132:$B$151),_xlfn.XMATCH(O$2,[1]Coefficients!$G$1:$BO$1))</f>
        <v/>
      </c>
      <c r="P55">
        <f t="array" ref="P55">INDEX([1]Coefficients!$G$156:$BO$175,_xlfn.XMATCH($E55,[1]Coefficients!$B$132:$B$151),_xlfn.XMATCH(P$2,[1]Coefficients!$G$1:$BO$1))</f>
        <v/>
      </c>
      <c r="Q55">
        <f t="array" ref="Q55">INDEX([1]Coefficients!$G$156:$BO$175,_xlfn.XMATCH($E55,[1]Coefficients!$B$132:$B$151),_xlfn.XMATCH(Q$2,[1]Coefficients!$G$1:$BO$1))</f>
        <v/>
      </c>
      <c r="R55">
        <f t="array" ref="R55">INDEX([1]Coefficients!$G$156:$BO$175,_xlfn.XMATCH($E55,[1]Coefficients!$B$132:$B$151),_xlfn.XMATCH(R$2,[1]Coefficients!$G$1:$BO$1))</f>
        <v/>
      </c>
      <c r="S55">
        <f t="array" ref="S55">INDEX([1]Coefficients!$G$156:$BO$175,_xlfn.XMATCH($E55,[1]Coefficients!$B$132:$B$151),_xlfn.XMATCH(S$2,[1]Coefficients!$G$1:$BO$1))</f>
        <v/>
      </c>
      <c r="T55">
        <f t="array" ref="T55">INDEX([1]Coefficients!$G$156:$BO$175,_xlfn.XMATCH($E55,[1]Coefficients!$B$132:$B$151),_xlfn.XMATCH(T$2,[1]Coefficients!$G$1:$BO$1))</f>
        <v/>
      </c>
      <c r="U55">
        <f t="array" ref="U55">INDEX([1]Coefficients!$G$156:$BO$175,_xlfn.XMATCH($E55,[1]Coefficients!$B$132:$B$151),_xlfn.XMATCH(U$2,[1]Coefficients!$G$1:$BO$1))</f>
        <v/>
      </c>
      <c r="V55">
        <f t="array" ref="V55">INDEX([1]Coefficients!$G$156:$BO$175,_xlfn.XMATCH($E55,[1]Coefficients!$B$132:$B$151),_xlfn.XMATCH(V$2,[1]Coefficients!$G$1:$BO$1))</f>
        <v/>
      </c>
      <c r="W55">
        <f t="array" ref="W55">INDEX([1]Coefficients!$G$156:$BO$175,_xlfn.XMATCH($E55,[1]Coefficients!$B$132:$B$151),_xlfn.XMATCH(W$2,[1]Coefficients!$G$1:$BO$1))</f>
        <v/>
      </c>
    </row>
    <row r="56">
      <c r="A56" t="inlineStr">
        <is>
          <t>CIMS.Generic Fuels.Fuel Oil</t>
        </is>
      </c>
      <c r="B56" t="inlineStr">
        <is>
          <t>Service</t>
        </is>
      </c>
      <c r="C56" t="inlineStr">
        <is>
          <t>CIMS</t>
        </is>
      </c>
      <c r="E56" t="inlineStr">
        <is>
          <t>Fuel Oil</t>
        </is>
      </c>
      <c r="G56" t="inlineStr">
        <is>
          <t>Emissions</t>
        </is>
      </c>
      <c r="H56" t="inlineStr">
        <is>
          <t>N2O</t>
        </is>
      </c>
      <c r="I56" t="inlineStr">
        <is>
          <t>Combustion</t>
        </is>
      </c>
      <c r="K56" t="inlineStr">
        <is>
          <t>ECCC, NIR</t>
        </is>
      </c>
      <c r="L56" t="inlineStr">
        <is>
          <t>tN2O</t>
        </is>
      </c>
      <c r="M56">
        <f t="array" ref="M56">INDEX([1]Coefficients!$G$180:$BO$199,_xlfn.XMATCH($E56,[1]Coefficients!$B$132:$B$151),_xlfn.XMATCH(M$2,[1]Coefficients!$G$1:$BO$1))</f>
        <v/>
      </c>
      <c r="N56">
        <f t="array" ref="N56">INDEX([1]Coefficients!$G$180:$BO$199,_xlfn.XMATCH($E56,[1]Coefficients!$B$132:$B$151),_xlfn.XMATCH(N$2,[1]Coefficients!$G$1:$BO$1))</f>
        <v/>
      </c>
      <c r="O56">
        <f t="array" ref="O56">INDEX([1]Coefficients!$G$180:$BO$199,_xlfn.XMATCH($E56,[1]Coefficients!$B$132:$B$151),_xlfn.XMATCH(O$2,[1]Coefficients!$G$1:$BO$1))</f>
        <v/>
      </c>
      <c r="P56">
        <f t="array" ref="P56">INDEX([1]Coefficients!$G$180:$BO$199,_xlfn.XMATCH($E56,[1]Coefficients!$B$132:$B$151),_xlfn.XMATCH(P$2,[1]Coefficients!$G$1:$BO$1))</f>
        <v/>
      </c>
      <c r="Q56">
        <f t="array" ref="Q56">INDEX([1]Coefficients!$G$180:$BO$199,_xlfn.XMATCH($E56,[1]Coefficients!$B$132:$B$151),_xlfn.XMATCH(Q$2,[1]Coefficients!$G$1:$BO$1))</f>
        <v/>
      </c>
      <c r="R56">
        <f t="array" ref="R56">INDEX([1]Coefficients!$G$180:$BO$199,_xlfn.XMATCH($E56,[1]Coefficients!$B$132:$B$151),_xlfn.XMATCH(R$2,[1]Coefficients!$G$1:$BO$1))</f>
        <v/>
      </c>
      <c r="S56">
        <f t="array" ref="S56">INDEX([1]Coefficients!$G$180:$BO$199,_xlfn.XMATCH($E56,[1]Coefficients!$B$132:$B$151),_xlfn.XMATCH(S$2,[1]Coefficients!$G$1:$BO$1))</f>
        <v/>
      </c>
      <c r="T56">
        <f t="array" ref="T56">INDEX([1]Coefficients!$G$180:$BO$199,_xlfn.XMATCH($E56,[1]Coefficients!$B$132:$B$151),_xlfn.XMATCH(T$2,[1]Coefficients!$G$1:$BO$1))</f>
        <v/>
      </c>
      <c r="U56">
        <f t="array" ref="U56">INDEX([1]Coefficients!$G$180:$BO$199,_xlfn.XMATCH($E56,[1]Coefficients!$B$132:$B$151),_xlfn.XMATCH(U$2,[1]Coefficients!$G$1:$BO$1))</f>
        <v/>
      </c>
      <c r="V56">
        <f t="array" ref="V56">INDEX([1]Coefficients!$G$180:$BO$199,_xlfn.XMATCH($E56,[1]Coefficients!$B$132:$B$151),_xlfn.XMATCH(V$2,[1]Coefficients!$G$1:$BO$1))</f>
        <v/>
      </c>
      <c r="W56">
        <f t="array" ref="W56">INDEX([1]Coefficients!$G$180:$BO$199,_xlfn.XMATCH($E56,[1]Coefficients!$B$132:$B$151),_xlfn.XMATCH(W$2,[1]Coefficients!$G$1:$BO$1))</f>
        <v/>
      </c>
    </row>
    <row r="57">
      <c r="A57" t="inlineStr">
        <is>
          <t>CIMS.Generic Fuels.Gasoline</t>
        </is>
      </c>
      <c r="B57" t="inlineStr">
        <is>
          <t>Service</t>
        </is>
      </c>
      <c r="C57" t="inlineStr">
        <is>
          <t>CIMS</t>
        </is>
      </c>
      <c r="E57" t="inlineStr">
        <is>
          <t>Gasoline</t>
        </is>
      </c>
      <c r="G57" t="inlineStr">
        <is>
          <t>Service provided</t>
        </is>
      </c>
      <c r="L57" t="inlineStr">
        <is>
          <t>GJ</t>
        </is>
      </c>
    </row>
    <row r="58">
      <c r="A58" t="inlineStr">
        <is>
          <t>CIMS.Generic Fuels.Gasoline</t>
        </is>
      </c>
      <c r="B58" t="inlineStr">
        <is>
          <t>Service</t>
        </is>
      </c>
      <c r="C58" t="inlineStr">
        <is>
          <t>CIMS</t>
        </is>
      </c>
      <c r="E58" t="inlineStr">
        <is>
          <t>Gasoline</t>
        </is>
      </c>
      <c r="G58" t="inlineStr">
        <is>
          <t>Competition type</t>
        </is>
      </c>
      <c r="H58" t="inlineStr">
        <is>
          <t>Supply - Fixed Price</t>
        </is>
      </c>
    </row>
    <row r="59">
      <c r="A59" t="inlineStr">
        <is>
          <t>CIMS.Generic Fuels.Gasoline</t>
        </is>
      </c>
      <c r="B59" t="inlineStr">
        <is>
          <t>Service</t>
        </is>
      </c>
      <c r="C59" t="inlineStr">
        <is>
          <t>CIMS</t>
        </is>
      </c>
      <c r="E59" t="inlineStr">
        <is>
          <t>Gasoline</t>
        </is>
      </c>
      <c r="G59" t="inlineStr">
        <is>
          <t>Is supply</t>
        </is>
      </c>
      <c r="H59" t="b">
        <v>1</v>
      </c>
    </row>
    <row r="60">
      <c r="A60" t="inlineStr">
        <is>
          <t>CIMS.Generic Fuels.Gasoline</t>
        </is>
      </c>
      <c r="B60" t="inlineStr">
        <is>
          <t>Service</t>
        </is>
      </c>
      <c r="C60" t="inlineStr">
        <is>
          <t>CIMS</t>
        </is>
      </c>
      <c r="E60" t="inlineStr">
        <is>
          <t>Gasoline</t>
        </is>
      </c>
      <c r="G60" t="inlineStr">
        <is>
          <t>LCC_financial</t>
        </is>
      </c>
      <c r="K60" t="inlineStr">
        <is>
          <t>CER</t>
        </is>
      </c>
      <c r="L60" t="inlineStr">
        <is>
          <t>$/GJ</t>
        </is>
      </c>
      <c r="M60">
        <f t="array" ref="M60">ROUND(INDEX([1]!CER_prices,_xlfn.XMATCH("CAN"&amp;"Transportation"&amp;$A60,[1]!CER_prices_index),_xlfn.XMATCH(M$2,[1]!CER_year)),2)</f>
        <v/>
      </c>
      <c r="N60">
        <f t="array" ref="N60">ROUND(INDEX([1]!CER_prices,_xlfn.XMATCH("CAN"&amp;"Transportation"&amp;$A60,[1]!CER_prices_index),_xlfn.XMATCH(N$2,[1]!CER_year)),2)</f>
        <v/>
      </c>
      <c r="O60">
        <f t="array" ref="O60">ROUND(INDEX([1]!CER_prices,_xlfn.XMATCH("CAN"&amp;"Transportation"&amp;$A60,[1]!CER_prices_index),_xlfn.XMATCH(O$2,[1]!CER_year)),2)</f>
        <v/>
      </c>
      <c r="P60">
        <f t="array" ref="P60">ROUND(INDEX([1]!CER_prices,_xlfn.XMATCH("CAN"&amp;"Transportation"&amp;$A60,[1]!CER_prices_index),_xlfn.XMATCH(P$2,[1]!CER_year)),2)</f>
        <v/>
      </c>
      <c r="Q60">
        <f t="array" ref="Q60">ROUND(INDEX([1]!CER_prices,_xlfn.XMATCH("CAN"&amp;"Transportation"&amp;$A60,[1]!CER_prices_index),_xlfn.XMATCH(Q$2,[1]!CER_year)),2)</f>
        <v/>
      </c>
      <c r="R60">
        <f t="array" ref="R60">ROUND(INDEX([1]!CER_prices,_xlfn.XMATCH("CAN"&amp;"Transportation"&amp;$A60,[1]!CER_prices_index),_xlfn.XMATCH(R$2,[1]!CER_year)),2)</f>
        <v/>
      </c>
      <c r="S60">
        <f t="array" ref="S60">ROUND(INDEX([1]!CER_prices,_xlfn.XMATCH("CAN"&amp;"Transportation"&amp;$A60,[1]!CER_prices_index),_xlfn.XMATCH(S$2,[1]!CER_year)),2)</f>
        <v/>
      </c>
      <c r="T60">
        <f t="array" ref="T60">ROUND(INDEX([1]!CER_prices,_xlfn.XMATCH("CAN"&amp;"Transportation"&amp;$A60,[1]!CER_prices_index),_xlfn.XMATCH(T$2,[1]!CER_year)),2)</f>
        <v/>
      </c>
      <c r="U60">
        <f t="array" ref="U60">ROUND(INDEX([1]!CER_prices,_xlfn.XMATCH("CAN"&amp;"Transportation"&amp;$A60,[1]!CER_prices_index),_xlfn.XMATCH(U$2,[1]!CER_year)),2)</f>
        <v/>
      </c>
      <c r="V60">
        <f t="array" ref="V60">ROUND(INDEX([1]!CER_prices,_xlfn.XMATCH("CAN"&amp;"Transportation"&amp;$A60,[1]!CER_prices_index),_xlfn.XMATCH(V$2,[1]!CER_year)),2)</f>
        <v/>
      </c>
      <c r="W60">
        <f t="array" ref="W60">ROUND(INDEX([1]!CER_prices,_xlfn.XMATCH("CAN"&amp;"Transportation"&amp;$A60,[1]!CER_prices_index),_xlfn.XMATCH(W$2,[1]!CER_year)),2)</f>
        <v/>
      </c>
      <c r="X60" t="inlineStr">
        <is>
          <t>CER forecast - CAN transportation</t>
        </is>
      </c>
    </row>
    <row r="61">
      <c r="A61" t="inlineStr">
        <is>
          <t>CIMS.Generic Fuels.Gasoline</t>
        </is>
      </c>
      <c r="B61" t="inlineStr">
        <is>
          <t>Service</t>
        </is>
      </c>
      <c r="C61" t="inlineStr">
        <is>
          <t>CIMS</t>
        </is>
      </c>
      <c r="E61" t="inlineStr">
        <is>
          <t>Gasoline</t>
        </is>
      </c>
      <c r="G61" t="inlineStr">
        <is>
          <t>Emissions</t>
        </is>
      </c>
      <c r="H61" t="inlineStr">
        <is>
          <t>CO2</t>
        </is>
      </c>
      <c r="I61" t="inlineStr">
        <is>
          <t>Combustion</t>
        </is>
      </c>
      <c r="K61" t="inlineStr">
        <is>
          <t>ECCC, NIR</t>
        </is>
      </c>
      <c r="L61" t="inlineStr">
        <is>
          <t>tCO2</t>
        </is>
      </c>
      <c r="M61">
        <f t="array" ref="M61">INDEX([1]Coefficients!$G$132:$BO$151,_xlfn.XMATCH($E61,[1]Coefficients!$B$132:$B$151),_xlfn.XMATCH(M$2,[1]Coefficients!$G$1:$BO$1))</f>
        <v/>
      </c>
      <c r="N61">
        <f t="array" ref="N61">INDEX([1]Coefficients!$G$132:$BO$151,_xlfn.XMATCH($E61,[1]Coefficients!$B$132:$B$151),_xlfn.XMATCH(N$2,[1]Coefficients!$G$1:$BO$1))</f>
        <v/>
      </c>
      <c r="O61">
        <f t="array" ref="O61">INDEX([1]Coefficients!$G$132:$BO$151,_xlfn.XMATCH($E61,[1]Coefficients!$B$132:$B$151),_xlfn.XMATCH(O$2,[1]Coefficients!$G$1:$BO$1))</f>
        <v/>
      </c>
      <c r="P61">
        <f t="array" ref="P61">INDEX([1]Coefficients!$G$132:$BO$151,_xlfn.XMATCH($E61,[1]Coefficients!$B$132:$B$151),_xlfn.XMATCH(P$2,[1]Coefficients!$G$1:$BO$1))</f>
        <v/>
      </c>
      <c r="Q61">
        <f t="array" ref="Q61">INDEX([1]Coefficients!$G$132:$BO$151,_xlfn.XMATCH($E61,[1]Coefficients!$B$132:$B$151),_xlfn.XMATCH(Q$2,[1]Coefficients!$G$1:$BO$1))</f>
        <v/>
      </c>
      <c r="R61">
        <f t="array" ref="R61">INDEX([1]Coefficients!$G$132:$BO$151,_xlfn.XMATCH($E61,[1]Coefficients!$B$132:$B$151),_xlfn.XMATCH(R$2,[1]Coefficients!$G$1:$BO$1))</f>
        <v/>
      </c>
      <c r="S61">
        <f t="array" ref="S61">INDEX([1]Coefficients!$G$132:$BO$151,_xlfn.XMATCH($E61,[1]Coefficients!$B$132:$B$151),_xlfn.XMATCH(S$2,[1]Coefficients!$G$1:$BO$1))</f>
        <v/>
      </c>
      <c r="T61">
        <f t="array" ref="T61">INDEX([1]Coefficients!$G$132:$BO$151,_xlfn.XMATCH($E61,[1]Coefficients!$B$132:$B$151),_xlfn.XMATCH(T$2,[1]Coefficients!$G$1:$BO$1))</f>
        <v/>
      </c>
      <c r="U61">
        <f t="array" ref="U61">INDEX([1]Coefficients!$G$132:$BO$151,_xlfn.XMATCH($E61,[1]Coefficients!$B$132:$B$151),_xlfn.XMATCH(U$2,[1]Coefficients!$G$1:$BO$1))</f>
        <v/>
      </c>
      <c r="V61">
        <f t="array" ref="V61">INDEX([1]Coefficients!$G$132:$BO$151,_xlfn.XMATCH($E61,[1]Coefficients!$B$132:$B$151),_xlfn.XMATCH(V$2,[1]Coefficients!$G$1:$BO$1))</f>
        <v/>
      </c>
      <c r="W61">
        <f t="array" ref="W61">INDEX([1]Coefficients!$G$132:$BO$151,_xlfn.XMATCH($E61,[1]Coefficients!$B$132:$B$151),_xlfn.XMATCH(W$2,[1]Coefficients!$G$1:$BO$1))</f>
        <v/>
      </c>
    </row>
    <row r="62">
      <c r="A62" t="inlineStr">
        <is>
          <t>CIMS.Generic Fuels.Gasoline</t>
        </is>
      </c>
      <c r="B62" t="inlineStr">
        <is>
          <t>Service</t>
        </is>
      </c>
      <c r="C62" t="inlineStr">
        <is>
          <t>CIMS</t>
        </is>
      </c>
      <c r="E62" t="inlineStr">
        <is>
          <t>Gasoline</t>
        </is>
      </c>
      <c r="G62" t="inlineStr">
        <is>
          <t>Emissions</t>
        </is>
      </c>
      <c r="H62" t="inlineStr">
        <is>
          <t>CH4</t>
        </is>
      </c>
      <c r="I62" t="inlineStr">
        <is>
          <t>Combustion</t>
        </is>
      </c>
      <c r="K62" t="inlineStr">
        <is>
          <t>ECCC, NIR</t>
        </is>
      </c>
      <c r="L62" t="inlineStr">
        <is>
          <t>tCH4</t>
        </is>
      </c>
      <c r="M62">
        <f t="array" ref="M62">INDEX([1]Coefficients!$G$156:$BO$175,_xlfn.XMATCH($E62,[1]Coefficients!$B$132:$B$151),_xlfn.XMATCH(M$2,[1]Coefficients!$G$1:$BO$1))</f>
        <v/>
      </c>
      <c r="N62">
        <f t="array" ref="N62">INDEX([1]Coefficients!$G$156:$BO$175,_xlfn.XMATCH($E62,[1]Coefficients!$B$132:$B$151),_xlfn.XMATCH(N$2,[1]Coefficients!$G$1:$BO$1))</f>
        <v/>
      </c>
      <c r="O62">
        <f t="array" ref="O62">INDEX([1]Coefficients!$G$156:$BO$175,_xlfn.XMATCH($E62,[1]Coefficients!$B$132:$B$151),_xlfn.XMATCH(O$2,[1]Coefficients!$G$1:$BO$1))</f>
        <v/>
      </c>
      <c r="P62">
        <f t="array" ref="P62">INDEX([1]Coefficients!$G$156:$BO$175,_xlfn.XMATCH($E62,[1]Coefficients!$B$132:$B$151),_xlfn.XMATCH(P$2,[1]Coefficients!$G$1:$BO$1))</f>
        <v/>
      </c>
      <c r="Q62">
        <f t="array" ref="Q62">INDEX([1]Coefficients!$G$156:$BO$175,_xlfn.XMATCH($E62,[1]Coefficients!$B$132:$B$151),_xlfn.XMATCH(Q$2,[1]Coefficients!$G$1:$BO$1))</f>
        <v/>
      </c>
      <c r="R62">
        <f t="array" ref="R62">INDEX([1]Coefficients!$G$156:$BO$175,_xlfn.XMATCH($E62,[1]Coefficients!$B$132:$B$151),_xlfn.XMATCH(R$2,[1]Coefficients!$G$1:$BO$1))</f>
        <v/>
      </c>
      <c r="S62">
        <f t="array" ref="S62">INDEX([1]Coefficients!$G$156:$BO$175,_xlfn.XMATCH($E62,[1]Coefficients!$B$132:$B$151),_xlfn.XMATCH(S$2,[1]Coefficients!$G$1:$BO$1))</f>
        <v/>
      </c>
      <c r="T62">
        <f t="array" ref="T62">INDEX([1]Coefficients!$G$156:$BO$175,_xlfn.XMATCH($E62,[1]Coefficients!$B$132:$B$151),_xlfn.XMATCH(T$2,[1]Coefficients!$G$1:$BO$1))</f>
        <v/>
      </c>
      <c r="U62">
        <f t="array" ref="U62">INDEX([1]Coefficients!$G$156:$BO$175,_xlfn.XMATCH($E62,[1]Coefficients!$B$132:$B$151),_xlfn.XMATCH(U$2,[1]Coefficients!$G$1:$BO$1))</f>
        <v/>
      </c>
      <c r="V62">
        <f t="array" ref="V62">INDEX([1]Coefficients!$G$156:$BO$175,_xlfn.XMATCH($E62,[1]Coefficients!$B$132:$B$151),_xlfn.XMATCH(V$2,[1]Coefficients!$G$1:$BO$1))</f>
        <v/>
      </c>
      <c r="W62">
        <f t="array" ref="W62">INDEX([1]Coefficients!$G$156:$BO$175,_xlfn.XMATCH($E62,[1]Coefficients!$B$132:$B$151),_xlfn.XMATCH(W$2,[1]Coefficients!$G$1:$BO$1))</f>
        <v/>
      </c>
    </row>
    <row r="63">
      <c r="A63" t="inlineStr">
        <is>
          <t>CIMS.Generic Fuels.Gasoline</t>
        </is>
      </c>
      <c r="B63" t="inlineStr">
        <is>
          <t>Service</t>
        </is>
      </c>
      <c r="C63" t="inlineStr">
        <is>
          <t>CIMS</t>
        </is>
      </c>
      <c r="E63" t="inlineStr">
        <is>
          <t>Gasoline</t>
        </is>
      </c>
      <c r="G63" t="inlineStr">
        <is>
          <t>Emissions</t>
        </is>
      </c>
      <c r="H63" t="inlineStr">
        <is>
          <t>N2O</t>
        </is>
      </c>
      <c r="I63" t="inlineStr">
        <is>
          <t>Combustion</t>
        </is>
      </c>
      <c r="K63" t="inlineStr">
        <is>
          <t>ECCC, NIR</t>
        </is>
      </c>
      <c r="L63" t="inlineStr">
        <is>
          <t>tN2O</t>
        </is>
      </c>
      <c r="M63">
        <f t="array" ref="M63">INDEX([1]Coefficients!$G$180:$BO$199,_xlfn.XMATCH($E63,[1]Coefficients!$B$132:$B$151),_xlfn.XMATCH(M$2,[1]Coefficients!$G$1:$BO$1))</f>
        <v/>
      </c>
      <c r="N63">
        <f t="array" ref="N63">INDEX([1]Coefficients!$G$180:$BO$199,_xlfn.XMATCH($E63,[1]Coefficients!$B$132:$B$151),_xlfn.XMATCH(N$2,[1]Coefficients!$G$1:$BO$1))</f>
        <v/>
      </c>
      <c r="O63">
        <f t="array" ref="O63">INDEX([1]Coefficients!$G$180:$BO$199,_xlfn.XMATCH($E63,[1]Coefficients!$B$132:$B$151),_xlfn.XMATCH(O$2,[1]Coefficients!$G$1:$BO$1))</f>
        <v/>
      </c>
      <c r="P63">
        <f t="array" ref="P63">INDEX([1]Coefficients!$G$180:$BO$199,_xlfn.XMATCH($E63,[1]Coefficients!$B$132:$B$151),_xlfn.XMATCH(P$2,[1]Coefficients!$G$1:$BO$1))</f>
        <v/>
      </c>
      <c r="Q63">
        <f t="array" ref="Q63">INDEX([1]Coefficients!$G$180:$BO$199,_xlfn.XMATCH($E63,[1]Coefficients!$B$132:$B$151),_xlfn.XMATCH(Q$2,[1]Coefficients!$G$1:$BO$1))</f>
        <v/>
      </c>
      <c r="R63">
        <f t="array" ref="R63">INDEX([1]Coefficients!$G$180:$BO$199,_xlfn.XMATCH($E63,[1]Coefficients!$B$132:$B$151),_xlfn.XMATCH(R$2,[1]Coefficients!$G$1:$BO$1))</f>
        <v/>
      </c>
      <c r="S63">
        <f t="array" ref="S63">INDEX([1]Coefficients!$G$180:$BO$199,_xlfn.XMATCH($E63,[1]Coefficients!$B$132:$B$151),_xlfn.XMATCH(S$2,[1]Coefficients!$G$1:$BO$1))</f>
        <v/>
      </c>
      <c r="T63">
        <f t="array" ref="T63">INDEX([1]Coefficients!$G$180:$BO$199,_xlfn.XMATCH($E63,[1]Coefficients!$B$132:$B$151),_xlfn.XMATCH(T$2,[1]Coefficients!$G$1:$BO$1))</f>
        <v/>
      </c>
      <c r="U63">
        <f t="array" ref="U63">INDEX([1]Coefficients!$G$180:$BO$199,_xlfn.XMATCH($E63,[1]Coefficients!$B$132:$B$151),_xlfn.XMATCH(U$2,[1]Coefficients!$G$1:$BO$1))</f>
        <v/>
      </c>
      <c r="V63">
        <f t="array" ref="V63">INDEX([1]Coefficients!$G$180:$BO$199,_xlfn.XMATCH($E63,[1]Coefficients!$B$132:$B$151),_xlfn.XMATCH(V$2,[1]Coefficients!$G$1:$BO$1))</f>
        <v/>
      </c>
      <c r="W63">
        <f t="array" ref="W63">INDEX([1]Coefficients!$G$180:$BO$199,_xlfn.XMATCH($E63,[1]Coefficients!$B$132:$B$151),_xlfn.XMATCH(W$2,[1]Coefficients!$G$1:$BO$1))</f>
        <v/>
      </c>
    </row>
    <row r="64">
      <c r="A64" t="inlineStr">
        <is>
          <t>CIMS.Generic Fuels.Jet Fuel</t>
        </is>
      </c>
      <c r="B64" t="inlineStr">
        <is>
          <t>Service</t>
        </is>
      </c>
      <c r="C64" t="inlineStr">
        <is>
          <t>CIMS</t>
        </is>
      </c>
      <c r="E64" t="inlineStr">
        <is>
          <t>Jet Fuel</t>
        </is>
      </c>
      <c r="G64" t="inlineStr">
        <is>
          <t>Service provided</t>
        </is>
      </c>
      <c r="L64" t="inlineStr">
        <is>
          <t>GJ</t>
        </is>
      </c>
    </row>
    <row r="65">
      <c r="A65" t="inlineStr">
        <is>
          <t>CIMS.Generic Fuels.Jet Fuel</t>
        </is>
      </c>
      <c r="B65" t="inlineStr">
        <is>
          <t>Service</t>
        </is>
      </c>
      <c r="C65" t="inlineStr">
        <is>
          <t>CIMS</t>
        </is>
      </c>
      <c r="E65" t="inlineStr">
        <is>
          <t>Jet Fuel</t>
        </is>
      </c>
      <c r="G65" t="inlineStr">
        <is>
          <t>Competition type</t>
        </is>
      </c>
      <c r="H65" t="inlineStr">
        <is>
          <t>Supply - Fixed Price</t>
        </is>
      </c>
    </row>
    <row r="66">
      <c r="A66" t="inlineStr">
        <is>
          <t>CIMS.Generic Fuels.Jet Fuel</t>
        </is>
      </c>
      <c r="B66" t="inlineStr">
        <is>
          <t>Service</t>
        </is>
      </c>
      <c r="C66" t="inlineStr">
        <is>
          <t>CIMS</t>
        </is>
      </c>
      <c r="E66" t="inlineStr">
        <is>
          <t>Jet Fuel</t>
        </is>
      </c>
      <c r="G66" t="inlineStr">
        <is>
          <t>Is supply</t>
        </is>
      </c>
      <c r="H66" t="b">
        <v>1</v>
      </c>
    </row>
    <row r="67">
      <c r="A67" t="inlineStr">
        <is>
          <t>CIMS.Generic Fuels.Jet Fuel</t>
        </is>
      </c>
      <c r="B67" t="inlineStr">
        <is>
          <t>Service</t>
        </is>
      </c>
      <c r="C67" t="inlineStr">
        <is>
          <t>CIMS</t>
        </is>
      </c>
      <c r="E67" t="inlineStr">
        <is>
          <t>Jet Fuel</t>
        </is>
      </c>
      <c r="G67" t="inlineStr">
        <is>
          <t>LCC_financial</t>
        </is>
      </c>
      <c r="K67" t="inlineStr">
        <is>
          <t>JCIMS</t>
        </is>
      </c>
      <c r="L67" t="inlineStr">
        <is>
          <t>$/GJ</t>
        </is>
      </c>
      <c r="M67">
        <f t="array" ref="M67">INDEX([1]!JCIMS_prices,_xlfn.XMATCH($E67,[1]!JCIMS_prices_index),_xlfn.XMATCH(M$2,[1]!CER_year))*[1]!JCIMS_price_inflator</f>
        <v/>
      </c>
      <c r="N67">
        <f t="array" ref="N67">INDEX([1]!JCIMS_prices,_xlfn.XMATCH($E67,[1]!JCIMS_prices_index),_xlfn.XMATCH(N$2,[1]!CER_year))*[1]!JCIMS_price_inflator</f>
        <v/>
      </c>
      <c r="O67">
        <f t="array" ref="O67">INDEX([1]!JCIMS_prices,_xlfn.XMATCH($E67,[1]!JCIMS_prices_index),_xlfn.XMATCH(O$2,[1]!CER_year))*[1]!JCIMS_price_inflator</f>
        <v/>
      </c>
      <c r="P67">
        <f t="array" ref="P67">INDEX([1]!JCIMS_prices,_xlfn.XMATCH($E67,[1]!JCIMS_prices_index),_xlfn.XMATCH(P$2,[1]!CER_year))*[1]!JCIMS_price_inflator</f>
        <v/>
      </c>
      <c r="Q67">
        <f t="array" ref="Q67">INDEX([1]!JCIMS_prices,_xlfn.XMATCH($E67,[1]!JCIMS_prices_index),_xlfn.XMATCH(Q$2,[1]!CER_year))*[1]!JCIMS_price_inflator</f>
        <v/>
      </c>
      <c r="R67">
        <f t="array" ref="R67">INDEX([1]!JCIMS_prices,_xlfn.XMATCH($E67,[1]!JCIMS_prices_index),_xlfn.XMATCH(R$2,[1]!CER_year))*[1]!JCIMS_price_inflator</f>
        <v/>
      </c>
      <c r="S67">
        <f t="array" ref="S67">INDEX([1]!JCIMS_prices,_xlfn.XMATCH($E67,[1]!JCIMS_prices_index),_xlfn.XMATCH(S$2,[1]!CER_year))*[1]!JCIMS_price_inflator</f>
        <v/>
      </c>
      <c r="T67">
        <f t="array" ref="T67">INDEX([1]!JCIMS_prices,_xlfn.XMATCH($E67,[1]!JCIMS_prices_index),_xlfn.XMATCH(T$2,[1]!CER_year))*[1]!JCIMS_price_inflator</f>
        <v/>
      </c>
      <c r="U67">
        <f t="array" ref="U67">INDEX([1]!JCIMS_prices,_xlfn.XMATCH($E67,[1]!JCIMS_prices_index),_xlfn.XMATCH(U$2,[1]!CER_year))*[1]!JCIMS_price_inflator</f>
        <v/>
      </c>
      <c r="V67">
        <f t="array" ref="V67">INDEX([1]!JCIMS_prices,_xlfn.XMATCH($E67,[1]!JCIMS_prices_index),_xlfn.XMATCH(V$2,[1]!CER_year))*[1]!JCIMS_price_inflator</f>
        <v/>
      </c>
      <c r="W67">
        <f t="array" ref="W67">INDEX([1]!JCIMS_prices,_xlfn.XMATCH($E67,[1]!JCIMS_prices_index),_xlfn.XMATCH(W$2,[1]!CER_year))*[1]!JCIMS_price_inflator</f>
        <v/>
      </c>
      <c r="X67" t="inlineStr">
        <is>
          <t>Cost in transportation freight - ON</t>
        </is>
      </c>
    </row>
    <row r="68">
      <c r="A68" t="inlineStr">
        <is>
          <t>CIMS.Generic Fuels.Jet Fuel</t>
        </is>
      </c>
      <c r="B68" t="inlineStr">
        <is>
          <t>Service</t>
        </is>
      </c>
      <c r="C68" t="inlineStr">
        <is>
          <t>CIMS</t>
        </is>
      </c>
      <c r="E68" t="inlineStr">
        <is>
          <t>Jet Fuel</t>
        </is>
      </c>
      <c r="G68" t="inlineStr">
        <is>
          <t>Emissions</t>
        </is>
      </c>
      <c r="H68" t="inlineStr">
        <is>
          <t>CO2</t>
        </is>
      </c>
      <c r="I68" t="inlineStr">
        <is>
          <t>Combustion</t>
        </is>
      </c>
      <c r="K68" t="inlineStr">
        <is>
          <t>ECCC, NIR</t>
        </is>
      </c>
      <c r="L68" t="inlineStr">
        <is>
          <t>tCO2</t>
        </is>
      </c>
      <c r="M68">
        <f t="array" ref="M68">INDEX([1]Coefficients!$G$132:$BO$151,_xlfn.XMATCH($E68,[1]Coefficients!$B$132:$B$151),_xlfn.XMATCH(M$2,[1]Coefficients!$G$1:$BO$1))</f>
        <v/>
      </c>
      <c r="N68">
        <f t="array" ref="N68">INDEX([1]Coefficients!$G$132:$BO$151,_xlfn.XMATCH($E68,[1]Coefficients!$B$132:$B$151),_xlfn.XMATCH(N$2,[1]Coefficients!$G$1:$BO$1))</f>
        <v/>
      </c>
      <c r="O68">
        <f t="array" ref="O68">INDEX([1]Coefficients!$G$132:$BO$151,_xlfn.XMATCH($E68,[1]Coefficients!$B$132:$B$151),_xlfn.XMATCH(O$2,[1]Coefficients!$G$1:$BO$1))</f>
        <v/>
      </c>
      <c r="P68">
        <f t="array" ref="P68">INDEX([1]Coefficients!$G$132:$BO$151,_xlfn.XMATCH($E68,[1]Coefficients!$B$132:$B$151),_xlfn.XMATCH(P$2,[1]Coefficients!$G$1:$BO$1))</f>
        <v/>
      </c>
      <c r="Q68">
        <f t="array" ref="Q68">INDEX([1]Coefficients!$G$132:$BO$151,_xlfn.XMATCH($E68,[1]Coefficients!$B$132:$B$151),_xlfn.XMATCH(Q$2,[1]Coefficients!$G$1:$BO$1))</f>
        <v/>
      </c>
      <c r="R68">
        <f t="array" ref="R68">INDEX([1]Coefficients!$G$132:$BO$151,_xlfn.XMATCH($E68,[1]Coefficients!$B$132:$B$151),_xlfn.XMATCH(R$2,[1]Coefficients!$G$1:$BO$1))</f>
        <v/>
      </c>
      <c r="S68">
        <f t="array" ref="S68">INDEX([1]Coefficients!$G$132:$BO$151,_xlfn.XMATCH($E68,[1]Coefficients!$B$132:$B$151),_xlfn.XMATCH(S$2,[1]Coefficients!$G$1:$BO$1))</f>
        <v/>
      </c>
      <c r="T68">
        <f t="array" ref="T68">INDEX([1]Coefficients!$G$132:$BO$151,_xlfn.XMATCH($E68,[1]Coefficients!$B$132:$B$151),_xlfn.XMATCH(T$2,[1]Coefficients!$G$1:$BO$1))</f>
        <v/>
      </c>
      <c r="U68">
        <f t="array" ref="U68">INDEX([1]Coefficients!$G$132:$BO$151,_xlfn.XMATCH($E68,[1]Coefficients!$B$132:$B$151),_xlfn.XMATCH(U$2,[1]Coefficients!$G$1:$BO$1))</f>
        <v/>
      </c>
      <c r="V68">
        <f t="array" ref="V68">INDEX([1]Coefficients!$G$132:$BO$151,_xlfn.XMATCH($E68,[1]Coefficients!$B$132:$B$151),_xlfn.XMATCH(V$2,[1]Coefficients!$G$1:$BO$1))</f>
        <v/>
      </c>
      <c r="W68">
        <f t="array" ref="W68">INDEX([1]Coefficients!$G$132:$BO$151,_xlfn.XMATCH($E68,[1]Coefficients!$B$132:$B$151),_xlfn.XMATCH(W$2,[1]Coefficients!$G$1:$BO$1))</f>
        <v/>
      </c>
    </row>
    <row r="69">
      <c r="A69" t="inlineStr">
        <is>
          <t>CIMS.Generic Fuels.Jet Fuel</t>
        </is>
      </c>
      <c r="B69" t="inlineStr">
        <is>
          <t>Service</t>
        </is>
      </c>
      <c r="C69" t="inlineStr">
        <is>
          <t>CIMS</t>
        </is>
      </c>
      <c r="E69" t="inlineStr">
        <is>
          <t>Jet Fuel</t>
        </is>
      </c>
      <c r="G69" t="inlineStr">
        <is>
          <t>Emissions</t>
        </is>
      </c>
      <c r="H69" t="inlineStr">
        <is>
          <t>CH4</t>
        </is>
      </c>
      <c r="I69" t="inlineStr">
        <is>
          <t>Combustion</t>
        </is>
      </c>
      <c r="K69" t="inlineStr">
        <is>
          <t>ECCC, NIR</t>
        </is>
      </c>
      <c r="L69" t="inlineStr">
        <is>
          <t>tCH4</t>
        </is>
      </c>
      <c r="M69">
        <f t="array" ref="M69">INDEX([1]Coefficients!$G$156:$BO$175,_xlfn.XMATCH($E69,[1]Coefficients!$B$132:$B$151),_xlfn.XMATCH(M$2,[1]Coefficients!$G$1:$BO$1))</f>
        <v/>
      </c>
      <c r="N69">
        <f t="array" ref="N69">INDEX([1]Coefficients!$G$156:$BO$175,_xlfn.XMATCH($E69,[1]Coefficients!$B$132:$B$151),_xlfn.XMATCH(N$2,[1]Coefficients!$G$1:$BO$1))</f>
        <v/>
      </c>
      <c r="O69">
        <f t="array" ref="O69">INDEX([1]Coefficients!$G$156:$BO$175,_xlfn.XMATCH($E69,[1]Coefficients!$B$132:$B$151),_xlfn.XMATCH(O$2,[1]Coefficients!$G$1:$BO$1))</f>
        <v/>
      </c>
      <c r="P69">
        <f t="array" ref="P69">INDEX([1]Coefficients!$G$156:$BO$175,_xlfn.XMATCH($E69,[1]Coefficients!$B$132:$B$151),_xlfn.XMATCH(P$2,[1]Coefficients!$G$1:$BO$1))</f>
        <v/>
      </c>
      <c r="Q69">
        <f t="array" ref="Q69">INDEX([1]Coefficients!$G$156:$BO$175,_xlfn.XMATCH($E69,[1]Coefficients!$B$132:$B$151),_xlfn.XMATCH(Q$2,[1]Coefficients!$G$1:$BO$1))</f>
        <v/>
      </c>
      <c r="R69">
        <f t="array" ref="R69">INDEX([1]Coefficients!$G$156:$BO$175,_xlfn.XMATCH($E69,[1]Coefficients!$B$132:$B$151),_xlfn.XMATCH(R$2,[1]Coefficients!$G$1:$BO$1))</f>
        <v/>
      </c>
      <c r="S69">
        <f t="array" ref="S69">INDEX([1]Coefficients!$G$156:$BO$175,_xlfn.XMATCH($E69,[1]Coefficients!$B$132:$B$151),_xlfn.XMATCH(S$2,[1]Coefficients!$G$1:$BO$1))</f>
        <v/>
      </c>
      <c r="T69">
        <f t="array" ref="T69">INDEX([1]Coefficients!$G$156:$BO$175,_xlfn.XMATCH($E69,[1]Coefficients!$B$132:$B$151),_xlfn.XMATCH(T$2,[1]Coefficients!$G$1:$BO$1))</f>
        <v/>
      </c>
      <c r="U69">
        <f t="array" ref="U69">INDEX([1]Coefficients!$G$156:$BO$175,_xlfn.XMATCH($E69,[1]Coefficients!$B$132:$B$151),_xlfn.XMATCH(U$2,[1]Coefficients!$G$1:$BO$1))</f>
        <v/>
      </c>
      <c r="V69">
        <f t="array" ref="V69">INDEX([1]Coefficients!$G$156:$BO$175,_xlfn.XMATCH($E69,[1]Coefficients!$B$132:$B$151),_xlfn.XMATCH(V$2,[1]Coefficients!$G$1:$BO$1))</f>
        <v/>
      </c>
      <c r="W69">
        <f t="array" ref="W69">INDEX([1]Coefficients!$G$156:$BO$175,_xlfn.XMATCH($E69,[1]Coefficients!$B$132:$B$151),_xlfn.XMATCH(W$2,[1]Coefficients!$G$1:$BO$1))</f>
        <v/>
      </c>
    </row>
    <row r="70">
      <c r="A70" t="inlineStr">
        <is>
          <t>CIMS.Generic Fuels.Jet Fuel</t>
        </is>
      </c>
      <c r="B70" t="inlineStr">
        <is>
          <t>Service</t>
        </is>
      </c>
      <c r="C70" t="inlineStr">
        <is>
          <t>CIMS</t>
        </is>
      </c>
      <c r="E70" t="inlineStr">
        <is>
          <t>Jet Fuel</t>
        </is>
      </c>
      <c r="G70" t="inlineStr">
        <is>
          <t>Emissions</t>
        </is>
      </c>
      <c r="H70" t="inlineStr">
        <is>
          <t>N2O</t>
        </is>
      </c>
      <c r="I70" t="inlineStr">
        <is>
          <t>Combustion</t>
        </is>
      </c>
      <c r="K70" t="inlineStr">
        <is>
          <t>ECCC, NIR</t>
        </is>
      </c>
      <c r="L70" t="inlineStr">
        <is>
          <t>tN2O</t>
        </is>
      </c>
      <c r="M70">
        <f t="array" ref="M70">INDEX([1]Coefficients!$G$180:$BO$199,_xlfn.XMATCH($E70,[1]Coefficients!$B$132:$B$151),_xlfn.XMATCH(M$2,[1]Coefficients!$G$1:$BO$1))</f>
        <v/>
      </c>
      <c r="N70">
        <f t="array" ref="N70">INDEX([1]Coefficients!$G$180:$BO$199,_xlfn.XMATCH($E70,[1]Coefficients!$B$132:$B$151),_xlfn.XMATCH(N$2,[1]Coefficients!$G$1:$BO$1))</f>
        <v/>
      </c>
      <c r="O70">
        <f t="array" ref="O70">INDEX([1]Coefficients!$G$180:$BO$199,_xlfn.XMATCH($E70,[1]Coefficients!$B$132:$B$151),_xlfn.XMATCH(O$2,[1]Coefficients!$G$1:$BO$1))</f>
        <v/>
      </c>
      <c r="P70">
        <f t="array" ref="P70">INDEX([1]Coefficients!$G$180:$BO$199,_xlfn.XMATCH($E70,[1]Coefficients!$B$132:$B$151),_xlfn.XMATCH(P$2,[1]Coefficients!$G$1:$BO$1))</f>
        <v/>
      </c>
      <c r="Q70">
        <f t="array" ref="Q70">INDEX([1]Coefficients!$G$180:$BO$199,_xlfn.XMATCH($E70,[1]Coefficients!$B$132:$B$151),_xlfn.XMATCH(Q$2,[1]Coefficients!$G$1:$BO$1))</f>
        <v/>
      </c>
      <c r="R70">
        <f t="array" ref="R70">INDEX([1]Coefficients!$G$180:$BO$199,_xlfn.XMATCH($E70,[1]Coefficients!$B$132:$B$151),_xlfn.XMATCH(R$2,[1]Coefficients!$G$1:$BO$1))</f>
        <v/>
      </c>
      <c r="S70">
        <f t="array" ref="S70">INDEX([1]Coefficients!$G$180:$BO$199,_xlfn.XMATCH($E70,[1]Coefficients!$B$132:$B$151),_xlfn.XMATCH(S$2,[1]Coefficients!$G$1:$BO$1))</f>
        <v/>
      </c>
      <c r="T70">
        <f t="array" ref="T70">INDEX([1]Coefficients!$G$180:$BO$199,_xlfn.XMATCH($E70,[1]Coefficients!$B$132:$B$151),_xlfn.XMATCH(T$2,[1]Coefficients!$G$1:$BO$1))</f>
        <v/>
      </c>
      <c r="U70">
        <f t="array" ref="U70">INDEX([1]Coefficients!$G$180:$BO$199,_xlfn.XMATCH($E70,[1]Coefficients!$B$132:$B$151),_xlfn.XMATCH(U$2,[1]Coefficients!$G$1:$BO$1))</f>
        <v/>
      </c>
      <c r="V70">
        <f t="array" ref="V70">INDEX([1]Coefficients!$G$180:$BO$199,_xlfn.XMATCH($E70,[1]Coefficients!$B$132:$B$151),_xlfn.XMATCH(V$2,[1]Coefficients!$G$1:$BO$1))</f>
        <v/>
      </c>
      <c r="W70">
        <f t="array" ref="W70">INDEX([1]Coefficients!$G$180:$BO$199,_xlfn.XMATCH($E70,[1]Coefficients!$B$132:$B$151),_xlfn.XMATCH(W$2,[1]Coefficients!$G$1:$BO$1))</f>
        <v/>
      </c>
    </row>
    <row r="71">
      <c r="A71" t="inlineStr">
        <is>
          <t>CIMS.Generic Fuels.LPG</t>
        </is>
      </c>
      <c r="B71" t="inlineStr">
        <is>
          <t>Service</t>
        </is>
      </c>
      <c r="C71" t="inlineStr">
        <is>
          <t>CIMS</t>
        </is>
      </c>
      <c r="E71" t="inlineStr">
        <is>
          <t>LPG</t>
        </is>
      </c>
      <c r="G71" t="inlineStr">
        <is>
          <t>Service provided</t>
        </is>
      </c>
      <c r="L71" t="inlineStr">
        <is>
          <t>GJ</t>
        </is>
      </c>
    </row>
    <row r="72">
      <c r="A72" t="inlineStr">
        <is>
          <t>CIMS.Generic Fuels.LPG</t>
        </is>
      </c>
      <c r="B72" t="inlineStr">
        <is>
          <t>Service</t>
        </is>
      </c>
      <c r="C72" t="inlineStr">
        <is>
          <t>CIMS</t>
        </is>
      </c>
      <c r="E72" t="inlineStr">
        <is>
          <t>LPG</t>
        </is>
      </c>
      <c r="G72" t="inlineStr">
        <is>
          <t>Competition type</t>
        </is>
      </c>
      <c r="H72" t="inlineStr">
        <is>
          <t>Supply - Fixed Price</t>
        </is>
      </c>
    </row>
    <row r="73">
      <c r="A73" t="inlineStr">
        <is>
          <t>CIMS.Generic Fuels.LPG</t>
        </is>
      </c>
      <c r="B73" t="inlineStr">
        <is>
          <t>Service</t>
        </is>
      </c>
      <c r="C73" t="inlineStr">
        <is>
          <t>CIMS</t>
        </is>
      </c>
      <c r="E73" t="inlineStr">
        <is>
          <t>LPG</t>
        </is>
      </c>
      <c r="G73" t="inlineStr">
        <is>
          <t>Is supply</t>
        </is>
      </c>
      <c r="H73" t="b">
        <v>1</v>
      </c>
    </row>
    <row r="74">
      <c r="A74" t="inlineStr">
        <is>
          <t>CIMS.Generic Fuels.LPG</t>
        </is>
      </c>
      <c r="B74" t="inlineStr">
        <is>
          <t>Service</t>
        </is>
      </c>
      <c r="C74" t="inlineStr">
        <is>
          <t>CIMS</t>
        </is>
      </c>
      <c r="E74" t="inlineStr">
        <is>
          <t>LPG</t>
        </is>
      </c>
      <c r="G74" t="inlineStr">
        <is>
          <t>LCC_financial</t>
        </is>
      </c>
      <c r="K74" t="inlineStr">
        <is>
          <t>JCIMS</t>
        </is>
      </c>
      <c r="L74" t="inlineStr">
        <is>
          <t>$/GJ</t>
        </is>
      </c>
      <c r="M74">
        <f t="array" ref="M74">INDEX([1]!JCIMS_prices,_xlfn.XMATCH($E74,[1]!JCIMS_prices_index),_xlfn.XMATCH(M$2,[1]!CER_year))*[1]!JCIMS_price_inflator</f>
        <v/>
      </c>
      <c r="N74">
        <f t="array" ref="N74">INDEX([1]!JCIMS_prices,_xlfn.XMATCH($E74,[1]!JCIMS_prices_index),_xlfn.XMATCH(N$2,[1]!CER_year))*[1]!JCIMS_price_inflator</f>
        <v/>
      </c>
      <c r="O74">
        <f t="array" ref="O74">INDEX([1]!JCIMS_prices,_xlfn.XMATCH($E74,[1]!JCIMS_prices_index),_xlfn.XMATCH(O$2,[1]!CER_year))*[1]!JCIMS_price_inflator</f>
        <v/>
      </c>
      <c r="P74">
        <f t="array" ref="P74">INDEX([1]!JCIMS_prices,_xlfn.XMATCH($E74,[1]!JCIMS_prices_index),_xlfn.XMATCH(P$2,[1]!CER_year))*[1]!JCIMS_price_inflator</f>
        <v/>
      </c>
      <c r="Q74">
        <f t="array" ref="Q74">INDEX([1]!JCIMS_prices,_xlfn.XMATCH($E74,[1]!JCIMS_prices_index),_xlfn.XMATCH(Q$2,[1]!CER_year))*[1]!JCIMS_price_inflator</f>
        <v/>
      </c>
      <c r="R74">
        <f t="array" ref="R74">INDEX([1]!JCIMS_prices,_xlfn.XMATCH($E74,[1]!JCIMS_prices_index),_xlfn.XMATCH(R$2,[1]!CER_year))*[1]!JCIMS_price_inflator</f>
        <v/>
      </c>
      <c r="S74">
        <f t="array" ref="S74">INDEX([1]!JCIMS_prices,_xlfn.XMATCH($E74,[1]!JCIMS_prices_index),_xlfn.XMATCH(S$2,[1]!CER_year))*[1]!JCIMS_price_inflator</f>
        <v/>
      </c>
      <c r="T74">
        <f t="array" ref="T74">INDEX([1]!JCIMS_prices,_xlfn.XMATCH($E74,[1]!JCIMS_prices_index),_xlfn.XMATCH(T$2,[1]!CER_year))*[1]!JCIMS_price_inflator</f>
        <v/>
      </c>
      <c r="U74">
        <f t="array" ref="U74">INDEX([1]!JCIMS_prices,_xlfn.XMATCH($E74,[1]!JCIMS_prices_index),_xlfn.XMATCH(U$2,[1]!CER_year))*[1]!JCIMS_price_inflator</f>
        <v/>
      </c>
      <c r="V74">
        <f t="array" ref="V74">INDEX([1]!JCIMS_prices,_xlfn.XMATCH($E74,[1]!JCIMS_prices_index),_xlfn.XMATCH(V$2,[1]!CER_year))*[1]!JCIMS_price_inflator</f>
        <v/>
      </c>
      <c r="W74">
        <f t="array" ref="W74">INDEX([1]!JCIMS_prices,_xlfn.XMATCH($E74,[1]!JCIMS_prices_index),_xlfn.XMATCH(W$2,[1]!CER_year))*[1]!JCIMS_price_inflator</f>
        <v/>
      </c>
      <c r="X74" t="inlineStr">
        <is>
          <t>Cost in mining - ON</t>
        </is>
      </c>
    </row>
    <row r="75">
      <c r="A75" t="inlineStr">
        <is>
          <t>CIMS.Generic Fuels.LPG</t>
        </is>
      </c>
      <c r="B75" t="inlineStr">
        <is>
          <t>Service</t>
        </is>
      </c>
      <c r="C75" t="inlineStr">
        <is>
          <t>CIMS</t>
        </is>
      </c>
      <c r="E75" t="inlineStr">
        <is>
          <t>LPG</t>
        </is>
      </c>
      <c r="G75" t="inlineStr">
        <is>
          <t>Emissions</t>
        </is>
      </c>
      <c r="H75" t="inlineStr">
        <is>
          <t>CO2</t>
        </is>
      </c>
      <c r="I75" t="inlineStr">
        <is>
          <t>Combustion</t>
        </is>
      </c>
      <c r="K75" t="inlineStr">
        <is>
          <t>ECCC, NIR</t>
        </is>
      </c>
      <c r="L75" t="inlineStr">
        <is>
          <t>tCO2</t>
        </is>
      </c>
      <c r="M75">
        <f t="array" ref="M75">INDEX([1]Coefficients!$G$132:$BO$151,_xlfn.XMATCH($E75,[1]Coefficients!$B$132:$B$151),_xlfn.XMATCH(M$2,[1]Coefficients!$G$1:$BO$1))</f>
        <v/>
      </c>
      <c r="N75">
        <f t="array" ref="N75">INDEX([1]Coefficients!$G$132:$BO$151,_xlfn.XMATCH($E75,[1]Coefficients!$B$132:$B$151),_xlfn.XMATCH(N$2,[1]Coefficients!$G$1:$BO$1))</f>
        <v/>
      </c>
      <c r="O75">
        <f t="array" ref="O75">INDEX([1]Coefficients!$G$132:$BO$151,_xlfn.XMATCH($E75,[1]Coefficients!$B$132:$B$151),_xlfn.XMATCH(O$2,[1]Coefficients!$G$1:$BO$1))</f>
        <v/>
      </c>
      <c r="P75">
        <f t="array" ref="P75">INDEX([1]Coefficients!$G$132:$BO$151,_xlfn.XMATCH($E75,[1]Coefficients!$B$132:$B$151),_xlfn.XMATCH(P$2,[1]Coefficients!$G$1:$BO$1))</f>
        <v/>
      </c>
      <c r="Q75">
        <f t="array" ref="Q75">INDEX([1]Coefficients!$G$132:$BO$151,_xlfn.XMATCH($E75,[1]Coefficients!$B$132:$B$151),_xlfn.XMATCH(Q$2,[1]Coefficients!$G$1:$BO$1))</f>
        <v/>
      </c>
      <c r="R75">
        <f t="array" ref="R75">INDEX([1]Coefficients!$G$132:$BO$151,_xlfn.XMATCH($E75,[1]Coefficients!$B$132:$B$151),_xlfn.XMATCH(R$2,[1]Coefficients!$G$1:$BO$1))</f>
        <v/>
      </c>
      <c r="S75">
        <f t="array" ref="S75">INDEX([1]Coefficients!$G$132:$BO$151,_xlfn.XMATCH($E75,[1]Coefficients!$B$132:$B$151),_xlfn.XMATCH(S$2,[1]Coefficients!$G$1:$BO$1))</f>
        <v/>
      </c>
      <c r="T75">
        <f t="array" ref="T75">INDEX([1]Coefficients!$G$132:$BO$151,_xlfn.XMATCH($E75,[1]Coefficients!$B$132:$B$151),_xlfn.XMATCH(T$2,[1]Coefficients!$G$1:$BO$1))</f>
        <v/>
      </c>
      <c r="U75">
        <f t="array" ref="U75">INDEX([1]Coefficients!$G$132:$BO$151,_xlfn.XMATCH($E75,[1]Coefficients!$B$132:$B$151),_xlfn.XMATCH(U$2,[1]Coefficients!$G$1:$BO$1))</f>
        <v/>
      </c>
      <c r="V75">
        <f t="array" ref="V75">INDEX([1]Coefficients!$G$132:$BO$151,_xlfn.XMATCH($E75,[1]Coefficients!$B$132:$B$151),_xlfn.XMATCH(V$2,[1]Coefficients!$G$1:$BO$1))</f>
        <v/>
      </c>
      <c r="W75">
        <f t="array" ref="W75">INDEX([1]Coefficients!$G$132:$BO$151,_xlfn.XMATCH($E75,[1]Coefficients!$B$132:$B$151),_xlfn.XMATCH(W$2,[1]Coefficients!$G$1:$BO$1))</f>
        <v/>
      </c>
    </row>
    <row r="76">
      <c r="A76" t="inlineStr">
        <is>
          <t>CIMS.Generic Fuels.LPG</t>
        </is>
      </c>
      <c r="B76" t="inlineStr">
        <is>
          <t>Service</t>
        </is>
      </c>
      <c r="C76" t="inlineStr">
        <is>
          <t>CIMS</t>
        </is>
      </c>
      <c r="E76" t="inlineStr">
        <is>
          <t>LPG</t>
        </is>
      </c>
      <c r="G76" t="inlineStr">
        <is>
          <t>Emissions</t>
        </is>
      </c>
      <c r="H76" t="inlineStr">
        <is>
          <t>CH4</t>
        </is>
      </c>
      <c r="I76" t="inlineStr">
        <is>
          <t>Combustion</t>
        </is>
      </c>
      <c r="K76" t="inlineStr">
        <is>
          <t>ECCC, NIR</t>
        </is>
      </c>
      <c r="L76" t="inlineStr">
        <is>
          <t>tCH4</t>
        </is>
      </c>
      <c r="M76">
        <f t="array" ref="M76">INDEX([1]Coefficients!$G$156:$BO$175,_xlfn.XMATCH($E76,[1]Coefficients!$B$132:$B$151),_xlfn.XMATCH(M$2,[1]Coefficients!$G$1:$BO$1))</f>
        <v/>
      </c>
      <c r="N76">
        <f t="array" ref="N76">INDEX([1]Coefficients!$G$156:$BO$175,_xlfn.XMATCH($E76,[1]Coefficients!$B$132:$B$151),_xlfn.XMATCH(N$2,[1]Coefficients!$G$1:$BO$1))</f>
        <v/>
      </c>
      <c r="O76">
        <f t="array" ref="O76">INDEX([1]Coefficients!$G$156:$BO$175,_xlfn.XMATCH($E76,[1]Coefficients!$B$132:$B$151),_xlfn.XMATCH(O$2,[1]Coefficients!$G$1:$BO$1))</f>
        <v/>
      </c>
      <c r="P76">
        <f t="array" ref="P76">INDEX([1]Coefficients!$G$156:$BO$175,_xlfn.XMATCH($E76,[1]Coefficients!$B$132:$B$151),_xlfn.XMATCH(P$2,[1]Coefficients!$G$1:$BO$1))</f>
        <v/>
      </c>
      <c r="Q76">
        <f t="array" ref="Q76">INDEX([1]Coefficients!$G$156:$BO$175,_xlfn.XMATCH($E76,[1]Coefficients!$B$132:$B$151),_xlfn.XMATCH(Q$2,[1]Coefficients!$G$1:$BO$1))</f>
        <v/>
      </c>
      <c r="R76">
        <f t="array" ref="R76">INDEX([1]Coefficients!$G$156:$BO$175,_xlfn.XMATCH($E76,[1]Coefficients!$B$132:$B$151),_xlfn.XMATCH(R$2,[1]Coefficients!$G$1:$BO$1))</f>
        <v/>
      </c>
      <c r="S76">
        <f t="array" ref="S76">INDEX([1]Coefficients!$G$156:$BO$175,_xlfn.XMATCH($E76,[1]Coefficients!$B$132:$B$151),_xlfn.XMATCH(S$2,[1]Coefficients!$G$1:$BO$1))</f>
        <v/>
      </c>
      <c r="T76">
        <f t="array" ref="T76">INDEX([1]Coefficients!$G$156:$BO$175,_xlfn.XMATCH($E76,[1]Coefficients!$B$132:$B$151),_xlfn.XMATCH(T$2,[1]Coefficients!$G$1:$BO$1))</f>
        <v/>
      </c>
      <c r="U76">
        <f t="array" ref="U76">INDEX([1]Coefficients!$G$156:$BO$175,_xlfn.XMATCH($E76,[1]Coefficients!$B$132:$B$151),_xlfn.XMATCH(U$2,[1]Coefficients!$G$1:$BO$1))</f>
        <v/>
      </c>
      <c r="V76">
        <f t="array" ref="V76">INDEX([1]Coefficients!$G$156:$BO$175,_xlfn.XMATCH($E76,[1]Coefficients!$B$132:$B$151),_xlfn.XMATCH(V$2,[1]Coefficients!$G$1:$BO$1))</f>
        <v/>
      </c>
      <c r="W76">
        <f t="array" ref="W76">INDEX([1]Coefficients!$G$156:$BO$175,_xlfn.XMATCH($E76,[1]Coefficients!$B$132:$B$151),_xlfn.XMATCH(W$2,[1]Coefficients!$G$1:$BO$1))</f>
        <v/>
      </c>
    </row>
    <row r="77">
      <c r="A77" t="inlineStr">
        <is>
          <t>CIMS.Generic Fuels.LPG</t>
        </is>
      </c>
      <c r="B77" t="inlineStr">
        <is>
          <t>Service</t>
        </is>
      </c>
      <c r="C77" t="inlineStr">
        <is>
          <t>CIMS</t>
        </is>
      </c>
      <c r="E77" t="inlineStr">
        <is>
          <t>LPG</t>
        </is>
      </c>
      <c r="G77" t="inlineStr">
        <is>
          <t>Emissions</t>
        </is>
      </c>
      <c r="H77" t="inlineStr">
        <is>
          <t>N2O</t>
        </is>
      </c>
      <c r="I77" t="inlineStr">
        <is>
          <t>Combustion</t>
        </is>
      </c>
      <c r="K77" t="inlineStr">
        <is>
          <t>ECCC, NIR</t>
        </is>
      </c>
      <c r="L77" t="inlineStr">
        <is>
          <t>tN2O</t>
        </is>
      </c>
      <c r="M77">
        <f t="array" ref="M77">INDEX([1]Coefficients!$G$180:$BO$199,_xlfn.XMATCH($E77,[1]Coefficients!$B$132:$B$151),_xlfn.XMATCH(M$2,[1]Coefficients!$G$1:$BO$1))</f>
        <v/>
      </c>
      <c r="N77">
        <f t="array" ref="N77">INDEX([1]Coefficients!$G$180:$BO$199,_xlfn.XMATCH($E77,[1]Coefficients!$B$132:$B$151),_xlfn.XMATCH(N$2,[1]Coefficients!$G$1:$BO$1))</f>
        <v/>
      </c>
      <c r="O77">
        <f t="array" ref="O77">INDEX([1]Coefficients!$G$180:$BO$199,_xlfn.XMATCH($E77,[1]Coefficients!$B$132:$B$151),_xlfn.XMATCH(O$2,[1]Coefficients!$G$1:$BO$1))</f>
        <v/>
      </c>
      <c r="P77">
        <f t="array" ref="P77">INDEX([1]Coefficients!$G$180:$BO$199,_xlfn.XMATCH($E77,[1]Coefficients!$B$132:$B$151),_xlfn.XMATCH(P$2,[1]Coefficients!$G$1:$BO$1))</f>
        <v/>
      </c>
      <c r="Q77">
        <f t="array" ref="Q77">INDEX([1]Coefficients!$G$180:$BO$199,_xlfn.XMATCH($E77,[1]Coefficients!$B$132:$B$151),_xlfn.XMATCH(Q$2,[1]Coefficients!$G$1:$BO$1))</f>
        <v/>
      </c>
      <c r="R77">
        <f t="array" ref="R77">INDEX([1]Coefficients!$G$180:$BO$199,_xlfn.XMATCH($E77,[1]Coefficients!$B$132:$B$151),_xlfn.XMATCH(R$2,[1]Coefficients!$G$1:$BO$1))</f>
        <v/>
      </c>
      <c r="S77">
        <f t="array" ref="S77">INDEX([1]Coefficients!$G$180:$BO$199,_xlfn.XMATCH($E77,[1]Coefficients!$B$132:$B$151),_xlfn.XMATCH(S$2,[1]Coefficients!$G$1:$BO$1))</f>
        <v/>
      </c>
      <c r="T77">
        <f t="array" ref="T77">INDEX([1]Coefficients!$G$180:$BO$199,_xlfn.XMATCH($E77,[1]Coefficients!$B$132:$B$151),_xlfn.XMATCH(T$2,[1]Coefficients!$G$1:$BO$1))</f>
        <v/>
      </c>
      <c r="U77">
        <f t="array" ref="U77">INDEX([1]Coefficients!$G$180:$BO$199,_xlfn.XMATCH($E77,[1]Coefficients!$B$132:$B$151),_xlfn.XMATCH(U$2,[1]Coefficients!$G$1:$BO$1))</f>
        <v/>
      </c>
      <c r="V77">
        <f t="array" ref="V77">INDEX([1]Coefficients!$G$180:$BO$199,_xlfn.XMATCH($E77,[1]Coefficients!$B$132:$B$151),_xlfn.XMATCH(V$2,[1]Coefficients!$G$1:$BO$1))</f>
        <v/>
      </c>
      <c r="W77">
        <f t="array" ref="W77">INDEX([1]Coefficients!$G$180:$BO$199,_xlfn.XMATCH($E77,[1]Coefficients!$B$132:$B$151),_xlfn.XMATCH(W$2,[1]Coefficients!$G$1:$BO$1))</f>
        <v/>
      </c>
    </row>
    <row r="78">
      <c r="A78" t="inlineStr">
        <is>
          <t>CIMS.Generic Fuels.Natural Gas</t>
        </is>
      </c>
      <c r="B78" t="inlineStr">
        <is>
          <t>Service</t>
        </is>
      </c>
      <c r="C78" t="inlineStr">
        <is>
          <t>CIMS</t>
        </is>
      </c>
      <c r="E78" t="inlineStr">
        <is>
          <t>Natural Gas</t>
        </is>
      </c>
      <c r="G78" t="inlineStr">
        <is>
          <t>Service provided</t>
        </is>
      </c>
      <c r="L78" t="inlineStr">
        <is>
          <t>GJ</t>
        </is>
      </c>
    </row>
    <row r="79">
      <c r="A79" t="inlineStr">
        <is>
          <t>CIMS.Generic Fuels.Natural Gas</t>
        </is>
      </c>
      <c r="B79" t="inlineStr">
        <is>
          <t>Service</t>
        </is>
      </c>
      <c r="C79" t="inlineStr">
        <is>
          <t>CIMS</t>
        </is>
      </c>
      <c r="E79" t="inlineStr">
        <is>
          <t>Natural Gas</t>
        </is>
      </c>
      <c r="G79" t="inlineStr">
        <is>
          <t>Competition type</t>
        </is>
      </c>
      <c r="H79" t="inlineStr">
        <is>
          <t>Supply - Fixed Price</t>
        </is>
      </c>
    </row>
    <row r="80">
      <c r="A80" t="inlineStr">
        <is>
          <t>CIMS.Generic Fuels.Natural Gas</t>
        </is>
      </c>
      <c r="B80" t="inlineStr">
        <is>
          <t>Service</t>
        </is>
      </c>
      <c r="C80" t="inlineStr">
        <is>
          <t>CIMS</t>
        </is>
      </c>
      <c r="E80" t="inlineStr">
        <is>
          <t>Natural Gas</t>
        </is>
      </c>
      <c r="G80" t="inlineStr">
        <is>
          <t>Is supply</t>
        </is>
      </c>
      <c r="H80" t="b">
        <v>1</v>
      </c>
    </row>
    <row r="81">
      <c r="A81" t="inlineStr">
        <is>
          <t>CIMS.Generic Fuels.Natural Gas</t>
        </is>
      </c>
      <c r="B81" t="inlineStr">
        <is>
          <t>Service</t>
        </is>
      </c>
      <c r="C81" t="inlineStr">
        <is>
          <t>CIMS</t>
        </is>
      </c>
      <c r="E81" t="inlineStr">
        <is>
          <t>Natural Gas</t>
        </is>
      </c>
      <c r="G81" t="inlineStr">
        <is>
          <t>LCC_financial</t>
        </is>
      </c>
      <c r="K81" t="inlineStr">
        <is>
          <t>CER</t>
        </is>
      </c>
      <c r="L81" t="inlineStr">
        <is>
          <t>$/GJ</t>
        </is>
      </c>
      <c r="M81">
        <f t="array" ref="M81">ROUND(INDEX([1]!CER_prod_cost,_xlfn.XMATCH("CAN"&amp;"Production cost"&amp;$A81,[1]!CER_prod_cost_index),_xlfn.XMATCH(M$2,[1]!CER_year)),2)</f>
        <v/>
      </c>
      <c r="N81">
        <f t="array" ref="N81">ROUND(INDEX([1]!CER_prod_cost,_xlfn.XMATCH("CAN"&amp;"Production cost"&amp;$A81,[1]!CER_prod_cost_index),_xlfn.XMATCH(N$2,[1]!CER_year)),2)</f>
        <v/>
      </c>
      <c r="O81">
        <f t="array" ref="O81">ROUND(INDEX([1]!CER_prod_cost,_xlfn.XMATCH("CAN"&amp;"Production cost"&amp;$A81,[1]!CER_prod_cost_index),_xlfn.XMATCH(O$2,[1]!CER_year)),2)</f>
        <v/>
      </c>
      <c r="P81">
        <f t="array" ref="P81">ROUND(INDEX([1]!CER_prod_cost,_xlfn.XMATCH("CAN"&amp;"Production cost"&amp;$A81,[1]!CER_prod_cost_index),_xlfn.XMATCH(P$2,[1]!CER_year)),2)</f>
        <v/>
      </c>
      <c r="Q81">
        <f t="array" ref="Q81">ROUND(INDEX([1]!CER_prod_cost,_xlfn.XMATCH("CAN"&amp;"Production cost"&amp;$A81,[1]!CER_prod_cost_index),_xlfn.XMATCH(Q$2,[1]!CER_year)),2)</f>
        <v/>
      </c>
      <c r="R81">
        <f t="array" ref="R81">ROUND(INDEX([1]!CER_prod_cost,_xlfn.XMATCH("CAN"&amp;"Production cost"&amp;$A81,[1]!CER_prod_cost_index),_xlfn.XMATCH(R$2,[1]!CER_year)),2)</f>
        <v/>
      </c>
      <c r="S81">
        <f t="array" ref="S81">ROUND(INDEX([1]!CER_prod_cost,_xlfn.XMATCH("CAN"&amp;"Production cost"&amp;$A81,[1]!CER_prod_cost_index),_xlfn.XMATCH(S$2,[1]!CER_year)),2)</f>
        <v/>
      </c>
      <c r="T81">
        <f t="array" ref="T81">ROUND(INDEX([1]!CER_prod_cost,_xlfn.XMATCH("CAN"&amp;"Production cost"&amp;$A81,[1]!CER_prod_cost_index),_xlfn.XMATCH(T$2,[1]!CER_year)),2)</f>
        <v/>
      </c>
      <c r="U81">
        <f t="array" ref="U81">ROUND(INDEX([1]!CER_prod_cost,_xlfn.XMATCH("CAN"&amp;"Production cost"&amp;$A81,[1]!CER_prod_cost_index),_xlfn.XMATCH(U$2,[1]!CER_year)),2)</f>
        <v/>
      </c>
      <c r="V81">
        <f t="array" ref="V81">ROUND(INDEX([1]!CER_prod_cost,_xlfn.XMATCH("CAN"&amp;"Production cost"&amp;$A81,[1]!CER_prod_cost_index),_xlfn.XMATCH(V$2,[1]!CER_year)),2)</f>
        <v/>
      </c>
      <c r="W81">
        <f t="array" ref="W81">ROUND(INDEX([1]!CER_prod_cost,_xlfn.XMATCH("CAN"&amp;"Production cost"&amp;$A81,[1]!CER_prod_cost_index),_xlfn.XMATCH(W$2,[1]!CER_year)),2)</f>
        <v/>
      </c>
      <c r="X81" t="inlineStr">
        <is>
          <t>CER forecast - CAN transportation</t>
        </is>
      </c>
    </row>
    <row r="82">
      <c r="A82" t="inlineStr">
        <is>
          <t>CIMS.Generic Fuels.Natural Gas</t>
        </is>
      </c>
      <c r="B82" t="inlineStr">
        <is>
          <t>Service</t>
        </is>
      </c>
      <c r="C82" t="inlineStr">
        <is>
          <t>CIMS</t>
        </is>
      </c>
      <c r="E82" t="inlineStr">
        <is>
          <t>Natural Gas</t>
        </is>
      </c>
      <c r="G82" t="inlineStr">
        <is>
          <t>Emissions</t>
        </is>
      </c>
      <c r="H82" t="inlineStr">
        <is>
          <t>CO2</t>
        </is>
      </c>
      <c r="I82" t="inlineStr">
        <is>
          <t>Combustion</t>
        </is>
      </c>
      <c r="K82" t="inlineStr">
        <is>
          <t>ECCC, NIR</t>
        </is>
      </c>
      <c r="L82" t="inlineStr">
        <is>
          <t>tCO2</t>
        </is>
      </c>
      <c r="M82">
        <f t="array" ref="M82">INDEX([1]Coefficients!$G$132:$BO$151,_xlfn.XMATCH($E82,[1]Coefficients!$B$132:$B$151),_xlfn.XMATCH(M$2,[1]Coefficients!$G$1:$BO$1))</f>
        <v/>
      </c>
      <c r="N82">
        <f t="array" ref="N82">INDEX([1]Coefficients!$G$132:$BO$151,_xlfn.XMATCH($E82,[1]Coefficients!$B$132:$B$151),_xlfn.XMATCH(N$2,[1]Coefficients!$G$1:$BO$1))</f>
        <v/>
      </c>
      <c r="O82">
        <f t="array" ref="O82">INDEX([1]Coefficients!$G$132:$BO$151,_xlfn.XMATCH($E82,[1]Coefficients!$B$132:$B$151),_xlfn.XMATCH(O$2,[1]Coefficients!$G$1:$BO$1))</f>
        <v/>
      </c>
      <c r="P82">
        <f t="array" ref="P82">INDEX([1]Coefficients!$G$132:$BO$151,_xlfn.XMATCH($E82,[1]Coefficients!$B$132:$B$151),_xlfn.XMATCH(P$2,[1]Coefficients!$G$1:$BO$1))</f>
        <v/>
      </c>
      <c r="Q82">
        <f t="array" ref="Q82">INDEX([1]Coefficients!$G$132:$BO$151,_xlfn.XMATCH($E82,[1]Coefficients!$B$132:$B$151),_xlfn.XMATCH(Q$2,[1]Coefficients!$G$1:$BO$1))</f>
        <v/>
      </c>
      <c r="R82">
        <f t="array" ref="R82">INDEX([1]Coefficients!$G$132:$BO$151,_xlfn.XMATCH($E82,[1]Coefficients!$B$132:$B$151),_xlfn.XMATCH(R$2,[1]Coefficients!$G$1:$BO$1))</f>
        <v/>
      </c>
      <c r="S82">
        <f t="array" ref="S82">INDEX([1]Coefficients!$G$132:$BO$151,_xlfn.XMATCH($E82,[1]Coefficients!$B$132:$B$151),_xlfn.XMATCH(S$2,[1]Coefficients!$G$1:$BO$1))</f>
        <v/>
      </c>
      <c r="T82">
        <f t="array" ref="T82">INDEX([1]Coefficients!$G$132:$BO$151,_xlfn.XMATCH($E82,[1]Coefficients!$B$132:$B$151),_xlfn.XMATCH(T$2,[1]Coefficients!$G$1:$BO$1))</f>
        <v/>
      </c>
      <c r="U82">
        <f t="array" ref="U82">INDEX([1]Coefficients!$G$132:$BO$151,_xlfn.XMATCH($E82,[1]Coefficients!$B$132:$B$151),_xlfn.XMATCH(U$2,[1]Coefficients!$G$1:$BO$1))</f>
        <v/>
      </c>
      <c r="V82">
        <f t="array" ref="V82">INDEX([1]Coefficients!$G$132:$BO$151,_xlfn.XMATCH($E82,[1]Coefficients!$B$132:$B$151),_xlfn.XMATCH(V$2,[1]Coefficients!$G$1:$BO$1))</f>
        <v/>
      </c>
      <c r="W82">
        <f t="array" ref="W82">INDEX([1]Coefficients!$G$132:$BO$151,_xlfn.XMATCH($E82,[1]Coefficients!$B$132:$B$151),_xlfn.XMATCH(W$2,[1]Coefficients!$G$1:$BO$1))</f>
        <v/>
      </c>
    </row>
    <row r="83">
      <c r="A83" t="inlineStr">
        <is>
          <t>CIMS.Generic Fuels.Natural Gas</t>
        </is>
      </c>
      <c r="B83" t="inlineStr">
        <is>
          <t>Service</t>
        </is>
      </c>
      <c r="C83" t="inlineStr">
        <is>
          <t>CIMS</t>
        </is>
      </c>
      <c r="E83" t="inlineStr">
        <is>
          <t>Natural Gas</t>
        </is>
      </c>
      <c r="G83" t="inlineStr">
        <is>
          <t>Emissions</t>
        </is>
      </c>
      <c r="H83" t="inlineStr">
        <is>
          <t>CH4</t>
        </is>
      </c>
      <c r="I83" t="inlineStr">
        <is>
          <t>Combustion</t>
        </is>
      </c>
      <c r="K83" t="inlineStr">
        <is>
          <t>ECCC, NIR</t>
        </is>
      </c>
      <c r="L83" t="inlineStr">
        <is>
          <t>tCH4</t>
        </is>
      </c>
      <c r="M83">
        <f t="array" ref="M83">INDEX([1]Coefficients!$G$156:$BO$175,_xlfn.XMATCH($E83,[1]Coefficients!$B$132:$B$151),_xlfn.XMATCH(M$2,[1]Coefficients!$G$1:$BO$1))</f>
        <v/>
      </c>
      <c r="N83">
        <f t="array" ref="N83">INDEX([1]Coefficients!$G$156:$BO$175,_xlfn.XMATCH($E83,[1]Coefficients!$B$132:$B$151),_xlfn.XMATCH(N$2,[1]Coefficients!$G$1:$BO$1))</f>
        <v/>
      </c>
      <c r="O83">
        <f t="array" ref="O83">INDEX([1]Coefficients!$G$156:$BO$175,_xlfn.XMATCH($E83,[1]Coefficients!$B$132:$B$151),_xlfn.XMATCH(O$2,[1]Coefficients!$G$1:$BO$1))</f>
        <v/>
      </c>
      <c r="P83">
        <f t="array" ref="P83">INDEX([1]Coefficients!$G$156:$BO$175,_xlfn.XMATCH($E83,[1]Coefficients!$B$132:$B$151),_xlfn.XMATCH(P$2,[1]Coefficients!$G$1:$BO$1))</f>
        <v/>
      </c>
      <c r="Q83">
        <f t="array" ref="Q83">INDEX([1]Coefficients!$G$156:$BO$175,_xlfn.XMATCH($E83,[1]Coefficients!$B$132:$B$151),_xlfn.XMATCH(Q$2,[1]Coefficients!$G$1:$BO$1))</f>
        <v/>
      </c>
      <c r="R83">
        <f t="array" ref="R83">INDEX([1]Coefficients!$G$156:$BO$175,_xlfn.XMATCH($E83,[1]Coefficients!$B$132:$B$151),_xlfn.XMATCH(R$2,[1]Coefficients!$G$1:$BO$1))</f>
        <v/>
      </c>
      <c r="S83">
        <f t="array" ref="S83">INDEX([1]Coefficients!$G$156:$BO$175,_xlfn.XMATCH($E83,[1]Coefficients!$B$132:$B$151),_xlfn.XMATCH(S$2,[1]Coefficients!$G$1:$BO$1))</f>
        <v/>
      </c>
      <c r="T83">
        <f t="array" ref="T83">INDEX([1]Coefficients!$G$156:$BO$175,_xlfn.XMATCH($E83,[1]Coefficients!$B$132:$B$151),_xlfn.XMATCH(T$2,[1]Coefficients!$G$1:$BO$1))</f>
        <v/>
      </c>
      <c r="U83">
        <f t="array" ref="U83">INDEX([1]Coefficients!$G$156:$BO$175,_xlfn.XMATCH($E83,[1]Coefficients!$B$132:$B$151),_xlfn.XMATCH(U$2,[1]Coefficients!$G$1:$BO$1))</f>
        <v/>
      </c>
      <c r="V83">
        <f t="array" ref="V83">INDEX([1]Coefficients!$G$156:$BO$175,_xlfn.XMATCH($E83,[1]Coefficients!$B$132:$B$151),_xlfn.XMATCH(V$2,[1]Coefficients!$G$1:$BO$1))</f>
        <v/>
      </c>
      <c r="W83">
        <f t="array" ref="W83">INDEX([1]Coefficients!$G$156:$BO$175,_xlfn.XMATCH($E83,[1]Coefficients!$B$132:$B$151),_xlfn.XMATCH(W$2,[1]Coefficients!$G$1:$BO$1))</f>
        <v/>
      </c>
    </row>
    <row r="84">
      <c r="A84" t="inlineStr">
        <is>
          <t>CIMS.Generic Fuels.Natural Gas</t>
        </is>
      </c>
      <c r="B84" t="inlineStr">
        <is>
          <t>Service</t>
        </is>
      </c>
      <c r="C84" t="inlineStr">
        <is>
          <t>CIMS</t>
        </is>
      </c>
      <c r="E84" t="inlineStr">
        <is>
          <t>Natural Gas</t>
        </is>
      </c>
      <c r="G84" t="inlineStr">
        <is>
          <t>Emissions</t>
        </is>
      </c>
      <c r="H84" t="inlineStr">
        <is>
          <t>N2O</t>
        </is>
      </c>
      <c r="I84" t="inlineStr">
        <is>
          <t>Combustion</t>
        </is>
      </c>
      <c r="K84" t="inlineStr">
        <is>
          <t>ECCC, NIR</t>
        </is>
      </c>
      <c r="L84" t="inlineStr">
        <is>
          <t>tN2O</t>
        </is>
      </c>
      <c r="M84">
        <f t="array" ref="M84">INDEX([1]Coefficients!$G$180:$BO$199,_xlfn.XMATCH($E84,[1]Coefficients!$B$132:$B$151),_xlfn.XMATCH(M$2,[1]Coefficients!$G$1:$BO$1))</f>
        <v/>
      </c>
      <c r="N84">
        <f t="array" ref="N84">INDEX([1]Coefficients!$G$180:$BO$199,_xlfn.XMATCH($E84,[1]Coefficients!$B$132:$B$151),_xlfn.XMATCH(N$2,[1]Coefficients!$G$1:$BO$1))</f>
        <v/>
      </c>
      <c r="O84">
        <f t="array" ref="O84">INDEX([1]Coefficients!$G$180:$BO$199,_xlfn.XMATCH($E84,[1]Coefficients!$B$132:$B$151),_xlfn.XMATCH(O$2,[1]Coefficients!$G$1:$BO$1))</f>
        <v/>
      </c>
      <c r="P84">
        <f t="array" ref="P84">INDEX([1]Coefficients!$G$180:$BO$199,_xlfn.XMATCH($E84,[1]Coefficients!$B$132:$B$151),_xlfn.XMATCH(P$2,[1]Coefficients!$G$1:$BO$1))</f>
        <v/>
      </c>
      <c r="Q84">
        <f t="array" ref="Q84">INDEX([1]Coefficients!$G$180:$BO$199,_xlfn.XMATCH($E84,[1]Coefficients!$B$132:$B$151),_xlfn.XMATCH(Q$2,[1]Coefficients!$G$1:$BO$1))</f>
        <v/>
      </c>
      <c r="R84">
        <f t="array" ref="R84">INDEX([1]Coefficients!$G$180:$BO$199,_xlfn.XMATCH($E84,[1]Coefficients!$B$132:$B$151),_xlfn.XMATCH(R$2,[1]Coefficients!$G$1:$BO$1))</f>
        <v/>
      </c>
      <c r="S84">
        <f t="array" ref="S84">INDEX([1]Coefficients!$G$180:$BO$199,_xlfn.XMATCH($E84,[1]Coefficients!$B$132:$B$151),_xlfn.XMATCH(S$2,[1]Coefficients!$G$1:$BO$1))</f>
        <v/>
      </c>
      <c r="T84">
        <f t="array" ref="T84">INDEX([1]Coefficients!$G$180:$BO$199,_xlfn.XMATCH($E84,[1]Coefficients!$B$132:$B$151),_xlfn.XMATCH(T$2,[1]Coefficients!$G$1:$BO$1))</f>
        <v/>
      </c>
      <c r="U84">
        <f t="array" ref="U84">INDEX([1]Coefficients!$G$180:$BO$199,_xlfn.XMATCH($E84,[1]Coefficients!$B$132:$B$151),_xlfn.XMATCH(U$2,[1]Coefficients!$G$1:$BO$1))</f>
        <v/>
      </c>
      <c r="V84">
        <f t="array" ref="V84">INDEX([1]Coefficients!$G$180:$BO$199,_xlfn.XMATCH($E84,[1]Coefficients!$B$132:$B$151),_xlfn.XMATCH(V$2,[1]Coefficients!$G$1:$BO$1))</f>
        <v/>
      </c>
      <c r="W84">
        <f t="array" ref="W84">INDEX([1]Coefficients!$G$180:$BO$199,_xlfn.XMATCH($E84,[1]Coefficients!$B$132:$B$151),_xlfn.XMATCH(W$2,[1]Coefficients!$G$1:$BO$1))</f>
        <v/>
      </c>
    </row>
    <row r="85">
      <c r="A85" t="inlineStr">
        <is>
          <t>CIMS.Generic Fuels.Natural Gas Feedstock</t>
        </is>
      </c>
      <c r="B85" t="inlineStr">
        <is>
          <t>Service</t>
        </is>
      </c>
      <c r="C85" t="inlineStr">
        <is>
          <t>CIMS</t>
        </is>
      </c>
      <c r="E85" t="inlineStr">
        <is>
          <t>Natural Gas Feedstock</t>
        </is>
      </c>
      <c r="G85" t="inlineStr">
        <is>
          <t>Service provided</t>
        </is>
      </c>
      <c r="L85" t="inlineStr">
        <is>
          <t>GJ</t>
        </is>
      </c>
    </row>
    <row r="86">
      <c r="A86" t="inlineStr">
        <is>
          <t>CIMS.Generic Fuels.Natural Gas Feedstock</t>
        </is>
      </c>
      <c r="B86" t="inlineStr">
        <is>
          <t>Service</t>
        </is>
      </c>
      <c r="C86" t="inlineStr">
        <is>
          <t>CIMS</t>
        </is>
      </c>
      <c r="E86" t="inlineStr">
        <is>
          <t>Natural Gas Feedstock</t>
        </is>
      </c>
      <c r="G86" t="inlineStr">
        <is>
          <t>Competition type</t>
        </is>
      </c>
      <c r="H86" t="inlineStr">
        <is>
          <t>Supply - Fixed Price</t>
        </is>
      </c>
    </row>
    <row r="87">
      <c r="A87" t="inlineStr">
        <is>
          <t>CIMS.Generic Fuels.Natural Gas Feedstock</t>
        </is>
      </c>
      <c r="B87" t="inlineStr">
        <is>
          <t>Service</t>
        </is>
      </c>
      <c r="C87" t="inlineStr">
        <is>
          <t>CIMS</t>
        </is>
      </c>
      <c r="E87" t="inlineStr">
        <is>
          <t>Natural Gas Feedstock</t>
        </is>
      </c>
      <c r="G87" t="inlineStr">
        <is>
          <t>Is supply</t>
        </is>
      </c>
      <c r="H87" t="b">
        <v>1</v>
      </c>
    </row>
    <row r="88">
      <c r="A88" t="inlineStr">
        <is>
          <t>CIMS.Generic Fuels.Natural Gas Feedstock</t>
        </is>
      </c>
      <c r="B88" t="inlineStr">
        <is>
          <t>Service</t>
        </is>
      </c>
      <c r="C88" t="inlineStr">
        <is>
          <t>CIMS</t>
        </is>
      </c>
      <c r="E88" t="inlineStr">
        <is>
          <t>Natural Gas Feedstock</t>
        </is>
      </c>
      <c r="G88" t="inlineStr">
        <is>
          <t>LCC_financial</t>
        </is>
      </c>
      <c r="K88" t="inlineStr">
        <is>
          <t>CER</t>
        </is>
      </c>
      <c r="L88" t="inlineStr">
        <is>
          <t>$/GJ</t>
        </is>
      </c>
      <c r="M88">
        <f>M81</f>
        <v/>
      </c>
      <c r="N88">
        <f>N81</f>
        <v/>
      </c>
      <c r="O88">
        <f>O81</f>
        <v/>
      </c>
      <c r="P88">
        <f>P81</f>
        <v/>
      </c>
      <c r="Q88">
        <f>Q81</f>
        <v/>
      </c>
      <c r="R88">
        <f>R81</f>
        <v/>
      </c>
      <c r="S88">
        <f>S81</f>
        <v/>
      </c>
      <c r="T88">
        <f>T81</f>
        <v/>
      </c>
      <c r="U88">
        <f>U81</f>
        <v/>
      </c>
      <c r="V88">
        <f>V81</f>
        <v/>
      </c>
      <c r="W88">
        <f>W81</f>
        <v/>
      </c>
    </row>
    <row r="89">
      <c r="A89" t="inlineStr">
        <is>
          <t>CIMS.Generic Fuels.Petroleum Coke</t>
        </is>
      </c>
      <c r="B89" t="inlineStr">
        <is>
          <t>Service</t>
        </is>
      </c>
      <c r="C89" t="inlineStr">
        <is>
          <t>CIMS</t>
        </is>
      </c>
      <c r="E89" t="inlineStr">
        <is>
          <t>Petroleum Coke</t>
        </is>
      </c>
      <c r="G89" t="inlineStr">
        <is>
          <t>Service provided</t>
        </is>
      </c>
      <c r="L89" t="inlineStr">
        <is>
          <t>GJ</t>
        </is>
      </c>
    </row>
    <row r="90">
      <c r="A90" t="inlineStr">
        <is>
          <t>CIMS.Generic Fuels.Petroleum Coke</t>
        </is>
      </c>
      <c r="B90" t="inlineStr">
        <is>
          <t>Service</t>
        </is>
      </c>
      <c r="C90" t="inlineStr">
        <is>
          <t>CIMS</t>
        </is>
      </c>
      <c r="E90" t="inlineStr">
        <is>
          <t>Petroleum Coke</t>
        </is>
      </c>
      <c r="G90" t="inlineStr">
        <is>
          <t>Competition type</t>
        </is>
      </c>
      <c r="H90" t="inlineStr">
        <is>
          <t>Supply - Fixed Price</t>
        </is>
      </c>
    </row>
    <row r="91">
      <c r="A91" t="inlineStr">
        <is>
          <t>CIMS.Generic Fuels.Petroleum Coke</t>
        </is>
      </c>
      <c r="B91" t="inlineStr">
        <is>
          <t>Service</t>
        </is>
      </c>
      <c r="C91" t="inlineStr">
        <is>
          <t>CIMS</t>
        </is>
      </c>
      <c r="E91" t="inlineStr">
        <is>
          <t>Petroleum Coke</t>
        </is>
      </c>
      <c r="G91" t="inlineStr">
        <is>
          <t>Is supply</t>
        </is>
      </c>
      <c r="H91" t="b">
        <v>1</v>
      </c>
    </row>
    <row r="92">
      <c r="A92" t="inlineStr">
        <is>
          <t>CIMS.Generic Fuels.Petroleum Coke</t>
        </is>
      </c>
      <c r="B92" t="inlineStr">
        <is>
          <t>Service</t>
        </is>
      </c>
      <c r="C92" t="inlineStr">
        <is>
          <t>CIMS</t>
        </is>
      </c>
      <c r="E92" t="inlineStr">
        <is>
          <t>Petroleum Coke</t>
        </is>
      </c>
      <c r="G92" t="inlineStr">
        <is>
          <t>LCC_financial</t>
        </is>
      </c>
      <c r="K92" t="inlineStr">
        <is>
          <t>JCIMS</t>
        </is>
      </c>
      <c r="L92" t="inlineStr">
        <is>
          <t>$/GJ</t>
        </is>
      </c>
      <c r="M92">
        <f t="array" ref="M92">INDEX([1]!JCIMS_prices,_xlfn.XMATCH($E92,[1]!JCIMS_prices_index),_xlfn.XMATCH(M$2,[1]!CER_year))*[1]!JCIMS_price_inflator</f>
        <v/>
      </c>
      <c r="N92">
        <f t="array" ref="N92">INDEX([1]!JCIMS_prices,_xlfn.XMATCH($E92,[1]!JCIMS_prices_index),_xlfn.XMATCH(N$2,[1]!CER_year))*[1]!JCIMS_price_inflator</f>
        <v/>
      </c>
      <c r="O92">
        <f t="array" ref="O92">INDEX([1]!JCIMS_prices,_xlfn.XMATCH($E92,[1]!JCIMS_prices_index),_xlfn.XMATCH(O$2,[1]!CER_year))*[1]!JCIMS_price_inflator</f>
        <v/>
      </c>
      <c r="P92">
        <f t="array" ref="P92">INDEX([1]!JCIMS_prices,_xlfn.XMATCH($E92,[1]!JCIMS_prices_index),_xlfn.XMATCH(P$2,[1]!CER_year))*[1]!JCIMS_price_inflator</f>
        <v/>
      </c>
      <c r="Q92">
        <f t="array" ref="Q92">INDEX([1]!JCIMS_prices,_xlfn.XMATCH($E92,[1]!JCIMS_prices_index),_xlfn.XMATCH(Q$2,[1]!CER_year))*[1]!JCIMS_price_inflator</f>
        <v/>
      </c>
      <c r="R92">
        <f t="array" ref="R92">INDEX([1]!JCIMS_prices,_xlfn.XMATCH($E92,[1]!JCIMS_prices_index),_xlfn.XMATCH(R$2,[1]!CER_year))*[1]!JCIMS_price_inflator</f>
        <v/>
      </c>
      <c r="S92">
        <f t="array" ref="S92">INDEX([1]!JCIMS_prices,_xlfn.XMATCH($E92,[1]!JCIMS_prices_index),_xlfn.XMATCH(S$2,[1]!CER_year))*[1]!JCIMS_price_inflator</f>
        <v/>
      </c>
      <c r="T92">
        <f t="array" ref="T92">INDEX([1]!JCIMS_prices,_xlfn.XMATCH($E92,[1]!JCIMS_prices_index),_xlfn.XMATCH(T$2,[1]!CER_year))*[1]!JCIMS_price_inflator</f>
        <v/>
      </c>
      <c r="U92">
        <f t="array" ref="U92">INDEX([1]!JCIMS_prices,_xlfn.XMATCH($E92,[1]!JCIMS_prices_index),_xlfn.XMATCH(U$2,[1]!CER_year))*[1]!JCIMS_price_inflator</f>
        <v/>
      </c>
      <c r="V92">
        <f t="array" ref="V92">INDEX([1]!JCIMS_prices,_xlfn.XMATCH($E92,[1]!JCIMS_prices_index),_xlfn.XMATCH(V$2,[1]!CER_year))*[1]!JCIMS_price_inflator</f>
        <v/>
      </c>
      <c r="W92">
        <f t="array" ref="W92">INDEX([1]!JCIMS_prices,_xlfn.XMATCH($E92,[1]!JCIMS_prices_index),_xlfn.XMATCH(W$2,[1]!CER_year))*[1]!JCIMS_price_inflator</f>
        <v/>
      </c>
      <c r="X92" t="inlineStr">
        <is>
          <t>Cost in petroleum refining - AB</t>
        </is>
      </c>
    </row>
    <row r="93">
      <c r="A93" t="inlineStr">
        <is>
          <t>CIMS.Generic Fuels.Petroleum Coke</t>
        </is>
      </c>
      <c r="B93" t="inlineStr">
        <is>
          <t>Service</t>
        </is>
      </c>
      <c r="C93" t="inlineStr">
        <is>
          <t>CIMS</t>
        </is>
      </c>
      <c r="E93" t="inlineStr">
        <is>
          <t>Petroleum Coke</t>
        </is>
      </c>
      <c r="G93" t="inlineStr">
        <is>
          <t>Emissions</t>
        </is>
      </c>
      <c r="H93" t="inlineStr">
        <is>
          <t>CO2</t>
        </is>
      </c>
      <c r="I93" t="inlineStr">
        <is>
          <t>Combustion</t>
        </is>
      </c>
      <c r="K93" t="inlineStr">
        <is>
          <t>ECCC, NIR</t>
        </is>
      </c>
      <c r="L93" t="inlineStr">
        <is>
          <t>tCO2</t>
        </is>
      </c>
      <c r="M93">
        <f t="array" ref="M93">INDEX([1]Coefficients!$G$132:$BO$151,_xlfn.XMATCH($E93,[1]Coefficients!$B$132:$B$151),_xlfn.XMATCH(M$2,[1]Coefficients!$G$1:$BO$1))</f>
        <v/>
      </c>
      <c r="N93">
        <f t="array" ref="N93">INDEX([1]Coefficients!$G$132:$BO$151,_xlfn.XMATCH($E93,[1]Coefficients!$B$132:$B$151),_xlfn.XMATCH(N$2,[1]Coefficients!$G$1:$BO$1))</f>
        <v/>
      </c>
      <c r="O93">
        <f t="array" ref="O93">INDEX([1]Coefficients!$G$132:$BO$151,_xlfn.XMATCH($E93,[1]Coefficients!$B$132:$B$151),_xlfn.XMATCH(O$2,[1]Coefficients!$G$1:$BO$1))</f>
        <v/>
      </c>
      <c r="P93">
        <f t="array" ref="P93">INDEX([1]Coefficients!$G$132:$BO$151,_xlfn.XMATCH($E93,[1]Coefficients!$B$132:$B$151),_xlfn.XMATCH(P$2,[1]Coefficients!$G$1:$BO$1))</f>
        <v/>
      </c>
      <c r="Q93">
        <f t="array" ref="Q93">INDEX([1]Coefficients!$G$132:$BO$151,_xlfn.XMATCH($E93,[1]Coefficients!$B$132:$B$151),_xlfn.XMATCH(Q$2,[1]Coefficients!$G$1:$BO$1))</f>
        <v/>
      </c>
      <c r="R93">
        <f t="array" ref="R93">INDEX([1]Coefficients!$G$132:$BO$151,_xlfn.XMATCH($E93,[1]Coefficients!$B$132:$B$151),_xlfn.XMATCH(R$2,[1]Coefficients!$G$1:$BO$1))</f>
        <v/>
      </c>
      <c r="S93">
        <f t="array" ref="S93">INDEX([1]Coefficients!$G$132:$BO$151,_xlfn.XMATCH($E93,[1]Coefficients!$B$132:$B$151),_xlfn.XMATCH(S$2,[1]Coefficients!$G$1:$BO$1))</f>
        <v/>
      </c>
      <c r="T93">
        <f t="array" ref="T93">INDEX([1]Coefficients!$G$132:$BO$151,_xlfn.XMATCH($E93,[1]Coefficients!$B$132:$B$151),_xlfn.XMATCH(T$2,[1]Coefficients!$G$1:$BO$1))</f>
        <v/>
      </c>
      <c r="U93">
        <f t="array" ref="U93">INDEX([1]Coefficients!$G$132:$BO$151,_xlfn.XMATCH($E93,[1]Coefficients!$B$132:$B$151),_xlfn.XMATCH(U$2,[1]Coefficients!$G$1:$BO$1))</f>
        <v/>
      </c>
      <c r="V93">
        <f t="array" ref="V93">INDEX([1]Coefficients!$G$132:$BO$151,_xlfn.XMATCH($E93,[1]Coefficients!$B$132:$B$151),_xlfn.XMATCH(V$2,[1]Coefficients!$G$1:$BO$1))</f>
        <v/>
      </c>
      <c r="W93">
        <f t="array" ref="W93">INDEX([1]Coefficients!$G$132:$BO$151,_xlfn.XMATCH($E93,[1]Coefficients!$B$132:$B$151),_xlfn.XMATCH(W$2,[1]Coefficients!$G$1:$BO$1))</f>
        <v/>
      </c>
    </row>
    <row r="94">
      <c r="A94" t="inlineStr">
        <is>
          <t>CIMS.Generic Fuels.Petroleum Coke</t>
        </is>
      </c>
      <c r="B94" t="inlineStr">
        <is>
          <t>Service</t>
        </is>
      </c>
      <c r="C94" t="inlineStr">
        <is>
          <t>CIMS</t>
        </is>
      </c>
      <c r="E94" t="inlineStr">
        <is>
          <t>Petroleum Coke</t>
        </is>
      </c>
      <c r="G94" t="inlineStr">
        <is>
          <t>Emissions</t>
        </is>
      </c>
      <c r="H94" t="inlineStr">
        <is>
          <t>CH4</t>
        </is>
      </c>
      <c r="I94" t="inlineStr">
        <is>
          <t>Combustion</t>
        </is>
      </c>
      <c r="K94" t="inlineStr">
        <is>
          <t>ECCC, NIR</t>
        </is>
      </c>
      <c r="L94" t="inlineStr">
        <is>
          <t>tCH4</t>
        </is>
      </c>
      <c r="M94">
        <f t="array" ref="M94">INDEX([1]Coefficients!$G$156:$BO$175,_xlfn.XMATCH($E94,[1]Coefficients!$B$132:$B$151),_xlfn.XMATCH(M$2,[1]Coefficients!$G$1:$BO$1))</f>
        <v/>
      </c>
      <c r="N94">
        <f t="array" ref="N94">INDEX([1]Coefficients!$G$156:$BO$175,_xlfn.XMATCH($E94,[1]Coefficients!$B$132:$B$151),_xlfn.XMATCH(N$2,[1]Coefficients!$G$1:$BO$1))</f>
        <v/>
      </c>
      <c r="O94">
        <f t="array" ref="O94">INDEX([1]Coefficients!$G$156:$BO$175,_xlfn.XMATCH($E94,[1]Coefficients!$B$132:$B$151),_xlfn.XMATCH(O$2,[1]Coefficients!$G$1:$BO$1))</f>
        <v/>
      </c>
      <c r="P94">
        <f t="array" ref="P94">INDEX([1]Coefficients!$G$156:$BO$175,_xlfn.XMATCH($E94,[1]Coefficients!$B$132:$B$151),_xlfn.XMATCH(P$2,[1]Coefficients!$G$1:$BO$1))</f>
        <v/>
      </c>
      <c r="Q94">
        <f t="array" ref="Q94">INDEX([1]Coefficients!$G$156:$BO$175,_xlfn.XMATCH($E94,[1]Coefficients!$B$132:$B$151),_xlfn.XMATCH(Q$2,[1]Coefficients!$G$1:$BO$1))</f>
        <v/>
      </c>
      <c r="R94">
        <f t="array" ref="R94">INDEX([1]Coefficients!$G$156:$BO$175,_xlfn.XMATCH($E94,[1]Coefficients!$B$132:$B$151),_xlfn.XMATCH(R$2,[1]Coefficients!$G$1:$BO$1))</f>
        <v/>
      </c>
      <c r="S94">
        <f t="array" ref="S94">INDEX([1]Coefficients!$G$156:$BO$175,_xlfn.XMATCH($E94,[1]Coefficients!$B$132:$B$151),_xlfn.XMATCH(S$2,[1]Coefficients!$G$1:$BO$1))</f>
        <v/>
      </c>
      <c r="T94">
        <f t="array" ref="T94">INDEX([1]Coefficients!$G$156:$BO$175,_xlfn.XMATCH($E94,[1]Coefficients!$B$132:$B$151),_xlfn.XMATCH(T$2,[1]Coefficients!$G$1:$BO$1))</f>
        <v/>
      </c>
      <c r="U94">
        <f t="array" ref="U94">INDEX([1]Coefficients!$G$156:$BO$175,_xlfn.XMATCH($E94,[1]Coefficients!$B$132:$B$151),_xlfn.XMATCH(U$2,[1]Coefficients!$G$1:$BO$1))</f>
        <v/>
      </c>
      <c r="V94">
        <f t="array" ref="V94">INDEX([1]Coefficients!$G$156:$BO$175,_xlfn.XMATCH($E94,[1]Coefficients!$B$132:$B$151),_xlfn.XMATCH(V$2,[1]Coefficients!$G$1:$BO$1))</f>
        <v/>
      </c>
      <c r="W94">
        <f t="array" ref="W94">INDEX([1]Coefficients!$G$156:$BO$175,_xlfn.XMATCH($E94,[1]Coefficients!$B$132:$B$151),_xlfn.XMATCH(W$2,[1]Coefficients!$G$1:$BO$1))</f>
        <v/>
      </c>
    </row>
    <row r="95">
      <c r="A95" t="inlineStr">
        <is>
          <t>CIMS.Generic Fuels.Petroleum Coke</t>
        </is>
      </c>
      <c r="B95" t="inlineStr">
        <is>
          <t>Service</t>
        </is>
      </c>
      <c r="C95" t="inlineStr">
        <is>
          <t>CIMS</t>
        </is>
      </c>
      <c r="E95" t="inlineStr">
        <is>
          <t>Petroleum Coke</t>
        </is>
      </c>
      <c r="G95" t="inlineStr">
        <is>
          <t>Emissions</t>
        </is>
      </c>
      <c r="H95" t="inlineStr">
        <is>
          <t>N2O</t>
        </is>
      </c>
      <c r="I95" t="inlineStr">
        <is>
          <t>Combustion</t>
        </is>
      </c>
      <c r="K95" t="inlineStr">
        <is>
          <t>ECCC, NIR</t>
        </is>
      </c>
      <c r="L95" t="inlineStr">
        <is>
          <t>tN2O</t>
        </is>
      </c>
      <c r="M95">
        <f t="array" ref="M95">INDEX([1]Coefficients!$G$180:$BO$199,_xlfn.XMATCH($E95,[1]Coefficients!$B$132:$B$151),_xlfn.XMATCH(M$2,[1]Coefficients!$G$1:$BO$1))</f>
        <v/>
      </c>
      <c r="N95">
        <f t="array" ref="N95">INDEX([1]Coefficients!$G$180:$BO$199,_xlfn.XMATCH($E95,[1]Coefficients!$B$132:$B$151),_xlfn.XMATCH(N$2,[1]Coefficients!$G$1:$BO$1))</f>
        <v/>
      </c>
      <c r="O95">
        <f t="array" ref="O95">INDEX([1]Coefficients!$G$180:$BO$199,_xlfn.XMATCH($E95,[1]Coefficients!$B$132:$B$151),_xlfn.XMATCH(O$2,[1]Coefficients!$G$1:$BO$1))</f>
        <v/>
      </c>
      <c r="P95">
        <f t="array" ref="P95">INDEX([1]Coefficients!$G$180:$BO$199,_xlfn.XMATCH($E95,[1]Coefficients!$B$132:$B$151),_xlfn.XMATCH(P$2,[1]Coefficients!$G$1:$BO$1))</f>
        <v/>
      </c>
      <c r="Q95">
        <f t="array" ref="Q95">INDEX([1]Coefficients!$G$180:$BO$199,_xlfn.XMATCH($E95,[1]Coefficients!$B$132:$B$151),_xlfn.XMATCH(Q$2,[1]Coefficients!$G$1:$BO$1))</f>
        <v/>
      </c>
      <c r="R95">
        <f t="array" ref="R95">INDEX([1]Coefficients!$G$180:$BO$199,_xlfn.XMATCH($E95,[1]Coefficients!$B$132:$B$151),_xlfn.XMATCH(R$2,[1]Coefficients!$G$1:$BO$1))</f>
        <v/>
      </c>
      <c r="S95">
        <f t="array" ref="S95">INDEX([1]Coefficients!$G$180:$BO$199,_xlfn.XMATCH($E95,[1]Coefficients!$B$132:$B$151),_xlfn.XMATCH(S$2,[1]Coefficients!$G$1:$BO$1))</f>
        <v/>
      </c>
      <c r="T95">
        <f t="array" ref="T95">INDEX([1]Coefficients!$G$180:$BO$199,_xlfn.XMATCH($E95,[1]Coefficients!$B$132:$B$151),_xlfn.XMATCH(T$2,[1]Coefficients!$G$1:$BO$1))</f>
        <v/>
      </c>
      <c r="U95">
        <f t="array" ref="U95">INDEX([1]Coefficients!$G$180:$BO$199,_xlfn.XMATCH($E95,[1]Coefficients!$B$132:$B$151),_xlfn.XMATCH(U$2,[1]Coefficients!$G$1:$BO$1))</f>
        <v/>
      </c>
      <c r="V95">
        <f t="array" ref="V95">INDEX([1]Coefficients!$G$180:$BO$199,_xlfn.XMATCH($E95,[1]Coefficients!$B$132:$B$151),_xlfn.XMATCH(V$2,[1]Coefficients!$G$1:$BO$1))</f>
        <v/>
      </c>
      <c r="W95">
        <f t="array" ref="W95">INDEX([1]Coefficients!$G$180:$BO$199,_xlfn.XMATCH($E95,[1]Coefficients!$B$132:$B$151),_xlfn.XMATCH(W$2,[1]Coefficients!$G$1:$BO$1))</f>
        <v/>
      </c>
    </row>
    <row r="96">
      <c r="A96" t="inlineStr">
        <is>
          <t>CIMS.Generic Fuels.Propane</t>
        </is>
      </c>
      <c r="B96" t="inlineStr">
        <is>
          <t>Service</t>
        </is>
      </c>
      <c r="C96" t="inlineStr">
        <is>
          <t>CIMS</t>
        </is>
      </c>
      <c r="E96" t="inlineStr">
        <is>
          <t>Propane</t>
        </is>
      </c>
      <c r="G96" t="inlineStr">
        <is>
          <t>Service provided</t>
        </is>
      </c>
      <c r="L96" t="inlineStr">
        <is>
          <t>GJ</t>
        </is>
      </c>
    </row>
    <row r="97">
      <c r="A97" t="inlineStr">
        <is>
          <t>CIMS.Generic Fuels.Propane</t>
        </is>
      </c>
      <c r="B97" t="inlineStr">
        <is>
          <t>Service</t>
        </is>
      </c>
      <c r="C97" t="inlineStr">
        <is>
          <t>CIMS</t>
        </is>
      </c>
      <c r="E97" t="inlineStr">
        <is>
          <t>Propane</t>
        </is>
      </c>
      <c r="G97" t="inlineStr">
        <is>
          <t>Competition type</t>
        </is>
      </c>
      <c r="H97" t="inlineStr">
        <is>
          <t>Supply - Fixed Price</t>
        </is>
      </c>
    </row>
    <row r="98">
      <c r="A98" t="inlineStr">
        <is>
          <t>CIMS.Generic Fuels.Propane</t>
        </is>
      </c>
      <c r="B98" t="inlineStr">
        <is>
          <t>Service</t>
        </is>
      </c>
      <c r="C98" t="inlineStr">
        <is>
          <t>CIMS</t>
        </is>
      </c>
      <c r="E98" t="inlineStr">
        <is>
          <t>Propane</t>
        </is>
      </c>
      <c r="G98" t="inlineStr">
        <is>
          <t>Is supply</t>
        </is>
      </c>
      <c r="H98" t="b">
        <v>1</v>
      </c>
    </row>
    <row r="99">
      <c r="A99" t="inlineStr">
        <is>
          <t>CIMS.Generic Fuels.Propane</t>
        </is>
      </c>
      <c r="B99" t="inlineStr">
        <is>
          <t>Service</t>
        </is>
      </c>
      <c r="C99" t="inlineStr">
        <is>
          <t>CIMS</t>
        </is>
      </c>
      <c r="E99" t="inlineStr">
        <is>
          <t>Propane</t>
        </is>
      </c>
      <c r="G99" t="inlineStr">
        <is>
          <t>LCC_financial</t>
        </is>
      </c>
      <c r="K99" t="inlineStr">
        <is>
          <t>JCIMS</t>
        </is>
      </c>
      <c r="L99" t="inlineStr">
        <is>
          <t>$/GJ</t>
        </is>
      </c>
      <c r="M99">
        <f t="array" ref="M99">INDEX([1]!JCIMS_prices,_xlfn.XMATCH($E99,[1]!JCIMS_prices_index),_xlfn.XMATCH(M$2,[1]!CER_year))*[1]!JCIMS_price_inflator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Cost in commercial - ON</t>
        </is>
      </c>
    </row>
    <row r="100">
      <c r="A100" t="inlineStr">
        <is>
          <t>CIMS.Generic Fuels.Propane</t>
        </is>
      </c>
      <c r="B100" t="inlineStr">
        <is>
          <t>Service</t>
        </is>
      </c>
      <c r="C100" t="inlineStr">
        <is>
          <t>CIMS</t>
        </is>
      </c>
      <c r="E100" t="inlineStr">
        <is>
          <t>Propane</t>
        </is>
      </c>
      <c r="G100" t="inlineStr">
        <is>
          <t>Emissions</t>
        </is>
      </c>
      <c r="H100" t="inlineStr">
        <is>
          <t>CO2</t>
        </is>
      </c>
      <c r="I100" t="inlineStr">
        <is>
          <t>Combustion</t>
        </is>
      </c>
      <c r="K100" t="inlineStr">
        <is>
          <t>ECCC, NIR</t>
        </is>
      </c>
      <c r="L100" t="inlineStr">
        <is>
          <t>tCO2</t>
        </is>
      </c>
      <c r="M100">
        <f t="array" ref="M100">INDEX([1]Coefficients!$G$132:$BO$151,_xlfn.XMATCH($E100,[1]Coefficients!$B$132:$B$151),_xlfn.XMATCH(M$2,[1]Coefficients!$G$1:$BO$1))</f>
        <v/>
      </c>
      <c r="N100">
        <f t="array" ref="N100">INDEX([1]Coefficients!$G$132:$BO$151,_xlfn.XMATCH($E100,[1]Coefficients!$B$132:$B$151),_xlfn.XMATCH(N$2,[1]Coefficients!$G$1:$BO$1))</f>
        <v/>
      </c>
      <c r="O100">
        <f t="array" ref="O100">INDEX([1]Coefficients!$G$132:$BO$151,_xlfn.XMATCH($E100,[1]Coefficients!$B$132:$B$151),_xlfn.XMATCH(O$2,[1]Coefficients!$G$1:$BO$1))</f>
        <v/>
      </c>
      <c r="P100">
        <f t="array" ref="P100">INDEX([1]Coefficients!$G$132:$BO$151,_xlfn.XMATCH($E100,[1]Coefficients!$B$132:$B$151),_xlfn.XMATCH(P$2,[1]Coefficients!$G$1:$BO$1))</f>
        <v/>
      </c>
      <c r="Q100">
        <f t="array" ref="Q100">INDEX([1]Coefficients!$G$132:$BO$151,_xlfn.XMATCH($E100,[1]Coefficients!$B$132:$B$151),_xlfn.XMATCH(Q$2,[1]Coefficients!$G$1:$BO$1))</f>
        <v/>
      </c>
      <c r="R100">
        <f t="array" ref="R100">INDEX([1]Coefficients!$G$132:$BO$151,_xlfn.XMATCH($E100,[1]Coefficients!$B$132:$B$151),_xlfn.XMATCH(R$2,[1]Coefficients!$G$1:$BO$1))</f>
        <v/>
      </c>
      <c r="S100">
        <f t="array" ref="S100">INDEX([1]Coefficients!$G$132:$BO$151,_xlfn.XMATCH($E100,[1]Coefficients!$B$132:$B$151),_xlfn.XMATCH(S$2,[1]Coefficients!$G$1:$BO$1))</f>
        <v/>
      </c>
      <c r="T100">
        <f t="array" ref="T100">INDEX([1]Coefficients!$G$132:$BO$151,_xlfn.XMATCH($E100,[1]Coefficients!$B$132:$B$151),_xlfn.XMATCH(T$2,[1]Coefficients!$G$1:$BO$1))</f>
        <v/>
      </c>
      <c r="U100">
        <f t="array" ref="U100">INDEX([1]Coefficients!$G$132:$BO$151,_xlfn.XMATCH($E100,[1]Coefficients!$B$132:$B$151),_xlfn.XMATCH(U$2,[1]Coefficients!$G$1:$BO$1))</f>
        <v/>
      </c>
      <c r="V100">
        <f t="array" ref="V100">INDEX([1]Coefficients!$G$132:$BO$151,_xlfn.XMATCH($E100,[1]Coefficients!$B$132:$B$151),_xlfn.XMATCH(V$2,[1]Coefficients!$G$1:$BO$1))</f>
        <v/>
      </c>
      <c r="W100">
        <f t="array" ref="W100">INDEX([1]Coefficients!$G$132:$BO$151,_xlfn.XMATCH($E100,[1]Coefficients!$B$132:$B$151),_xlfn.XMATCH(W$2,[1]Coefficients!$G$1:$BO$1))</f>
        <v/>
      </c>
    </row>
    <row r="101">
      <c r="A101" t="inlineStr">
        <is>
          <t>CIMS.Generic Fuels.Propane</t>
        </is>
      </c>
      <c r="B101" t="inlineStr">
        <is>
          <t>Service</t>
        </is>
      </c>
      <c r="C101" t="inlineStr">
        <is>
          <t>CIMS</t>
        </is>
      </c>
      <c r="E101" t="inlineStr">
        <is>
          <t>Propane</t>
        </is>
      </c>
      <c r="G101" t="inlineStr">
        <is>
          <t>Emissions</t>
        </is>
      </c>
      <c r="H101" t="inlineStr">
        <is>
          <t>CH4</t>
        </is>
      </c>
      <c r="I101" t="inlineStr">
        <is>
          <t>Combustion</t>
        </is>
      </c>
      <c r="K101" t="inlineStr">
        <is>
          <t>ECCC, NIR</t>
        </is>
      </c>
      <c r="L101" t="inlineStr">
        <is>
          <t>tCH4</t>
        </is>
      </c>
      <c r="M101">
        <f t="array" ref="M101">INDEX([1]Coefficients!$G$156:$BO$175,_xlfn.XMATCH($E101,[1]Coefficients!$B$132:$B$151),_xlfn.XMATCH(M$2,[1]Coefficients!$G$1:$BO$1))</f>
        <v/>
      </c>
      <c r="N101">
        <f t="array" ref="N101">INDEX([1]Coefficients!$G$156:$BO$175,_xlfn.XMATCH($E101,[1]Coefficients!$B$132:$B$151),_xlfn.XMATCH(N$2,[1]Coefficients!$G$1:$BO$1))</f>
        <v/>
      </c>
      <c r="O101">
        <f t="array" ref="O101">INDEX([1]Coefficients!$G$156:$BO$175,_xlfn.XMATCH($E101,[1]Coefficients!$B$132:$B$151),_xlfn.XMATCH(O$2,[1]Coefficients!$G$1:$BO$1))</f>
        <v/>
      </c>
      <c r="P101">
        <f t="array" ref="P101">INDEX([1]Coefficients!$G$156:$BO$175,_xlfn.XMATCH($E101,[1]Coefficients!$B$132:$B$151),_xlfn.XMATCH(P$2,[1]Coefficients!$G$1:$BO$1))</f>
        <v/>
      </c>
      <c r="Q101">
        <f t="array" ref="Q101">INDEX([1]Coefficients!$G$156:$BO$175,_xlfn.XMATCH($E101,[1]Coefficients!$B$132:$B$151),_xlfn.XMATCH(Q$2,[1]Coefficients!$G$1:$BO$1))</f>
        <v/>
      </c>
      <c r="R101">
        <f t="array" ref="R101">INDEX([1]Coefficients!$G$156:$BO$175,_xlfn.XMATCH($E101,[1]Coefficients!$B$132:$B$151),_xlfn.XMATCH(R$2,[1]Coefficients!$G$1:$BO$1))</f>
        <v/>
      </c>
      <c r="S101">
        <f t="array" ref="S101">INDEX([1]Coefficients!$G$156:$BO$175,_xlfn.XMATCH($E101,[1]Coefficients!$B$132:$B$151),_xlfn.XMATCH(S$2,[1]Coefficients!$G$1:$BO$1))</f>
        <v/>
      </c>
      <c r="T101">
        <f t="array" ref="T101">INDEX([1]Coefficients!$G$156:$BO$175,_xlfn.XMATCH($E101,[1]Coefficients!$B$132:$B$151),_xlfn.XMATCH(T$2,[1]Coefficients!$G$1:$BO$1))</f>
        <v/>
      </c>
      <c r="U101">
        <f t="array" ref="U101">INDEX([1]Coefficients!$G$156:$BO$175,_xlfn.XMATCH($E101,[1]Coefficients!$B$132:$B$151),_xlfn.XMATCH(U$2,[1]Coefficients!$G$1:$BO$1))</f>
        <v/>
      </c>
      <c r="V101">
        <f t="array" ref="V101">INDEX([1]Coefficients!$G$156:$BO$175,_xlfn.XMATCH($E101,[1]Coefficients!$B$132:$B$151),_xlfn.XMATCH(V$2,[1]Coefficients!$G$1:$BO$1))</f>
        <v/>
      </c>
      <c r="W101">
        <f t="array" ref="W101">INDEX([1]Coefficients!$G$156:$BO$175,_xlfn.XMATCH($E101,[1]Coefficients!$B$132:$B$151),_xlfn.XMATCH(W$2,[1]Coefficients!$G$1:$BO$1))</f>
        <v/>
      </c>
    </row>
    <row r="102">
      <c r="A102" t="inlineStr">
        <is>
          <t>CIMS.Generic Fuels.Propane</t>
        </is>
      </c>
      <c r="B102" t="inlineStr">
        <is>
          <t>Service</t>
        </is>
      </c>
      <c r="C102" t="inlineStr">
        <is>
          <t>CIMS</t>
        </is>
      </c>
      <c r="E102" t="inlineStr">
        <is>
          <t>Propane</t>
        </is>
      </c>
      <c r="G102" t="inlineStr">
        <is>
          <t>Emissions</t>
        </is>
      </c>
      <c r="H102" t="inlineStr">
        <is>
          <t>N2O</t>
        </is>
      </c>
      <c r="I102" t="inlineStr">
        <is>
          <t>Combustion</t>
        </is>
      </c>
      <c r="K102" t="inlineStr">
        <is>
          <t>ECCC, NIR</t>
        </is>
      </c>
      <c r="L102" t="inlineStr">
        <is>
          <t>tN2O</t>
        </is>
      </c>
      <c r="M102">
        <f t="array" ref="M102">INDEX([1]Coefficients!$G$180:$BO$199,_xlfn.XMATCH($E102,[1]Coefficients!$B$132:$B$151),_xlfn.XMATCH(M$2,[1]Coefficients!$G$1:$BO$1))</f>
        <v/>
      </c>
      <c r="N102">
        <f t="array" ref="N102">INDEX([1]Coefficients!$G$180:$BO$199,_xlfn.XMATCH($E102,[1]Coefficients!$B$132:$B$151),_xlfn.XMATCH(N$2,[1]Coefficients!$G$1:$BO$1))</f>
        <v/>
      </c>
      <c r="O102">
        <f t="array" ref="O102">INDEX([1]Coefficients!$G$180:$BO$199,_xlfn.XMATCH($E102,[1]Coefficients!$B$132:$B$151),_xlfn.XMATCH(O$2,[1]Coefficients!$G$1:$BO$1))</f>
        <v/>
      </c>
      <c r="P102">
        <f t="array" ref="P102">INDEX([1]Coefficients!$G$180:$BO$199,_xlfn.XMATCH($E102,[1]Coefficients!$B$132:$B$151),_xlfn.XMATCH(P$2,[1]Coefficients!$G$1:$BO$1))</f>
        <v/>
      </c>
      <c r="Q102">
        <f t="array" ref="Q102">INDEX([1]Coefficients!$G$180:$BO$199,_xlfn.XMATCH($E102,[1]Coefficients!$B$132:$B$151),_xlfn.XMATCH(Q$2,[1]Coefficients!$G$1:$BO$1))</f>
        <v/>
      </c>
      <c r="R102">
        <f t="array" ref="R102">INDEX([1]Coefficients!$G$180:$BO$199,_xlfn.XMATCH($E102,[1]Coefficients!$B$132:$B$151),_xlfn.XMATCH(R$2,[1]Coefficients!$G$1:$BO$1))</f>
        <v/>
      </c>
      <c r="S102">
        <f t="array" ref="S102">INDEX([1]Coefficients!$G$180:$BO$199,_xlfn.XMATCH($E102,[1]Coefficients!$B$132:$B$151),_xlfn.XMATCH(S$2,[1]Coefficients!$G$1:$BO$1))</f>
        <v/>
      </c>
      <c r="T102">
        <f t="array" ref="T102">INDEX([1]Coefficients!$G$180:$BO$199,_xlfn.XMATCH($E102,[1]Coefficients!$B$132:$B$151),_xlfn.XMATCH(T$2,[1]Coefficients!$G$1:$BO$1))</f>
        <v/>
      </c>
      <c r="U102">
        <f t="array" ref="U102">INDEX([1]Coefficients!$G$180:$BO$199,_xlfn.XMATCH($E102,[1]Coefficients!$B$132:$B$151),_xlfn.XMATCH(U$2,[1]Coefficients!$G$1:$BO$1))</f>
        <v/>
      </c>
      <c r="V102">
        <f t="array" ref="V102">INDEX([1]Coefficients!$G$180:$BO$199,_xlfn.XMATCH($E102,[1]Coefficients!$B$132:$B$151),_xlfn.XMATCH(V$2,[1]Coefficients!$G$1:$BO$1))</f>
        <v/>
      </c>
      <c r="W102">
        <f t="array" ref="W102">INDEX([1]Coefficients!$G$180:$BO$199,_xlfn.XMATCH($E102,[1]Coefficients!$B$132:$B$151),_xlfn.XMATCH(W$2,[1]Coefficients!$G$1:$BO$1))</f>
        <v/>
      </c>
    </row>
    <row r="103">
      <c r="A103" t="inlineStr">
        <is>
          <t>CIMS.Generic Fuels.Refinery Fuel Gas</t>
        </is>
      </c>
      <c r="B103" t="inlineStr">
        <is>
          <t>Service</t>
        </is>
      </c>
      <c r="C103" t="inlineStr">
        <is>
          <t>CIMS</t>
        </is>
      </c>
      <c r="E103" t="inlineStr">
        <is>
          <t>Refinery Fuel Gas</t>
        </is>
      </c>
      <c r="G103" t="inlineStr">
        <is>
          <t>Service provided</t>
        </is>
      </c>
      <c r="L103" t="inlineStr">
        <is>
          <t>GJ</t>
        </is>
      </c>
    </row>
    <row r="104">
      <c r="A104" t="inlineStr">
        <is>
          <t>CIMS.Generic Fuels.Refinery Fuel Gas</t>
        </is>
      </c>
      <c r="B104" t="inlineStr">
        <is>
          <t>Service</t>
        </is>
      </c>
      <c r="C104" t="inlineStr">
        <is>
          <t>CIMS</t>
        </is>
      </c>
      <c r="E104" t="inlineStr">
        <is>
          <t>Refinery Fuel Gas</t>
        </is>
      </c>
      <c r="G104" t="inlineStr">
        <is>
          <t>Competition type</t>
        </is>
      </c>
      <c r="H104" t="inlineStr">
        <is>
          <t>Supply - Fixed Price</t>
        </is>
      </c>
    </row>
    <row r="105">
      <c r="A105" t="inlineStr">
        <is>
          <t>CIMS.Generic Fuels.Refinery Fuel Gas</t>
        </is>
      </c>
      <c r="B105" t="inlineStr">
        <is>
          <t>Service</t>
        </is>
      </c>
      <c r="C105" t="inlineStr">
        <is>
          <t>CIMS</t>
        </is>
      </c>
      <c r="E105" t="inlineStr">
        <is>
          <t>Refinery Fuel Gas</t>
        </is>
      </c>
      <c r="G105" t="inlineStr">
        <is>
          <t>Is supply</t>
        </is>
      </c>
      <c r="H105" t="b">
        <v>1</v>
      </c>
    </row>
    <row r="106">
      <c r="A106" t="inlineStr">
        <is>
          <t>CIMS.Generic Fuels.Refinery Fuel Gas</t>
        </is>
      </c>
      <c r="B106" t="inlineStr">
        <is>
          <t>Service</t>
        </is>
      </c>
      <c r="C106" t="inlineStr">
        <is>
          <t>CIMS</t>
        </is>
      </c>
      <c r="E106" t="inlineStr">
        <is>
          <t>Refinery Fuel Gas</t>
        </is>
      </c>
      <c r="G106" t="inlineStr">
        <is>
          <t>LCC_financial</t>
        </is>
      </c>
      <c r="K106" t="inlineStr">
        <is>
          <t>JCIMS</t>
        </is>
      </c>
      <c r="L106" t="inlineStr">
        <is>
          <t>$/GJ</t>
        </is>
      </c>
      <c r="M106">
        <f t="array" ref="M106">INDEX([1]!JCIMS_prices,_xlfn.XMATCH($E106,[1]!JCIMS_prices_index),_xlfn.XMATCH(M$2,[1]!CER_year))*[1]!JCIMS_price_inflator</f>
        <v/>
      </c>
      <c r="N106">
        <f t="array" ref="N106">INDEX([1]!JCIMS_prices,_xlfn.XMATCH($E106,[1]!JCIMS_prices_index),_xlfn.XMATCH(N$2,[1]!CER_year))*[1]!JCIMS_price_inflator</f>
        <v/>
      </c>
      <c r="O106">
        <f t="array" ref="O106">INDEX([1]!JCIMS_prices,_xlfn.XMATCH($E106,[1]!JCIMS_prices_index),_xlfn.XMATCH(O$2,[1]!CER_year))*[1]!JCIMS_price_inflator</f>
        <v/>
      </c>
      <c r="P106">
        <f t="array" ref="P106">INDEX([1]!JCIMS_prices,_xlfn.XMATCH($E106,[1]!JCIMS_prices_index),_xlfn.XMATCH(P$2,[1]!CER_year))*[1]!JCIMS_price_inflator</f>
        <v/>
      </c>
      <c r="Q106">
        <f t="array" ref="Q106">INDEX([1]!JCIMS_prices,_xlfn.XMATCH($E106,[1]!JCIMS_prices_index),_xlfn.XMATCH(Q$2,[1]!CER_year))*[1]!JCIMS_price_inflator</f>
        <v/>
      </c>
      <c r="R106">
        <f t="array" ref="R106">INDEX([1]!JCIMS_prices,_xlfn.XMATCH($E106,[1]!JCIMS_prices_index),_xlfn.XMATCH(R$2,[1]!CER_year))*[1]!JCIMS_price_inflator</f>
        <v/>
      </c>
      <c r="S106">
        <f t="array" ref="S106">INDEX([1]!JCIMS_prices,_xlfn.XMATCH($E106,[1]!JCIMS_prices_index),_xlfn.XMATCH(S$2,[1]!CER_year))*[1]!JCIMS_price_inflator</f>
        <v/>
      </c>
      <c r="T106">
        <f t="array" ref="T106">INDEX([1]!JCIMS_prices,_xlfn.XMATCH($E106,[1]!JCIMS_prices_index),_xlfn.XMATCH(T$2,[1]!CER_year))*[1]!JCIMS_price_inflator</f>
        <v/>
      </c>
      <c r="U106">
        <f t="array" ref="U106">INDEX([1]!JCIMS_prices,_xlfn.XMATCH($E106,[1]!JCIMS_prices_index),_xlfn.XMATCH(U$2,[1]!CER_year))*[1]!JCIMS_price_inflator</f>
        <v/>
      </c>
      <c r="V106">
        <f t="array" ref="V106">INDEX([1]!JCIMS_prices,_xlfn.XMATCH($E106,[1]!JCIMS_prices_index),_xlfn.XMATCH(V$2,[1]!CER_year))*[1]!JCIMS_price_inflator</f>
        <v/>
      </c>
      <c r="W106">
        <f t="array" ref="W106">INDEX([1]!JCIMS_prices,_xlfn.XMATCH($E106,[1]!JCIMS_prices_index),_xlfn.XMATCH(W$2,[1]!CER_year))*[1]!JCIMS_price_inflator</f>
        <v/>
      </c>
      <c r="X106" t="inlineStr">
        <is>
          <t>Cost in petroleum refining - AB (use $0.0001 instead of $0.00)</t>
        </is>
      </c>
    </row>
    <row r="107">
      <c r="A107" t="inlineStr">
        <is>
          <t>CIMS.Generic Fuels.Refinery Fuel Gas</t>
        </is>
      </c>
      <c r="B107" t="inlineStr">
        <is>
          <t>Service</t>
        </is>
      </c>
      <c r="C107" t="inlineStr">
        <is>
          <t>CIMS</t>
        </is>
      </c>
      <c r="E107" t="inlineStr">
        <is>
          <t>Refinery Fuel Gas</t>
        </is>
      </c>
      <c r="G107" t="inlineStr">
        <is>
          <t>Emissions</t>
        </is>
      </c>
      <c r="H107" t="inlineStr">
        <is>
          <t>CO2</t>
        </is>
      </c>
      <c r="I107" t="inlineStr">
        <is>
          <t>Combustion</t>
        </is>
      </c>
      <c r="K107" t="inlineStr">
        <is>
          <t>ECCC, NIR</t>
        </is>
      </c>
      <c r="L107" t="inlineStr">
        <is>
          <t>tCO2</t>
        </is>
      </c>
      <c r="M107">
        <f t="array" ref="M107">INDEX([1]Coefficients!$G$132:$BO$151,_xlfn.XMATCH($E107,[1]Coefficients!$B$132:$B$151),_xlfn.XMATCH(M$2,[1]Coefficients!$G$1:$BO$1))</f>
        <v/>
      </c>
      <c r="N107">
        <f t="array" ref="N107">INDEX([1]Coefficients!$G$132:$BO$151,_xlfn.XMATCH($E107,[1]Coefficients!$B$132:$B$151),_xlfn.XMATCH(N$2,[1]Coefficients!$G$1:$BO$1))</f>
        <v/>
      </c>
      <c r="O107">
        <f t="array" ref="O107">INDEX([1]Coefficients!$G$132:$BO$151,_xlfn.XMATCH($E107,[1]Coefficients!$B$132:$B$151),_xlfn.XMATCH(O$2,[1]Coefficients!$G$1:$BO$1))</f>
        <v/>
      </c>
      <c r="P107">
        <f t="array" ref="P107">INDEX([1]Coefficients!$G$132:$BO$151,_xlfn.XMATCH($E107,[1]Coefficients!$B$132:$B$151),_xlfn.XMATCH(P$2,[1]Coefficients!$G$1:$BO$1))</f>
        <v/>
      </c>
      <c r="Q107">
        <f t="array" ref="Q107">INDEX([1]Coefficients!$G$132:$BO$151,_xlfn.XMATCH($E107,[1]Coefficients!$B$132:$B$151),_xlfn.XMATCH(Q$2,[1]Coefficients!$G$1:$BO$1))</f>
        <v/>
      </c>
      <c r="R107">
        <f t="array" ref="R107">INDEX([1]Coefficients!$G$132:$BO$151,_xlfn.XMATCH($E107,[1]Coefficients!$B$132:$B$151),_xlfn.XMATCH(R$2,[1]Coefficients!$G$1:$BO$1))</f>
        <v/>
      </c>
      <c r="S107">
        <f t="array" ref="S107">INDEX([1]Coefficients!$G$132:$BO$151,_xlfn.XMATCH($E107,[1]Coefficients!$B$132:$B$151),_xlfn.XMATCH(S$2,[1]Coefficients!$G$1:$BO$1))</f>
        <v/>
      </c>
      <c r="T107">
        <f t="array" ref="T107">INDEX([1]Coefficients!$G$132:$BO$151,_xlfn.XMATCH($E107,[1]Coefficients!$B$132:$B$151),_xlfn.XMATCH(T$2,[1]Coefficients!$G$1:$BO$1))</f>
        <v/>
      </c>
      <c r="U107">
        <f t="array" ref="U107">INDEX([1]Coefficients!$G$132:$BO$151,_xlfn.XMATCH($E107,[1]Coefficients!$B$132:$B$151),_xlfn.XMATCH(U$2,[1]Coefficients!$G$1:$BO$1))</f>
        <v/>
      </c>
      <c r="V107">
        <f t="array" ref="V107">INDEX([1]Coefficients!$G$132:$BO$151,_xlfn.XMATCH($E107,[1]Coefficients!$B$132:$B$151),_xlfn.XMATCH(V$2,[1]Coefficients!$G$1:$BO$1))</f>
        <v/>
      </c>
      <c r="W107">
        <f t="array" ref="W107">INDEX([1]Coefficients!$G$132:$BO$151,_xlfn.XMATCH($E107,[1]Coefficients!$B$132:$B$151),_xlfn.XMATCH(W$2,[1]Coefficients!$G$1:$BO$1))</f>
        <v/>
      </c>
    </row>
    <row r="108">
      <c r="A108" t="inlineStr">
        <is>
          <t>CIMS.Generic Fuels.Refinery Fuel Gas</t>
        </is>
      </c>
      <c r="B108" t="inlineStr">
        <is>
          <t>Service</t>
        </is>
      </c>
      <c r="C108" t="inlineStr">
        <is>
          <t>CIMS</t>
        </is>
      </c>
      <c r="E108" t="inlineStr">
        <is>
          <t>Refinery Fuel Gas</t>
        </is>
      </c>
      <c r="G108" t="inlineStr">
        <is>
          <t>Emissions</t>
        </is>
      </c>
      <c r="H108" t="inlineStr">
        <is>
          <t>CH4</t>
        </is>
      </c>
      <c r="I108" t="inlineStr">
        <is>
          <t>Combustion</t>
        </is>
      </c>
      <c r="K108" t="inlineStr">
        <is>
          <t>ECCC, NIR</t>
        </is>
      </c>
      <c r="L108" t="inlineStr">
        <is>
          <t>tCH4</t>
        </is>
      </c>
      <c r="M108">
        <f t="array" ref="M108">INDEX([1]Coefficients!$G$156:$BO$175,_xlfn.XMATCH($E108,[1]Coefficients!$B$132:$B$151),_xlfn.XMATCH(M$2,[1]Coefficients!$G$1:$BO$1))</f>
        <v/>
      </c>
      <c r="N108">
        <f t="array" ref="N108">INDEX([1]Coefficients!$G$156:$BO$175,_xlfn.XMATCH($E108,[1]Coefficients!$B$132:$B$151),_xlfn.XMATCH(N$2,[1]Coefficients!$G$1:$BO$1))</f>
        <v/>
      </c>
      <c r="O108">
        <f t="array" ref="O108">INDEX([1]Coefficients!$G$156:$BO$175,_xlfn.XMATCH($E108,[1]Coefficients!$B$132:$B$151),_xlfn.XMATCH(O$2,[1]Coefficients!$G$1:$BO$1))</f>
        <v/>
      </c>
      <c r="P108">
        <f t="array" ref="P108">INDEX([1]Coefficients!$G$156:$BO$175,_xlfn.XMATCH($E108,[1]Coefficients!$B$132:$B$151),_xlfn.XMATCH(P$2,[1]Coefficients!$G$1:$BO$1))</f>
        <v/>
      </c>
      <c r="Q108">
        <f t="array" ref="Q108">INDEX([1]Coefficients!$G$156:$BO$175,_xlfn.XMATCH($E108,[1]Coefficients!$B$132:$B$151),_xlfn.XMATCH(Q$2,[1]Coefficients!$G$1:$BO$1))</f>
        <v/>
      </c>
      <c r="R108">
        <f t="array" ref="R108">INDEX([1]Coefficients!$G$156:$BO$175,_xlfn.XMATCH($E108,[1]Coefficients!$B$132:$B$151),_xlfn.XMATCH(R$2,[1]Coefficients!$G$1:$BO$1))</f>
        <v/>
      </c>
      <c r="S108">
        <f t="array" ref="S108">INDEX([1]Coefficients!$G$156:$BO$175,_xlfn.XMATCH($E108,[1]Coefficients!$B$132:$B$151),_xlfn.XMATCH(S$2,[1]Coefficients!$G$1:$BO$1))</f>
        <v/>
      </c>
      <c r="T108">
        <f t="array" ref="T108">INDEX([1]Coefficients!$G$156:$BO$175,_xlfn.XMATCH($E108,[1]Coefficients!$B$132:$B$151),_xlfn.XMATCH(T$2,[1]Coefficients!$G$1:$BO$1))</f>
        <v/>
      </c>
      <c r="U108">
        <f t="array" ref="U108">INDEX([1]Coefficients!$G$156:$BO$175,_xlfn.XMATCH($E108,[1]Coefficients!$B$132:$B$151),_xlfn.XMATCH(U$2,[1]Coefficients!$G$1:$BO$1))</f>
        <v/>
      </c>
      <c r="V108">
        <f t="array" ref="V108">INDEX([1]Coefficients!$G$156:$BO$175,_xlfn.XMATCH($E108,[1]Coefficients!$B$132:$B$151),_xlfn.XMATCH(V$2,[1]Coefficients!$G$1:$BO$1))</f>
        <v/>
      </c>
      <c r="W108">
        <f t="array" ref="W108">INDEX([1]Coefficients!$G$156:$BO$175,_xlfn.XMATCH($E108,[1]Coefficients!$B$132:$B$151),_xlfn.XMATCH(W$2,[1]Coefficients!$G$1:$BO$1))</f>
        <v/>
      </c>
    </row>
    <row r="109">
      <c r="A109" t="inlineStr">
        <is>
          <t>CIMS.Generic Fuels.Refinery Fuel Gas</t>
        </is>
      </c>
      <c r="B109" t="inlineStr">
        <is>
          <t>Service</t>
        </is>
      </c>
      <c r="C109" t="inlineStr">
        <is>
          <t>CIMS</t>
        </is>
      </c>
      <c r="E109" t="inlineStr">
        <is>
          <t>Refinery Fuel Gas</t>
        </is>
      </c>
      <c r="G109" t="inlineStr">
        <is>
          <t>Emissions</t>
        </is>
      </c>
      <c r="H109" t="inlineStr">
        <is>
          <t>N2O</t>
        </is>
      </c>
      <c r="I109" t="inlineStr">
        <is>
          <t>Combustion</t>
        </is>
      </c>
      <c r="K109" t="inlineStr">
        <is>
          <t>ECCC, NIR</t>
        </is>
      </c>
      <c r="L109" t="inlineStr">
        <is>
          <t>tN2O</t>
        </is>
      </c>
      <c r="M109">
        <f t="array" ref="M109">INDEX([1]Coefficients!$G$180:$BO$199,_xlfn.XMATCH($E109,[1]Coefficients!$B$132:$B$151),_xlfn.XMATCH(M$2,[1]Coefficients!$G$1:$BO$1))</f>
        <v/>
      </c>
      <c r="N109">
        <f t="array" ref="N109">INDEX([1]Coefficients!$G$180:$BO$199,_xlfn.XMATCH($E109,[1]Coefficients!$B$132:$B$151),_xlfn.XMATCH(N$2,[1]Coefficients!$G$1:$BO$1))</f>
        <v/>
      </c>
      <c r="O109">
        <f t="array" ref="O109">INDEX([1]Coefficients!$G$180:$BO$199,_xlfn.XMATCH($E109,[1]Coefficients!$B$132:$B$151),_xlfn.XMATCH(O$2,[1]Coefficients!$G$1:$BO$1))</f>
        <v/>
      </c>
      <c r="P109">
        <f t="array" ref="P109">INDEX([1]Coefficients!$G$180:$BO$199,_xlfn.XMATCH($E109,[1]Coefficients!$B$132:$B$151),_xlfn.XMATCH(P$2,[1]Coefficients!$G$1:$BO$1))</f>
        <v/>
      </c>
      <c r="Q109">
        <f t="array" ref="Q109">INDEX([1]Coefficients!$G$180:$BO$199,_xlfn.XMATCH($E109,[1]Coefficients!$B$132:$B$151),_xlfn.XMATCH(Q$2,[1]Coefficients!$G$1:$BO$1))</f>
        <v/>
      </c>
      <c r="R109">
        <f t="array" ref="R109">INDEX([1]Coefficients!$G$180:$BO$199,_xlfn.XMATCH($E109,[1]Coefficients!$B$132:$B$151),_xlfn.XMATCH(R$2,[1]Coefficients!$G$1:$BO$1))</f>
        <v/>
      </c>
      <c r="S109">
        <f t="array" ref="S109">INDEX([1]Coefficients!$G$180:$BO$199,_xlfn.XMATCH($E109,[1]Coefficients!$B$132:$B$151),_xlfn.XMATCH(S$2,[1]Coefficients!$G$1:$BO$1))</f>
        <v/>
      </c>
      <c r="T109">
        <f t="array" ref="T109">INDEX([1]Coefficients!$G$180:$BO$199,_xlfn.XMATCH($E109,[1]Coefficients!$B$132:$B$151),_xlfn.XMATCH(T$2,[1]Coefficients!$G$1:$BO$1))</f>
        <v/>
      </c>
      <c r="U109">
        <f t="array" ref="U109">INDEX([1]Coefficients!$G$180:$BO$199,_xlfn.XMATCH($E109,[1]Coefficients!$B$132:$B$151),_xlfn.XMATCH(U$2,[1]Coefficients!$G$1:$BO$1))</f>
        <v/>
      </c>
      <c r="V109">
        <f t="array" ref="V109">INDEX([1]Coefficients!$G$180:$BO$199,_xlfn.XMATCH($E109,[1]Coefficients!$B$132:$B$151),_xlfn.XMATCH(V$2,[1]Coefficients!$G$1:$BO$1))</f>
        <v/>
      </c>
      <c r="W109">
        <f t="array" ref="W109">INDEX([1]Coefficients!$G$180:$BO$199,_xlfn.XMATCH($E109,[1]Coefficients!$B$132:$B$151),_xlfn.XMATCH(W$2,[1]Coefficients!$G$1:$BO$1))</f>
        <v/>
      </c>
    </row>
    <row r="110">
      <c r="A110" t="inlineStr">
        <is>
          <t>CIMS.Generic Fuels.Renewable Diesel</t>
        </is>
      </c>
      <c r="B110" t="inlineStr">
        <is>
          <t>Service</t>
        </is>
      </c>
      <c r="C110" t="inlineStr">
        <is>
          <t>CIMS</t>
        </is>
      </c>
      <c r="E110" t="inlineStr">
        <is>
          <t>Renewable Diesel</t>
        </is>
      </c>
      <c r="G110" t="inlineStr">
        <is>
          <t>Service provided</t>
        </is>
      </c>
      <c r="L110" t="inlineStr">
        <is>
          <t>GJ</t>
        </is>
      </c>
    </row>
    <row r="111">
      <c r="A111" t="inlineStr">
        <is>
          <t>CIMS.Generic Fuels.Renewable Diesel</t>
        </is>
      </c>
      <c r="B111" t="inlineStr">
        <is>
          <t>Service</t>
        </is>
      </c>
      <c r="C111" t="inlineStr">
        <is>
          <t>CIMS</t>
        </is>
      </c>
      <c r="E111" t="inlineStr">
        <is>
          <t>Renewable Diesel</t>
        </is>
      </c>
      <c r="G111" t="inlineStr">
        <is>
          <t>Competition type</t>
        </is>
      </c>
      <c r="H111" t="inlineStr">
        <is>
          <t>Supply - Fixed Price</t>
        </is>
      </c>
    </row>
    <row r="112">
      <c r="A112" t="inlineStr">
        <is>
          <t>CIMS.Generic Fuels.Renewable Diesel</t>
        </is>
      </c>
      <c r="B112" t="inlineStr">
        <is>
          <t>Service</t>
        </is>
      </c>
      <c r="C112" t="inlineStr">
        <is>
          <t>CIMS</t>
        </is>
      </c>
      <c r="E112" t="inlineStr">
        <is>
          <t>Renewable Diesel</t>
        </is>
      </c>
      <c r="G112" t="inlineStr">
        <is>
          <t>Is supply</t>
        </is>
      </c>
      <c r="H112" t="b">
        <v>1</v>
      </c>
    </row>
    <row r="113">
      <c r="A113" t="inlineStr">
        <is>
          <t>CIMS.Generic Fuels.Renewable Diesel</t>
        </is>
      </c>
      <c r="B113" t="inlineStr">
        <is>
          <t>Service</t>
        </is>
      </c>
      <c r="C113" t="inlineStr">
        <is>
          <t>CIMS</t>
        </is>
      </c>
      <c r="E113" t="inlineStr">
        <is>
          <t>Renewable Diesel</t>
        </is>
      </c>
      <c r="G113" t="inlineStr">
        <is>
          <t>LCC_financial</t>
        </is>
      </c>
      <c r="K113" t="inlineStr">
        <is>
          <t>JCIMS</t>
        </is>
      </c>
      <c r="L113" t="inlineStr">
        <is>
          <t>$/GJ</t>
        </is>
      </c>
      <c r="M113" t="n">
        <v>50.8253659210541</v>
      </c>
      <c r="N113" t="n">
        <v>50.8253659210541</v>
      </c>
      <c r="O113" t="n">
        <v>53.3182563929071</v>
      </c>
      <c r="P113" t="n">
        <v>53.1475461322098</v>
      </c>
      <c r="Q113" t="n">
        <v>52.8930069278285</v>
      </c>
      <c r="R113" t="n">
        <v>52.8930069278285</v>
      </c>
      <c r="S113" t="n">
        <v>52.8930069278285</v>
      </c>
      <c r="T113" t="n">
        <v>52.8930069278285</v>
      </c>
      <c r="U113" t="n">
        <v>52.8930069278285</v>
      </c>
      <c r="V113" t="n">
        <v>52.8930069278285</v>
      </c>
      <c r="W113" t="n">
        <v>52.8930069278285</v>
      </c>
      <c r="X113" t="inlineStr">
        <is>
          <t>TODO: Fix these to formulas</t>
        </is>
      </c>
    </row>
    <row r="114">
      <c r="A114" t="inlineStr">
        <is>
          <t>CIMS.Generic Fuels.Renewable Diesel</t>
        </is>
      </c>
      <c r="B114" t="inlineStr">
        <is>
          <t>Service</t>
        </is>
      </c>
      <c r="C114" t="inlineStr">
        <is>
          <t>CIMS</t>
        </is>
      </c>
      <c r="E114" t="inlineStr">
        <is>
          <t>Renewable Diesel</t>
        </is>
      </c>
      <c r="G114" t="inlineStr">
        <is>
          <t>Emissions_biomass</t>
        </is>
      </c>
      <c r="H114" t="inlineStr">
        <is>
          <t>CO2</t>
        </is>
      </c>
      <c r="I114" t="inlineStr">
        <is>
          <t>Combustion</t>
        </is>
      </c>
      <c r="K114" t="inlineStr">
        <is>
          <t>ECCC, NIR</t>
        </is>
      </c>
      <c r="L114" t="inlineStr">
        <is>
          <t>tCO2</t>
        </is>
      </c>
      <c r="M114">
        <f>M$57</f>
        <v/>
      </c>
      <c r="N114">
        <f>N$57</f>
        <v/>
      </c>
      <c r="O114">
        <f>O$57</f>
        <v/>
      </c>
      <c r="P114">
        <f>P$57</f>
        <v/>
      </c>
      <c r="Q114">
        <f>Q$57</f>
        <v/>
      </c>
      <c r="R114">
        <f>R$57</f>
        <v/>
      </c>
      <c r="S114">
        <f>S$57</f>
        <v/>
      </c>
      <c r="T114">
        <f>T$57</f>
        <v/>
      </c>
      <c r="U114">
        <f>U$57</f>
        <v/>
      </c>
      <c r="V114">
        <f>V$57</f>
        <v/>
      </c>
      <c r="W114">
        <f>W$57</f>
        <v/>
      </c>
    </row>
    <row r="115">
      <c r="A115" t="inlineStr">
        <is>
          <t>CIMS.Generic Fuels.Renewable Diesel</t>
        </is>
      </c>
      <c r="B115" t="inlineStr">
        <is>
          <t>Service</t>
        </is>
      </c>
      <c r="C115" t="inlineStr">
        <is>
          <t>CIMS</t>
        </is>
      </c>
      <c r="E115" t="inlineStr">
        <is>
          <t>Renewable Diesel</t>
        </is>
      </c>
      <c r="G115" t="inlineStr">
        <is>
          <t>Emissions</t>
        </is>
      </c>
      <c r="H115" t="inlineStr">
        <is>
          <t>CO2</t>
        </is>
      </c>
      <c r="I115" t="inlineStr">
        <is>
          <t>Combustion</t>
        </is>
      </c>
      <c r="K115" t="inlineStr">
        <is>
          <t>ECCC, NIR</t>
        </is>
      </c>
      <c r="L115" t="inlineStr">
        <is>
          <t>tCO2</t>
        </is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</row>
    <row r="116">
      <c r="A116" t="inlineStr">
        <is>
          <t>CIMS.Generic Fuels.Renewable Diesel</t>
        </is>
      </c>
      <c r="B116" t="inlineStr">
        <is>
          <t>Service</t>
        </is>
      </c>
      <c r="C116" t="inlineStr">
        <is>
          <t>CIMS</t>
        </is>
      </c>
      <c r="E116" t="inlineStr">
        <is>
          <t>Renewable Diesel</t>
        </is>
      </c>
      <c r="G116" t="inlineStr">
        <is>
          <t>Emissions</t>
        </is>
      </c>
      <c r="H116" t="inlineStr">
        <is>
          <t>CH4</t>
        </is>
      </c>
      <c r="I116" t="inlineStr">
        <is>
          <t>Combustion</t>
        </is>
      </c>
      <c r="K116" t="inlineStr">
        <is>
          <t>ECCC, NIR</t>
        </is>
      </c>
      <c r="L116" t="inlineStr">
        <is>
          <t>tCH4</t>
        </is>
      </c>
      <c r="M116">
        <f>M48</f>
        <v/>
      </c>
      <c r="N116">
        <f>N48</f>
        <v/>
      </c>
      <c r="O116">
        <f>O48</f>
        <v/>
      </c>
      <c r="P116">
        <f>P48</f>
        <v/>
      </c>
      <c r="Q116">
        <f>Q48</f>
        <v/>
      </c>
      <c r="R116">
        <f>R48</f>
        <v/>
      </c>
      <c r="S116">
        <f>S48</f>
        <v/>
      </c>
      <c r="T116">
        <f>T48</f>
        <v/>
      </c>
      <c r="U116">
        <f>U48</f>
        <v/>
      </c>
      <c r="V116">
        <f>V48</f>
        <v/>
      </c>
      <c r="W116">
        <f>W48</f>
        <v/>
      </c>
    </row>
    <row r="117">
      <c r="A117" t="inlineStr">
        <is>
          <t>CIMS.Generic Fuels.Renewable Diesel</t>
        </is>
      </c>
      <c r="B117" t="inlineStr">
        <is>
          <t>Service</t>
        </is>
      </c>
      <c r="C117" t="inlineStr">
        <is>
          <t>CIMS</t>
        </is>
      </c>
      <c r="E117" t="inlineStr">
        <is>
          <t>Renewable Diesel</t>
        </is>
      </c>
      <c r="G117" t="inlineStr">
        <is>
          <t>Emissions</t>
        </is>
      </c>
      <c r="H117" t="inlineStr">
        <is>
          <t>N2O</t>
        </is>
      </c>
      <c r="I117" t="inlineStr">
        <is>
          <t>Combustion</t>
        </is>
      </c>
      <c r="K117" t="inlineStr">
        <is>
          <t>ECCC, NIR</t>
        </is>
      </c>
      <c r="L117" t="inlineStr">
        <is>
          <t>tN2O</t>
        </is>
      </c>
      <c r="M117">
        <f>M49</f>
        <v/>
      </c>
      <c r="N117">
        <f>N49</f>
        <v/>
      </c>
      <c r="O117">
        <f>O49</f>
        <v/>
      </c>
      <c r="P117">
        <f>P49</f>
        <v/>
      </c>
      <c r="Q117">
        <f>Q49</f>
        <v/>
      </c>
      <c r="R117">
        <f>R49</f>
        <v/>
      </c>
      <c r="S117">
        <f>S49</f>
        <v/>
      </c>
      <c r="T117">
        <f>T49</f>
        <v/>
      </c>
      <c r="U117">
        <f>U49</f>
        <v/>
      </c>
      <c r="V117">
        <f>V49</f>
        <v/>
      </c>
      <c r="W117">
        <f>W49</f>
        <v/>
      </c>
    </row>
    <row r="118">
      <c r="A118" t="inlineStr">
        <is>
          <t>CIMS.Generic Fuels.Renewable Gasoline</t>
        </is>
      </c>
      <c r="B118" t="inlineStr">
        <is>
          <t>Service</t>
        </is>
      </c>
      <c r="C118" t="inlineStr">
        <is>
          <t>CIMS</t>
        </is>
      </c>
      <c r="E118" t="inlineStr">
        <is>
          <t>Renewable Gasoline</t>
        </is>
      </c>
      <c r="G118" t="inlineStr">
        <is>
          <t>Service provided</t>
        </is>
      </c>
      <c r="L118" t="inlineStr">
        <is>
          <t>GJ</t>
        </is>
      </c>
    </row>
    <row r="119">
      <c r="A119" t="inlineStr">
        <is>
          <t>CIMS.Generic Fuels.Renewable Gasoline</t>
        </is>
      </c>
      <c r="B119" t="inlineStr">
        <is>
          <t>Service</t>
        </is>
      </c>
      <c r="C119" t="inlineStr">
        <is>
          <t>CIMS</t>
        </is>
      </c>
      <c r="E119" t="inlineStr">
        <is>
          <t>Renewable Gasoline</t>
        </is>
      </c>
      <c r="G119" t="inlineStr">
        <is>
          <t>Competition type</t>
        </is>
      </c>
      <c r="H119" t="inlineStr">
        <is>
          <t>Supply - Fixed Price</t>
        </is>
      </c>
    </row>
    <row r="120">
      <c r="A120" t="inlineStr">
        <is>
          <t>CIMS.Generic Fuels.Renewable Gasoline</t>
        </is>
      </c>
      <c r="B120" t="inlineStr">
        <is>
          <t>Service</t>
        </is>
      </c>
      <c r="C120" t="inlineStr">
        <is>
          <t>CIMS</t>
        </is>
      </c>
      <c r="E120" t="inlineStr">
        <is>
          <t>Renewable Gasoline</t>
        </is>
      </c>
      <c r="G120" t="inlineStr">
        <is>
          <t>Is supply</t>
        </is>
      </c>
      <c r="H120" t="b">
        <v>1</v>
      </c>
    </row>
    <row r="121">
      <c r="A121" t="inlineStr">
        <is>
          <t>CIMS.Generic Fuels.Renewable Gasoline</t>
        </is>
      </c>
      <c r="B121" t="inlineStr">
        <is>
          <t>Service</t>
        </is>
      </c>
      <c r="C121" t="inlineStr">
        <is>
          <t>CIMS</t>
        </is>
      </c>
      <c r="E121" t="inlineStr">
        <is>
          <t>Renewable Gasoline</t>
        </is>
      </c>
      <c r="G121" t="inlineStr">
        <is>
          <t>LCC_financial</t>
        </is>
      </c>
      <c r="K121" t="inlineStr">
        <is>
          <t>JCIMS</t>
        </is>
      </c>
      <c r="L121" t="inlineStr">
        <is>
          <t>$/GJ</t>
        </is>
      </c>
      <c r="M121" t="n">
        <v>58.6390488629831</v>
      </c>
      <c r="N121" t="n">
        <v>58.6390488629831</v>
      </c>
      <c r="O121" t="n">
        <v>59.5023126710323</v>
      </c>
      <c r="P121" t="n">
        <v>59.3118027721903</v>
      </c>
      <c r="Q121" t="n">
        <v>59.0277411383043</v>
      </c>
      <c r="R121" t="n">
        <v>59.0277411383043</v>
      </c>
      <c r="S121" t="n">
        <v>59.0277411383043</v>
      </c>
      <c r="T121" t="n">
        <v>59.0277411383043</v>
      </c>
      <c r="U121" t="n">
        <v>59.0277411383043</v>
      </c>
      <c r="V121" t="n">
        <v>59.0277411383043</v>
      </c>
      <c r="W121" t="n">
        <v>59.0277411383043</v>
      </c>
      <c r="X121" t="inlineStr">
        <is>
          <t>TODO: Fix these to formulas</t>
        </is>
      </c>
    </row>
    <row r="122">
      <c r="A122" t="inlineStr">
        <is>
          <t>CIMS.Generic Fuels.Renewable Gasoline</t>
        </is>
      </c>
      <c r="B122" t="inlineStr">
        <is>
          <t>Service</t>
        </is>
      </c>
      <c r="C122" t="inlineStr">
        <is>
          <t>CIMS</t>
        </is>
      </c>
      <c r="E122" t="inlineStr">
        <is>
          <t>Renewable Gasoline</t>
        </is>
      </c>
      <c r="G122" t="inlineStr">
        <is>
          <t>Emissions_biomass</t>
        </is>
      </c>
      <c r="H122" t="inlineStr">
        <is>
          <t>CO2</t>
        </is>
      </c>
      <c r="I122" t="inlineStr">
        <is>
          <t>Combustion</t>
        </is>
      </c>
      <c r="K122" t="inlineStr">
        <is>
          <t>ECCC, NIR</t>
        </is>
      </c>
      <c r="L122" t="inlineStr">
        <is>
          <t>tCO2</t>
        </is>
      </c>
      <c r="M122">
        <f>M$71</f>
        <v/>
      </c>
      <c r="N122">
        <f>N$71</f>
        <v/>
      </c>
      <c r="O122">
        <f>O$71</f>
        <v/>
      </c>
      <c r="P122">
        <f>P$71</f>
        <v/>
      </c>
      <c r="Q122">
        <f>Q$71</f>
        <v/>
      </c>
      <c r="R122">
        <f>R$71</f>
        <v/>
      </c>
      <c r="S122">
        <f>S$71</f>
        <v/>
      </c>
      <c r="T122">
        <f>T$71</f>
        <v/>
      </c>
      <c r="U122">
        <f>U$71</f>
        <v/>
      </c>
      <c r="V122">
        <f>V$71</f>
        <v/>
      </c>
      <c r="W122">
        <f>W$71</f>
        <v/>
      </c>
    </row>
    <row r="123">
      <c r="A123" t="inlineStr">
        <is>
          <t>CIMS.Generic Fuels.Renewable Gasoline</t>
        </is>
      </c>
      <c r="B123" t="inlineStr">
        <is>
          <t>Service</t>
        </is>
      </c>
      <c r="C123" t="inlineStr">
        <is>
          <t>CIMS</t>
        </is>
      </c>
      <c r="E123" t="inlineStr">
        <is>
          <t>Renewable Gasoline</t>
        </is>
      </c>
      <c r="G123" t="inlineStr">
        <is>
          <t>Emissions</t>
        </is>
      </c>
      <c r="H123" t="inlineStr">
        <is>
          <t>CO2</t>
        </is>
      </c>
      <c r="I123" t="inlineStr">
        <is>
          <t>Combustion</t>
        </is>
      </c>
      <c r="K123" t="inlineStr">
        <is>
          <t>ECCC, NIR</t>
        </is>
      </c>
      <c r="L123" t="inlineStr">
        <is>
          <t>tCO2</t>
        </is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</row>
    <row r="124">
      <c r="A124" t="inlineStr">
        <is>
          <t>CIMS.Generic Fuels.Renewable Gasoline</t>
        </is>
      </c>
      <c r="B124" t="inlineStr">
        <is>
          <t>Service</t>
        </is>
      </c>
      <c r="C124" t="inlineStr">
        <is>
          <t>CIMS</t>
        </is>
      </c>
      <c r="E124" t="inlineStr">
        <is>
          <t>Renewable Gasoline</t>
        </is>
      </c>
      <c r="G124" t="inlineStr">
        <is>
          <t>Emissions</t>
        </is>
      </c>
      <c r="H124" t="inlineStr">
        <is>
          <t>CH4</t>
        </is>
      </c>
      <c r="I124" t="inlineStr">
        <is>
          <t>Combustion</t>
        </is>
      </c>
      <c r="K124" t="inlineStr">
        <is>
          <t>ECCC, NIR</t>
        </is>
      </c>
      <c r="L124" t="inlineStr">
        <is>
          <t>tCH4</t>
        </is>
      </c>
      <c r="M124">
        <f>M62</f>
        <v/>
      </c>
      <c r="N124">
        <f>N62</f>
        <v/>
      </c>
      <c r="O124">
        <f>O62</f>
        <v/>
      </c>
      <c r="P124">
        <f>P62</f>
        <v/>
      </c>
      <c r="Q124">
        <f>Q62</f>
        <v/>
      </c>
      <c r="R124">
        <f>R62</f>
        <v/>
      </c>
      <c r="S124">
        <f>S62</f>
        <v/>
      </c>
      <c r="T124">
        <f>T62</f>
        <v/>
      </c>
      <c r="U124">
        <f>U62</f>
        <v/>
      </c>
      <c r="V124">
        <f>V62</f>
        <v/>
      </c>
      <c r="W124">
        <f>W62</f>
        <v/>
      </c>
    </row>
    <row r="125">
      <c r="A125" t="inlineStr">
        <is>
          <t>CIMS.Generic Fuels.Renewable Gasoline</t>
        </is>
      </c>
      <c r="B125" t="inlineStr">
        <is>
          <t>Service</t>
        </is>
      </c>
      <c r="C125" t="inlineStr">
        <is>
          <t>CIMS</t>
        </is>
      </c>
      <c r="E125" t="inlineStr">
        <is>
          <t>Renewable Gasoline</t>
        </is>
      </c>
      <c r="G125" t="inlineStr">
        <is>
          <t>Emissions</t>
        </is>
      </c>
      <c r="H125" t="inlineStr">
        <is>
          <t>N2O</t>
        </is>
      </c>
      <c r="I125" t="inlineStr">
        <is>
          <t>Combustion</t>
        </is>
      </c>
      <c r="K125" t="inlineStr">
        <is>
          <t>ECCC, NIR</t>
        </is>
      </c>
      <c r="L125" t="inlineStr">
        <is>
          <t>tN2O</t>
        </is>
      </c>
      <c r="M125">
        <f>M63</f>
        <v/>
      </c>
      <c r="N125">
        <f>N63</f>
        <v/>
      </c>
      <c r="O125">
        <f>O63</f>
        <v/>
      </c>
      <c r="P125">
        <f>P63</f>
        <v/>
      </c>
      <c r="Q125">
        <f>Q63</f>
        <v/>
      </c>
      <c r="R125">
        <f>R63</f>
        <v/>
      </c>
      <c r="S125">
        <f>S63</f>
        <v/>
      </c>
      <c r="T125">
        <f>T63</f>
        <v/>
      </c>
      <c r="U125">
        <f>U63</f>
        <v/>
      </c>
      <c r="V125">
        <f>V63</f>
        <v/>
      </c>
      <c r="W125">
        <f>W63</f>
        <v/>
      </c>
    </row>
    <row r="126">
      <c r="A126" t="inlineStr">
        <is>
          <t>CIMS.Generic Fuels.Solid Biomass</t>
        </is>
      </c>
      <c r="B126" t="inlineStr">
        <is>
          <t>Service</t>
        </is>
      </c>
      <c r="C126" t="inlineStr">
        <is>
          <t>CIMS</t>
        </is>
      </c>
      <c r="E126" t="inlineStr">
        <is>
          <t>Solid Biomass</t>
        </is>
      </c>
      <c r="G126" t="inlineStr">
        <is>
          <t>Service provided</t>
        </is>
      </c>
      <c r="L126" t="inlineStr">
        <is>
          <t>GJ</t>
        </is>
      </c>
    </row>
    <row r="127">
      <c r="A127" t="inlineStr">
        <is>
          <t>CIMS.Generic Fuels.Solid Biomass</t>
        </is>
      </c>
      <c r="B127" t="inlineStr">
        <is>
          <t>Service</t>
        </is>
      </c>
      <c r="C127" t="inlineStr">
        <is>
          <t>CIMS</t>
        </is>
      </c>
      <c r="E127" t="inlineStr">
        <is>
          <t>Solid Biomass</t>
        </is>
      </c>
      <c r="G127" t="inlineStr">
        <is>
          <t>Competition type</t>
        </is>
      </c>
      <c r="H127" t="inlineStr">
        <is>
          <t>Supply - Fixed Price</t>
        </is>
      </c>
    </row>
    <row r="128">
      <c r="A128" t="inlineStr">
        <is>
          <t>CIMS.Generic Fuels.Solid Biomass</t>
        </is>
      </c>
      <c r="B128" t="inlineStr">
        <is>
          <t>Service</t>
        </is>
      </c>
      <c r="C128" t="inlineStr">
        <is>
          <t>CIMS</t>
        </is>
      </c>
      <c r="E128" t="inlineStr">
        <is>
          <t>Solid Biomass</t>
        </is>
      </c>
      <c r="G128" t="inlineStr">
        <is>
          <t>Is supply</t>
        </is>
      </c>
      <c r="H128" t="b">
        <v>1</v>
      </c>
    </row>
    <row r="129">
      <c r="A129" t="inlineStr">
        <is>
          <t>CIMS.Generic Fuels.Solid Biomass</t>
        </is>
      </c>
      <c r="B129" t="inlineStr">
        <is>
          <t>Service</t>
        </is>
      </c>
      <c r="C129" t="inlineStr">
        <is>
          <t>CIMS</t>
        </is>
      </c>
      <c r="E129" t="inlineStr">
        <is>
          <t>Solid Biomass</t>
        </is>
      </c>
      <c r="G129" t="inlineStr">
        <is>
          <t>LCC_financial</t>
        </is>
      </c>
      <c r="K129" t="inlineStr">
        <is>
          <t>JCIMS</t>
        </is>
      </c>
      <c r="L129" t="inlineStr">
        <is>
          <t>$/GJ</t>
        </is>
      </c>
      <c r="M129">
        <f t="array" ref="M129">INDEX([1]!JCIMS_prices,_xlfn.XMATCH($E129,[1]!JCIMS_prices_index),_xlfn.XMATCH(M$2,[1]!CER_year))*[1]!JCIMS_price_inflator</f>
        <v/>
      </c>
      <c r="N129">
        <f t="array" ref="N129">INDEX([1]!JCIMS_prices,_xlfn.XMATCH($E129,[1]!JCIMS_prices_index),_xlfn.XMATCH(N$2,[1]!CER_year))*[1]!JCIMS_price_inflator</f>
        <v/>
      </c>
      <c r="O129">
        <f t="array" ref="O129">INDEX([1]!JCIMS_prices,_xlfn.XMATCH($E129,[1]!JCIMS_prices_index),_xlfn.XMATCH(O$2,[1]!CER_year))*[1]!JCIMS_price_inflator</f>
        <v/>
      </c>
      <c r="P129">
        <f t="array" ref="P129">INDEX([1]!JCIMS_prices,_xlfn.XMATCH($E129,[1]!JCIMS_prices_index),_xlfn.XMATCH(P$2,[1]!CER_year))*[1]!JCIMS_price_inflator</f>
        <v/>
      </c>
      <c r="Q129">
        <f t="array" ref="Q129">INDEX([1]!JCIMS_prices,_xlfn.XMATCH($E129,[1]!JCIMS_prices_index),_xlfn.XMATCH(Q$2,[1]!CER_year))*[1]!JCIMS_price_inflator</f>
        <v/>
      </c>
      <c r="R129">
        <f t="array" ref="R129">INDEX([1]!JCIMS_prices,_xlfn.XMATCH($E129,[1]!JCIMS_prices_index),_xlfn.XMATCH(R$2,[1]!CER_year))*[1]!JCIMS_price_inflator</f>
        <v/>
      </c>
      <c r="S129">
        <f t="array" ref="S129">INDEX([1]!JCIMS_prices,_xlfn.XMATCH($E129,[1]!JCIMS_prices_index),_xlfn.XMATCH(S$2,[1]!CER_year))*[1]!JCIMS_price_inflator</f>
        <v/>
      </c>
      <c r="T129">
        <f t="array" ref="T129">INDEX([1]!JCIMS_prices,_xlfn.XMATCH($E129,[1]!JCIMS_prices_index),_xlfn.XMATCH(T$2,[1]!CER_year))*[1]!JCIMS_price_inflator</f>
        <v/>
      </c>
      <c r="U129">
        <f t="array" ref="U129">INDEX([1]!JCIMS_prices,_xlfn.XMATCH($E129,[1]!JCIMS_prices_index),_xlfn.XMATCH(U$2,[1]!CER_year))*[1]!JCIMS_price_inflator</f>
        <v/>
      </c>
      <c r="V129">
        <f t="array" ref="V129">INDEX([1]!JCIMS_prices,_xlfn.XMATCH($E129,[1]!JCIMS_prices_index),_xlfn.XMATCH(V$2,[1]!CER_year))*[1]!JCIMS_price_inflator</f>
        <v/>
      </c>
      <c r="W129">
        <f t="array" ref="W129">INDEX([1]!JCIMS_prices,_xlfn.XMATCH($E129,[1]!JCIMS_prices_index),_xlfn.XMATCH(W$2,[1]!CER_year))*[1]!JCIMS_price_inflator</f>
        <v/>
      </c>
      <c r="X129" t="inlineStr">
        <is>
          <t>Cost to electricity generators - BC</t>
        </is>
      </c>
    </row>
    <row r="130">
      <c r="A130" t="inlineStr">
        <is>
          <t>CIMS.Generic Fuels.Solid Biomass</t>
        </is>
      </c>
      <c r="B130" t="inlineStr">
        <is>
          <t>Service</t>
        </is>
      </c>
      <c r="C130" t="inlineStr">
        <is>
          <t>CIMS</t>
        </is>
      </c>
      <c r="E130" t="inlineStr">
        <is>
          <t>Solid Biomass</t>
        </is>
      </c>
      <c r="G130" t="inlineStr">
        <is>
          <t>Emissions_biomass</t>
        </is>
      </c>
      <c r="H130" t="inlineStr">
        <is>
          <t>CO2</t>
        </is>
      </c>
      <c r="I130" t="inlineStr">
        <is>
          <t>Combustion</t>
        </is>
      </c>
      <c r="K130" t="inlineStr">
        <is>
          <t>ECCC, NIR</t>
        </is>
      </c>
      <c r="L130" t="inlineStr">
        <is>
          <t>tCO2</t>
        </is>
      </c>
      <c r="M130">
        <f t="array" ref="M130">INDEX([1]Coefficients!$G$60:$BO$79,_xlfn.XMATCH($E130,[1]Coefficients!$B$60:$B$79),_xlfn.XMATCH(M$2,[1]Coefficients!$G$1:$BO$1))/INDEX([1]Coefficients!$G$29:$BO$48,_xlfn.XMATCH($E130,[1]Coefficients!$B$29:$B$48),_xlfn.XMATCH(M$2,[1]Coefficients!$G$1:$BO$1))</f>
        <v/>
      </c>
      <c r="N130">
        <f t="array" ref="N130">INDEX([1]Coefficients!$G$60:$BO$79,_xlfn.XMATCH($E130,[1]Coefficients!$B$60:$B$79),_xlfn.XMATCH(N$2,[1]Coefficients!$G$1:$BO$1))/INDEX([1]Coefficients!$G$29:$BO$48,_xlfn.XMATCH($E130,[1]Coefficients!$B$29:$B$48),_xlfn.XMATCH(N$2,[1]Coefficients!$G$1:$BO$1))</f>
        <v/>
      </c>
      <c r="O130">
        <f t="array" ref="O130">INDEX([1]Coefficients!$G$60:$BO$79,_xlfn.XMATCH($E130,[1]Coefficients!$B$60:$B$79),_xlfn.XMATCH(O$2,[1]Coefficients!$G$1:$BO$1))/INDEX([1]Coefficients!$G$29:$BO$48,_xlfn.XMATCH($E130,[1]Coefficients!$B$29:$B$48),_xlfn.XMATCH(O$2,[1]Coefficients!$G$1:$BO$1))</f>
        <v/>
      </c>
      <c r="P130">
        <f t="array" ref="P130">INDEX([1]Coefficients!$G$60:$BO$79,_xlfn.XMATCH($E130,[1]Coefficients!$B$60:$B$79),_xlfn.XMATCH(P$2,[1]Coefficients!$G$1:$BO$1))/INDEX([1]Coefficients!$G$29:$BO$48,_xlfn.XMATCH($E130,[1]Coefficients!$B$29:$B$48),_xlfn.XMATCH(P$2,[1]Coefficients!$G$1:$BO$1))</f>
        <v/>
      </c>
      <c r="Q130">
        <f t="array" ref="Q130">INDEX([1]Coefficients!$G$60:$BO$79,_xlfn.XMATCH($E130,[1]Coefficients!$B$60:$B$79),_xlfn.XMATCH(Q$2,[1]Coefficients!$G$1:$BO$1))/INDEX([1]Coefficients!$G$29:$BO$48,_xlfn.XMATCH($E130,[1]Coefficients!$B$29:$B$48),_xlfn.XMATCH(Q$2,[1]Coefficients!$G$1:$BO$1))</f>
        <v/>
      </c>
      <c r="R130">
        <f t="array" ref="R130">INDEX([1]Coefficients!$G$60:$BO$79,_xlfn.XMATCH($E130,[1]Coefficients!$B$60:$B$79),_xlfn.XMATCH(R$2,[1]Coefficients!$G$1:$BO$1))/INDEX([1]Coefficients!$G$29:$BO$48,_xlfn.XMATCH($E130,[1]Coefficients!$B$29:$B$48),_xlfn.XMATCH(R$2,[1]Coefficients!$G$1:$BO$1))</f>
        <v/>
      </c>
      <c r="S130">
        <f t="array" ref="S130">INDEX([1]Coefficients!$G$60:$BO$79,_xlfn.XMATCH($E130,[1]Coefficients!$B$60:$B$79),_xlfn.XMATCH(S$2,[1]Coefficients!$G$1:$BO$1))/INDEX([1]Coefficients!$G$29:$BO$48,_xlfn.XMATCH($E130,[1]Coefficients!$B$29:$B$48),_xlfn.XMATCH(S$2,[1]Coefficients!$G$1:$BO$1))</f>
        <v/>
      </c>
      <c r="T130">
        <f t="array" ref="T130">INDEX([1]Coefficients!$G$60:$BO$79,_xlfn.XMATCH($E130,[1]Coefficients!$B$60:$B$79),_xlfn.XMATCH(T$2,[1]Coefficients!$G$1:$BO$1))/INDEX([1]Coefficients!$G$29:$BO$48,_xlfn.XMATCH($E130,[1]Coefficients!$B$29:$B$48),_xlfn.XMATCH(T$2,[1]Coefficients!$G$1:$BO$1))</f>
        <v/>
      </c>
      <c r="U130">
        <f t="array" ref="U130">INDEX([1]Coefficients!$G$60:$BO$79,_xlfn.XMATCH($E130,[1]Coefficients!$B$60:$B$79),_xlfn.XMATCH(U$2,[1]Coefficients!$G$1:$BO$1))/INDEX([1]Coefficients!$G$29:$BO$48,_xlfn.XMATCH($E130,[1]Coefficients!$B$29:$B$48),_xlfn.XMATCH(U$2,[1]Coefficients!$G$1:$BO$1))</f>
        <v/>
      </c>
      <c r="V130">
        <f t="array" ref="V130">INDEX([1]Coefficients!$G$60:$BO$79,_xlfn.XMATCH($E130,[1]Coefficients!$B$60:$B$79),_xlfn.XMATCH(V$2,[1]Coefficients!$G$1:$BO$1))/INDEX([1]Coefficients!$G$29:$BO$48,_xlfn.XMATCH($E130,[1]Coefficients!$B$29:$B$48),_xlfn.XMATCH(V$2,[1]Coefficients!$G$1:$BO$1))</f>
        <v/>
      </c>
      <c r="W130">
        <f t="array" ref="W130">INDEX([1]Coefficients!$G$60:$BO$79,_xlfn.XMATCH($E130,[1]Coefficients!$B$60:$B$79),_xlfn.XMATCH(W$2,[1]Coefficients!$G$1:$BO$1))/INDEX([1]Coefficients!$G$29:$BO$48,_xlfn.XMATCH($E130,[1]Coefficients!$B$29:$B$48),_xlfn.XMATCH(W$2,[1]Coefficients!$G$1:$BO$1))</f>
        <v/>
      </c>
    </row>
    <row r="131">
      <c r="A131" t="inlineStr">
        <is>
          <t>CIMS.Generic Fuels.Solid Biomass</t>
        </is>
      </c>
      <c r="B131" t="inlineStr">
        <is>
          <t>Service</t>
        </is>
      </c>
      <c r="C131" t="inlineStr">
        <is>
          <t>CIMS</t>
        </is>
      </c>
      <c r="E131" t="inlineStr">
        <is>
          <t>Solid Biomass</t>
        </is>
      </c>
      <c r="G131" t="inlineStr">
        <is>
          <t>Emissions</t>
        </is>
      </c>
      <c r="H131" t="inlineStr">
        <is>
          <t>CO2</t>
        </is>
      </c>
      <c r="I131" t="inlineStr">
        <is>
          <t>Combustion</t>
        </is>
      </c>
      <c r="K131" t="inlineStr">
        <is>
          <t>ECCC, NIR</t>
        </is>
      </c>
      <c r="L131" t="inlineStr">
        <is>
          <t>tCO2</t>
        </is>
      </c>
      <c r="M131">
        <f t="array" ref="M131">INDEX([1]Coefficients!$G$132:$BO$151,_xlfn.XMATCH($E131,[1]Coefficients!$B$132:$B$151),_xlfn.XMATCH(M$2,[1]Coefficients!$G$1:$BO$1))</f>
        <v/>
      </c>
      <c r="N131">
        <f t="array" ref="N131">INDEX([1]Coefficients!$G$132:$BO$151,_xlfn.XMATCH($E131,[1]Coefficients!$B$132:$B$151),_xlfn.XMATCH(N$2,[1]Coefficients!$G$1:$BO$1))</f>
        <v/>
      </c>
      <c r="O131">
        <f t="array" ref="O131">INDEX([1]Coefficients!$G$132:$BO$151,_xlfn.XMATCH($E131,[1]Coefficients!$B$132:$B$151),_xlfn.XMATCH(O$2,[1]Coefficients!$G$1:$BO$1))</f>
        <v/>
      </c>
      <c r="P131">
        <f t="array" ref="P131">INDEX([1]Coefficients!$G$132:$BO$151,_xlfn.XMATCH($E131,[1]Coefficients!$B$132:$B$151),_xlfn.XMATCH(P$2,[1]Coefficients!$G$1:$BO$1))</f>
        <v/>
      </c>
      <c r="Q131">
        <f t="array" ref="Q131">INDEX([1]Coefficients!$G$132:$BO$151,_xlfn.XMATCH($E131,[1]Coefficients!$B$132:$B$151),_xlfn.XMATCH(Q$2,[1]Coefficients!$G$1:$BO$1))</f>
        <v/>
      </c>
      <c r="R131">
        <f t="array" ref="R131">INDEX([1]Coefficients!$G$132:$BO$151,_xlfn.XMATCH($E131,[1]Coefficients!$B$132:$B$151),_xlfn.XMATCH(R$2,[1]Coefficients!$G$1:$BO$1))</f>
        <v/>
      </c>
      <c r="S131">
        <f t="array" ref="S131">INDEX([1]Coefficients!$G$132:$BO$151,_xlfn.XMATCH($E131,[1]Coefficients!$B$132:$B$151),_xlfn.XMATCH(S$2,[1]Coefficients!$G$1:$BO$1))</f>
        <v/>
      </c>
      <c r="T131">
        <f t="array" ref="T131">INDEX([1]Coefficients!$G$132:$BO$151,_xlfn.XMATCH($E131,[1]Coefficients!$B$132:$B$151),_xlfn.XMATCH(T$2,[1]Coefficients!$G$1:$BO$1))</f>
        <v/>
      </c>
      <c r="U131">
        <f t="array" ref="U131">INDEX([1]Coefficients!$G$132:$BO$151,_xlfn.XMATCH($E131,[1]Coefficients!$B$132:$B$151),_xlfn.XMATCH(U$2,[1]Coefficients!$G$1:$BO$1))</f>
        <v/>
      </c>
      <c r="V131">
        <f t="array" ref="V131">INDEX([1]Coefficients!$G$132:$BO$151,_xlfn.XMATCH($E131,[1]Coefficients!$B$132:$B$151),_xlfn.XMATCH(V$2,[1]Coefficients!$G$1:$BO$1))</f>
        <v/>
      </c>
      <c r="W131">
        <f t="array" ref="W131">INDEX([1]Coefficients!$G$132:$BO$151,_xlfn.XMATCH($E131,[1]Coefficients!$B$132:$B$151),_xlfn.XMATCH(W$2,[1]Coefficients!$G$1:$BO$1))</f>
        <v/>
      </c>
    </row>
    <row r="132">
      <c r="A132" t="inlineStr">
        <is>
          <t>CIMS.Generic Fuels.Solid Biomass</t>
        </is>
      </c>
      <c r="B132" t="inlineStr">
        <is>
          <t>Service</t>
        </is>
      </c>
      <c r="C132" t="inlineStr">
        <is>
          <t>CIMS</t>
        </is>
      </c>
      <c r="E132" t="inlineStr">
        <is>
          <t>Solid Biomass</t>
        </is>
      </c>
      <c r="G132" t="inlineStr">
        <is>
          <t>Emissions</t>
        </is>
      </c>
      <c r="H132" t="inlineStr">
        <is>
          <t>CH4</t>
        </is>
      </c>
      <c r="I132" t="inlineStr">
        <is>
          <t>Combustion</t>
        </is>
      </c>
      <c r="K132" t="inlineStr">
        <is>
          <t>ECCC, NIR</t>
        </is>
      </c>
      <c r="L132" t="inlineStr">
        <is>
          <t>tCH4</t>
        </is>
      </c>
      <c r="M132">
        <f t="array" ref="M132">INDEX([1]Coefficients!$G$156:$BO$175,_xlfn.XMATCH($E132,[1]Coefficients!$B$132:$B$151),_xlfn.XMATCH(M$2,[1]Coefficients!$G$1:$BO$1))</f>
        <v/>
      </c>
      <c r="N132">
        <f t="array" ref="N132">INDEX([1]Coefficients!$G$156:$BO$175,_xlfn.XMATCH($E132,[1]Coefficients!$B$132:$B$151),_xlfn.XMATCH(N$2,[1]Coefficients!$G$1:$BO$1))</f>
        <v/>
      </c>
      <c r="O132">
        <f t="array" ref="O132">INDEX([1]Coefficients!$G$156:$BO$175,_xlfn.XMATCH($E132,[1]Coefficients!$B$132:$B$151),_xlfn.XMATCH(O$2,[1]Coefficients!$G$1:$BO$1))</f>
        <v/>
      </c>
      <c r="P132">
        <f t="array" ref="P132">INDEX([1]Coefficients!$G$156:$BO$175,_xlfn.XMATCH($E132,[1]Coefficients!$B$132:$B$151),_xlfn.XMATCH(P$2,[1]Coefficients!$G$1:$BO$1))</f>
        <v/>
      </c>
      <c r="Q132">
        <f t="array" ref="Q132">INDEX([1]Coefficients!$G$156:$BO$175,_xlfn.XMATCH($E132,[1]Coefficients!$B$132:$B$151),_xlfn.XMATCH(Q$2,[1]Coefficients!$G$1:$BO$1))</f>
        <v/>
      </c>
      <c r="R132">
        <f t="array" ref="R132">INDEX([1]Coefficients!$G$156:$BO$175,_xlfn.XMATCH($E132,[1]Coefficients!$B$132:$B$151),_xlfn.XMATCH(R$2,[1]Coefficients!$G$1:$BO$1))</f>
        <v/>
      </c>
      <c r="S132">
        <f t="array" ref="S132">INDEX([1]Coefficients!$G$156:$BO$175,_xlfn.XMATCH($E132,[1]Coefficients!$B$132:$B$151),_xlfn.XMATCH(S$2,[1]Coefficients!$G$1:$BO$1))</f>
        <v/>
      </c>
      <c r="T132">
        <f t="array" ref="T132">INDEX([1]Coefficients!$G$156:$BO$175,_xlfn.XMATCH($E132,[1]Coefficients!$B$132:$B$151),_xlfn.XMATCH(T$2,[1]Coefficients!$G$1:$BO$1))</f>
        <v/>
      </c>
      <c r="U132">
        <f t="array" ref="U132">INDEX([1]Coefficients!$G$156:$BO$175,_xlfn.XMATCH($E132,[1]Coefficients!$B$132:$B$151),_xlfn.XMATCH(U$2,[1]Coefficients!$G$1:$BO$1))</f>
        <v/>
      </c>
      <c r="V132">
        <f t="array" ref="V132">INDEX([1]Coefficients!$G$156:$BO$175,_xlfn.XMATCH($E132,[1]Coefficients!$B$132:$B$151),_xlfn.XMATCH(V$2,[1]Coefficients!$G$1:$BO$1))</f>
        <v/>
      </c>
      <c r="W132">
        <f t="array" ref="W132">INDEX([1]Coefficients!$G$156:$BO$175,_xlfn.XMATCH($E132,[1]Coefficients!$B$132:$B$151),_xlfn.XMATCH(W$2,[1]Coefficients!$G$1:$BO$1))</f>
        <v/>
      </c>
    </row>
    <row r="133">
      <c r="A133" t="inlineStr">
        <is>
          <t>CIMS.Generic Fuels.Solid Biomass</t>
        </is>
      </c>
      <c r="B133" t="inlineStr">
        <is>
          <t>Service</t>
        </is>
      </c>
      <c r="C133" t="inlineStr">
        <is>
          <t>CIMS</t>
        </is>
      </c>
      <c r="E133" t="inlineStr">
        <is>
          <t>Solid Biomass</t>
        </is>
      </c>
      <c r="G133" t="inlineStr">
        <is>
          <t>Emissions</t>
        </is>
      </c>
      <c r="H133" t="inlineStr">
        <is>
          <t>N2O</t>
        </is>
      </c>
      <c r="I133" t="inlineStr">
        <is>
          <t>Combustion</t>
        </is>
      </c>
      <c r="K133" t="inlineStr">
        <is>
          <t>ECCC, NIR</t>
        </is>
      </c>
      <c r="L133" t="inlineStr">
        <is>
          <t>tN2O</t>
        </is>
      </c>
      <c r="M133">
        <f t="array" ref="M133">INDEX([1]Coefficients!$G$180:$BO$199,_xlfn.XMATCH($E133,[1]Coefficients!$B$132:$B$151),_xlfn.XMATCH(M$2,[1]Coefficients!$G$1:$BO$1))</f>
        <v/>
      </c>
      <c r="N133">
        <f t="array" ref="N133">INDEX([1]Coefficients!$G$180:$BO$199,_xlfn.XMATCH($E133,[1]Coefficients!$B$132:$B$151),_xlfn.XMATCH(N$2,[1]Coefficients!$G$1:$BO$1))</f>
        <v/>
      </c>
      <c r="O133">
        <f t="array" ref="O133">INDEX([1]Coefficients!$G$180:$BO$199,_xlfn.XMATCH($E133,[1]Coefficients!$B$132:$B$151),_xlfn.XMATCH(O$2,[1]Coefficients!$G$1:$BO$1))</f>
        <v/>
      </c>
      <c r="P133">
        <f t="array" ref="P133">INDEX([1]Coefficients!$G$180:$BO$199,_xlfn.XMATCH($E133,[1]Coefficients!$B$132:$B$151),_xlfn.XMATCH(P$2,[1]Coefficients!$G$1:$BO$1))</f>
        <v/>
      </c>
      <c r="Q133">
        <f t="array" ref="Q133">INDEX([1]Coefficients!$G$180:$BO$199,_xlfn.XMATCH($E133,[1]Coefficients!$B$132:$B$151),_xlfn.XMATCH(Q$2,[1]Coefficients!$G$1:$BO$1))</f>
        <v/>
      </c>
      <c r="R133">
        <f t="array" ref="R133">INDEX([1]Coefficients!$G$180:$BO$199,_xlfn.XMATCH($E133,[1]Coefficients!$B$132:$B$151),_xlfn.XMATCH(R$2,[1]Coefficients!$G$1:$BO$1))</f>
        <v/>
      </c>
      <c r="S133">
        <f t="array" ref="S133">INDEX([1]Coefficients!$G$180:$BO$199,_xlfn.XMATCH($E133,[1]Coefficients!$B$132:$B$151),_xlfn.XMATCH(S$2,[1]Coefficients!$G$1:$BO$1))</f>
        <v/>
      </c>
      <c r="T133">
        <f t="array" ref="T133">INDEX([1]Coefficients!$G$180:$BO$199,_xlfn.XMATCH($E133,[1]Coefficients!$B$132:$B$151),_xlfn.XMATCH(T$2,[1]Coefficients!$G$1:$BO$1))</f>
        <v/>
      </c>
      <c r="U133">
        <f t="array" ref="U133">INDEX([1]Coefficients!$G$180:$BO$199,_xlfn.XMATCH($E133,[1]Coefficients!$B$132:$B$151),_xlfn.XMATCH(U$2,[1]Coefficients!$G$1:$BO$1))</f>
        <v/>
      </c>
      <c r="V133">
        <f t="array" ref="V133">INDEX([1]Coefficients!$G$180:$BO$199,_xlfn.XMATCH($E133,[1]Coefficients!$B$132:$B$151),_xlfn.XMATCH(V$2,[1]Coefficients!$G$1:$BO$1))</f>
        <v/>
      </c>
      <c r="W133">
        <f t="array" ref="W133">INDEX([1]Coefficients!$G$180:$BO$199,_xlfn.XMATCH($E133,[1]Coefficients!$B$132:$B$151),_xlfn.XMATCH(W$2,[1]Coefficients!$G$1:$BO$1))</f>
        <v/>
      </c>
    </row>
    <row r="134">
      <c r="A134" t="inlineStr">
        <is>
          <t>CIMS.Generic Fuels.Uranium</t>
        </is>
      </c>
      <c r="B134" t="inlineStr">
        <is>
          <t>Service</t>
        </is>
      </c>
      <c r="C134" t="inlineStr">
        <is>
          <t>CIMS</t>
        </is>
      </c>
      <c r="E134" t="inlineStr">
        <is>
          <t>Uranium</t>
        </is>
      </c>
      <c r="G134" t="inlineStr">
        <is>
          <t>Service provided</t>
        </is>
      </c>
      <c r="L134" t="inlineStr">
        <is>
          <t>GJ</t>
        </is>
      </c>
    </row>
    <row r="135">
      <c r="A135" t="inlineStr">
        <is>
          <t>CIMS.Generic Fuels.Uranium</t>
        </is>
      </c>
      <c r="B135" t="inlineStr">
        <is>
          <t>Service</t>
        </is>
      </c>
      <c r="C135" t="inlineStr">
        <is>
          <t>CIMS</t>
        </is>
      </c>
      <c r="E135" t="inlineStr">
        <is>
          <t>Uranium</t>
        </is>
      </c>
      <c r="G135" t="inlineStr">
        <is>
          <t>Competition type</t>
        </is>
      </c>
      <c r="H135" t="inlineStr">
        <is>
          <t>Supply - Fixed Price</t>
        </is>
      </c>
    </row>
    <row r="136">
      <c r="A136" t="inlineStr">
        <is>
          <t>CIMS.Generic Fuels.Uranium</t>
        </is>
      </c>
      <c r="B136" t="inlineStr">
        <is>
          <t>Service</t>
        </is>
      </c>
      <c r="C136" t="inlineStr">
        <is>
          <t>CIMS</t>
        </is>
      </c>
      <c r="E136" t="inlineStr">
        <is>
          <t>Uranium</t>
        </is>
      </c>
      <c r="G136" t="inlineStr">
        <is>
          <t>Is supply</t>
        </is>
      </c>
      <c r="H136" t="b">
        <v>1</v>
      </c>
    </row>
    <row r="137">
      <c r="A137" t="inlineStr">
        <is>
          <t>CIMS.Generic Fuels.Uranium</t>
        </is>
      </c>
      <c r="B137" t="inlineStr">
        <is>
          <t>Service</t>
        </is>
      </c>
      <c r="C137" t="inlineStr">
        <is>
          <t>CIMS</t>
        </is>
      </c>
      <c r="E137" t="inlineStr">
        <is>
          <t>Uranium</t>
        </is>
      </c>
      <c r="G137" t="inlineStr">
        <is>
          <t>LCC_financial</t>
        </is>
      </c>
      <c r="K137" t="inlineStr">
        <is>
          <t>JCIMS</t>
        </is>
      </c>
      <c r="L137" t="inlineStr">
        <is>
          <t>$/GJ</t>
        </is>
      </c>
      <c r="M137">
        <f t="array" ref="M137">INDEX([1]!JCIMS_prices,_xlfn.XMATCH($E137,[1]!JCIMS_prices_index),_xlfn.XMATCH(M$2,[1]!CER_year))*[1]!JCIMS_price_inflator</f>
        <v/>
      </c>
      <c r="N137">
        <f t="array" ref="N137">INDEX([1]!JCIMS_prices,_xlfn.XMATCH($E137,[1]!JCIMS_prices_index),_xlfn.XMATCH(N$2,[1]!CER_year))*[1]!JCIMS_price_inflator</f>
        <v/>
      </c>
      <c r="O137">
        <f t="array" ref="O137">INDEX([1]!JCIMS_prices,_xlfn.XMATCH($E137,[1]!JCIMS_prices_index),_xlfn.XMATCH(O$2,[1]!CER_year))*[1]!JCIMS_price_inflator</f>
        <v/>
      </c>
      <c r="P137">
        <f t="array" ref="P137">INDEX([1]!JCIMS_prices,_xlfn.XMATCH($E137,[1]!JCIMS_prices_index),_xlfn.XMATCH(P$2,[1]!CER_year))*[1]!JCIMS_price_inflator</f>
        <v/>
      </c>
      <c r="Q137">
        <f t="array" ref="Q137">INDEX([1]!JCIMS_prices,_xlfn.XMATCH($E137,[1]!JCIMS_prices_index),_xlfn.XMATCH(Q$2,[1]!CER_year))*[1]!JCIMS_price_inflator</f>
        <v/>
      </c>
      <c r="R137">
        <f t="array" ref="R137">INDEX([1]!JCIMS_prices,_xlfn.XMATCH($E137,[1]!JCIMS_prices_index),_xlfn.XMATCH(R$2,[1]!CER_year))*[1]!JCIMS_price_inflator</f>
        <v/>
      </c>
      <c r="S137">
        <f t="array" ref="S137">INDEX([1]!JCIMS_prices,_xlfn.XMATCH($E137,[1]!JCIMS_prices_index),_xlfn.XMATCH(S$2,[1]!CER_year))*[1]!JCIMS_price_inflator</f>
        <v/>
      </c>
      <c r="T137">
        <f t="array" ref="T137">INDEX([1]!JCIMS_prices,_xlfn.XMATCH($E137,[1]!JCIMS_prices_index),_xlfn.XMATCH(T$2,[1]!CER_year))*[1]!JCIMS_price_inflator</f>
        <v/>
      </c>
      <c r="U137">
        <f t="array" ref="U137">INDEX([1]!JCIMS_prices,_xlfn.XMATCH($E137,[1]!JCIMS_prices_index),_xlfn.XMATCH(U$2,[1]!CER_year))*[1]!JCIMS_price_inflator</f>
        <v/>
      </c>
      <c r="V137">
        <f t="array" ref="V137">INDEX([1]!JCIMS_prices,_xlfn.XMATCH($E137,[1]!JCIMS_prices_index),_xlfn.XMATCH(V$2,[1]!CER_year))*[1]!JCIMS_price_inflator</f>
        <v/>
      </c>
      <c r="W137">
        <f t="array" ref="W137">INDEX([1]!JCIMS_prices,_xlfn.XMATCH($E137,[1]!JCIMS_prices_index),_xlfn.XMATCH(W$2,[1]!CER_year))*[1]!JCIMS_price_inflator</f>
        <v/>
      </c>
      <c r="X137" t="inlineStr">
        <is>
          <t>Cost to electricity generators - ON</t>
        </is>
      </c>
    </row>
    <row r="138">
      <c r="A138" t="inlineStr">
        <is>
          <t>CIMS.Generic Fuels.Uranium</t>
        </is>
      </c>
      <c r="B138" t="inlineStr">
        <is>
          <t>Service</t>
        </is>
      </c>
      <c r="C138" t="inlineStr">
        <is>
          <t>CIMS</t>
        </is>
      </c>
      <c r="E138" t="inlineStr">
        <is>
          <t>Uranium</t>
        </is>
      </c>
      <c r="G138" t="inlineStr">
        <is>
          <t>Emissions</t>
        </is>
      </c>
      <c r="H138" t="inlineStr">
        <is>
          <t>CO2</t>
        </is>
      </c>
      <c r="I138" t="inlineStr">
        <is>
          <t>Combustion</t>
        </is>
      </c>
      <c r="K138" t="inlineStr">
        <is>
          <t>ECCC, NIR</t>
        </is>
      </c>
      <c r="L138" t="inlineStr">
        <is>
          <t>tCO2</t>
        </is>
      </c>
      <c r="M138">
        <f t="array" ref="M138">INDEX([1]Coefficients!$G$132:$BO$151,_xlfn.XMATCH($E138,[1]Coefficients!$B$132:$B$151),_xlfn.XMATCH(M$2,[1]Coefficients!$G$1:$BO$1))</f>
        <v/>
      </c>
      <c r="N138">
        <f t="array" ref="N138">INDEX([1]Coefficients!$G$132:$BO$151,_xlfn.XMATCH($E138,[1]Coefficients!$B$132:$B$151),_xlfn.XMATCH(N$2,[1]Coefficients!$G$1:$BO$1))</f>
        <v/>
      </c>
      <c r="O138">
        <f t="array" ref="O138">INDEX([1]Coefficients!$G$132:$BO$151,_xlfn.XMATCH($E138,[1]Coefficients!$B$132:$B$151),_xlfn.XMATCH(O$2,[1]Coefficients!$G$1:$BO$1))</f>
        <v/>
      </c>
      <c r="P138">
        <f t="array" ref="P138">INDEX([1]Coefficients!$G$132:$BO$151,_xlfn.XMATCH($E138,[1]Coefficients!$B$132:$B$151),_xlfn.XMATCH(P$2,[1]Coefficients!$G$1:$BO$1))</f>
        <v/>
      </c>
      <c r="Q138">
        <f t="array" ref="Q138">INDEX([1]Coefficients!$G$132:$BO$151,_xlfn.XMATCH($E138,[1]Coefficients!$B$132:$B$151),_xlfn.XMATCH(Q$2,[1]Coefficients!$G$1:$BO$1))</f>
        <v/>
      </c>
      <c r="R138">
        <f t="array" ref="R138">INDEX([1]Coefficients!$G$132:$BO$151,_xlfn.XMATCH($E138,[1]Coefficients!$B$132:$B$151),_xlfn.XMATCH(R$2,[1]Coefficients!$G$1:$BO$1))</f>
        <v/>
      </c>
      <c r="S138">
        <f t="array" ref="S138">INDEX([1]Coefficients!$G$132:$BO$151,_xlfn.XMATCH($E138,[1]Coefficients!$B$132:$B$151),_xlfn.XMATCH(S$2,[1]Coefficients!$G$1:$BO$1))</f>
        <v/>
      </c>
      <c r="T138">
        <f t="array" ref="T138">INDEX([1]Coefficients!$G$132:$BO$151,_xlfn.XMATCH($E138,[1]Coefficients!$B$132:$B$151),_xlfn.XMATCH(T$2,[1]Coefficients!$G$1:$BO$1))</f>
        <v/>
      </c>
      <c r="U138">
        <f t="array" ref="U138">INDEX([1]Coefficients!$G$132:$BO$151,_xlfn.XMATCH($E138,[1]Coefficients!$B$132:$B$151),_xlfn.XMATCH(U$2,[1]Coefficients!$G$1:$BO$1))</f>
        <v/>
      </c>
      <c r="V138">
        <f t="array" ref="V138">INDEX([1]Coefficients!$G$132:$BO$151,_xlfn.XMATCH($E138,[1]Coefficients!$B$132:$B$151),_xlfn.XMATCH(V$2,[1]Coefficients!$G$1:$BO$1))</f>
        <v/>
      </c>
      <c r="W138">
        <f t="array" ref="W138">INDEX([1]Coefficients!$G$132:$BO$151,_xlfn.XMATCH($E138,[1]Coefficients!$B$132:$B$151),_xlfn.XMATCH(W$2,[1]Coefficients!$G$1:$BO$1))</f>
        <v/>
      </c>
    </row>
    <row r="139">
      <c r="A139" t="inlineStr">
        <is>
          <t>CIMS.Generic Fuels.Uranium</t>
        </is>
      </c>
      <c r="B139" t="inlineStr">
        <is>
          <t>Service</t>
        </is>
      </c>
      <c r="C139" t="inlineStr">
        <is>
          <t>CIMS</t>
        </is>
      </c>
      <c r="E139" t="inlineStr">
        <is>
          <t>Uranium</t>
        </is>
      </c>
      <c r="G139" t="inlineStr">
        <is>
          <t>Emissions</t>
        </is>
      </c>
      <c r="H139" t="inlineStr">
        <is>
          <t>CH4</t>
        </is>
      </c>
      <c r="I139" t="inlineStr">
        <is>
          <t>Combustion</t>
        </is>
      </c>
      <c r="K139" t="inlineStr">
        <is>
          <t>ECCC, NIR</t>
        </is>
      </c>
      <c r="L139" t="inlineStr">
        <is>
          <t>tCH4</t>
        </is>
      </c>
      <c r="M139">
        <f t="array" ref="M139">INDEX([1]Coefficients!$G$156:$BO$175,_xlfn.XMATCH($E139,[1]Coefficients!$B$132:$B$151),_xlfn.XMATCH(M$2,[1]Coefficients!$G$1:$BO$1))</f>
        <v/>
      </c>
      <c r="N139">
        <f t="array" ref="N139">INDEX([1]Coefficients!$G$156:$BO$175,_xlfn.XMATCH($E139,[1]Coefficients!$B$132:$B$151),_xlfn.XMATCH(N$2,[1]Coefficients!$G$1:$BO$1))</f>
        <v/>
      </c>
      <c r="O139">
        <f t="array" ref="O139">INDEX([1]Coefficients!$G$156:$BO$175,_xlfn.XMATCH($E139,[1]Coefficients!$B$132:$B$151),_xlfn.XMATCH(O$2,[1]Coefficients!$G$1:$BO$1))</f>
        <v/>
      </c>
      <c r="P139">
        <f t="array" ref="P139">INDEX([1]Coefficients!$G$156:$BO$175,_xlfn.XMATCH($E139,[1]Coefficients!$B$132:$B$151),_xlfn.XMATCH(P$2,[1]Coefficients!$G$1:$BO$1))</f>
        <v/>
      </c>
      <c r="Q139">
        <f t="array" ref="Q139">INDEX([1]Coefficients!$G$156:$BO$175,_xlfn.XMATCH($E139,[1]Coefficients!$B$132:$B$151),_xlfn.XMATCH(Q$2,[1]Coefficients!$G$1:$BO$1))</f>
        <v/>
      </c>
      <c r="R139">
        <f t="array" ref="R139">INDEX([1]Coefficients!$G$156:$BO$175,_xlfn.XMATCH($E139,[1]Coefficients!$B$132:$B$151),_xlfn.XMATCH(R$2,[1]Coefficients!$G$1:$BO$1))</f>
        <v/>
      </c>
      <c r="S139">
        <f t="array" ref="S139">INDEX([1]Coefficients!$G$156:$BO$175,_xlfn.XMATCH($E139,[1]Coefficients!$B$132:$B$151),_xlfn.XMATCH(S$2,[1]Coefficients!$G$1:$BO$1))</f>
        <v/>
      </c>
      <c r="T139">
        <f t="array" ref="T139">INDEX([1]Coefficients!$G$156:$BO$175,_xlfn.XMATCH($E139,[1]Coefficients!$B$132:$B$151),_xlfn.XMATCH(T$2,[1]Coefficients!$G$1:$BO$1))</f>
        <v/>
      </c>
      <c r="U139">
        <f t="array" ref="U139">INDEX([1]Coefficients!$G$156:$BO$175,_xlfn.XMATCH($E139,[1]Coefficients!$B$132:$B$151),_xlfn.XMATCH(U$2,[1]Coefficients!$G$1:$BO$1))</f>
        <v/>
      </c>
      <c r="V139">
        <f t="array" ref="V139">INDEX([1]Coefficients!$G$156:$BO$175,_xlfn.XMATCH($E139,[1]Coefficients!$B$132:$B$151),_xlfn.XMATCH(V$2,[1]Coefficients!$G$1:$BO$1))</f>
        <v/>
      </c>
      <c r="W139">
        <f t="array" ref="W139">INDEX([1]Coefficients!$G$156:$BO$175,_xlfn.XMATCH($E139,[1]Coefficients!$B$132:$B$151),_xlfn.XMATCH(W$2,[1]Coefficients!$G$1:$BO$1))</f>
        <v/>
      </c>
    </row>
    <row r="140">
      <c r="A140" t="inlineStr">
        <is>
          <t>CIMS.Generic Fuels.Uranium</t>
        </is>
      </c>
      <c r="B140" t="inlineStr">
        <is>
          <t>Service</t>
        </is>
      </c>
      <c r="C140" t="inlineStr">
        <is>
          <t>CIMS</t>
        </is>
      </c>
      <c r="E140" t="inlineStr">
        <is>
          <t>Uranium</t>
        </is>
      </c>
      <c r="G140" t="inlineStr">
        <is>
          <t>Emissions</t>
        </is>
      </c>
      <c r="H140" t="inlineStr">
        <is>
          <t>N2O</t>
        </is>
      </c>
      <c r="I140" t="inlineStr">
        <is>
          <t>Combustion</t>
        </is>
      </c>
      <c r="K140" t="inlineStr">
        <is>
          <t>ECCC, NIR</t>
        </is>
      </c>
      <c r="L140" t="inlineStr">
        <is>
          <t>tN2O</t>
        </is>
      </c>
      <c r="M140">
        <f t="array" ref="M140">INDEX([1]Coefficients!$G$180:$BO$199,_xlfn.XMATCH($E140,[1]Coefficients!$B$132:$B$151),_xlfn.XMATCH(M$2,[1]Coefficients!$G$1:$BO$1))</f>
        <v/>
      </c>
      <c r="N140">
        <f t="array" ref="N140">INDEX([1]Coefficients!$G$180:$BO$199,_xlfn.XMATCH($E140,[1]Coefficients!$B$132:$B$151),_xlfn.XMATCH(N$2,[1]Coefficients!$G$1:$BO$1))</f>
        <v/>
      </c>
      <c r="O140">
        <f t="array" ref="O140">INDEX([1]Coefficients!$G$180:$BO$199,_xlfn.XMATCH($E140,[1]Coefficients!$B$132:$B$151),_xlfn.XMATCH(O$2,[1]Coefficients!$G$1:$BO$1))</f>
        <v/>
      </c>
      <c r="P140">
        <f t="array" ref="P140">INDEX([1]Coefficients!$G$180:$BO$199,_xlfn.XMATCH($E140,[1]Coefficients!$B$132:$B$151),_xlfn.XMATCH(P$2,[1]Coefficients!$G$1:$BO$1))</f>
        <v/>
      </c>
      <c r="Q140">
        <f t="array" ref="Q140">INDEX([1]Coefficients!$G$180:$BO$199,_xlfn.XMATCH($E140,[1]Coefficients!$B$132:$B$151),_xlfn.XMATCH(Q$2,[1]Coefficients!$G$1:$BO$1))</f>
        <v/>
      </c>
      <c r="R140">
        <f t="array" ref="R140">INDEX([1]Coefficients!$G$180:$BO$199,_xlfn.XMATCH($E140,[1]Coefficients!$B$132:$B$151),_xlfn.XMATCH(R$2,[1]Coefficients!$G$1:$BO$1))</f>
        <v/>
      </c>
      <c r="S140">
        <f t="array" ref="S140">INDEX([1]Coefficients!$G$180:$BO$199,_xlfn.XMATCH($E140,[1]Coefficients!$B$132:$B$151),_xlfn.XMATCH(S$2,[1]Coefficients!$G$1:$BO$1))</f>
        <v/>
      </c>
      <c r="T140">
        <f t="array" ref="T140">INDEX([1]Coefficients!$G$180:$BO$199,_xlfn.XMATCH($E140,[1]Coefficients!$B$132:$B$151),_xlfn.XMATCH(T$2,[1]Coefficients!$G$1:$BO$1))</f>
        <v/>
      </c>
      <c r="U140">
        <f t="array" ref="U140">INDEX([1]Coefficients!$G$180:$BO$199,_xlfn.XMATCH($E140,[1]Coefficients!$B$132:$B$151),_xlfn.XMATCH(U$2,[1]Coefficients!$G$1:$BO$1))</f>
        <v/>
      </c>
      <c r="V140">
        <f t="array" ref="V140">INDEX([1]Coefficients!$G$180:$BO$199,_xlfn.XMATCH($E140,[1]Coefficients!$B$132:$B$151),_xlfn.XMATCH(V$2,[1]Coefficients!$G$1:$BO$1))</f>
        <v/>
      </c>
      <c r="W140">
        <f t="array" ref="W140">INDEX([1]Coefficients!$G$180:$BO$199,_xlfn.XMATCH($E140,[1]Coefficients!$B$132:$B$151),_xlfn.XMATCH(W$2,[1]Coefficients!$G$1:$BO$1))</f>
        <v/>
      </c>
    </row>
    <row r="141">
      <c r="A141" t="inlineStr">
        <is>
          <t>CIMS.Generic Fuels.Waste Fuel</t>
        </is>
      </c>
      <c r="B141" t="inlineStr">
        <is>
          <t>Service</t>
        </is>
      </c>
      <c r="C141" t="inlineStr">
        <is>
          <t>CIMS</t>
        </is>
      </c>
      <c r="E141" t="inlineStr">
        <is>
          <t>Waste Fuel</t>
        </is>
      </c>
      <c r="G141" t="inlineStr">
        <is>
          <t>Service provided</t>
        </is>
      </c>
      <c r="L141" t="inlineStr">
        <is>
          <t>GJ</t>
        </is>
      </c>
    </row>
    <row r="142">
      <c r="A142" t="inlineStr">
        <is>
          <t>CIMS.Generic Fuels.Waste Fuel</t>
        </is>
      </c>
      <c r="B142" t="inlineStr">
        <is>
          <t>Service</t>
        </is>
      </c>
      <c r="C142" t="inlineStr">
        <is>
          <t>CIMS</t>
        </is>
      </c>
      <c r="E142" t="inlineStr">
        <is>
          <t>Waste Fuel</t>
        </is>
      </c>
      <c r="G142" t="inlineStr">
        <is>
          <t>Competition type</t>
        </is>
      </c>
      <c r="H142" t="inlineStr">
        <is>
          <t>Supply - Fixed Price</t>
        </is>
      </c>
    </row>
    <row r="143">
      <c r="A143" t="inlineStr">
        <is>
          <t>CIMS.Generic Fuels.Waste Fuel</t>
        </is>
      </c>
      <c r="B143" t="inlineStr">
        <is>
          <t>Service</t>
        </is>
      </c>
      <c r="C143" t="inlineStr">
        <is>
          <t>CIMS</t>
        </is>
      </c>
      <c r="E143" t="inlineStr">
        <is>
          <t>Waste Fuel</t>
        </is>
      </c>
      <c r="G143" t="inlineStr">
        <is>
          <t>Is supply</t>
        </is>
      </c>
      <c r="H143" t="b">
        <v>1</v>
      </c>
    </row>
    <row r="144">
      <c r="A144" t="inlineStr">
        <is>
          <t>CIMS.Generic Fuels.Waste Fuel</t>
        </is>
      </c>
      <c r="B144" t="inlineStr">
        <is>
          <t>Service</t>
        </is>
      </c>
      <c r="C144" t="inlineStr">
        <is>
          <t>CIMS</t>
        </is>
      </c>
      <c r="E144" t="inlineStr">
        <is>
          <t>Waste Fuel</t>
        </is>
      </c>
      <c r="G144" t="inlineStr">
        <is>
          <t>LCC_financial</t>
        </is>
      </c>
      <c r="K144" t="inlineStr">
        <is>
          <t>JCIMS</t>
        </is>
      </c>
      <c r="L144" t="inlineStr">
        <is>
          <t>$/GJ</t>
        </is>
      </c>
      <c r="M144">
        <f t="array" ref="M144">INDEX([1]!JCIMS_prices,_xlfn.XMATCH($E144,[1]!JCIMS_prices_index),_xlfn.XMATCH(M$2,[1]!CER_year))*[1]!JCIMS_price_inflator</f>
        <v/>
      </c>
      <c r="N144">
        <f t="array" ref="N144">INDEX([1]!JCIMS_prices,_xlfn.XMATCH($E144,[1]!JCIMS_prices_index),_xlfn.XMATCH(N$2,[1]!CER_year))*[1]!JCIMS_price_inflator</f>
        <v/>
      </c>
      <c r="O144">
        <f t="array" ref="O144">INDEX([1]!JCIMS_prices,_xlfn.XMATCH($E144,[1]!JCIMS_prices_index),_xlfn.XMATCH(O$2,[1]!CER_year))*[1]!JCIMS_price_inflator</f>
        <v/>
      </c>
      <c r="P144">
        <f t="array" ref="P144">INDEX([1]!JCIMS_prices,_xlfn.XMATCH($E144,[1]!JCIMS_prices_index),_xlfn.XMATCH(P$2,[1]!CER_year))*[1]!JCIMS_price_inflator</f>
        <v/>
      </c>
      <c r="Q144">
        <f t="array" ref="Q144">INDEX([1]!JCIMS_prices,_xlfn.XMATCH($E144,[1]!JCIMS_prices_index),_xlfn.XMATCH(Q$2,[1]!CER_year))*[1]!JCIMS_price_inflator</f>
        <v/>
      </c>
      <c r="R144">
        <f t="array" ref="R144">INDEX([1]!JCIMS_prices,_xlfn.XMATCH($E144,[1]!JCIMS_prices_index),_xlfn.XMATCH(R$2,[1]!CER_year))*[1]!JCIMS_price_inflator</f>
        <v/>
      </c>
      <c r="S144">
        <f t="array" ref="S144">INDEX([1]!JCIMS_prices,_xlfn.XMATCH($E144,[1]!JCIMS_prices_index),_xlfn.XMATCH(S$2,[1]!CER_year))*[1]!JCIMS_price_inflator</f>
        <v/>
      </c>
      <c r="T144">
        <f t="array" ref="T144">INDEX([1]!JCIMS_prices,_xlfn.XMATCH($E144,[1]!JCIMS_prices_index),_xlfn.XMATCH(T$2,[1]!CER_year))*[1]!JCIMS_price_inflator</f>
        <v/>
      </c>
      <c r="U144">
        <f t="array" ref="U144">INDEX([1]!JCIMS_prices,_xlfn.XMATCH($E144,[1]!JCIMS_prices_index),_xlfn.XMATCH(U$2,[1]!CER_year))*[1]!JCIMS_price_inflator</f>
        <v/>
      </c>
      <c r="V144">
        <f t="array" ref="V144">INDEX([1]!JCIMS_prices,_xlfn.XMATCH($E144,[1]!JCIMS_prices_index),_xlfn.XMATCH(V$2,[1]!CER_year))*[1]!JCIMS_price_inflator</f>
        <v/>
      </c>
      <c r="W144">
        <f t="array" ref="W144">INDEX([1]!JCIMS_prices,_xlfn.XMATCH($E144,[1]!JCIMS_prices_index),_xlfn.XMATCH(W$2,[1]!CER_year))*[1]!JCIMS_price_inflator</f>
        <v/>
      </c>
      <c r="X144" t="inlineStr">
        <is>
          <t>Cost in industrial minerals - BC</t>
        </is>
      </c>
    </row>
    <row r="145">
      <c r="A145" t="inlineStr">
        <is>
          <t>CIMS.Generic Fuels.Waste Fuel</t>
        </is>
      </c>
      <c r="B145" t="inlineStr">
        <is>
          <t>Service</t>
        </is>
      </c>
      <c r="C145" t="inlineStr">
        <is>
          <t>CIMS</t>
        </is>
      </c>
      <c r="E145" t="inlineStr">
        <is>
          <t>Waste Fuel</t>
        </is>
      </c>
      <c r="G145" t="inlineStr">
        <is>
          <t>Emissions</t>
        </is>
      </c>
      <c r="H145" t="inlineStr">
        <is>
          <t>CO2</t>
        </is>
      </c>
      <c r="I145" t="inlineStr">
        <is>
          <t>Combustion</t>
        </is>
      </c>
      <c r="K145" t="inlineStr">
        <is>
          <t>ECCC, NIR</t>
        </is>
      </c>
      <c r="L145" t="inlineStr">
        <is>
          <t>tCO2</t>
        </is>
      </c>
      <c r="M145">
        <f t="array" ref="M145">INDEX([1]Coefficients!$G$132:$BO$151,_xlfn.XMATCH($E145,[1]Coefficients!$B$132:$B$151),_xlfn.XMATCH(M$2,[1]Coefficients!$G$1:$BO$1))</f>
        <v/>
      </c>
      <c r="N145">
        <f t="array" ref="N145">INDEX([1]Coefficients!$G$132:$BO$151,_xlfn.XMATCH($E145,[1]Coefficients!$B$132:$B$151),_xlfn.XMATCH(N$2,[1]Coefficients!$G$1:$BO$1))</f>
        <v/>
      </c>
      <c r="O145">
        <f t="array" ref="O145">INDEX([1]Coefficients!$G$132:$BO$151,_xlfn.XMATCH($E145,[1]Coefficients!$B$132:$B$151),_xlfn.XMATCH(O$2,[1]Coefficients!$G$1:$BO$1))</f>
        <v/>
      </c>
      <c r="P145">
        <f t="array" ref="P145">INDEX([1]Coefficients!$G$132:$BO$151,_xlfn.XMATCH($E145,[1]Coefficients!$B$132:$B$151),_xlfn.XMATCH(P$2,[1]Coefficients!$G$1:$BO$1))</f>
        <v/>
      </c>
      <c r="Q145">
        <f t="array" ref="Q145">INDEX([1]Coefficients!$G$132:$BO$151,_xlfn.XMATCH($E145,[1]Coefficients!$B$132:$B$151),_xlfn.XMATCH(Q$2,[1]Coefficients!$G$1:$BO$1))</f>
        <v/>
      </c>
      <c r="R145">
        <f t="array" ref="R145">INDEX([1]Coefficients!$G$132:$BO$151,_xlfn.XMATCH($E145,[1]Coefficients!$B$132:$B$151),_xlfn.XMATCH(R$2,[1]Coefficients!$G$1:$BO$1))</f>
        <v/>
      </c>
      <c r="S145">
        <f t="array" ref="S145">INDEX([1]Coefficients!$G$132:$BO$151,_xlfn.XMATCH($E145,[1]Coefficients!$B$132:$B$151),_xlfn.XMATCH(S$2,[1]Coefficients!$G$1:$BO$1))</f>
        <v/>
      </c>
      <c r="T145">
        <f t="array" ref="T145">INDEX([1]Coefficients!$G$132:$BO$151,_xlfn.XMATCH($E145,[1]Coefficients!$B$132:$B$151),_xlfn.XMATCH(T$2,[1]Coefficients!$G$1:$BO$1))</f>
        <v/>
      </c>
      <c r="U145">
        <f t="array" ref="U145">INDEX([1]Coefficients!$G$132:$BO$151,_xlfn.XMATCH($E145,[1]Coefficients!$B$132:$B$151),_xlfn.XMATCH(U$2,[1]Coefficients!$G$1:$BO$1))</f>
        <v/>
      </c>
      <c r="V145">
        <f t="array" ref="V145">INDEX([1]Coefficients!$G$132:$BO$151,_xlfn.XMATCH($E145,[1]Coefficients!$B$132:$B$151),_xlfn.XMATCH(V$2,[1]Coefficients!$G$1:$BO$1))</f>
        <v/>
      </c>
      <c r="W145">
        <f t="array" ref="W145">INDEX([1]Coefficients!$G$132:$BO$151,_xlfn.XMATCH($E145,[1]Coefficients!$B$132:$B$151),_xlfn.XMATCH(W$2,[1]Coefficients!$G$1:$BO$1))</f>
        <v/>
      </c>
    </row>
    <row r="146">
      <c r="A146" t="inlineStr">
        <is>
          <t>CIMS.Generic Fuels.Waste Fuel</t>
        </is>
      </c>
      <c r="B146" t="inlineStr">
        <is>
          <t>Service</t>
        </is>
      </c>
      <c r="C146" t="inlineStr">
        <is>
          <t>CIMS</t>
        </is>
      </c>
      <c r="E146" t="inlineStr">
        <is>
          <t>Waste Fuel</t>
        </is>
      </c>
      <c r="G146" t="inlineStr">
        <is>
          <t>Emissions</t>
        </is>
      </c>
      <c r="H146" t="inlineStr">
        <is>
          <t>CH4</t>
        </is>
      </c>
      <c r="I146" t="inlineStr">
        <is>
          <t>Combustion</t>
        </is>
      </c>
      <c r="K146" t="inlineStr">
        <is>
          <t>ECCC, NIR</t>
        </is>
      </c>
      <c r="L146" t="inlineStr">
        <is>
          <t>tCH4</t>
        </is>
      </c>
      <c r="M146">
        <f t="array" ref="M146">INDEX([1]Coefficients!$G$156:$BO$175,_xlfn.XMATCH($E146,[1]Coefficients!$B$132:$B$151),_xlfn.XMATCH(M$2,[1]Coefficients!$G$1:$BO$1))</f>
        <v/>
      </c>
      <c r="N146">
        <f t="array" ref="N146">INDEX([1]Coefficients!$G$156:$BO$175,_xlfn.XMATCH($E146,[1]Coefficients!$B$132:$B$151),_xlfn.XMATCH(N$2,[1]Coefficients!$G$1:$BO$1))</f>
        <v/>
      </c>
      <c r="O146">
        <f t="array" ref="O146">INDEX([1]Coefficients!$G$156:$BO$175,_xlfn.XMATCH($E146,[1]Coefficients!$B$132:$B$151),_xlfn.XMATCH(O$2,[1]Coefficients!$G$1:$BO$1))</f>
        <v/>
      </c>
      <c r="P146">
        <f t="array" ref="P146">INDEX([1]Coefficients!$G$156:$BO$175,_xlfn.XMATCH($E146,[1]Coefficients!$B$132:$B$151),_xlfn.XMATCH(P$2,[1]Coefficients!$G$1:$BO$1))</f>
        <v/>
      </c>
      <c r="Q146">
        <f t="array" ref="Q146">INDEX([1]Coefficients!$G$156:$BO$175,_xlfn.XMATCH($E146,[1]Coefficients!$B$132:$B$151),_xlfn.XMATCH(Q$2,[1]Coefficients!$G$1:$BO$1))</f>
        <v/>
      </c>
      <c r="R146">
        <f t="array" ref="R146">INDEX([1]Coefficients!$G$156:$BO$175,_xlfn.XMATCH($E146,[1]Coefficients!$B$132:$B$151),_xlfn.XMATCH(R$2,[1]Coefficients!$G$1:$BO$1))</f>
        <v/>
      </c>
      <c r="S146">
        <f t="array" ref="S146">INDEX([1]Coefficients!$G$156:$BO$175,_xlfn.XMATCH($E146,[1]Coefficients!$B$132:$B$151),_xlfn.XMATCH(S$2,[1]Coefficients!$G$1:$BO$1))</f>
        <v/>
      </c>
      <c r="T146">
        <f t="array" ref="T146">INDEX([1]Coefficients!$G$156:$BO$175,_xlfn.XMATCH($E146,[1]Coefficients!$B$132:$B$151),_xlfn.XMATCH(T$2,[1]Coefficients!$G$1:$BO$1))</f>
        <v/>
      </c>
      <c r="U146">
        <f t="array" ref="U146">INDEX([1]Coefficients!$G$156:$BO$175,_xlfn.XMATCH($E146,[1]Coefficients!$B$132:$B$151),_xlfn.XMATCH(U$2,[1]Coefficients!$G$1:$BO$1))</f>
        <v/>
      </c>
      <c r="V146">
        <f t="array" ref="V146">INDEX([1]Coefficients!$G$156:$BO$175,_xlfn.XMATCH($E146,[1]Coefficients!$B$132:$B$151),_xlfn.XMATCH(V$2,[1]Coefficients!$G$1:$BO$1))</f>
        <v/>
      </c>
      <c r="W146">
        <f t="array" ref="W146">INDEX([1]Coefficients!$G$156:$BO$175,_xlfn.XMATCH($E146,[1]Coefficients!$B$132:$B$151),_xlfn.XMATCH(W$2,[1]Coefficients!$G$1:$BO$1))</f>
        <v/>
      </c>
    </row>
    <row r="147">
      <c r="A147" t="inlineStr">
        <is>
          <t>CIMS.Generic Fuels.Waste Fuel</t>
        </is>
      </c>
      <c r="B147" t="inlineStr">
        <is>
          <t>Service</t>
        </is>
      </c>
      <c r="C147" t="inlineStr">
        <is>
          <t>CIMS</t>
        </is>
      </c>
      <c r="E147" t="inlineStr">
        <is>
          <t>Waste Fuel</t>
        </is>
      </c>
      <c r="G147" t="inlineStr">
        <is>
          <t>Emissions</t>
        </is>
      </c>
      <c r="H147" t="inlineStr">
        <is>
          <t>N2O</t>
        </is>
      </c>
      <c r="I147" t="inlineStr">
        <is>
          <t>Combustion</t>
        </is>
      </c>
      <c r="K147" t="inlineStr">
        <is>
          <t>ECCC, NIR</t>
        </is>
      </c>
      <c r="L147" t="inlineStr">
        <is>
          <t>tN2O</t>
        </is>
      </c>
      <c r="M147">
        <f t="array" ref="M147">INDEX([1]Coefficients!$G$180:$BO$199,_xlfn.XMATCH($E147,[1]Coefficients!$B$132:$B$151),_xlfn.XMATCH(M$2,[1]Coefficients!$G$1:$BO$1))</f>
        <v/>
      </c>
      <c r="N147">
        <f t="array" ref="N147">INDEX([1]Coefficients!$G$180:$BO$199,_xlfn.XMATCH($E147,[1]Coefficients!$B$132:$B$151),_xlfn.XMATCH(N$2,[1]Coefficients!$G$1:$BO$1))</f>
        <v/>
      </c>
      <c r="O147">
        <f t="array" ref="O147">INDEX([1]Coefficients!$G$180:$BO$199,_xlfn.XMATCH($E147,[1]Coefficients!$B$132:$B$151),_xlfn.XMATCH(O$2,[1]Coefficients!$G$1:$BO$1))</f>
        <v/>
      </c>
      <c r="P147">
        <f t="array" ref="P147">INDEX([1]Coefficients!$G$180:$BO$199,_xlfn.XMATCH($E147,[1]Coefficients!$B$132:$B$151),_xlfn.XMATCH(P$2,[1]Coefficients!$G$1:$BO$1))</f>
        <v/>
      </c>
      <c r="Q147">
        <f t="array" ref="Q147">INDEX([1]Coefficients!$G$180:$BO$199,_xlfn.XMATCH($E147,[1]Coefficients!$B$132:$B$151),_xlfn.XMATCH(Q$2,[1]Coefficients!$G$1:$BO$1))</f>
        <v/>
      </c>
      <c r="R147">
        <f t="array" ref="R147">INDEX([1]Coefficients!$G$180:$BO$199,_xlfn.XMATCH($E147,[1]Coefficients!$B$132:$B$151),_xlfn.XMATCH(R$2,[1]Coefficients!$G$1:$BO$1))</f>
        <v/>
      </c>
      <c r="S147">
        <f t="array" ref="S147">INDEX([1]Coefficients!$G$180:$BO$199,_xlfn.XMATCH($E147,[1]Coefficients!$B$132:$B$151),_xlfn.XMATCH(S$2,[1]Coefficients!$G$1:$BO$1))</f>
        <v/>
      </c>
      <c r="T147">
        <f t="array" ref="T147">INDEX([1]Coefficients!$G$180:$BO$199,_xlfn.XMATCH($E147,[1]Coefficients!$B$132:$B$151),_xlfn.XMATCH(T$2,[1]Coefficients!$G$1:$BO$1))</f>
        <v/>
      </c>
      <c r="U147">
        <f t="array" ref="U147">INDEX([1]Coefficients!$G$180:$BO$199,_xlfn.XMATCH($E147,[1]Coefficients!$B$132:$B$151),_xlfn.XMATCH(U$2,[1]Coefficients!$G$1:$BO$1))</f>
        <v/>
      </c>
      <c r="V147">
        <f t="array" ref="V147">INDEX([1]Coefficients!$G$180:$BO$199,_xlfn.XMATCH($E147,[1]Coefficients!$B$132:$B$151),_xlfn.XMATCH(V$2,[1]Coefficients!$G$1:$BO$1))</f>
        <v/>
      </c>
      <c r="W147">
        <f t="array" ref="W147">INDEX([1]Coefficients!$G$180:$BO$199,_xlfn.XMATCH($E147,[1]Coefficients!$B$132:$B$151),_xlfn.XMATCH(W$2,[1]Coefficients!$G$1:$BO$1))</f>
        <v/>
      </c>
    </row>
    <row r="148">
      <c r="A148" t="inlineStr">
        <is>
          <t>CIMS.Generic Fuels.VOM</t>
        </is>
      </c>
      <c r="B148" t="inlineStr">
        <is>
          <t>Service</t>
        </is>
      </c>
      <c r="C148" t="inlineStr">
        <is>
          <t>CIMS</t>
        </is>
      </c>
      <c r="E148" t="inlineStr">
        <is>
          <t>VOM</t>
        </is>
      </c>
      <c r="G148" t="inlineStr">
        <is>
          <t>Service provided</t>
        </is>
      </c>
      <c r="L148" t="inlineStr">
        <is>
          <t>GJ</t>
        </is>
      </c>
    </row>
    <row r="149">
      <c r="A149" t="inlineStr">
        <is>
          <t>CIMS.Generic Fuels.VOM</t>
        </is>
      </c>
      <c r="B149" t="inlineStr">
        <is>
          <t>Service</t>
        </is>
      </c>
      <c r="C149" t="inlineStr">
        <is>
          <t>CIMS</t>
        </is>
      </c>
      <c r="E149" t="inlineStr">
        <is>
          <t>VOM</t>
        </is>
      </c>
      <c r="G149" t="inlineStr">
        <is>
          <t>Competition type</t>
        </is>
      </c>
      <c r="H149" t="inlineStr">
        <is>
          <t>Supply - Fixed Price</t>
        </is>
      </c>
    </row>
    <row r="150">
      <c r="A150" t="inlineStr">
        <is>
          <t>CIMS.Generic Fuels.VOM</t>
        </is>
      </c>
      <c r="B150" t="inlineStr">
        <is>
          <t>Service</t>
        </is>
      </c>
      <c r="C150" t="inlineStr">
        <is>
          <t>CIMS</t>
        </is>
      </c>
      <c r="E150" t="inlineStr">
        <is>
          <t>VOM</t>
        </is>
      </c>
      <c r="G150" t="inlineStr">
        <is>
          <t>LCC_financial</t>
        </is>
      </c>
      <c r="K150" t="inlineStr">
        <is>
          <t>n/a</t>
        </is>
      </c>
      <c r="L150" t="inlineStr">
        <is>
          <t>$/GJ</t>
        </is>
      </c>
      <c r="M150" t="n">
        <v>1</v>
      </c>
      <c r="N150" t="n">
        <v>1</v>
      </c>
      <c r="O150" t="n">
        <v>1</v>
      </c>
      <c r="P150" t="n">
        <v>1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t="n">
        <v>1</v>
      </c>
      <c r="W150" t="n">
        <v>1</v>
      </c>
      <c r="X150" t="inlineStr">
        <is>
          <t>Variable operating and maintenance cost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2025-07-02T23:37:04Z</dcterms:created>
  <dcterms:modified xsi:type="dcterms:W3CDTF">2025-08-02T00:03:30Z</dcterms:modified>
  <cp:lastModifiedBy>Bradford Griffin</cp:lastModifiedBy>
</cp:coreProperties>
</file>