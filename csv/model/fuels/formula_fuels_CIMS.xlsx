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624" yWindow="2148" windowWidth="17280" windowHeight="888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/>
  <calcPr calcId="191029" fullCalcOnLoad="1" calcOnSave="0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sources/macro/macro inputs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Control"/>
      <sheetName val="Macro"/>
      <sheetName val="Prices"/>
      <sheetName val="Carbon_tax"/>
      <sheetName val="Demand"/>
      <sheetName val="Elec markups"/>
      <sheetName val="CER"/>
      <sheetName val="Conversions"/>
      <sheetName val="Coefficients"/>
      <sheetName val="macro inputs"/>
    </sheetNames>
    <definedNames>
      <definedName name="CER_prices" refersTo="='Prices'!$K$26:$U$210"/>
      <definedName name="CER_prices_index" refersTo="='Prices'!$CJ$26:$CJ$210"/>
      <definedName name="CER_prod_cost" refersTo="='Prices'!$K$11:$U$23"/>
      <definedName name="CER_prod_cost_index" refersTo="='Prices'!$CJ$11:$CJ$23"/>
      <definedName name="CER_year" refersTo="='Prices'!$K$2:$U$2"/>
      <definedName name="JCIMS_price_inflator" refersTo="='Prices'!$K$809"/>
      <definedName name="JCIMS_prices" refersTo="='Prices'!$K$795:$U$807"/>
      <definedName name="JCIMS_prices_index" refersTo="='Prices'!$E$795:$E$807"/>
    </definedNames>
    <sheetDataSet>
      <sheetData sheetId="0"/>
      <sheetData sheetId="1"/>
      <sheetData sheetId="2">
        <row r="2">
          <cell r="K2">
            <v>2000</v>
          </cell>
          <cell r="L2">
            <v>2005</v>
          </cell>
          <cell r="M2">
            <v>2010</v>
          </cell>
          <cell r="N2">
            <v>2015</v>
          </cell>
          <cell r="O2">
            <v>2020</v>
          </cell>
          <cell r="P2">
            <v>2025</v>
          </cell>
          <cell r="Q2">
            <v>2030</v>
          </cell>
          <cell r="R2">
            <v>2035</v>
          </cell>
          <cell r="S2">
            <v>2040</v>
          </cell>
          <cell r="T2">
            <v>2045</v>
          </cell>
          <cell r="U2">
            <v>2050</v>
          </cell>
        </row>
        <row r="11">
          <cell r="K11">
            <v>14.311056498313594</v>
          </cell>
          <cell r="L11">
            <v>14.311058874991911</v>
          </cell>
          <cell r="M11">
            <v>18.694133190132003</v>
          </cell>
          <cell r="N11">
            <v>11.21620037411093</v>
          </cell>
          <cell r="O11">
            <v>13.423701887148971</v>
          </cell>
          <cell r="P11">
            <v>14.010283766575347</v>
          </cell>
          <cell r="Q11">
            <v>13.272900410439801</v>
          </cell>
          <cell r="R11">
            <v>13.272900410439801</v>
          </cell>
          <cell r="S11">
            <v>13.272900410439801</v>
          </cell>
          <cell r="T11">
            <v>13.272900410439801</v>
          </cell>
          <cell r="U11">
            <v>13.272900410439801</v>
          </cell>
        </row>
        <row r="12">
          <cell r="K12">
            <v>14.843025717835181</v>
          </cell>
          <cell r="L12">
            <v>14.843028182859156</v>
          </cell>
          <cell r="M12">
            <v>18.664247274966481</v>
          </cell>
          <cell r="N12">
            <v>10.433724621712123</v>
          </cell>
          <cell r="O12">
            <v>12.916218165078719</v>
          </cell>
          <cell r="P12">
            <v>13.56785375289402</v>
          </cell>
          <cell r="Q12">
            <v>12.830470396758475</v>
          </cell>
          <cell r="R12">
            <v>12.830470396758475</v>
          </cell>
          <cell r="S12">
            <v>12.830470396758475</v>
          </cell>
          <cell r="T12">
            <v>12.830470396758475</v>
          </cell>
          <cell r="U12">
            <v>12.830470396758475</v>
          </cell>
        </row>
        <row r="13">
          <cell r="K13">
            <v>9.6149836503272237</v>
          </cell>
          <cell r="L13">
            <v>9.6149852471152126</v>
          </cell>
          <cell r="M13">
            <v>15.410667310609007</v>
          </cell>
          <cell r="N13">
            <v>7.5082166053163277</v>
          </cell>
          <cell r="O13">
            <v>10.411748124742546</v>
          </cell>
          <cell r="P13">
            <v>11.35570368448739</v>
          </cell>
          <cell r="Q13">
            <v>10.618320328351839</v>
          </cell>
          <cell r="R13">
            <v>10.618320328351839</v>
          </cell>
          <cell r="S13">
            <v>10.618320328351839</v>
          </cell>
          <cell r="T13">
            <v>10.618320328351839</v>
          </cell>
          <cell r="U13">
            <v>10.618320328351839</v>
          </cell>
          <cell r="CJ13" t="str">
            <v>CANProduction costCIMS.Generic Fuels.Fuel Oil</v>
          </cell>
        </row>
        <row r="14">
          <cell r="K14">
            <v>11.637263642141473</v>
          </cell>
          <cell r="L14">
            <v>11.63726557477532</v>
          </cell>
          <cell r="M14">
            <v>15.420629282330859</v>
          </cell>
          <cell r="N14">
            <v>12.315953965838542</v>
          </cell>
          <cell r="O14">
            <v>15.207469298306304</v>
          </cell>
          <cell r="P14">
            <v>17.063050860976503</v>
          </cell>
          <cell r="Q14">
            <v>15.732811286507976</v>
          </cell>
          <cell r="R14">
            <v>15.732811286507976</v>
          </cell>
          <cell r="S14">
            <v>15.980572094169517</v>
          </cell>
          <cell r="T14">
            <v>15.980572094169517</v>
          </cell>
          <cell r="U14">
            <v>15.980572094169517</v>
          </cell>
        </row>
        <row r="15">
          <cell r="K15">
            <v>14.280530770624067</v>
          </cell>
          <cell r="L15">
            <v>14.280530770624067</v>
          </cell>
          <cell r="M15">
            <v>6.4714570603250188</v>
          </cell>
          <cell r="N15">
            <v>3.6108268997411312</v>
          </cell>
          <cell r="O15">
            <v>4.7417102053647948</v>
          </cell>
          <cell r="P15">
            <v>4.2501745691652983</v>
          </cell>
          <cell r="Q15">
            <v>4.2501745691652983</v>
          </cell>
          <cell r="R15">
            <v>4.4343488004957941</v>
          </cell>
          <cell r="S15">
            <v>4.6185230318262898</v>
          </cell>
          <cell r="T15">
            <v>4.6185230318262898</v>
          </cell>
          <cell r="U15">
            <v>4.6185230318262898</v>
          </cell>
        </row>
        <row r="16">
          <cell r="K16">
            <v>11.991647269600687</v>
          </cell>
          <cell r="L16">
            <v>11.991647269600687</v>
          </cell>
          <cell r="M16">
            <v>5.1395678865441754</v>
          </cell>
          <cell r="N16">
            <v>2.8960410614606298</v>
          </cell>
          <cell r="O16">
            <v>3.5314220250696389</v>
          </cell>
          <cell r="P16">
            <v>3.0147904943945849</v>
          </cell>
          <cell r="Q16">
            <v>3.4001396553322385</v>
          </cell>
          <cell r="R16">
            <v>3.5956476855138422</v>
          </cell>
          <cell r="S16">
            <v>3.7798219168443383</v>
          </cell>
          <cell r="T16">
            <v>3.7798219168443383</v>
          </cell>
          <cell r="U16">
            <v>3.7798219168443383</v>
          </cell>
          <cell r="CJ16" t="str">
            <v>CANProduction costCIMS.Generic Fuels.Natural Gas</v>
          </cell>
        </row>
        <row r="17">
          <cell r="K17">
            <v>11.771416341000174</v>
          </cell>
          <cell r="L17">
            <v>12.086123636069974</v>
          </cell>
          <cell r="M17">
            <v>13.770920548236083</v>
          </cell>
          <cell r="N17">
            <v>16.358872616858644</v>
          </cell>
          <cell r="O17">
            <v>17.569872231974031</v>
          </cell>
          <cell r="P17">
            <v>18.122399914601161</v>
          </cell>
          <cell r="Q17">
            <v>18.701809249326345</v>
          </cell>
          <cell r="R17">
            <v>19.04278218850915</v>
          </cell>
          <cell r="S17">
            <v>19.613028546279555</v>
          </cell>
          <cell r="T17">
            <v>20.62740080556598</v>
          </cell>
          <cell r="U17">
            <v>21.314363560377195</v>
          </cell>
          <cell r="CJ17" t="str">
            <v>BCProduction costCIMS.CAN.BC.Electricity</v>
          </cell>
        </row>
        <row r="18">
          <cell r="K18">
            <v>16.217127036453075</v>
          </cell>
          <cell r="L18">
            <v>16.468106697367272</v>
          </cell>
          <cell r="M18">
            <v>19.604275328408644</v>
          </cell>
          <cell r="N18">
            <v>18.942155917143779</v>
          </cell>
          <cell r="O18">
            <v>26.63650638910439</v>
          </cell>
          <cell r="P18">
            <v>30.853601591345132</v>
          </cell>
          <cell r="Q18">
            <v>29.138115588333637</v>
          </cell>
          <cell r="R18">
            <v>29.29379240167458</v>
          </cell>
          <cell r="S18">
            <v>30.879750011549408</v>
          </cell>
          <cell r="T18">
            <v>32.806598405264211</v>
          </cell>
          <cell r="U18">
            <v>33.73828944469318</v>
          </cell>
          <cell r="CJ18" t="str">
            <v>ABProduction costCIMS.CAN.AB.Electricity</v>
          </cell>
        </row>
        <row r="19">
          <cell r="K19">
            <v>18.87119975589912</v>
          </cell>
          <cell r="L19">
            <v>20.054571632219091</v>
          </cell>
          <cell r="M19">
            <v>22.479254311443441</v>
          </cell>
          <cell r="N19">
            <v>25.421474866158949</v>
          </cell>
          <cell r="O19">
            <v>29.418058936757351</v>
          </cell>
          <cell r="P19">
            <v>30.972746062531844</v>
          </cell>
          <cell r="Q19">
            <v>31.797943331654654</v>
          </cell>
          <cell r="R19">
            <v>32.066931792689836</v>
          </cell>
          <cell r="S19">
            <v>33.257248040134968</v>
          </cell>
          <cell r="T19">
            <v>35.121156385650117</v>
          </cell>
          <cell r="U19">
            <v>35.965926458636005</v>
          </cell>
          <cell r="CJ19" t="str">
            <v>SKProduction costCIMS.CAN.SK.Electricity</v>
          </cell>
        </row>
        <row r="20">
          <cell r="K20">
            <v>11.486827219151595</v>
          </cell>
          <cell r="L20">
            <v>11.668333302434613</v>
          </cell>
          <cell r="M20">
            <v>12.335885386778077</v>
          </cell>
          <cell r="N20">
            <v>13.418493725925947</v>
          </cell>
          <cell r="O20">
            <v>15.383187032431417</v>
          </cell>
          <cell r="P20">
            <v>16.474329985689138</v>
          </cell>
          <cell r="Q20">
            <v>16.879544588277081</v>
          </cell>
          <cell r="R20">
            <v>16.749726980776259</v>
          </cell>
          <cell r="S20">
            <v>16.566567614260578</v>
          </cell>
          <cell r="T20">
            <v>16.833421007811886</v>
          </cell>
          <cell r="U20">
            <v>17.247699872451186</v>
          </cell>
          <cell r="CJ20" t="str">
            <v>MBProduction costCIMS.CAN.MB.Electricity</v>
          </cell>
        </row>
        <row r="21">
          <cell r="K21">
            <v>18.910314633862424</v>
          </cell>
          <cell r="L21">
            <v>18.726485095029357</v>
          </cell>
          <cell r="M21">
            <v>20.295935032754784</v>
          </cell>
          <cell r="N21">
            <v>23.206499725752966</v>
          </cell>
          <cell r="O21">
            <v>22.793966928107643</v>
          </cell>
          <cell r="P21">
            <v>22.132391768104551</v>
          </cell>
          <cell r="Q21">
            <v>21.313330047686911</v>
          </cell>
          <cell r="R21">
            <v>19.571396553461735</v>
          </cell>
          <cell r="S21">
            <v>18.878720896148938</v>
          </cell>
          <cell r="T21">
            <v>19.328337889216829</v>
          </cell>
          <cell r="U21">
            <v>19.692913473919891</v>
          </cell>
          <cell r="CJ21" t="str">
            <v>ONProduction costCIMS.CAN.ON.Electricity</v>
          </cell>
        </row>
        <row r="22">
          <cell r="K22">
            <v>11.566899199418399</v>
          </cell>
          <cell r="L22">
            <v>12.236078395809079</v>
          </cell>
          <cell r="M22">
            <v>12.967344235526303</v>
          </cell>
          <cell r="N22">
            <v>12.914290930240339</v>
          </cell>
          <cell r="O22">
            <v>13.409216904359923</v>
          </cell>
          <cell r="P22">
            <v>14.154757392039183</v>
          </cell>
          <cell r="Q22">
            <v>14.655336951781152</v>
          </cell>
          <cell r="R22">
            <v>14.998284819200672</v>
          </cell>
          <cell r="S22">
            <v>15.483604505989836</v>
          </cell>
          <cell r="T22">
            <v>16.215407292216042</v>
          </cell>
          <cell r="U22">
            <v>16.734349695014615</v>
          </cell>
          <cell r="CJ22" t="str">
            <v>QCProduction costCIMS.CAN.QC.Electricity</v>
          </cell>
        </row>
        <row r="23">
          <cell r="K23">
            <v>18.208933977816695</v>
          </cell>
          <cell r="L23">
            <v>19.692278270378534</v>
          </cell>
          <cell r="M23">
            <v>22.200637743967366</v>
          </cell>
          <cell r="N23">
            <v>23.23312214522673</v>
          </cell>
          <cell r="O23">
            <v>25.438910170127638</v>
          </cell>
          <cell r="P23">
            <v>26.83408463707827</v>
          </cell>
          <cell r="Q23">
            <v>26.976943989445033</v>
          </cell>
          <cell r="R23">
            <v>26.803029548769445</v>
          </cell>
          <cell r="S23">
            <v>26.778843824583667</v>
          </cell>
          <cell r="T23">
            <v>27.042328315334316</v>
          </cell>
          <cell r="U23">
            <v>27.279160534943987</v>
          </cell>
          <cell r="CJ23" t="str">
            <v>ATProduction costCIMS.CAN.AT.Electricity</v>
          </cell>
        </row>
        <row r="26"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30</v>
          </cell>
          <cell r="P26">
            <v>68.341643330825832</v>
          </cell>
          <cell r="Q26">
            <v>100.32134973994673</v>
          </cell>
          <cell r="R26">
            <v>82.639006798408047</v>
          </cell>
          <cell r="S26">
            <v>67.75892127087694</v>
          </cell>
          <cell r="T26">
            <v>55.57940835560332</v>
          </cell>
          <cell r="U26">
            <v>45.789061745779293</v>
          </cell>
        </row>
        <row r="27"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30</v>
          </cell>
          <cell r="P27">
            <v>68.341643330825832</v>
          </cell>
          <cell r="Q27">
            <v>100.32134973994673</v>
          </cell>
          <cell r="R27">
            <v>144.37520599486584</v>
          </cell>
          <cell r="S27">
            <v>175.77461341445135</v>
          </cell>
          <cell r="T27">
            <v>210.22093866266434</v>
          </cell>
          <cell r="U27">
            <v>239.71920561025627</v>
          </cell>
        </row>
        <row r="28">
          <cell r="K28"/>
          <cell r="L28"/>
          <cell r="M28"/>
          <cell r="N28"/>
          <cell r="O28"/>
          <cell r="P28"/>
          <cell r="Q28"/>
          <cell r="R28"/>
          <cell r="S28"/>
          <cell r="T28"/>
          <cell r="U28"/>
        </row>
        <row r="29">
          <cell r="K29">
            <v>28.874720504875334</v>
          </cell>
          <cell r="L29">
            <v>30.642958961691569</v>
          </cell>
          <cell r="M29">
            <v>33.820333026797805</v>
          </cell>
          <cell r="N29">
            <v>35.659949807097668</v>
          </cell>
          <cell r="O29">
            <v>36.180700262430427</v>
          </cell>
          <cell r="P29">
            <v>37.278781658027526</v>
          </cell>
          <cell r="Q29">
            <v>37.44460130090895</v>
          </cell>
          <cell r="R29">
            <v>36.973632637143837</v>
          </cell>
          <cell r="S29">
            <v>37.347582515655411</v>
          </cell>
          <cell r="T29">
            <v>38.762895946804591</v>
          </cell>
          <cell r="U29">
            <v>39.772149334167793</v>
          </cell>
          <cell r="CJ29" t="str">
            <v>CANResidentialCIMS.CAN.CAN.Electricity</v>
          </cell>
        </row>
        <row r="30">
          <cell r="K30">
            <v>22.349714002745163</v>
          </cell>
          <cell r="L30">
            <v>23.058383571632664</v>
          </cell>
          <cell r="M30">
            <v>26.692430944917671</v>
          </cell>
          <cell r="N30">
            <v>31.601512959675318</v>
          </cell>
          <cell r="O30">
            <v>35.437566236097716</v>
          </cell>
          <cell r="P30">
            <v>36.931221848933014</v>
          </cell>
          <cell r="Q30">
            <v>37.810092997396858</v>
          </cell>
          <cell r="R30">
            <v>38.346829556114066</v>
          </cell>
          <cell r="S30">
            <v>39.257243527678995</v>
          </cell>
          <cell r="T30">
            <v>40.900988233228738</v>
          </cell>
          <cell r="U30">
            <v>42.016678905357338</v>
          </cell>
          <cell r="CJ30" t="str">
            <v>BCResidentialCIMS.CAN.BC.Electricity</v>
          </cell>
        </row>
        <row r="31">
          <cell r="K31">
            <v>30.243359651012536</v>
          </cell>
          <cell r="L31">
            <v>34.46327849352118</v>
          </cell>
          <cell r="M31">
            <v>41.530664361590375</v>
          </cell>
          <cell r="N31">
            <v>40.976296902592964</v>
          </cell>
          <cell r="O31">
            <v>51.579388830180157</v>
          </cell>
          <cell r="P31">
            <v>58.136365344180177</v>
          </cell>
          <cell r="Q31">
            <v>54.997647100550189</v>
          </cell>
          <cell r="R31">
            <v>55.255016586294168</v>
          </cell>
          <cell r="S31">
            <v>57.978518107400077</v>
          </cell>
          <cell r="T31">
            <v>61.297275396463114</v>
          </cell>
          <cell r="U31">
            <v>62.903117994067173</v>
          </cell>
          <cell r="CJ31" t="str">
            <v>ABResidentialCIMS.CAN.AB.Electricity</v>
          </cell>
        </row>
        <row r="32">
          <cell r="K32">
            <v>36.428930338510739</v>
          </cell>
          <cell r="L32">
            <v>39.480695933330573</v>
          </cell>
          <cell r="M32">
            <v>45.542696963063335</v>
          </cell>
          <cell r="N32">
            <v>51.707971678008263</v>
          </cell>
          <cell r="O32">
            <v>59.505194360683554</v>
          </cell>
          <cell r="P32">
            <v>62.212796701936682</v>
          </cell>
          <cell r="Q32">
            <v>63.395462344245551</v>
          </cell>
          <cell r="R32">
            <v>63.767685255878042</v>
          </cell>
          <cell r="S32">
            <v>65.537467391294157</v>
          </cell>
          <cell r="T32">
            <v>68.351630755681072</v>
          </cell>
          <cell r="U32">
            <v>69.630444361908275</v>
          </cell>
          <cell r="CJ32" t="str">
            <v>SKResidentialCIMS.CAN.SK.Electricity</v>
          </cell>
        </row>
        <row r="33">
          <cell r="K33">
            <v>22.885862774285581</v>
          </cell>
          <cell r="L33">
            <v>23.498976200451253</v>
          </cell>
          <cell r="M33">
            <v>25.300583149839067</v>
          </cell>
          <cell r="N33">
            <v>27.663567769071086</v>
          </cell>
          <cell r="O33">
            <v>31.700107765067269</v>
          </cell>
          <cell r="P33">
            <v>33.742901116415958</v>
          </cell>
          <cell r="Q33">
            <v>34.292007755163723</v>
          </cell>
          <cell r="R33">
            <v>34.074872020317116</v>
          </cell>
          <cell r="S33">
            <v>33.778170356616897</v>
          </cell>
          <cell r="T33">
            <v>34.179274965472864</v>
          </cell>
          <cell r="U33">
            <v>34.808758822144881</v>
          </cell>
          <cell r="CJ33" t="str">
            <v>MBResidentialCIMS.CAN.MB.Electricity</v>
          </cell>
        </row>
        <row r="34">
          <cell r="K34">
            <v>36.916800865733343</v>
          </cell>
          <cell r="L34">
            <v>38.695444974531988</v>
          </cell>
          <cell r="M34">
            <v>42.977755915317218</v>
          </cell>
          <cell r="N34">
            <v>47.720509413952144</v>
          </cell>
          <cell r="O34">
            <v>42.095171318886159</v>
          </cell>
          <cell r="P34">
            <v>40.23207899824186</v>
          </cell>
          <cell r="Q34">
            <v>38.879875165577729</v>
          </cell>
          <cell r="R34">
            <v>35.765843747729711</v>
          </cell>
          <cell r="S34">
            <v>34.52658766545526</v>
          </cell>
          <cell r="T34">
            <v>35.329474657500185</v>
          </cell>
          <cell r="U34">
            <v>35.980826170109729</v>
          </cell>
          <cell r="CJ34" t="str">
            <v>ONResidentialCIMS.CAN.ON.Electricity</v>
          </cell>
        </row>
        <row r="35">
          <cell r="K35">
            <v>23.004477452506482</v>
          </cell>
          <cell r="L35">
            <v>24.553985148977745</v>
          </cell>
          <cell r="M35">
            <v>26.101223406083321</v>
          </cell>
          <cell r="N35">
            <v>25.62314955083577</v>
          </cell>
          <cell r="O35">
            <v>26.461479270603661</v>
          </cell>
          <cell r="P35">
            <v>27.943699126729147</v>
          </cell>
          <cell r="Q35">
            <v>28.823711215751494</v>
          </cell>
          <cell r="R35">
            <v>29.435697624911775</v>
          </cell>
          <cell r="S35">
            <v>30.304484354363364</v>
          </cell>
          <cell r="T35">
            <v>31.621053126705842</v>
          </cell>
          <cell r="U35">
            <v>32.555527284638593</v>
          </cell>
          <cell r="CJ35" t="str">
            <v>QCResidentialCIMS.CAN.QC.Electricity</v>
          </cell>
        </row>
        <row r="36">
          <cell r="K36">
            <v>35.349136959644369</v>
          </cell>
          <cell r="L36">
            <v>38.859508110958785</v>
          </cell>
          <cell r="M36">
            <v>43.177136825308423</v>
          </cell>
          <cell r="N36">
            <v>43.836997218797876</v>
          </cell>
          <cell r="O36">
            <v>46.994131531309847</v>
          </cell>
          <cell r="P36">
            <v>48.876864012767484</v>
          </cell>
          <cell r="Q36">
            <v>49.224272531002143</v>
          </cell>
          <cell r="R36">
            <v>47.678425986558899</v>
          </cell>
          <cell r="S36">
            <v>45.818705417416062</v>
          </cell>
          <cell r="T36">
            <v>46.305094014064508</v>
          </cell>
          <cell r="U36">
            <v>47.477143331122377</v>
          </cell>
          <cell r="CJ36" t="str">
            <v>NBResidentialCIMS.CAN.NB.Electricity</v>
          </cell>
        </row>
        <row r="37">
          <cell r="K37">
            <v>36.791211195162177</v>
          </cell>
          <cell r="L37">
            <v>38.790446482394131</v>
          </cell>
          <cell r="M37">
            <v>43.692345355586774</v>
          </cell>
          <cell r="N37">
            <v>47.142232996348611</v>
          </cell>
          <cell r="O37">
            <v>52.537479323598568</v>
          </cell>
          <cell r="P37">
            <v>56.143076317036211</v>
          </cell>
          <cell r="Q37">
            <v>56.463724576164573</v>
          </cell>
          <cell r="R37">
            <v>56.469673357687675</v>
          </cell>
          <cell r="S37">
            <v>57.632780200870286</v>
          </cell>
          <cell r="T37">
            <v>59.411595258682048</v>
          </cell>
          <cell r="U37">
            <v>60.353485099669243</v>
          </cell>
          <cell r="CJ37" t="str">
            <v>NSResidentialCIMS.CAN.NS.Electricity</v>
          </cell>
        </row>
        <row r="38">
          <cell r="K38">
            <v>40.073627487288888</v>
          </cell>
          <cell r="L38">
            <v>43.259685646790203</v>
          </cell>
          <cell r="M38">
            <v>48.271648831432287</v>
          </cell>
          <cell r="N38">
            <v>52.605391209343594</v>
          </cell>
          <cell r="O38">
            <v>58.967883241262456</v>
          </cell>
          <cell r="P38">
            <v>60.256506553812791</v>
          </cell>
          <cell r="Q38">
            <v>58.995597893882525</v>
          </cell>
          <cell r="R38">
            <v>58.185759368451826</v>
          </cell>
          <cell r="S38">
            <v>57.39090542778419</v>
          </cell>
          <cell r="T38">
            <v>55.221341221514756</v>
          </cell>
          <cell r="U38">
            <v>53.57615043443306</v>
          </cell>
          <cell r="CJ38" t="str">
            <v>PEResidentialCIMS.CAN.PE.Electricity</v>
          </cell>
        </row>
        <row r="39">
          <cell r="K39">
            <v>34.095854828346674</v>
          </cell>
          <cell r="L39">
            <v>37.216835870732822</v>
          </cell>
          <cell r="M39">
            <v>41.409560473393867</v>
          </cell>
          <cell r="N39">
            <v>41.94445769932608</v>
          </cell>
          <cell r="O39">
            <v>47.727350398028861</v>
          </cell>
          <cell r="P39">
            <v>51.796910972089464</v>
          </cell>
          <cell r="Q39">
            <v>53.211686066338366</v>
          </cell>
          <cell r="R39">
            <v>54.342001792872296</v>
          </cell>
          <cell r="S39">
            <v>55.52564649901327</v>
          </cell>
          <cell r="T39">
            <v>57.091988581906612</v>
          </cell>
          <cell r="U39">
            <v>58.174415781104436</v>
          </cell>
          <cell r="CJ39" t="str">
            <v>NLResidentialCIMS.CAN.NL.Electricity</v>
          </cell>
        </row>
        <row r="40">
          <cell r="K40">
            <v>30.071968152243883</v>
          </cell>
          <cell r="L40">
            <v>31.025499431261188</v>
          </cell>
          <cell r="M40">
            <v>35.174234985214987</v>
          </cell>
          <cell r="N40">
            <v>41.910983511014479</v>
          </cell>
          <cell r="O40">
            <v>55.91164126947946</v>
          </cell>
          <cell r="P40">
            <v>62.551131498708536</v>
          </cell>
          <cell r="Q40">
            <v>64.608410240369878</v>
          </cell>
          <cell r="R40">
            <v>67.692308957194243</v>
          </cell>
          <cell r="S40">
            <v>71.05352027878908</v>
          </cell>
          <cell r="T40">
            <v>73.23487498393601</v>
          </cell>
          <cell r="U40">
            <v>74.096881999671211</v>
          </cell>
          <cell r="CJ40" t="str">
            <v>YTResidentialCIMS.CAN.YT.Electricity</v>
          </cell>
        </row>
        <row r="41">
          <cell r="K41">
            <v>35.934467832893077</v>
          </cell>
          <cell r="L41">
            <v>37.073895794225749</v>
          </cell>
          <cell r="M41">
            <v>42.031433653846335</v>
          </cell>
          <cell r="N41">
            <v>50.081508436888555</v>
          </cell>
          <cell r="O41">
            <v>57.489936263853046</v>
          </cell>
          <cell r="P41">
            <v>60.076224138321237</v>
          </cell>
          <cell r="Q41">
            <v>60.885708197782435</v>
          </cell>
          <cell r="R41">
            <v>59.322413642725685</v>
          </cell>
          <cell r="S41">
            <v>56.718581255361904</v>
          </cell>
          <cell r="T41">
            <v>56.806596395089933</v>
          </cell>
          <cell r="U41">
            <v>58.134687586643366</v>
          </cell>
          <cell r="CJ41" t="str">
            <v>NTResidentialCIMS.CAN.NT.Electricity</v>
          </cell>
        </row>
        <row r="42">
          <cell r="K42">
            <v>35.934467832893077</v>
          </cell>
          <cell r="L42">
            <v>37.073895794225749</v>
          </cell>
          <cell r="M42">
            <v>42.031433653846335</v>
          </cell>
          <cell r="N42">
            <v>50.081508436888555</v>
          </cell>
          <cell r="O42">
            <v>57.584113275872994</v>
          </cell>
          <cell r="P42">
            <v>60.200777817201896</v>
          </cell>
          <cell r="Q42">
            <v>61.544929095111669</v>
          </cell>
          <cell r="R42">
            <v>64.703867493475101</v>
          </cell>
          <cell r="S42">
            <v>70.400411991607271</v>
          </cell>
          <cell r="T42">
            <v>75.036098397358373</v>
          </cell>
          <cell r="U42">
            <v>76.48917972525382</v>
          </cell>
          <cell r="CJ42" t="str">
            <v>NUResidentialCIMS.CAN.NU.Electricity</v>
          </cell>
        </row>
        <row r="43">
          <cell r="K43">
            <v>36.577457617610527</v>
          </cell>
          <cell r="L43">
            <v>39.531619027718989</v>
          </cell>
          <cell r="M43">
            <v>44.13767287143034</v>
          </cell>
          <cell r="N43">
            <v>46.38226978095404</v>
          </cell>
          <cell r="O43">
            <v>51.556711123549931</v>
          </cell>
          <cell r="P43">
            <v>54.26833946392648</v>
          </cell>
          <cell r="Q43">
            <v>54.4738202668469</v>
          </cell>
          <cell r="R43">
            <v>54.168965126392678</v>
          </cell>
          <cell r="S43">
            <v>54.092009386270952</v>
          </cell>
          <cell r="T43">
            <v>54.507504769041979</v>
          </cell>
          <cell r="U43">
            <v>54.895298661582281</v>
          </cell>
          <cell r="CJ43" t="str">
            <v>ATResidentialCIMS.CAN.AT.Electricity</v>
          </cell>
        </row>
        <row r="44">
          <cell r="K44">
            <v>33.980301272676677</v>
          </cell>
          <cell r="L44">
            <v>35.057763673237567</v>
          </cell>
          <cell r="M44">
            <v>39.745700764302548</v>
          </cell>
          <cell r="N44">
            <v>47.358000128263861</v>
          </cell>
          <cell r="O44">
            <v>56.995230269735167</v>
          </cell>
          <cell r="P44">
            <v>60.942711151410556</v>
          </cell>
          <cell r="Q44">
            <v>62.346349177754661</v>
          </cell>
          <cell r="R44">
            <v>63.90619669779835</v>
          </cell>
          <cell r="S44">
            <v>66.057504508586078</v>
          </cell>
          <cell r="T44">
            <v>68.35918992546145</v>
          </cell>
          <cell r="U44">
            <v>69.573583103856137</v>
          </cell>
          <cell r="CJ44" t="str">
            <v>TRResidentialCIMS.CAN.TR.Electricity</v>
          </cell>
        </row>
        <row r="45">
          <cell r="K45">
            <v>15.800359869942858</v>
          </cell>
          <cell r="L45">
            <v>15.561961416540003</v>
          </cell>
          <cell r="M45">
            <v>13.396914328080504</v>
          </cell>
          <cell r="N45">
            <v>10.745078089129214</v>
          </cell>
          <cell r="O45">
            <v>9.8728958263546058</v>
          </cell>
          <cell r="P45">
            <v>10.443561968799377</v>
          </cell>
          <cell r="Q45">
            <v>10.756187007088842</v>
          </cell>
          <cell r="R45">
            <v>11.776270126567617</v>
          </cell>
          <cell r="S45">
            <v>12.061340791263703</v>
          </cell>
          <cell r="T45">
            <v>12.184071499359266</v>
          </cell>
          <cell r="U45">
            <v>12.351244940795565</v>
          </cell>
          <cell r="CJ45" t="str">
            <v>CANResidentialCIMS.Generic Fuels.Natural Gas</v>
          </cell>
        </row>
        <row r="46">
          <cell r="K46">
            <v>15.795405885801276</v>
          </cell>
          <cell r="L46">
            <v>16.324503589460544</v>
          </cell>
          <cell r="M46">
            <v>17.114648579019939</v>
          </cell>
          <cell r="N46">
            <v>14.52205183660965</v>
          </cell>
          <cell r="O46">
            <v>12.283493151297474</v>
          </cell>
          <cell r="P46">
            <v>12.826326397444868</v>
          </cell>
          <cell r="Q46">
            <v>12.665176869071857</v>
          </cell>
          <cell r="R46">
            <v>13.484377109544191</v>
          </cell>
          <cell r="S46">
            <v>13.901442526663381</v>
          </cell>
          <cell r="T46">
            <v>14.147684708634328</v>
          </cell>
          <cell r="U46">
            <v>14.388465922673952</v>
          </cell>
          <cell r="CJ46" t="str">
            <v>BCResidentialCIMS.Generic Fuels.Natural Gas</v>
          </cell>
        </row>
        <row r="47">
          <cell r="K47">
            <v>13.052755723317189</v>
          </cell>
          <cell r="L47">
            <v>12.049588358643172</v>
          </cell>
          <cell r="M47">
            <v>9.3168230123083156</v>
          </cell>
          <cell r="N47">
            <v>6.7676201584643652</v>
          </cell>
          <cell r="O47">
            <v>6.777539657484879</v>
          </cell>
          <cell r="P47">
            <v>7.487252083588821</v>
          </cell>
          <cell r="Q47">
            <v>8.0485488616823453</v>
          </cell>
          <cell r="R47">
            <v>9.1637004880155573</v>
          </cell>
          <cell r="S47">
            <v>9.4899458761854731</v>
          </cell>
          <cell r="T47">
            <v>9.638517357327137</v>
          </cell>
          <cell r="U47">
            <v>9.8166721061617892</v>
          </cell>
          <cell r="CJ47" t="str">
            <v>ABResidentialCIMS.Generic Fuels.Natural Gas</v>
          </cell>
        </row>
        <row r="48">
          <cell r="K48">
            <v>14.250684708108446</v>
          </cell>
          <cell r="L48">
            <v>14.17442646482456</v>
          </cell>
          <cell r="M48">
            <v>12.696457062606994</v>
          </cell>
          <cell r="N48">
            <v>10.069502874637845</v>
          </cell>
          <cell r="O48">
            <v>9.5492782034955628</v>
          </cell>
          <cell r="P48">
            <v>10.592869243024667</v>
          </cell>
          <cell r="Q48">
            <v>11.01955068270879</v>
          </cell>
          <cell r="R48">
            <v>12.13524996836161</v>
          </cell>
          <cell r="S48">
            <v>12.503230834404484</v>
          </cell>
          <cell r="T48">
            <v>12.694658986671616</v>
          </cell>
          <cell r="U48">
            <v>12.898973526661051</v>
          </cell>
          <cell r="CJ48" t="str">
            <v>SKResidentialCIMS.Generic Fuels.Natural Gas</v>
          </cell>
        </row>
        <row r="49">
          <cell r="K49">
            <v>16.06927060550122</v>
          </cell>
          <cell r="L49">
            <v>15.645129960562265</v>
          </cell>
          <cell r="M49">
            <v>13.097958175534055</v>
          </cell>
          <cell r="N49">
            <v>10.409064188874844</v>
          </cell>
          <cell r="O49">
            <v>9.1827158354934113</v>
          </cell>
          <cell r="P49">
            <v>9.8833778228338041</v>
          </cell>
          <cell r="Q49">
            <v>10.362287951612824</v>
          </cell>
          <cell r="R49">
            <v>11.466612984810959</v>
          </cell>
          <cell r="S49">
            <v>11.806732362384388</v>
          </cell>
          <cell r="T49">
            <v>11.973302519804228</v>
          </cell>
          <cell r="U49">
            <v>12.164462266637416</v>
          </cell>
          <cell r="CJ49" t="str">
            <v>MBResidentialCIMS.Generic Fuels.Natural Gas</v>
          </cell>
        </row>
        <row r="50">
          <cell r="K50">
            <v>16.736981381969095</v>
          </cell>
          <cell r="L50">
            <v>16.641039921512366</v>
          </cell>
          <cell r="M50">
            <v>14.368903419333089</v>
          </cell>
          <cell r="N50">
            <v>11.475592668615789</v>
          </cell>
          <cell r="O50">
            <v>10.642301491510285</v>
          </cell>
          <cell r="P50">
            <v>11.333013558854832</v>
          </cell>
          <cell r="Q50">
            <v>11.807780219350885</v>
          </cell>
          <cell r="R50">
            <v>12.92569013939173</v>
          </cell>
          <cell r="S50">
            <v>13.280935369290411</v>
          </cell>
          <cell r="T50">
            <v>13.459905432699765</v>
          </cell>
          <cell r="U50">
            <v>13.656693808853705</v>
          </cell>
          <cell r="CJ50" t="str">
            <v>ONResidentialCIMS.Generic Fuels.Natural Gas</v>
          </cell>
        </row>
        <row r="51">
          <cell r="K51">
            <v>20.27679032355708</v>
          </cell>
          <cell r="L51">
            <v>20.14501792284549</v>
          </cell>
          <cell r="M51">
            <v>18.82512672145354</v>
          </cell>
          <cell r="N51">
            <v>16.460640207176482</v>
          </cell>
          <cell r="O51">
            <v>14.126288450303727</v>
          </cell>
          <cell r="P51">
            <v>14.340382600958931</v>
          </cell>
          <cell r="Q51">
            <v>15.034572024814317</v>
          </cell>
          <cell r="R51">
            <v>16.110316709063088</v>
          </cell>
          <cell r="S51">
            <v>16.497117873246577</v>
          </cell>
          <cell r="T51">
            <v>16.711253610819131</v>
          </cell>
          <cell r="U51">
            <v>16.930999095733902</v>
          </cell>
          <cell r="CJ51" t="str">
            <v>QCResidentialCIMS.Generic Fuels.Natural Gas</v>
          </cell>
        </row>
        <row r="52">
          <cell r="K52">
            <v>18.751303831464206</v>
          </cell>
          <cell r="L52">
            <v>17.181206171321016</v>
          </cell>
          <cell r="M52">
            <v>17.500701066753859</v>
          </cell>
          <cell r="N52">
            <v>15.75759927812669</v>
          </cell>
          <cell r="O52">
            <v>15.771823513977294</v>
          </cell>
          <cell r="P52">
            <v>17.278168904922428</v>
          </cell>
          <cell r="Q52">
            <v>17.744755320191505</v>
          </cell>
          <cell r="R52">
            <v>18.854081797349597</v>
          </cell>
          <cell r="S52">
            <v>19.201904033430157</v>
          </cell>
          <cell r="T52">
            <v>19.380062884254958</v>
          </cell>
          <cell r="U52">
            <v>19.579328222675564</v>
          </cell>
          <cell r="CJ52" t="str">
            <v>NBResidentialCIMS.Generic Fuels.Natural Gas</v>
          </cell>
        </row>
        <row r="53">
          <cell r="K53">
            <v>47.853969201783812</v>
          </cell>
          <cell r="L53">
            <v>45.077241001542006</v>
          </cell>
          <cell r="M53">
            <v>36.331714714336336</v>
          </cell>
          <cell r="N53">
            <v>28.335288716905115</v>
          </cell>
          <cell r="O53">
            <v>24.188906307066635</v>
          </cell>
          <cell r="P53">
            <v>25.430237586170175</v>
          </cell>
          <cell r="Q53">
            <v>25.910455051808793</v>
          </cell>
          <cell r="R53">
            <v>26.988498140508341</v>
          </cell>
          <cell r="S53">
            <v>27.298216670039064</v>
          </cell>
          <cell r="T53">
            <v>27.452908385845262</v>
          </cell>
          <cell r="U53">
            <v>27.645355582476832</v>
          </cell>
          <cell r="CJ53" t="str">
            <v>NSResidentialCIMS.Generic Fuels.Natural Gas</v>
          </cell>
        </row>
        <row r="54">
          <cell r="K54">
            <v>18.245982452276209</v>
          </cell>
          <cell r="L54">
            <v>16.718196462398588</v>
          </cell>
          <cell r="M54">
            <v>16.986917105700559</v>
          </cell>
          <cell r="N54">
            <v>14.741043073642794</v>
          </cell>
          <cell r="O54">
            <v>12.237272548786544</v>
          </cell>
          <cell r="P54">
            <v>10.696805214446336</v>
          </cell>
          <cell r="Q54">
            <v>8.8176940756376716</v>
          </cell>
          <cell r="R54">
            <v>9.8389911260484837</v>
          </cell>
          <cell r="S54">
            <v>10.823464211370066</v>
          </cell>
          <cell r="T54">
            <v>11.640729284432084</v>
          </cell>
          <cell r="U54">
            <v>12.230660998165146</v>
          </cell>
          <cell r="CJ54" t="str">
            <v>PEResidentialCIMS.Generic Fuels.Natural Gas</v>
          </cell>
        </row>
        <row r="55">
          <cell r="K55">
            <v>18.938988659998291</v>
          </cell>
          <cell r="L55">
            <v>17.353175638791445</v>
          </cell>
          <cell r="M55">
            <v>17.675868410233651</v>
          </cell>
          <cell r="N55">
            <v>15.728297072278068</v>
          </cell>
          <cell r="O55">
            <v>12.757859043046437</v>
          </cell>
          <cell r="P55">
            <v>11.230196832504349</v>
          </cell>
          <cell r="Q55">
            <v>9.3391957095834677</v>
          </cell>
          <cell r="R55">
            <v>10.366394429861325</v>
          </cell>
          <cell r="S55">
            <v>11.360582661163562</v>
          </cell>
          <cell r="T55">
            <v>12.186235070091488</v>
          </cell>
          <cell r="U55">
            <v>12.780363465919139</v>
          </cell>
          <cell r="CJ55" t="str">
            <v>NLResidentialCIMS.Generic Fuels.Natural Gas</v>
          </cell>
        </row>
        <row r="56">
          <cell r="K56">
            <v>15.742979565674803</v>
          </cell>
          <cell r="L56">
            <v>15.96520661348435</v>
          </cell>
          <cell r="M56">
            <v>15.06849262189688</v>
          </cell>
          <cell r="N56">
            <v>11.390665651075278</v>
          </cell>
          <cell r="O56">
            <v>8.4426549073317698</v>
          </cell>
          <cell r="P56">
            <v>7.189483664415496</v>
          </cell>
          <cell r="Q56">
            <v>5.3279368243425216</v>
          </cell>
          <cell r="R56">
            <v>6.3458082260546576</v>
          </cell>
          <cell r="S56">
            <v>7.3218993923983655</v>
          </cell>
          <cell r="T56">
            <v>8.1293145748791318</v>
          </cell>
          <cell r="U56">
            <v>8.7129869327389695</v>
          </cell>
          <cell r="CJ56" t="str">
            <v>YTResidentialCIMS.Generic Fuels.Natural Gas</v>
          </cell>
        </row>
        <row r="57">
          <cell r="K57">
            <v>15.872680348105742</v>
          </cell>
          <cell r="L57">
            <v>16.096738245142905</v>
          </cell>
          <cell r="M57">
            <v>15.192636547445519</v>
          </cell>
          <cell r="N57">
            <v>11.681489804682894</v>
          </cell>
          <cell r="O57">
            <v>12.101994893355625</v>
          </cell>
          <cell r="P57">
            <v>14.611768172314592</v>
          </cell>
          <cell r="Q57">
            <v>15.795512440524472</v>
          </cell>
          <cell r="R57">
            <v>16.844208972950348</v>
          </cell>
          <cell r="S57">
            <v>16.847788062555516</v>
          </cell>
          <cell r="T57">
            <v>16.580138315402877</v>
          </cell>
          <cell r="U57">
            <v>16.451408014026818</v>
          </cell>
          <cell r="CJ57" t="str">
            <v>NTResidentialCIMS.Generic Fuels.Natural Gas</v>
          </cell>
        </row>
        <row r="58">
          <cell r="K58">
            <v>15.872680348105742</v>
          </cell>
          <cell r="L58">
            <v>16.096738245142905</v>
          </cell>
          <cell r="M58">
            <v>15.192636547445519</v>
          </cell>
          <cell r="N58">
            <v>11.484509274589525</v>
          </cell>
          <cell r="O58">
            <v>8.524314441885755</v>
          </cell>
          <cell r="P58">
            <v>7.2762877279633233</v>
          </cell>
          <cell r="Q58">
            <v>5.412306500491618</v>
          </cell>
          <cell r="R58">
            <v>6.4314298290472625</v>
          </cell>
          <cell r="S58">
            <v>7.4095592822417169</v>
          </cell>
          <cell r="T58">
            <v>8.2187126380642201</v>
          </cell>
          <cell r="U58">
            <v>8.803243742674189</v>
          </cell>
          <cell r="CJ58" t="str">
            <v>NUResidentialCIMS.Generic Fuels.Natural Gas</v>
          </cell>
        </row>
        <row r="59">
          <cell r="K59">
            <v>25.947561036380627</v>
          </cell>
          <cell r="L59">
            <v>24.082454818513263</v>
          </cell>
          <cell r="M59">
            <v>22.123800324256099</v>
          </cell>
          <cell r="N59">
            <v>18.640557035238167</v>
          </cell>
          <cell r="O59">
            <v>16.238965353219228</v>
          </cell>
          <cell r="P59">
            <v>16.158852134510823</v>
          </cell>
          <cell r="Q59">
            <v>15.453025039305359</v>
          </cell>
          <cell r="R59">
            <v>16.511991373441937</v>
          </cell>
          <cell r="S59">
            <v>17.171041894000712</v>
          </cell>
          <cell r="T59">
            <v>17.664983906155946</v>
          </cell>
          <cell r="U59">
            <v>18.05892706730917</v>
          </cell>
          <cell r="CJ59" t="str">
            <v>ATResidentialCIMS.Generic Fuels.Natural Gas</v>
          </cell>
        </row>
        <row r="60">
          <cell r="K60">
            <v>15.829446753962097</v>
          </cell>
          <cell r="L60">
            <v>16.052894367923386</v>
          </cell>
          <cell r="M60">
            <v>15.151255238929304</v>
          </cell>
          <cell r="N60">
            <v>11.518888243449233</v>
          </cell>
          <cell r="O60">
            <v>9.6896547475243846</v>
          </cell>
          <cell r="P60">
            <v>9.6925131882311373</v>
          </cell>
          <cell r="Q60">
            <v>8.845251921786204</v>
          </cell>
          <cell r="R60">
            <v>9.873815676017422</v>
          </cell>
          <cell r="S60">
            <v>10.526415579065199</v>
          </cell>
          <cell r="T60">
            <v>10.976055176115409</v>
          </cell>
          <cell r="U60">
            <v>11.322546229813327</v>
          </cell>
          <cell r="CJ60" t="str">
            <v>TRResidentialCIMS.Generic Fuels.Natural Gas</v>
          </cell>
        </row>
        <row r="61">
          <cell r="K61">
            <v>25.352936391503111</v>
          </cell>
          <cell r="L61">
            <v>26.522662456461035</v>
          </cell>
          <cell r="M61">
            <v>31.038449098847046</v>
          </cell>
          <cell r="N61">
            <v>32.001029928008876</v>
          </cell>
          <cell r="O61">
            <v>32.546031019052727</v>
          </cell>
          <cell r="P61">
            <v>34.410841058493453</v>
          </cell>
          <cell r="Q61">
            <v>33.647257014155734</v>
          </cell>
          <cell r="R61">
            <v>34.631282775169552</v>
          </cell>
          <cell r="S61">
            <v>34.84349035692658</v>
          </cell>
          <cell r="T61">
            <v>34.76694139958515</v>
          </cell>
          <cell r="U61">
            <v>34.813162129790612</v>
          </cell>
          <cell r="CJ61" t="str">
            <v>CANResidentialCIMS.Generic Fuels.Fuel Oil</v>
          </cell>
        </row>
        <row r="62">
          <cell r="K62">
            <v>28.821698675148621</v>
          </cell>
          <cell r="L62">
            <v>29.672570660409356</v>
          </cell>
          <cell r="M62">
            <v>34.467857420610393</v>
          </cell>
          <cell r="N62">
            <v>35.990931599746311</v>
          </cell>
          <cell r="O62">
            <v>36.360356984034745</v>
          </cell>
          <cell r="P62">
            <v>38.294112800246062</v>
          </cell>
          <cell r="Q62">
            <v>37.756074317223209</v>
          </cell>
          <cell r="R62">
            <v>38.771995724690626</v>
          </cell>
          <cell r="S62">
            <v>38.810837603230219</v>
          </cell>
          <cell r="T62">
            <v>38.394046586699837</v>
          </cell>
          <cell r="U62">
            <v>38.198612714915498</v>
          </cell>
          <cell r="CJ62" t="str">
            <v>BCResidentialCIMS.Generic Fuels.Fuel Oil</v>
          </cell>
        </row>
        <row r="63">
          <cell r="K63">
            <v>24.5949470651965</v>
          </cell>
          <cell r="L63">
            <v>26.127847418708804</v>
          </cell>
          <cell r="M63">
            <v>29.437413692012804</v>
          </cell>
          <cell r="N63">
            <v>29.404340443423816</v>
          </cell>
          <cell r="O63">
            <v>29.212549581374688</v>
          </cell>
          <cell r="P63">
            <v>29.812363408308013</v>
          </cell>
          <cell r="Q63">
            <v>28.948947068289257</v>
          </cell>
          <cell r="R63">
            <v>29.538104440716495</v>
          </cell>
          <cell r="S63">
            <v>29.138327185383538</v>
          </cell>
          <cell r="T63">
            <v>28.324595598743542</v>
          </cell>
          <cell r="U63">
            <v>27.939371030106969</v>
          </cell>
          <cell r="CJ63" t="str">
            <v>ABResidentialCIMS.Generic Fuels.Fuel Oil</v>
          </cell>
        </row>
        <row r="64">
          <cell r="K64">
            <v>26.307387342454348</v>
          </cell>
          <cell r="L64">
            <v>27.766443280093405</v>
          </cell>
          <cell r="M64">
            <v>31.003100280678144</v>
          </cell>
          <cell r="N64">
            <v>30.406033816373508</v>
          </cell>
          <cell r="O64">
            <v>31.128780967186096</v>
          </cell>
          <cell r="P64">
            <v>32.937172878731303</v>
          </cell>
          <cell r="Q64">
            <v>32.524220656595496</v>
          </cell>
          <cell r="R64">
            <v>33.709276316024145</v>
          </cell>
          <cell r="S64">
            <v>34.015554350477359</v>
          </cell>
          <cell r="T64">
            <v>33.973342026918786</v>
          </cell>
          <cell r="U64">
            <v>34.041618933266733</v>
          </cell>
          <cell r="CJ64" t="str">
            <v>SKResidentialCIMS.Generic Fuels.Fuel Oil</v>
          </cell>
        </row>
        <row r="65">
          <cell r="K65">
            <v>26.344507779252858</v>
          </cell>
          <cell r="L65">
            <v>27.56986192557012</v>
          </cell>
          <cell r="M65">
            <v>31.477652174688881</v>
          </cell>
          <cell r="N65">
            <v>31.129548327702423</v>
          </cell>
          <cell r="O65">
            <v>31.604595908566075</v>
          </cell>
          <cell r="P65">
            <v>33.513171851361435</v>
          </cell>
          <cell r="Q65">
            <v>33.138314758003986</v>
          </cell>
          <cell r="R65">
            <v>34.332092106523262</v>
          </cell>
          <cell r="S65">
            <v>34.644249678539211</v>
          </cell>
          <cell r="T65">
            <v>34.622763126622466</v>
          </cell>
          <cell r="U65">
            <v>34.710909613107013</v>
          </cell>
          <cell r="CJ65" t="str">
            <v>MBResidentialCIMS.Generic Fuels.Fuel Oil</v>
          </cell>
        </row>
        <row r="66">
          <cell r="K66">
            <v>25.387432386254925</v>
          </cell>
          <cell r="L66">
            <v>26.883349051437371</v>
          </cell>
          <cell r="M66">
            <v>32.688740851856387</v>
          </cell>
          <cell r="N66">
            <v>35.126820256992829</v>
          </cell>
          <cell r="O66">
            <v>37.596004649861577</v>
          </cell>
          <cell r="P66">
            <v>40.143990454254137</v>
          </cell>
          <cell r="Q66">
            <v>39.785755561521491</v>
          </cell>
          <cell r="R66">
            <v>40.977136782004109</v>
          </cell>
          <cell r="S66">
            <v>41.28142873195506</v>
          </cell>
          <cell r="T66">
            <v>41.254858683780213</v>
          </cell>
          <cell r="U66">
            <v>41.340452364211146</v>
          </cell>
          <cell r="CJ66" t="str">
            <v>ONResidentialCIMS.Generic Fuels.Fuel Oil</v>
          </cell>
        </row>
        <row r="67">
          <cell r="K67">
            <v>24.341341709732479</v>
          </cell>
          <cell r="L67">
            <v>25.608914088164056</v>
          </cell>
          <cell r="M67">
            <v>30.147227119507146</v>
          </cell>
          <cell r="N67">
            <v>31.417303464431658</v>
          </cell>
          <cell r="O67">
            <v>31.991540269243615</v>
          </cell>
          <cell r="P67">
            <v>34.173846979010698</v>
          </cell>
          <cell r="Q67">
            <v>34.386873761680057</v>
          </cell>
          <cell r="R67">
            <v>35.530687615305929</v>
          </cell>
          <cell r="S67">
            <v>35.855954667943301</v>
          </cell>
          <cell r="T67">
            <v>35.841295599638329</v>
          </cell>
          <cell r="U67">
            <v>35.929748780210573</v>
          </cell>
          <cell r="CJ67" t="str">
            <v>QCResidentialCIMS.Generic Fuels.Fuel Oil</v>
          </cell>
        </row>
        <row r="68">
          <cell r="K68">
            <v>26.855017023975996</v>
          </cell>
          <cell r="L68">
            <v>27.741720305278296</v>
          </cell>
          <cell r="M68">
            <v>31.296655389641742</v>
          </cell>
          <cell r="N68">
            <v>31.620989819489086</v>
          </cell>
          <cell r="O68">
            <v>33.352819771614143</v>
          </cell>
          <cell r="P68">
            <v>36.106673182794509</v>
          </cell>
          <cell r="Q68">
            <v>35.709285994218078</v>
          </cell>
          <cell r="R68">
            <v>36.904783740901053</v>
          </cell>
          <cell r="S68">
            <v>37.225797151769243</v>
          </cell>
          <cell r="T68">
            <v>37.209543727156998</v>
          </cell>
          <cell r="U68">
            <v>37.298332160477649</v>
          </cell>
          <cell r="CJ68" t="str">
            <v>NBResidentialCIMS.Generic Fuels.Fuel Oil</v>
          </cell>
        </row>
        <row r="69">
          <cell r="K69">
            <v>26.879404574793423</v>
          </cell>
          <cell r="L69">
            <v>27.145353618411637</v>
          </cell>
          <cell r="M69">
            <v>29.941504748651546</v>
          </cell>
          <cell r="N69">
            <v>29.938469006721071</v>
          </cell>
          <cell r="O69">
            <v>30.446114878912262</v>
          </cell>
          <cell r="P69">
            <v>33.776949931833144</v>
          </cell>
          <cell r="Q69">
            <v>33.495427569674227</v>
          </cell>
          <cell r="R69">
            <v>34.71114062517907</v>
          </cell>
          <cell r="S69">
            <v>35.02148209385571</v>
          </cell>
          <cell r="T69">
            <v>35.007642405170657</v>
          </cell>
          <cell r="U69">
            <v>35.105242680943313</v>
          </cell>
          <cell r="CJ69" t="str">
            <v>NSResidentialCIMS.Generic Fuels.Fuel Oil</v>
          </cell>
        </row>
        <row r="70">
          <cell r="K70">
            <v>23.198173232822104</v>
          </cell>
          <cell r="L70">
            <v>24.092543767125726</v>
          </cell>
          <cell r="M70">
            <v>27.839648713974647</v>
          </cell>
          <cell r="N70">
            <v>27.287507076220503</v>
          </cell>
          <cell r="O70">
            <v>27.534192990092386</v>
          </cell>
          <cell r="P70">
            <v>30.153873334091639</v>
          </cell>
          <cell r="Q70">
            <v>29.826992352450326</v>
          </cell>
          <cell r="R70">
            <v>31.04955985616585</v>
          </cell>
          <cell r="S70">
            <v>31.382553800349463</v>
          </cell>
          <cell r="T70">
            <v>31.390818084102989</v>
          </cell>
          <cell r="U70">
            <v>31.50192408596974</v>
          </cell>
          <cell r="CJ70" t="str">
            <v>PEResidentialCIMS.Generic Fuels.Fuel Oil</v>
          </cell>
        </row>
        <row r="71">
          <cell r="K71">
            <v>25.636882590893777</v>
          </cell>
          <cell r="L71">
            <v>26.760729527467635</v>
          </cell>
          <cell r="M71">
            <v>29.952456718235371</v>
          </cell>
          <cell r="N71">
            <v>28.630363687444657</v>
          </cell>
          <cell r="O71">
            <v>26.658181223055639</v>
          </cell>
          <cell r="P71">
            <v>25.282679391135336</v>
          </cell>
          <cell r="Q71">
            <v>21.441032701939832</v>
          </cell>
          <cell r="R71">
            <v>22.515575017085553</v>
          </cell>
          <cell r="S71">
            <v>23.779776814610589</v>
          </cell>
          <cell r="T71">
            <v>24.705051424362232</v>
          </cell>
          <cell r="U71">
            <v>25.366478096744871</v>
          </cell>
          <cell r="CJ71" t="str">
            <v>NLResidentialCIMS.Generic Fuels.Fuel Oil</v>
          </cell>
        </row>
        <row r="72">
          <cell r="K72">
            <v>28.829318793142669</v>
          </cell>
          <cell r="L72">
            <v>30.646568829533003</v>
          </cell>
          <cell r="M72">
            <v>35.654923421149014</v>
          </cell>
          <cell r="N72">
            <v>34.600422536036874</v>
          </cell>
          <cell r="O72">
            <v>31.677618157208776</v>
          </cell>
          <cell r="P72">
            <v>29.847595212122155</v>
          </cell>
          <cell r="Q72">
            <v>26.130704108390105</v>
          </cell>
          <cell r="R72">
            <v>27.213741304127076</v>
          </cell>
          <cell r="S72">
            <v>28.450995596689815</v>
          </cell>
          <cell r="T72">
            <v>29.369964998022915</v>
          </cell>
          <cell r="U72">
            <v>30.038321520763134</v>
          </cell>
          <cell r="CJ72" t="str">
            <v>YTResidentialCIMS.Generic Fuels.Fuel Oil</v>
          </cell>
        </row>
        <row r="73">
          <cell r="K73">
            <v>26.726587733652547</v>
          </cell>
          <cell r="L73">
            <v>28.685890374583696</v>
          </cell>
          <cell r="M73">
            <v>33.640923182695936</v>
          </cell>
          <cell r="N73">
            <v>33.100730235732058</v>
          </cell>
          <cell r="O73">
            <v>28.691896847622324</v>
          </cell>
          <cell r="P73">
            <v>25.952659094981435</v>
          </cell>
          <cell r="Q73">
            <v>22.226452016545977</v>
          </cell>
          <cell r="R73">
            <v>23.314718018702955</v>
          </cell>
          <cell r="S73">
            <v>24.560650452509599</v>
          </cell>
          <cell r="T73">
            <v>25.482345456347652</v>
          </cell>
          <cell r="U73">
            <v>26.149512561906214</v>
          </cell>
          <cell r="CJ73" t="str">
            <v>NTResidentialCIMS.Generic Fuels.Fuel Oil</v>
          </cell>
        </row>
        <row r="74">
          <cell r="K74">
            <v>26.726587733652547</v>
          </cell>
          <cell r="L74">
            <v>28.685890374583696</v>
          </cell>
          <cell r="M74">
            <v>33.640923182695936</v>
          </cell>
          <cell r="N74">
            <v>33.100730235732058</v>
          </cell>
          <cell r="O74">
            <v>28.691896847622324</v>
          </cell>
          <cell r="P74">
            <v>25.952659094981435</v>
          </cell>
          <cell r="Q74">
            <v>22.226452016545977</v>
          </cell>
          <cell r="R74">
            <v>23.314718018702955</v>
          </cell>
          <cell r="S74">
            <v>24.560650452509599</v>
          </cell>
          <cell r="T74">
            <v>25.482345456347652</v>
          </cell>
          <cell r="U74">
            <v>26.149512561906214</v>
          </cell>
          <cell r="CJ74" t="str">
            <v>NUResidentialCIMS.Generic Fuels.Fuel Oil</v>
          </cell>
        </row>
        <row r="75">
          <cell r="K75">
            <v>25.642369355621323</v>
          </cell>
          <cell r="L75">
            <v>26.435086804570822</v>
          </cell>
          <cell r="M75">
            <v>29.757566392625826</v>
          </cell>
          <cell r="N75">
            <v>29.369332397468831</v>
          </cell>
          <cell r="O75">
            <v>29.497827215918605</v>
          </cell>
          <cell r="P75">
            <v>31.330043959963657</v>
          </cell>
          <cell r="Q75">
            <v>30.118184654570619</v>
          </cell>
          <cell r="R75">
            <v>31.295264809832879</v>
          </cell>
          <cell r="S75">
            <v>31.852402465146248</v>
          </cell>
          <cell r="T75">
            <v>32.078263910198217</v>
          </cell>
          <cell r="U75">
            <v>32.317994256033899</v>
          </cell>
          <cell r="CJ75" t="str">
            <v>ATResidentialCIMS.Generic Fuels.Fuel Oil</v>
          </cell>
        </row>
        <row r="76">
          <cell r="K76">
            <v>27.42749808681592</v>
          </cell>
          <cell r="L76">
            <v>29.339449859566798</v>
          </cell>
          <cell r="M76">
            <v>34.312256595513624</v>
          </cell>
          <cell r="N76">
            <v>33.600627669166997</v>
          </cell>
          <cell r="O76">
            <v>29.687137284151145</v>
          </cell>
          <cell r="P76">
            <v>27.250971134028344</v>
          </cell>
          <cell r="Q76">
            <v>23.527869380494021</v>
          </cell>
          <cell r="R76">
            <v>24.614392447177664</v>
          </cell>
          <cell r="S76">
            <v>25.85743216723634</v>
          </cell>
          <cell r="T76">
            <v>26.778218636906075</v>
          </cell>
          <cell r="U76">
            <v>27.445782214858522</v>
          </cell>
          <cell r="CJ76" t="str">
            <v>TRResidentialCIMS.Generic Fuels.Fuel Oil</v>
          </cell>
        </row>
        <row r="77">
          <cell r="K77"/>
          <cell r="L77"/>
          <cell r="M77"/>
          <cell r="N77"/>
          <cell r="O77"/>
          <cell r="P77"/>
          <cell r="Q77"/>
          <cell r="R77"/>
          <cell r="S77"/>
          <cell r="T77"/>
          <cell r="U77"/>
        </row>
        <row r="78">
          <cell r="K78"/>
          <cell r="L78"/>
          <cell r="M78"/>
          <cell r="N78"/>
          <cell r="O78"/>
          <cell r="P78"/>
          <cell r="Q78"/>
          <cell r="R78"/>
          <cell r="S78"/>
          <cell r="T78"/>
          <cell r="U78"/>
        </row>
        <row r="79">
          <cell r="K79">
            <v>27.190079892195811</v>
          </cell>
          <cell r="L79">
            <v>26.963785696839871</v>
          </cell>
          <cell r="M79">
            <v>28.393368390462001</v>
          </cell>
          <cell r="N79">
            <v>31.269592285659467</v>
          </cell>
          <cell r="O79">
            <v>35.326296662919255</v>
          </cell>
          <cell r="P79">
            <v>36.660510091988954</v>
          </cell>
          <cell r="Q79">
            <v>36.331668258888016</v>
          </cell>
          <cell r="R79">
            <v>35.449904584797224</v>
          </cell>
          <cell r="S79">
            <v>35.661950181837518</v>
          </cell>
          <cell r="T79">
            <v>37.016670862142135</v>
          </cell>
          <cell r="U79">
            <v>37.938791258828111</v>
          </cell>
          <cell r="CJ79" t="str">
            <v>CANCommercialCIMS.CAN.CAN.Electricity</v>
          </cell>
        </row>
        <row r="80">
          <cell r="K80">
            <v>19.135783438350664</v>
          </cell>
          <cell r="L80">
            <v>19.269360145063011</v>
          </cell>
          <cell r="M80">
            <v>21.325528342596947</v>
          </cell>
          <cell r="N80">
            <v>25.369479838711822</v>
          </cell>
          <cell r="O80">
            <v>26.722387283317577</v>
          </cell>
          <cell r="P80">
            <v>27.367050516941241</v>
          </cell>
          <cell r="Q80">
            <v>28.246481032146018</v>
          </cell>
          <cell r="R80">
            <v>28.775492424807592</v>
          </cell>
          <cell r="S80">
            <v>29.659042836996278</v>
          </cell>
          <cell r="T80">
            <v>31.228501103298974</v>
          </cell>
          <cell r="U80">
            <v>32.291154984180594</v>
          </cell>
          <cell r="CJ80" t="str">
            <v>BCCommercialCIMS.CAN.BC.Electricity</v>
          </cell>
        </row>
        <row r="81">
          <cell r="K81">
            <v>24.080604041653089</v>
          </cell>
          <cell r="L81">
            <v>27.234420465785952</v>
          </cell>
          <cell r="M81">
            <v>31.698536497944044</v>
          </cell>
          <cell r="N81">
            <v>30.409111748773601</v>
          </cell>
          <cell r="O81">
            <v>45.166252292875249</v>
          </cell>
          <cell r="P81">
            <v>52.812140718748324</v>
          </cell>
          <cell r="Q81">
            <v>49.949324753414416</v>
          </cell>
          <cell r="R81">
            <v>50.200013854255388</v>
          </cell>
          <cell r="S81">
            <v>52.798972216221379</v>
          </cell>
          <cell r="T81">
            <v>55.960942387634319</v>
          </cell>
          <cell r="U81">
            <v>57.490359633673613</v>
          </cell>
          <cell r="CJ81" t="str">
            <v>ABCommercialCIMS.CAN.AB.Electricity</v>
          </cell>
        </row>
        <row r="82">
          <cell r="K82">
            <v>28.610669216388409</v>
          </cell>
          <cell r="L82">
            <v>29.318708956116769</v>
          </cell>
          <cell r="M82">
            <v>31.447107115303101</v>
          </cell>
          <cell r="N82">
            <v>35.425463788697044</v>
          </cell>
          <cell r="O82">
            <v>40.867871546430038</v>
          </cell>
          <cell r="P82">
            <v>42.991182108234909</v>
          </cell>
          <cell r="Q82">
            <v>44.12300546183203</v>
          </cell>
          <cell r="R82">
            <v>44.481952894252316</v>
          </cell>
          <cell r="S82">
            <v>46.081044731496661</v>
          </cell>
          <cell r="T82">
            <v>48.588797469120379</v>
          </cell>
          <cell r="U82">
            <v>49.7256683806418</v>
          </cell>
          <cell r="CJ82" t="str">
            <v>SKCommercialCIMS.CAN.SK.Electricity</v>
          </cell>
        </row>
        <row r="83">
          <cell r="K83">
            <v>17.956337661896594</v>
          </cell>
          <cell r="L83">
            <v>17.776271874658104</v>
          </cell>
          <cell r="M83">
            <v>18.28784196311662</v>
          </cell>
          <cell r="N83">
            <v>19.968328086961261</v>
          </cell>
          <cell r="O83">
            <v>22.929044859765693</v>
          </cell>
          <cell r="P83">
            <v>24.536399564203425</v>
          </cell>
          <cell r="Q83">
            <v>25.110753853510339</v>
          </cell>
          <cell r="R83">
            <v>24.923639993700377</v>
          </cell>
          <cell r="S83">
            <v>24.660888012115812</v>
          </cell>
          <cell r="T83">
            <v>25.039680687176197</v>
          </cell>
          <cell r="U83">
            <v>25.628617304428435</v>
          </cell>
          <cell r="CJ83" t="str">
            <v>MBCommercialCIMS.CAN.MB.Electricity</v>
          </cell>
        </row>
        <row r="84">
          <cell r="K84">
            <v>35.554421814579243</v>
          </cell>
          <cell r="L84">
            <v>32.952291946390936</v>
          </cell>
          <cell r="M84">
            <v>33.173828242151011</v>
          </cell>
          <cell r="N84">
            <v>38.990899445356028</v>
          </cell>
          <cell r="O84">
            <v>42.02971648684747</v>
          </cell>
          <cell r="P84">
            <v>41.429428510510107</v>
          </cell>
          <cell r="Q84">
            <v>40.124699420457098</v>
          </cell>
          <cell r="R84">
            <v>37.151841255129945</v>
          </cell>
          <cell r="S84">
            <v>35.965019511762847</v>
          </cell>
          <cell r="T84">
            <v>36.728083029887379</v>
          </cell>
          <cell r="U84">
            <v>37.348380609069977</v>
          </cell>
          <cell r="CJ84" t="str">
            <v>ONCommercialCIMS.CAN.ON.Electricity</v>
          </cell>
        </row>
        <row r="85">
          <cell r="K85">
            <v>23.009277683232622</v>
          </cell>
          <cell r="L85">
            <v>23.542904528807053</v>
          </cell>
          <cell r="M85">
            <v>24.135783915597369</v>
          </cell>
          <cell r="N85">
            <v>24.349130690744186</v>
          </cell>
          <cell r="O85">
            <v>25.484690473880978</v>
          </cell>
          <cell r="P85">
            <v>26.744121521331365</v>
          </cell>
          <cell r="Q85">
            <v>27.488213704135543</v>
          </cell>
          <cell r="R85">
            <v>28.014934416622303</v>
          </cell>
          <cell r="S85">
            <v>28.76543085540407</v>
          </cell>
          <cell r="T85">
            <v>29.909279312034204</v>
          </cell>
          <cell r="U85">
            <v>30.722012876582301</v>
          </cell>
          <cell r="CJ85" t="str">
            <v>QCCommercialCIMS.CAN.QC.Electricity</v>
          </cell>
        </row>
        <row r="86">
          <cell r="K86">
            <v>32.249568256457501</v>
          </cell>
          <cell r="L86">
            <v>33.110962724022514</v>
          </cell>
          <cell r="M86">
            <v>34.807813800651182</v>
          </cell>
          <cell r="N86">
            <v>35.576185702580375</v>
          </cell>
          <cell r="O86">
            <v>37.275945828869709</v>
          </cell>
          <cell r="P86">
            <v>38.773866656942317</v>
          </cell>
          <cell r="Q86">
            <v>39.1003195701187</v>
          </cell>
          <cell r="R86">
            <v>37.764613815238938</v>
          </cell>
          <cell r="S86">
            <v>36.155332153537856</v>
          </cell>
          <cell r="T86">
            <v>36.580179748201331</v>
          </cell>
          <cell r="U86">
            <v>37.599396457733178</v>
          </cell>
          <cell r="CJ86" t="str">
            <v>NBCommercialCIMS.CAN.NB.Electricity</v>
          </cell>
        </row>
        <row r="87">
          <cell r="K87">
            <v>28.539902284652854</v>
          </cell>
          <cell r="L87">
            <v>30.663655399717086</v>
          </cell>
          <cell r="M87">
            <v>36.10718406463495</v>
          </cell>
          <cell r="N87">
            <v>39.212323967335806</v>
          </cell>
          <cell r="O87">
            <v>42.850626416387961</v>
          </cell>
          <cell r="P87">
            <v>45.807784723270323</v>
          </cell>
          <cell r="Q87">
            <v>46.146947975634021</v>
          </cell>
          <cell r="R87">
            <v>46.170124485532646</v>
          </cell>
          <cell r="S87">
            <v>47.294036285086499</v>
          </cell>
          <cell r="T87">
            <v>48.992052181797824</v>
          </cell>
          <cell r="U87">
            <v>49.889166489603888</v>
          </cell>
          <cell r="CJ87" t="str">
            <v>NSCommercialCIMS.CAN.NS.Electricity</v>
          </cell>
        </row>
        <row r="88">
          <cell r="K88">
            <v>35.46743280979004</v>
          </cell>
          <cell r="L88">
            <v>37.534237170729959</v>
          </cell>
          <cell r="M88">
            <v>39.964487491321783</v>
          </cell>
          <cell r="N88">
            <v>41.269632611533325</v>
          </cell>
          <cell r="O88">
            <v>45.40040713365557</v>
          </cell>
          <cell r="P88">
            <v>46.317285556608894</v>
          </cell>
          <cell r="Q88">
            <v>45.266989029693931</v>
          </cell>
          <cell r="R88">
            <v>44.576643677188017</v>
          </cell>
          <cell r="S88">
            <v>43.898281218055658</v>
          </cell>
          <cell r="T88">
            <v>42.014801503490617</v>
          </cell>
          <cell r="U88">
            <v>40.584274335816929</v>
          </cell>
          <cell r="CJ88" t="str">
            <v>PECommercialCIMS.CAN.PE.Electricity</v>
          </cell>
        </row>
        <row r="89">
          <cell r="K89">
            <v>26.413424037230829</v>
          </cell>
          <cell r="L89">
            <v>26.974198492056402</v>
          </cell>
          <cell r="M89">
            <v>28.349804768210014</v>
          </cell>
          <cell r="N89">
            <v>28.2959481041133</v>
          </cell>
          <cell r="O89">
            <v>30.652009194514381</v>
          </cell>
          <cell r="P89">
            <v>33.694356636683445</v>
          </cell>
          <cell r="Q89">
            <v>34.974422245562671</v>
          </cell>
          <cell r="R89">
            <v>35.983254761511304</v>
          </cell>
          <cell r="S89">
            <v>37.036504802472535</v>
          </cell>
          <cell r="T89">
            <v>38.404340329311125</v>
          </cell>
          <cell r="U89">
            <v>39.345714671767844</v>
          </cell>
          <cell r="CJ89" t="str">
            <v>NLCommercialCIMS.CAN.NL.Electricity</v>
          </cell>
        </row>
        <row r="90">
          <cell r="K90">
            <v>23.505125843035199</v>
          </cell>
          <cell r="L90">
            <v>23.92110461312631</v>
          </cell>
          <cell r="M90">
            <v>27.392346809883133</v>
          </cell>
          <cell r="N90">
            <v>32.751262048803476</v>
          </cell>
          <cell r="O90">
            <v>41.591681864380185</v>
          </cell>
          <cell r="P90">
            <v>46.327576132964396</v>
          </cell>
          <cell r="Q90">
            <v>48.370532403937268</v>
          </cell>
          <cell r="R90">
            <v>51.337802060514917</v>
          </cell>
          <cell r="S90">
            <v>54.56689926396556</v>
          </cell>
          <cell r="T90">
            <v>56.651127645569929</v>
          </cell>
          <cell r="U90">
            <v>57.472233263147011</v>
          </cell>
          <cell r="CJ90" t="str">
            <v>YTCommercialCIMS.CAN.YT.Electricity</v>
          </cell>
        </row>
        <row r="91">
          <cell r="K91">
            <v>28.087436073753807</v>
          </cell>
          <cell r="L91">
            <v>28.584512079327236</v>
          </cell>
          <cell r="M91">
            <v>32.732468609680033</v>
          </cell>
          <cell r="N91">
            <v>39.13610256467215</v>
          </cell>
          <cell r="O91">
            <v>42.87473287015402</v>
          </cell>
          <cell r="P91">
            <v>44.539990433945306</v>
          </cell>
          <cell r="Q91">
            <v>45.379795245139015</v>
          </cell>
          <cell r="R91">
            <v>43.919903487429764</v>
          </cell>
          <cell r="S91">
            <v>41.466833667271466</v>
          </cell>
          <cell r="T91">
            <v>41.557124774006958</v>
          </cell>
          <cell r="U91">
            <v>42.822121569297735</v>
          </cell>
          <cell r="CJ91" t="str">
            <v>NTCommercialCIMS.CAN.NT.Electricity</v>
          </cell>
        </row>
        <row r="92">
          <cell r="K92">
            <v>28.087436073753807</v>
          </cell>
          <cell r="L92">
            <v>28.584512079327236</v>
          </cell>
          <cell r="M92">
            <v>32.732468609680033</v>
          </cell>
          <cell r="N92">
            <v>39.13610256467215</v>
          </cell>
          <cell r="O92">
            <v>42.9635217745017</v>
          </cell>
          <cell r="P92">
            <v>44.644551050239066</v>
          </cell>
          <cell r="Q92">
            <v>46.007602709810101</v>
          </cell>
          <cell r="R92">
            <v>49.045061142776028</v>
          </cell>
          <cell r="S92">
            <v>54.497095627740244</v>
          </cell>
          <cell r="T92">
            <v>58.918517199829182</v>
          </cell>
          <cell r="U92">
            <v>60.302556172975478</v>
          </cell>
          <cell r="CJ92" t="str">
            <v>NUCommercialCIMS.CAN.NU.Electricity</v>
          </cell>
        </row>
        <row r="93">
          <cell r="K93">
            <v>30.667581847032803</v>
          </cell>
          <cell r="L93">
            <v>32.070763446631489</v>
          </cell>
          <cell r="M93">
            <v>34.807322531204484</v>
          </cell>
          <cell r="N93">
            <v>36.088522596390703</v>
          </cell>
          <cell r="O93">
            <v>39.044747143356908</v>
          </cell>
          <cell r="P93">
            <v>41.148323393376245</v>
          </cell>
          <cell r="Q93">
            <v>41.372169705252333</v>
          </cell>
          <cell r="R93">
            <v>41.123659184867734</v>
          </cell>
          <cell r="S93">
            <v>41.096038614788142</v>
          </cell>
          <cell r="T93">
            <v>41.497843440700223</v>
          </cell>
          <cell r="U93">
            <v>41.85463798873046</v>
          </cell>
          <cell r="CJ93" t="str">
            <v>ATCommercialCIMS.CAN.AT.Electricity</v>
          </cell>
        </row>
        <row r="94">
          <cell r="K94">
            <v>26.55999933018094</v>
          </cell>
          <cell r="L94">
            <v>27.030042923926928</v>
          </cell>
          <cell r="M94">
            <v>30.952428009747734</v>
          </cell>
          <cell r="N94">
            <v>37.007822392715923</v>
          </cell>
          <cell r="O94">
            <v>42.476645503011966</v>
          </cell>
          <cell r="P94">
            <v>45.170705872382918</v>
          </cell>
          <cell r="Q94">
            <v>46.585976786295454</v>
          </cell>
          <cell r="R94">
            <v>48.100922230240236</v>
          </cell>
          <cell r="S94">
            <v>50.176942852992426</v>
          </cell>
          <cell r="T94">
            <v>52.375589873135361</v>
          </cell>
          <cell r="U94">
            <v>53.532303668473411</v>
          </cell>
          <cell r="CJ94" t="str">
            <v>TRCommercialCIMS.CAN.TR.Electricity</v>
          </cell>
        </row>
        <row r="95">
          <cell r="K95">
            <v>11.59121821637792</v>
          </cell>
          <cell r="L95">
            <v>11.463249790136837</v>
          </cell>
          <cell r="M95">
            <v>9.7509370449252177</v>
          </cell>
          <cell r="N95">
            <v>7.5435184318205639</v>
          </cell>
          <cell r="O95">
            <v>6.8773747151767886</v>
          </cell>
          <cell r="P95">
            <v>7.4749241131706947</v>
          </cell>
          <cell r="Q95">
            <v>7.9252696427026521</v>
          </cell>
          <cell r="R95">
            <v>8.9946366506746891</v>
          </cell>
          <cell r="S95">
            <v>9.3215860603771876</v>
          </cell>
          <cell r="T95">
            <v>9.4591667980467289</v>
          </cell>
          <cell r="U95">
            <v>9.6238977305015094</v>
          </cell>
          <cell r="CJ95" t="str">
            <v>CANCommercialCIMS.Generic Fuels.Natural Gas</v>
          </cell>
        </row>
        <row r="96">
          <cell r="K96">
            <v>13.314361558458009</v>
          </cell>
          <cell r="L96">
            <v>13.789092867265344</v>
          </cell>
          <cell r="M96">
            <v>14.077540387972567</v>
          </cell>
          <cell r="N96">
            <v>11.536739970697331</v>
          </cell>
          <cell r="O96">
            <v>9.7311990352272328</v>
          </cell>
          <cell r="P96">
            <v>10.186911667748555</v>
          </cell>
          <cell r="Q96">
            <v>10.041012231501764</v>
          </cell>
          <cell r="R96">
            <v>10.856598369451778</v>
          </cell>
          <cell r="S96">
            <v>11.265663246385863</v>
          </cell>
          <cell r="T96">
            <v>11.503104680063561</v>
          </cell>
          <cell r="U96">
            <v>11.738517556429787</v>
          </cell>
          <cell r="CJ96" t="str">
            <v>BCCommercialCIMS.Generic Fuels.Natural Gas</v>
          </cell>
        </row>
        <row r="97">
          <cell r="K97">
            <v>10.752397527214427</v>
          </cell>
          <cell r="L97">
            <v>9.5684361879849789</v>
          </cell>
          <cell r="M97">
            <v>5.7148700489719797</v>
          </cell>
          <cell r="N97">
            <v>3.2818692264227729</v>
          </cell>
          <cell r="O97">
            <v>4.1192084550514689</v>
          </cell>
          <cell r="P97">
            <v>4.9238397247142665</v>
          </cell>
          <cell r="Q97">
            <v>5.5003835850664524</v>
          </cell>
          <cell r="R97">
            <v>6.6117856853690782</v>
          </cell>
          <cell r="S97">
            <v>6.9298736340074418</v>
          </cell>
          <cell r="T97">
            <v>7.0695798424120238</v>
          </cell>
          <cell r="U97">
            <v>7.2423656276574082</v>
          </cell>
          <cell r="CJ97" t="str">
            <v>ABCommercialCIMS.Generic Fuels.Natural Gas</v>
          </cell>
        </row>
        <row r="98">
          <cell r="K98">
            <v>8.0590945526712261</v>
          </cell>
          <cell r="L98">
            <v>8.6845304507506338</v>
          </cell>
          <cell r="M98">
            <v>8.4344762202655748</v>
          </cell>
          <cell r="N98">
            <v>7.2939382447805059</v>
          </cell>
          <cell r="O98">
            <v>6.8061160082647207</v>
          </cell>
          <cell r="P98">
            <v>7.652440862889927</v>
          </cell>
          <cell r="Q98">
            <v>8.1112998897092865</v>
          </cell>
          <cell r="R98">
            <v>9.214073453161955</v>
          </cell>
          <cell r="S98">
            <v>9.559191279305427</v>
          </cell>
          <cell r="T98">
            <v>9.7294234430060857</v>
          </cell>
          <cell r="U98">
            <v>9.9223874452813465</v>
          </cell>
          <cell r="CJ98" t="str">
            <v>SKCommercialCIMS.Generic Fuels.Natural Gas</v>
          </cell>
        </row>
        <row r="99">
          <cell r="K99">
            <v>11.360207099414906</v>
          </cell>
          <cell r="L99">
            <v>10.84646012430184</v>
          </cell>
          <cell r="M99">
            <v>8.2617421220357077</v>
          </cell>
          <cell r="N99">
            <v>6.5454738592131987</v>
          </cell>
          <cell r="O99">
            <v>6.7569169272702725</v>
          </cell>
          <cell r="P99">
            <v>7.2670720847166415</v>
          </cell>
          <cell r="Q99">
            <v>7.7596141800224894</v>
          </cell>
          <cell r="R99">
            <v>8.8611870613426049</v>
          </cell>
          <cell r="S99">
            <v>9.1946983192518843</v>
          </cell>
          <cell r="T99">
            <v>9.3536243761978195</v>
          </cell>
          <cell r="U99">
            <v>9.5399634063892069</v>
          </cell>
          <cell r="CJ99" t="str">
            <v>MBCommercialCIMS.Generic Fuels.Natural Gas</v>
          </cell>
        </row>
        <row r="100">
          <cell r="K100">
            <v>11.955812285391099</v>
          </cell>
          <cell r="L100">
            <v>11.995293587329812</v>
          </cell>
          <cell r="M100">
            <v>10.112081568066019</v>
          </cell>
          <cell r="N100">
            <v>7.7839616603473001</v>
          </cell>
          <cell r="O100">
            <v>7.1026616789505264</v>
          </cell>
          <cell r="P100">
            <v>7.5873929326244518</v>
          </cell>
          <cell r="Q100">
            <v>8.099948235133926</v>
          </cell>
          <cell r="R100">
            <v>9.2032510721760783</v>
          </cell>
          <cell r="S100">
            <v>9.5322973706415794</v>
          </cell>
          <cell r="T100">
            <v>9.6866583117141758</v>
          </cell>
          <cell r="U100">
            <v>9.8701145702356108</v>
          </cell>
          <cell r="CJ100" t="str">
            <v>ONCommercialCIMS.Generic Fuels.Natural Gas</v>
          </cell>
        </row>
        <row r="101">
          <cell r="K101">
            <v>13.426521794052141</v>
          </cell>
          <cell r="L101">
            <v>13.939195215001655</v>
          </cell>
          <cell r="M101">
            <v>12.896745321804111</v>
          </cell>
          <cell r="N101">
            <v>11.58073481060069</v>
          </cell>
          <cell r="O101">
            <v>11.038182062905143</v>
          </cell>
          <cell r="P101">
            <v>11.222135983449503</v>
          </cell>
          <cell r="Q101">
            <v>11.959251046901276</v>
          </cell>
          <cell r="R101">
            <v>13.016180596745411</v>
          </cell>
          <cell r="S101">
            <v>13.370720434901717</v>
          </cell>
          <cell r="T101">
            <v>13.555834503263616</v>
          </cell>
          <cell r="U101">
            <v>13.76046184369665</v>
          </cell>
          <cell r="CJ101" t="str">
            <v>QCCommercialCIMS.Generic Fuels.Natural Gas</v>
          </cell>
        </row>
        <row r="102">
          <cell r="K102">
            <v>12.334270942641126</v>
          </cell>
          <cell r="L102">
            <v>10.960597752034925</v>
          </cell>
          <cell r="M102">
            <v>10.472022230605873</v>
          </cell>
          <cell r="N102">
            <v>11.132880952774647</v>
          </cell>
          <cell r="O102">
            <v>11.63693397337585</v>
          </cell>
          <cell r="P102">
            <v>12.509974925974616</v>
          </cell>
          <cell r="Q102">
            <v>13.019537141337132</v>
          </cell>
          <cell r="R102">
            <v>14.113060294268564</v>
          </cell>
          <cell r="S102">
            <v>14.432031554789166</v>
          </cell>
          <cell r="T102">
            <v>14.582573058363172</v>
          </cell>
          <cell r="U102">
            <v>14.766646173427048</v>
          </cell>
          <cell r="CJ102" t="str">
            <v>NBCommercialCIMS.Generic Fuels.Natural Gas</v>
          </cell>
        </row>
        <row r="103">
          <cell r="K103">
            <v>17.439129379946706</v>
          </cell>
          <cell r="L103">
            <v>16.731424049916001</v>
          </cell>
          <cell r="M103">
            <v>14.568713248885926</v>
          </cell>
          <cell r="N103">
            <v>15.160372908593057</v>
          </cell>
          <cell r="O103">
            <v>14.941244130606792</v>
          </cell>
          <cell r="P103">
            <v>16.050714982967101</v>
          </cell>
          <cell r="Q103">
            <v>16.549176865168505</v>
          </cell>
          <cell r="R103">
            <v>17.635440960392657</v>
          </cell>
          <cell r="S103">
            <v>17.94969508869632</v>
          </cell>
          <cell r="T103">
            <v>18.100001518397779</v>
          </cell>
          <cell r="U103">
            <v>18.28602224368149</v>
          </cell>
          <cell r="CJ103" t="str">
            <v>NSCommercialCIMS.Generic Fuels.Natural Gas</v>
          </cell>
        </row>
        <row r="104">
          <cell r="K104">
            <v>12.899221916780078</v>
          </cell>
          <cell r="L104">
            <v>11.46632130536524</v>
          </cell>
          <cell r="M104">
            <v>10.780530393763259</v>
          </cell>
          <cell r="N104">
            <v>10.545116132423518</v>
          </cell>
          <cell r="O104">
            <v>8.2868529985876282</v>
          </cell>
          <cell r="P104">
            <v>6.1595364765268332</v>
          </cell>
          <cell r="Q104">
            <v>4.3223838183659291</v>
          </cell>
          <cell r="R104">
            <v>5.3280200065636123</v>
          </cell>
          <cell r="S104">
            <v>6.2840375464458491</v>
          </cell>
          <cell r="T104">
            <v>7.074186414261872</v>
          </cell>
          <cell r="U104">
            <v>7.649249550513451</v>
          </cell>
          <cell r="CJ104" t="str">
            <v>PECommercialCIMS.Generic Fuels.Natural Gas</v>
          </cell>
        </row>
        <row r="105">
          <cell r="K105">
            <v>12.457726652589045</v>
          </cell>
          <cell r="L105">
            <v>11.070304145158902</v>
          </cell>
          <cell r="M105">
            <v>10.576838392427026</v>
          </cell>
          <cell r="N105">
            <v>11.062960636170832</v>
          </cell>
          <cell r="O105">
            <v>8.6573974066756687</v>
          </cell>
          <cell r="P105">
            <v>6.5205967109662435</v>
          </cell>
          <cell r="Q105">
            <v>4.6731477065052536</v>
          </cell>
          <cell r="R105">
            <v>5.6840907446001427</v>
          </cell>
          <cell r="S105">
            <v>6.6487426517389947</v>
          </cell>
          <cell r="T105">
            <v>7.4462489465840349</v>
          </cell>
          <cell r="U105">
            <v>8.024944036967673</v>
          </cell>
          <cell r="CJ105" t="str">
            <v>NLCommercialCIMS.Generic Fuels.Natural Gas</v>
          </cell>
        </row>
        <row r="106">
          <cell r="K106">
            <v>13.270170039329601</v>
          </cell>
          <cell r="L106">
            <v>13.447374217141299</v>
          </cell>
          <cell r="M106">
            <v>12.384843689522913</v>
          </cell>
          <cell r="N106">
            <v>8.7110652975049376</v>
          </cell>
          <cell r="O106">
            <v>5.9265824036505919</v>
          </cell>
          <cell r="P106">
            <v>4.5776750431331514</v>
          </cell>
          <cell r="Q106">
            <v>2.7310770872423982</v>
          </cell>
          <cell r="R106">
            <v>3.7453052225998826</v>
          </cell>
          <cell r="S106">
            <v>4.7134422296500018</v>
          </cell>
          <cell r="T106">
            <v>5.5121271731294428</v>
          </cell>
          <cell r="U106">
            <v>6.0904802922735009</v>
          </cell>
          <cell r="CJ106" t="str">
            <v>YTCommercialCIMS.Generic Fuels.Natural Gas</v>
          </cell>
        </row>
        <row r="107">
          <cell r="K107">
            <v>13.379498227803234</v>
          </cell>
          <cell r="L107">
            <v>13.558162327506865</v>
          </cell>
          <cell r="M107">
            <v>12.486877990597556</v>
          </cell>
          <cell r="N107">
            <v>8.9363991408636245</v>
          </cell>
          <cell r="O107">
            <v>8.5858086584148854</v>
          </cell>
          <cell r="P107">
            <v>9.5904035262796281</v>
          </cell>
          <cell r="Q107">
            <v>8.7690376505269185</v>
          </cell>
          <cell r="R107">
            <v>8.587246760174585</v>
          </cell>
          <cell r="S107">
            <v>8.1157345000760124</v>
          </cell>
          <cell r="T107">
            <v>8.0411561899242976</v>
          </cell>
          <cell r="U107">
            <v>8.1903578206454135</v>
          </cell>
          <cell r="CJ107" t="str">
            <v>NTCommercialCIMS.Generic Fuels.Natural Gas</v>
          </cell>
        </row>
        <row r="108">
          <cell r="K108">
            <v>13.379498227803234</v>
          </cell>
          <cell r="L108">
            <v>13.558162327506865</v>
          </cell>
          <cell r="M108">
            <v>12.486877990597556</v>
          </cell>
          <cell r="N108">
            <v>8.782832651339076</v>
          </cell>
          <cell r="O108">
            <v>5.9875129160382805</v>
          </cell>
          <cell r="P108">
            <v>4.642961348855847</v>
          </cell>
          <cell r="Q108">
            <v>2.794052164080723</v>
          </cell>
          <cell r="R108">
            <v>3.8095022107122469</v>
          </cell>
          <cell r="S108">
            <v>4.7796119731373414</v>
          </cell>
          <cell r="T108">
            <v>5.5799631646393895</v>
          </cell>
          <cell r="U108">
            <v>6.1591312072267836</v>
          </cell>
          <cell r="CJ108" t="str">
            <v>NUCommercialCIMS.Generic Fuels.Natural Gas</v>
          </cell>
        </row>
        <row r="109">
          <cell r="K109">
            <v>13.782587222989239</v>
          </cell>
          <cell r="L109">
            <v>12.557161813118766</v>
          </cell>
          <cell r="M109">
            <v>11.599526066420522</v>
          </cell>
          <cell r="N109">
            <v>11.975332657490512</v>
          </cell>
          <cell r="O109">
            <v>10.880607127311485</v>
          </cell>
          <cell r="P109">
            <v>10.310205774108699</v>
          </cell>
          <cell r="Q109">
            <v>9.6410613828442049</v>
          </cell>
          <cell r="R109">
            <v>10.690153001456244</v>
          </cell>
          <cell r="S109">
            <v>11.328626710417582</v>
          </cell>
          <cell r="T109">
            <v>11.800752484401714</v>
          </cell>
          <cell r="U109">
            <v>12.181715501147416</v>
          </cell>
          <cell r="CJ109" t="str">
            <v>ATCommercialCIMS.Generic Fuels.Natural Gas</v>
          </cell>
        </row>
        <row r="110">
          <cell r="K110">
            <v>13.343055498312024</v>
          </cell>
          <cell r="L110">
            <v>13.52123295738501</v>
          </cell>
          <cell r="M110">
            <v>12.452866556906008</v>
          </cell>
          <cell r="N110">
            <v>8.8100990299025455</v>
          </cell>
          <cell r="O110">
            <v>6.8333013260345865</v>
          </cell>
          <cell r="P110">
            <v>6.2703466394228755</v>
          </cell>
          <cell r="Q110">
            <v>4.7647223006166799</v>
          </cell>
          <cell r="R110">
            <v>5.3806847311622379</v>
          </cell>
          <cell r="S110">
            <v>5.8695962342877861</v>
          </cell>
          <cell r="T110">
            <v>6.3777488425643769</v>
          </cell>
          <cell r="U110">
            <v>6.8133231067152336</v>
          </cell>
          <cell r="CJ110" t="str">
            <v>TRCommercialCIMS.Generic Fuels.Natural Gas</v>
          </cell>
        </row>
        <row r="111">
          <cell r="K111">
            <v>22.421409665709831</v>
          </cell>
          <cell r="L111">
            <v>23.828700579295074</v>
          </cell>
          <cell r="M111">
            <v>28.072668755340519</v>
          </cell>
          <cell r="N111">
            <v>28.627038870068006</v>
          </cell>
          <cell r="O111">
            <v>29.462703661661177</v>
          </cell>
          <cell r="P111">
            <v>30.54662686425154</v>
          </cell>
          <cell r="Q111">
            <v>29.690322019403805</v>
          </cell>
          <cell r="R111">
            <v>30.261668083110809</v>
          </cell>
          <cell r="S111">
            <v>29.735894596020483</v>
          </cell>
          <cell r="T111">
            <v>28.802292406529769</v>
          </cell>
          <cell r="U111">
            <v>28.426389006284545</v>
          </cell>
          <cell r="CJ111" t="str">
            <v>CANCommercialCIMS.Generic Fuels.Fuel Oil</v>
          </cell>
        </row>
        <row r="112">
          <cell r="K112">
            <v>26.936170298325582</v>
          </cell>
          <cell r="L112">
            <v>27.914891424117947</v>
          </cell>
          <cell r="M112">
            <v>32.136003380807558</v>
          </cell>
          <cell r="N112">
            <v>33.619355232542979</v>
          </cell>
          <cell r="O112">
            <v>31.629728655717315</v>
          </cell>
          <cell r="P112">
            <v>29.203317198907651</v>
          </cell>
          <cell r="Q112">
            <v>25.082015361754678</v>
          </cell>
          <cell r="R112">
            <v>26.139955461255987</v>
          </cell>
          <cell r="S112">
            <v>27.35851361962979</v>
          </cell>
          <cell r="T112">
            <v>28.272967732305588</v>
          </cell>
          <cell r="U112">
            <v>28.942852875014097</v>
          </cell>
          <cell r="CJ112" t="str">
            <v>BCCommercialCIMS.Generic Fuels.Fuel Oil</v>
          </cell>
        </row>
        <row r="113">
          <cell r="K113">
            <v>22.985937282118915</v>
          </cell>
          <cell r="L113">
            <v>24.573836637967762</v>
          </cell>
          <cell r="M113">
            <v>27.969037480636981</v>
          </cell>
          <cell r="N113">
            <v>28.087613634632625</v>
          </cell>
          <cell r="O113">
            <v>28.042142016850992</v>
          </cell>
          <cell r="P113">
            <v>28.701604779065722</v>
          </cell>
          <cell r="Q113">
            <v>27.891242705848413</v>
          </cell>
          <cell r="R113">
            <v>27.962119866587329</v>
          </cell>
          <cell r="S113">
            <v>26.531111325453434</v>
          </cell>
          <cell r="T113">
            <v>24.663655608912286</v>
          </cell>
          <cell r="U113">
            <v>23.841440795812218</v>
          </cell>
          <cell r="CJ113" t="str">
            <v>ABCommercialCIMS.Generic Fuels.Fuel Oil</v>
          </cell>
        </row>
        <row r="114">
          <cell r="K114">
            <v>23.076665826134303</v>
          </cell>
          <cell r="L114">
            <v>24.670832831408578</v>
          </cell>
          <cell r="M114">
            <v>28.079434982247847</v>
          </cell>
          <cell r="N114">
            <v>27.578216940465182</v>
          </cell>
          <cell r="O114">
            <v>27.675006697516373</v>
          </cell>
          <cell r="P114">
            <v>27.970167313467098</v>
          </cell>
          <cell r="Q114">
            <v>24.630160196541048</v>
          </cell>
          <cell r="R114">
            <v>23.307770924941376</v>
          </cell>
          <cell r="S114">
            <v>22.450851401759575</v>
          </cell>
          <cell r="T114">
            <v>22.33962104761553</v>
          </cell>
          <cell r="U114">
            <v>22.699379786827123</v>
          </cell>
          <cell r="CJ114" t="str">
            <v>SKCommercialCIMS.Generic Fuels.Fuel Oil</v>
          </cell>
        </row>
        <row r="115">
          <cell r="K115">
            <v>22.376930441986417</v>
          </cell>
          <cell r="L115">
            <v>23.658920554274758</v>
          </cell>
          <cell r="M115">
            <v>27.49904843640541</v>
          </cell>
          <cell r="N115">
            <v>27.013658605902904</v>
          </cell>
          <cell r="O115">
            <v>24.22523752483805</v>
          </cell>
          <cell r="P115">
            <v>22.149605504121613</v>
          </cell>
          <cell r="Q115">
            <v>18.512278972343431</v>
          </cell>
          <cell r="R115">
            <v>19.618238723428131</v>
          </cell>
          <cell r="S115">
            <v>20.858205585546607</v>
          </cell>
          <cell r="T115">
            <v>21.779882745054532</v>
          </cell>
          <cell r="U115">
            <v>22.450654225547559</v>
          </cell>
          <cell r="CJ115" t="str">
            <v>MBCommercialCIMS.Generic Fuels.Fuel Oil</v>
          </cell>
        </row>
        <row r="116">
          <cell r="K116">
            <v>22.076027614543179</v>
          </cell>
          <cell r="L116">
            <v>23.515490972977851</v>
          </cell>
          <cell r="M116">
            <v>28.870075922027851</v>
          </cell>
          <cell r="N116">
            <v>31.116162350071551</v>
          </cell>
          <cell r="O116">
            <v>33.322208195426526</v>
          </cell>
          <cell r="P116">
            <v>35.570733772720523</v>
          </cell>
          <cell r="Q116">
            <v>35.255701123223524</v>
          </cell>
          <cell r="R116">
            <v>36.472432486201264</v>
          </cell>
          <cell r="S116">
            <v>36.795066671782251</v>
          </cell>
          <cell r="T116">
            <v>36.801440308218453</v>
          </cell>
          <cell r="U116">
            <v>36.915397206736984</v>
          </cell>
          <cell r="CJ116" t="str">
            <v>ONCommercialCIMS.Generic Fuels.Fuel Oil</v>
          </cell>
        </row>
        <row r="117">
          <cell r="K117">
            <v>19.861030025639288</v>
          </cell>
          <cell r="L117">
            <v>21.219361114324201</v>
          </cell>
          <cell r="M117">
            <v>25.548457723014259</v>
          </cell>
          <cell r="N117">
            <v>26.813395730432724</v>
          </cell>
          <cell r="O117">
            <v>27.453444805530506</v>
          </cell>
          <cell r="P117">
            <v>29.453021405566854</v>
          </cell>
          <cell r="Q117">
            <v>29.777394896105669</v>
          </cell>
          <cell r="R117">
            <v>30.953692908094062</v>
          </cell>
          <cell r="S117">
            <v>31.279193872556419</v>
          </cell>
          <cell r="T117">
            <v>31.281789291070851</v>
          </cell>
          <cell r="U117">
            <v>31.390558822664765</v>
          </cell>
          <cell r="CJ117" t="str">
            <v>QCCommercialCIMS.Generic Fuels.Fuel Oil</v>
          </cell>
        </row>
        <row r="118">
          <cell r="K118">
            <v>23.352199579297686</v>
          </cell>
          <cell r="L118">
            <v>24.26145320616498</v>
          </cell>
          <cell r="M118">
            <v>27.637026578705836</v>
          </cell>
          <cell r="N118">
            <v>27.829222088071802</v>
          </cell>
          <cell r="O118">
            <v>29.188707886047247</v>
          </cell>
          <cell r="P118">
            <v>31.729100774649925</v>
          </cell>
          <cell r="Q118">
            <v>31.505303970911164</v>
          </cell>
          <cell r="R118">
            <v>32.730102518726994</v>
          </cell>
          <cell r="S118">
            <v>33.034464392308777</v>
          </cell>
          <cell r="T118">
            <v>33.019593434886744</v>
          </cell>
          <cell r="U118">
            <v>33.119453801487808</v>
          </cell>
          <cell r="CJ118" t="str">
            <v>NBCommercialCIMS.Generic Fuels.Fuel Oil</v>
          </cell>
        </row>
        <row r="119">
          <cell r="K119">
            <v>23.373394201446949</v>
          </cell>
          <cell r="L119">
            <v>24.616029690494301</v>
          </cell>
          <cell r="M119">
            <v>28.515714765194748</v>
          </cell>
          <cell r="N119">
            <v>28.512825107876854</v>
          </cell>
          <cell r="O119">
            <v>28.984774065530527</v>
          </cell>
          <cell r="P119">
            <v>32.066183469324926</v>
          </cell>
          <cell r="Q119">
            <v>31.328741043247305</v>
          </cell>
          <cell r="R119">
            <v>31.551603551221554</v>
          </cell>
          <cell r="S119">
            <v>30.262744023598493</v>
          </cell>
          <cell r="T119">
            <v>28.417141427099757</v>
          </cell>
          <cell r="U119">
            <v>27.548437984153388</v>
          </cell>
          <cell r="CJ119" t="str">
            <v>NSCommercialCIMS.Generic Fuels.Fuel Oil</v>
          </cell>
        </row>
        <row r="120">
          <cell r="K120">
            <v>21.680526188920158</v>
          </cell>
          <cell r="L120">
            <v>22.655719420428074</v>
          </cell>
          <cell r="M120">
            <v>26.263991822920079</v>
          </cell>
          <cell r="N120">
            <v>25.817306726693328</v>
          </cell>
          <cell r="O120">
            <v>25.810717621173907</v>
          </cell>
          <cell r="P120">
            <v>27.003087795666094</v>
          </cell>
          <cell r="Q120">
            <v>23.911469079800987</v>
          </cell>
          <cell r="R120">
            <v>22.71042702516878</v>
          </cell>
          <cell r="S120">
            <v>21.765765582151275</v>
          </cell>
          <cell r="T120">
            <v>21.542409464018615</v>
          </cell>
          <cell r="U120">
            <v>21.850016475040896</v>
          </cell>
          <cell r="CJ120" t="str">
            <v>PECommercialCIMS.Generic Fuels.Fuel Oil</v>
          </cell>
        </row>
        <row r="121">
          <cell r="K121">
            <v>22.292944674843259</v>
          </cell>
          <cell r="L121">
            <v>23.403652070629015</v>
          </cell>
          <cell r="M121">
            <v>26.447387675541268</v>
          </cell>
          <cell r="N121">
            <v>25.17632668465648</v>
          </cell>
          <cell r="O121">
            <v>22.89044295670211</v>
          </cell>
          <cell r="P121">
            <v>21.322975558117715</v>
          </cell>
          <cell r="Q121">
            <v>17.672659575884644</v>
          </cell>
          <cell r="R121">
            <v>18.778312609047244</v>
          </cell>
          <cell r="S121">
            <v>20.021744774079838</v>
          </cell>
          <cell r="T121">
            <v>20.94430286039853</v>
          </cell>
          <cell r="U121">
            <v>21.614286413577872</v>
          </cell>
          <cell r="CJ121" t="str">
            <v>NLCommercialCIMS.Generic Fuels.Fuel Oil</v>
          </cell>
        </row>
        <row r="122">
          <cell r="K122">
            <v>26.943299438561063</v>
          </cell>
          <cell r="L122">
            <v>28.824499373129402</v>
          </cell>
          <cell r="M122">
            <v>33.879469687313978</v>
          </cell>
          <cell r="N122">
            <v>32.952783694747112</v>
          </cell>
          <cell r="O122">
            <v>30.063074740144025</v>
          </cell>
          <cell r="P122">
            <v>28.184613467586818</v>
          </cell>
          <cell r="Q122">
            <v>24.531632510424309</v>
          </cell>
          <cell r="R122">
            <v>25.625624992934444</v>
          </cell>
          <cell r="S122">
            <v>26.85658248099994</v>
          </cell>
          <cell r="T122">
            <v>27.774859348169446</v>
          </cell>
          <cell r="U122">
            <v>28.446009965456973</v>
          </cell>
          <cell r="CJ122" t="str">
            <v>YTCommercialCIMS.Generic Fuels.Fuel Oil</v>
          </cell>
        </row>
        <row r="123">
          <cell r="K123">
            <v>24.978106657966688</v>
          </cell>
          <cell r="L123">
            <v>26.983695284186947</v>
          </cell>
          <cell r="M123">
            <v>31.967101319655303</v>
          </cell>
          <cell r="N123">
            <v>31.52450656171683</v>
          </cell>
          <cell r="O123">
            <v>27.219531221230255</v>
          </cell>
          <cell r="P123">
            <v>24.475152613916979</v>
          </cell>
          <cell r="Q123">
            <v>20.81329945290684</v>
          </cell>
          <cell r="R123">
            <v>21.912270185718842</v>
          </cell>
          <cell r="S123">
            <v>23.151490882350533</v>
          </cell>
          <cell r="T123">
            <v>24.072364108100171</v>
          </cell>
          <cell r="U123">
            <v>24.742382189225552</v>
          </cell>
          <cell r="CJ123" t="str">
            <v>NTCommercialCIMS.Generic Fuels.Fuel Oil</v>
          </cell>
        </row>
        <row r="124">
          <cell r="K124">
            <v>24.978106657966688</v>
          </cell>
          <cell r="L124">
            <v>26.983695284186947</v>
          </cell>
          <cell r="M124">
            <v>31.967101319655303</v>
          </cell>
          <cell r="N124">
            <v>31.52450656171683</v>
          </cell>
          <cell r="O124">
            <v>27.219531221230255</v>
          </cell>
          <cell r="P124">
            <v>24.475152613916979</v>
          </cell>
          <cell r="Q124">
            <v>20.81329945290684</v>
          </cell>
          <cell r="R124">
            <v>21.912270185718842</v>
          </cell>
          <cell r="S124">
            <v>23.151490882350533</v>
          </cell>
          <cell r="T124">
            <v>24.072364108100171</v>
          </cell>
          <cell r="U124">
            <v>24.742382189225552</v>
          </cell>
          <cell r="CJ124" t="str">
            <v>NUCommercialCIMS.Generic Fuels.Fuel Oil</v>
          </cell>
        </row>
        <row r="125">
          <cell r="K125">
            <v>22.67476616112701</v>
          </cell>
          <cell r="L125">
            <v>23.734213596929095</v>
          </cell>
          <cell r="M125">
            <v>27.216030210590482</v>
          </cell>
          <cell r="N125">
            <v>26.833920151824614</v>
          </cell>
          <cell r="O125">
            <v>26.718660632363445</v>
          </cell>
          <cell r="P125">
            <v>28.030336899439664</v>
          </cell>
          <cell r="Q125">
            <v>26.104543417461024</v>
          </cell>
          <cell r="R125">
            <v>26.442611426041143</v>
          </cell>
          <cell r="S125">
            <v>26.271179693034593</v>
          </cell>
          <cell r="T125">
            <v>25.980861796600912</v>
          </cell>
          <cell r="U125">
            <v>26.033048668564991</v>
          </cell>
          <cell r="CJ125" t="str">
            <v>ATCommercialCIMS.Generic Fuels.Fuel Oil</v>
          </cell>
        </row>
        <row r="126">
          <cell r="K126">
            <v>25.633170918164812</v>
          </cell>
          <cell r="L126">
            <v>27.597296647167767</v>
          </cell>
          <cell r="M126">
            <v>32.604557442208197</v>
          </cell>
          <cell r="N126">
            <v>32.000598939393591</v>
          </cell>
          <cell r="O126">
            <v>28.167379060868182</v>
          </cell>
          <cell r="P126">
            <v>25.71163956514026</v>
          </cell>
          <cell r="Q126">
            <v>22.052743805412661</v>
          </cell>
          <cell r="R126">
            <v>23.150055121457374</v>
          </cell>
          <cell r="S126">
            <v>24.38652141523367</v>
          </cell>
          <cell r="T126">
            <v>25.306529188123264</v>
          </cell>
          <cell r="U126">
            <v>25.976924781302689</v>
          </cell>
          <cell r="CJ126" t="str">
            <v>TRCommercialCIMS.Generic Fuels.Fuel Oil</v>
          </cell>
        </row>
        <row r="127">
          <cell r="K127"/>
          <cell r="L127"/>
          <cell r="M127"/>
          <cell r="N127"/>
          <cell r="O127"/>
          <cell r="P127"/>
          <cell r="Q127"/>
          <cell r="R127"/>
          <cell r="S127"/>
          <cell r="T127"/>
          <cell r="U127"/>
        </row>
        <row r="128">
          <cell r="K128"/>
          <cell r="L128"/>
          <cell r="M128"/>
          <cell r="N128"/>
          <cell r="O128"/>
          <cell r="P128"/>
          <cell r="Q128"/>
          <cell r="R128"/>
          <cell r="S128"/>
          <cell r="T128"/>
          <cell r="U128"/>
        </row>
        <row r="129">
          <cell r="K129">
            <v>17.618026960024533</v>
          </cell>
          <cell r="L129">
            <v>18.815386840027468</v>
          </cell>
          <cell r="M129">
            <v>22.033313935052771</v>
          </cell>
          <cell r="N129">
            <v>23.264219178285909</v>
          </cell>
          <cell r="O129">
            <v>26.530494424587996</v>
          </cell>
          <cell r="P129">
            <v>28.417926549672771</v>
          </cell>
          <cell r="Q129">
            <v>28.141302030480507</v>
          </cell>
          <cell r="R129">
            <v>27.967331442720358</v>
          </cell>
          <cell r="S129">
            <v>28.697089370933409</v>
          </cell>
          <cell r="T129">
            <v>30.210761860784075</v>
          </cell>
          <cell r="U129">
            <v>31.124683888035626</v>
          </cell>
          <cell r="CJ129" t="str">
            <v>CANIndustrialCIMS.CAN.CAN.Electricity</v>
          </cell>
        </row>
        <row r="130">
          <cell r="K130">
            <v>15.331842873370606</v>
          </cell>
          <cell r="L130">
            <v>15.986534027768494</v>
          </cell>
          <cell r="M130">
            <v>18.470583026907441</v>
          </cell>
          <cell r="N130">
            <v>21.980991530136937</v>
          </cell>
          <cell r="O130">
            <v>23.075758832968862</v>
          </cell>
          <cell r="P130">
            <v>23.719055354155085</v>
          </cell>
          <cell r="Q130">
            <v>24.669898629361672</v>
          </cell>
          <cell r="R130">
            <v>25.207127354518075</v>
          </cell>
          <cell r="S130">
            <v>26.098276787114962</v>
          </cell>
          <cell r="T130">
            <v>27.66957470347079</v>
          </cell>
          <cell r="U130">
            <v>28.732272416708305</v>
          </cell>
          <cell r="CJ130" t="str">
            <v>BCIndustrialCIMS.CAN.BC.Electricity</v>
          </cell>
        </row>
        <row r="131">
          <cell r="K131">
            <v>19.956853847056912</v>
          </cell>
          <cell r="L131">
            <v>22.613406917536317</v>
          </cell>
          <cell r="M131">
            <v>27.161814210249123</v>
          </cell>
          <cell r="N131">
            <v>25.830849109434062</v>
          </cell>
          <cell r="O131">
            <v>38.572017470744477</v>
          </cell>
          <cell r="P131">
            <v>45.397319762577744</v>
          </cell>
          <cell r="Q131">
            <v>42.746994468392501</v>
          </cell>
          <cell r="R131">
            <v>43.014228596652309</v>
          </cell>
          <cell r="S131">
            <v>45.628480842321622</v>
          </cell>
          <cell r="T131">
            <v>48.794138558298407</v>
          </cell>
          <cell r="U131">
            <v>50.323631020603706</v>
          </cell>
          <cell r="CJ131" t="str">
            <v>ABIndustrialCIMS.CAN.AB.Electricity</v>
          </cell>
        </row>
        <row r="132">
          <cell r="K132">
            <v>18.861088891072775</v>
          </cell>
          <cell r="L132">
            <v>20.455503559404004</v>
          </cell>
          <cell r="M132">
            <v>23.314404838961256</v>
          </cell>
          <cell r="N132">
            <v>26.361862855923565</v>
          </cell>
          <cell r="O132">
            <v>30.775754951604259</v>
          </cell>
          <cell r="P132">
            <v>32.659045247282364</v>
          </cell>
          <cell r="Q132">
            <v>33.788649667609207</v>
          </cell>
          <cell r="R132">
            <v>34.171335716947794</v>
          </cell>
          <cell r="S132">
            <v>35.792377397373215</v>
          </cell>
          <cell r="T132">
            <v>38.30543836622504</v>
          </cell>
          <cell r="U132">
            <v>39.442433769220223</v>
          </cell>
          <cell r="CJ132" t="str">
            <v>SKIndustrialCIMS.CAN.SK.Electricity</v>
          </cell>
        </row>
        <row r="133">
          <cell r="K133">
            <v>12.15132434528569</v>
          </cell>
          <cell r="L133">
            <v>12.545130279703427</v>
          </cell>
          <cell r="M133">
            <v>13.382016937670649</v>
          </cell>
          <cell r="N133">
            <v>14.422626425461603</v>
          </cell>
          <cell r="O133">
            <v>16.514825039075177</v>
          </cell>
          <cell r="P133">
            <v>17.81333365832954</v>
          </cell>
          <cell r="Q133">
            <v>18.427340050066743</v>
          </cell>
          <cell r="R133">
            <v>18.255583430006975</v>
          </cell>
          <cell r="S133">
            <v>18.007028222035689</v>
          </cell>
          <cell r="T133">
            <v>18.389255590839941</v>
          </cell>
          <cell r="U133">
            <v>18.978272870328372</v>
          </cell>
          <cell r="CJ133" t="str">
            <v>MBIndustrialCIMS.CAN.MB.Electricity</v>
          </cell>
        </row>
        <row r="134">
          <cell r="K134">
            <v>26.933596504870128</v>
          </cell>
          <cell r="L134">
            <v>27.002777528398024</v>
          </cell>
          <cell r="M134">
            <v>30.663680789064887</v>
          </cell>
          <cell r="N134">
            <v>35.218095752261938</v>
          </cell>
          <cell r="O134">
            <v>34.976001412879071</v>
          </cell>
          <cell r="P134">
            <v>33.910764984494698</v>
          </cell>
          <cell r="Q134">
            <v>32.357479337158871</v>
          </cell>
          <cell r="R134">
            <v>29.402466318240553</v>
          </cell>
          <cell r="S134">
            <v>28.232143702067763</v>
          </cell>
          <cell r="T134">
            <v>28.999200482732846</v>
          </cell>
          <cell r="U134">
            <v>29.619593340140092</v>
          </cell>
          <cell r="CJ134" t="str">
            <v>ONIndustrialCIMS.CAN.ON.Electricity</v>
          </cell>
        </row>
        <row r="135">
          <cell r="K135">
            <v>13.451264344575005</v>
          </cell>
          <cell r="L135">
            <v>14.631685341303324</v>
          </cell>
          <cell r="M135">
            <v>16.006314149288205</v>
          </cell>
          <cell r="N135">
            <v>15.962007187545007</v>
          </cell>
          <cell r="O135">
            <v>16.526753391897429</v>
          </cell>
          <cell r="P135">
            <v>17.545175886663277</v>
          </cell>
          <cell r="Q135">
            <v>18.369576691675487</v>
          </cell>
          <cell r="R135">
            <v>18.917247315471645</v>
          </cell>
          <cell r="S135">
            <v>19.687112246657708</v>
          </cell>
          <cell r="T135">
            <v>20.835646633487791</v>
          </cell>
          <cell r="U135">
            <v>21.648489994904129</v>
          </cell>
          <cell r="CJ135" t="str">
            <v>QCIndustrialCIMS.CAN.QC.Electricity</v>
          </cell>
        </row>
        <row r="136">
          <cell r="K136">
            <v>17.308990016520443</v>
          </cell>
          <cell r="L136">
            <v>19.411994843570493</v>
          </cell>
          <cell r="M136">
            <v>22.652738737635453</v>
          </cell>
          <cell r="N136">
            <v>23.404682850074195</v>
          </cell>
          <cell r="O136">
            <v>24.998723454646115</v>
          </cell>
          <cell r="P136">
            <v>26.284188108315558</v>
          </cell>
          <cell r="Q136">
            <v>26.66458972461589</v>
          </cell>
          <cell r="R136">
            <v>25.357452668891167</v>
          </cell>
          <cell r="S136">
            <v>23.774584107894299</v>
          </cell>
          <cell r="T136">
            <v>24.205819680284836</v>
          </cell>
          <cell r="U136">
            <v>25.225185077094711</v>
          </cell>
          <cell r="CJ136" t="str">
            <v>NBIndustrialCIMS.CAN.NB.Electricity</v>
          </cell>
        </row>
        <row r="137">
          <cell r="K137">
            <v>18.92543979354674</v>
          </cell>
          <cell r="L137">
            <v>21.364170311016391</v>
          </cell>
          <cell r="M137">
            <v>26.683202293473119</v>
          </cell>
          <cell r="N137">
            <v>30.299443014886791</v>
          </cell>
          <cell r="O137">
            <v>33.147001706210176</v>
          </cell>
          <cell r="P137">
            <v>35.010849279245782</v>
          </cell>
          <cell r="Q137">
            <v>35.290226251960434</v>
          </cell>
          <cell r="R137">
            <v>35.338343144417792</v>
          </cell>
          <cell r="S137">
            <v>36.485313593119095</v>
          </cell>
          <cell r="T137">
            <v>38.188904816717944</v>
          </cell>
          <cell r="U137">
            <v>39.086147787938231</v>
          </cell>
          <cell r="CJ137" t="str">
            <v>NSIndustrialCIMS.CAN.NS.Electricity</v>
          </cell>
        </row>
        <row r="138">
          <cell r="K138">
            <v>20.258130180131836</v>
          </cell>
          <cell r="L138">
            <v>22.739787822082572</v>
          </cell>
          <cell r="M138">
            <v>26.064356770763027</v>
          </cell>
          <cell r="N138">
            <v>26.718276373563622</v>
          </cell>
          <cell r="O138">
            <v>28.871614478752303</v>
          </cell>
          <cell r="P138">
            <v>29.221613415962828</v>
          </cell>
          <cell r="Q138">
            <v>28.235996677825874</v>
          </cell>
          <cell r="R138">
            <v>27.584776570301855</v>
          </cell>
          <cell r="S138">
            <v>26.942590117230253</v>
          </cell>
          <cell r="T138">
            <v>25.067858251750618</v>
          </cell>
          <cell r="U138">
            <v>23.637533730694344</v>
          </cell>
          <cell r="CJ138" t="str">
            <v>PEIndustrialCIMS.CAN.PE.Electricity</v>
          </cell>
        </row>
        <row r="139">
          <cell r="K139">
            <v>19.290757670557539</v>
          </cell>
          <cell r="L139">
            <v>21.569290413568265</v>
          </cell>
          <cell r="M139">
            <v>25.297923859776546</v>
          </cell>
          <cell r="N139">
            <v>25.422186890741493</v>
          </cell>
          <cell r="O139">
            <v>28.460990998388212</v>
          </cell>
          <cell r="P139">
            <v>31.788057289671425</v>
          </cell>
          <cell r="Q139">
            <v>33.044751115414662</v>
          </cell>
          <cell r="R139">
            <v>34.058015637028817</v>
          </cell>
          <cell r="S139">
            <v>35.115362722154885</v>
          </cell>
          <cell r="T139">
            <v>36.484192038641503</v>
          </cell>
          <cell r="U139">
            <v>37.425590671566688</v>
          </cell>
          <cell r="CJ139" t="str">
            <v>NLIndustrialCIMS.CAN.NL.Electricity</v>
          </cell>
        </row>
        <row r="140">
          <cell r="K140">
            <v>19.279704238764843</v>
          </cell>
          <cell r="L140">
            <v>20.102979630747107</v>
          </cell>
          <cell r="M140">
            <v>23.725842175004129</v>
          </cell>
          <cell r="N140">
            <v>28.376944399074336</v>
          </cell>
          <cell r="O140">
            <v>35.9877854954185</v>
          </cell>
          <cell r="P140">
            <v>40.225463777757021</v>
          </cell>
          <cell r="Q140">
            <v>42.306959848832335</v>
          </cell>
          <cell r="R140">
            <v>45.288159012449107</v>
          </cell>
          <cell r="S140">
            <v>48.530134982597453</v>
          </cell>
          <cell r="T140">
            <v>50.617478214822746</v>
          </cell>
          <cell r="U140">
            <v>51.438656832284792</v>
          </cell>
          <cell r="CJ140" t="str">
            <v>YTIndustrialCIMS.CAN.YT.Electricity</v>
          </cell>
        </row>
        <row r="141">
          <cell r="K141">
            <v>23.038264035264596</v>
          </cell>
          <cell r="L141">
            <v>24.022037876141567</v>
          </cell>
          <cell r="M141">
            <v>28.351184069430985</v>
          </cell>
          <cell r="N141">
            <v>33.909015550438362</v>
          </cell>
          <cell r="O141">
            <v>37.123978801945803</v>
          </cell>
          <cell r="P141">
            <v>38.700226543170452</v>
          </cell>
          <cell r="Q141">
            <v>39.57175953297422</v>
          </cell>
          <cell r="R141">
            <v>38.12521027809462</v>
          </cell>
          <cell r="S141">
            <v>35.684474356063191</v>
          </cell>
          <cell r="T141">
            <v>35.777747743574757</v>
          </cell>
          <cell r="U141">
            <v>37.04281185875471</v>
          </cell>
          <cell r="CJ141" t="str">
            <v>NTIndustrialCIMS.CAN.NT.Electricity</v>
          </cell>
        </row>
        <row r="142">
          <cell r="K142">
            <v>23.038264035264596</v>
          </cell>
          <cell r="L142">
            <v>24.022037876141567</v>
          </cell>
          <cell r="M142">
            <v>28.351184069430985</v>
          </cell>
          <cell r="N142">
            <v>33.909015550438362</v>
          </cell>
          <cell r="O142">
            <v>37.212351102839861</v>
          </cell>
          <cell r="P142">
            <v>38.798310728282225</v>
          </cell>
          <cell r="Q142">
            <v>40.19956261382832</v>
          </cell>
          <cell r="R142">
            <v>43.250363845752346</v>
          </cell>
          <cell r="S142">
            <v>48.714732751475282</v>
          </cell>
          <cell r="T142">
            <v>53.139133025810423</v>
          </cell>
          <cell r="U142">
            <v>54.523245501041558</v>
          </cell>
          <cell r="CJ142" t="str">
            <v>NUIndustrialCIMS.CAN.NU.Electricity</v>
          </cell>
        </row>
        <row r="143">
          <cell r="K143">
            <v>18.945829415189138</v>
          </cell>
          <cell r="L143">
            <v>21.27131084755943</v>
          </cell>
          <cell r="M143">
            <v>25.174555415412037</v>
          </cell>
          <cell r="N143">
            <v>26.461147282316524</v>
          </cell>
          <cell r="O143">
            <v>28.869582659499201</v>
          </cell>
          <cell r="P143">
            <v>30.576177023298897</v>
          </cell>
          <cell r="Q143">
            <v>30.808890942454219</v>
          </cell>
          <cell r="R143">
            <v>30.584647005159908</v>
          </cell>
          <cell r="S143">
            <v>30.579462635099631</v>
          </cell>
          <cell r="T143">
            <v>30.986693696848725</v>
          </cell>
          <cell r="U143">
            <v>31.343614316823491</v>
          </cell>
          <cell r="CJ143" t="str">
            <v>ATIndustrialCIMS.CAN.AT.Electricity</v>
          </cell>
        </row>
        <row r="144">
          <cell r="K144">
            <v>21.785410769764677</v>
          </cell>
          <cell r="L144">
            <v>22.71568512767675</v>
          </cell>
          <cell r="M144">
            <v>26.809403437955368</v>
          </cell>
          <cell r="N144">
            <v>32.064991833317016</v>
          </cell>
          <cell r="O144">
            <v>36.77470513340139</v>
          </cell>
          <cell r="P144">
            <v>39.241333683069904</v>
          </cell>
          <cell r="Q144">
            <v>40.692760665211622</v>
          </cell>
          <cell r="R144">
            <v>42.221244378765356</v>
          </cell>
          <cell r="S144">
            <v>44.309780696711975</v>
          </cell>
          <cell r="T144">
            <v>46.511452994735976</v>
          </cell>
          <cell r="U144">
            <v>47.668238064027015</v>
          </cell>
          <cell r="CJ144" t="str">
            <v>TRIndustrialCIMS.CAN.TR.Electricity</v>
          </cell>
        </row>
        <row r="145">
          <cell r="K145">
            <v>9.6733141768112638</v>
          </cell>
          <cell r="L145">
            <v>9.0377131339530141</v>
          </cell>
          <cell r="M145">
            <v>6.3387578496520609</v>
          </cell>
          <cell r="N145">
            <v>4.3105180179833855</v>
          </cell>
          <cell r="O145">
            <v>5.2184649704785091</v>
          </cell>
          <cell r="P145">
            <v>7.6143842451206192</v>
          </cell>
          <cell r="Q145">
            <v>9.8851846153315108</v>
          </cell>
          <cell r="R145">
            <v>10.143036149992156</v>
          </cell>
          <cell r="S145">
            <v>9.8487039100135831</v>
          </cell>
          <cell r="T145">
            <v>9.4751653867143411</v>
          </cell>
          <cell r="U145">
            <v>9.2189310935340032</v>
          </cell>
          <cell r="CJ145" t="str">
            <v>CANIndustrialCIMS.Generic Fuels.Natural Gas</v>
          </cell>
        </row>
        <row r="146">
          <cell r="K146">
            <v>10.208998200890235</v>
          </cell>
          <cell r="L146">
            <v>9.3513225410846932</v>
          </cell>
          <cell r="M146">
            <v>7.0564782056962922</v>
          </cell>
          <cell r="N146">
            <v>6.1500005474755683</v>
          </cell>
          <cell r="O146">
            <v>5.5842614566248052</v>
          </cell>
          <cell r="P146">
            <v>6.731400169396256</v>
          </cell>
          <cell r="Q146">
            <v>8.5042110162048754</v>
          </cell>
          <cell r="R146">
            <v>8.5158669467799104</v>
          </cell>
          <cell r="S146">
            <v>8.2800415002307091</v>
          </cell>
          <cell r="T146">
            <v>7.9844747191607146</v>
          </cell>
          <cell r="U146">
            <v>7.7874092613755899</v>
          </cell>
          <cell r="CJ146" t="str">
            <v>BCIndustrialCIMS.Generic Fuels.Natural Gas</v>
          </cell>
        </row>
        <row r="147">
          <cell r="K147">
            <v>9.5052683285608701</v>
          </cell>
          <cell r="L147">
            <v>8.659888333693603</v>
          </cell>
          <cell r="M147">
            <v>5.8429806975273859</v>
          </cell>
          <cell r="N147">
            <v>3.5553747973155554</v>
          </cell>
          <cell r="O147">
            <v>4.5762416905452055</v>
          </cell>
          <cell r="P147">
            <v>7.248838920856417</v>
          </cell>
          <cell r="Q147">
            <v>9.6731492929384721</v>
          </cell>
          <cell r="R147">
            <v>9.9684206346892879</v>
          </cell>
          <cell r="S147">
            <v>9.6312683660076939</v>
          </cell>
          <cell r="T147">
            <v>9.234421344074212</v>
          </cell>
          <cell r="U147">
            <v>8.9757026300666247</v>
          </cell>
          <cell r="CJ147" t="str">
            <v>ABIndustrialCIMS.Generic Fuels.Natural Gas</v>
          </cell>
        </row>
        <row r="148">
          <cell r="K148">
            <v>6.1881274055144049</v>
          </cell>
          <cell r="L148">
            <v>6.517664819743084</v>
          </cell>
          <cell r="M148">
            <v>5.0710892374525383</v>
          </cell>
          <cell r="N148">
            <v>3.8941838843716257</v>
          </cell>
          <cell r="O148">
            <v>6.2297317863449786</v>
          </cell>
          <cell r="P148">
            <v>8.8342436750861406</v>
          </cell>
          <cell r="Q148">
            <v>11.120471510335497</v>
          </cell>
          <cell r="R148">
            <v>11.4107949159377</v>
          </cell>
          <cell r="S148">
            <v>11.102739205426172</v>
          </cell>
          <cell r="T148">
            <v>10.737143084895781</v>
          </cell>
          <cell r="U148">
            <v>10.498419040243572</v>
          </cell>
          <cell r="CJ148" t="str">
            <v>SKIndustrialCIMS.Generic Fuels.Natural Gas</v>
          </cell>
        </row>
        <row r="149">
          <cell r="K149">
            <v>10.405145628430505</v>
          </cell>
          <cell r="L149">
            <v>8.9059846224662991</v>
          </cell>
          <cell r="M149">
            <v>4.9953175997118544</v>
          </cell>
          <cell r="N149">
            <v>4.1622868077718609</v>
          </cell>
          <cell r="O149">
            <v>6.4713131181785082</v>
          </cell>
          <cell r="P149">
            <v>8.6911746397420622</v>
          </cell>
          <cell r="Q149">
            <v>10.952112997800494</v>
          </cell>
          <cell r="R149">
            <v>11.079754768749128</v>
          </cell>
          <cell r="S149">
            <v>10.352973511514364</v>
          </cell>
          <cell r="T149">
            <v>9.0411689757977385</v>
          </cell>
          <cell r="U149">
            <v>7.9748107949888265</v>
          </cell>
          <cell r="CJ149" t="str">
            <v>MBIndustrialCIMS.Generic Fuels.Natural Gas</v>
          </cell>
        </row>
        <row r="150">
          <cell r="K150">
            <v>10.919105611469949</v>
          </cell>
          <cell r="L150">
            <v>10.871022965245707</v>
          </cell>
          <cell r="M150">
            <v>8.4417551645116333</v>
          </cell>
          <cell r="N150">
            <v>6.3168949493193871</v>
          </cell>
          <cell r="O150">
            <v>7.4507598507622586</v>
          </cell>
          <cell r="P150">
            <v>9.7838668537772175</v>
          </cell>
          <cell r="Q150">
            <v>12.132580930510411</v>
          </cell>
          <cell r="R150">
            <v>12.420983725936534</v>
          </cell>
          <cell r="S150">
            <v>12.095039691157943</v>
          </cell>
          <cell r="T150">
            <v>11.712932274553708</v>
          </cell>
          <cell r="U150">
            <v>11.464862719614741</v>
          </cell>
          <cell r="CJ150" t="str">
            <v>ONIndustrialCIMS.Generic Fuels.Natural Gas</v>
          </cell>
        </row>
        <row r="151">
          <cell r="K151">
            <v>13.134775833925216</v>
          </cell>
          <cell r="L151">
            <v>11.416691147540858</v>
          </cell>
          <cell r="M151">
            <v>8.2262238077492071</v>
          </cell>
          <cell r="N151">
            <v>7.3288005711661119</v>
          </cell>
          <cell r="O151">
            <v>6.6586001407063735</v>
          </cell>
          <cell r="P151">
            <v>8.0926508112894879</v>
          </cell>
          <cell r="Q151">
            <v>10.24151122357819</v>
          </cell>
          <cell r="R151">
            <v>10.529568983178716</v>
          </cell>
          <cell r="S151">
            <v>10.23948734920886</v>
          </cell>
          <cell r="T151">
            <v>9.8916928222727023</v>
          </cell>
          <cell r="U151">
            <v>9.6638258643196693</v>
          </cell>
          <cell r="CJ151" t="str">
            <v>QCIndustrialCIMS.Generic Fuels.Natural Gas</v>
          </cell>
        </row>
        <row r="152">
          <cell r="K152">
            <v>11.388370319755643</v>
          </cell>
          <cell r="L152">
            <v>10.960495112530465</v>
          </cell>
          <cell r="M152">
            <v>8.2146709155950983</v>
          </cell>
          <cell r="N152">
            <v>5.6292580064176185</v>
          </cell>
          <cell r="O152">
            <v>6.8481533188371104</v>
          </cell>
          <cell r="P152">
            <v>9.526156403824567</v>
          </cell>
          <cell r="Q152">
            <v>11.874394916115032</v>
          </cell>
          <cell r="R152">
            <v>12.161917104167177</v>
          </cell>
          <cell r="S152">
            <v>11.835083792604747</v>
          </cell>
          <cell r="T152">
            <v>11.452153721020235</v>
          </cell>
          <cell r="U152">
            <v>11.203668821397518</v>
          </cell>
          <cell r="CJ152" t="str">
            <v>NBIndustrialCIMS.Generic Fuels.Natural Gas</v>
          </cell>
        </row>
        <row r="153">
          <cell r="K153">
            <v>13.526416781049074</v>
          </cell>
          <cell r="L153">
            <v>12.847110545727405</v>
          </cell>
          <cell r="M153">
            <v>9.4909949631056509</v>
          </cell>
          <cell r="N153">
            <v>6.1217146035569456</v>
          </cell>
          <cell r="O153">
            <v>5.7865838076286282</v>
          </cell>
          <cell r="P153">
            <v>8.699365028884424</v>
          </cell>
          <cell r="Q153">
            <v>11.035372355307457</v>
          </cell>
          <cell r="R153">
            <v>11.322951128774735</v>
          </cell>
          <cell r="S153">
            <v>10.999355322177598</v>
          </cell>
          <cell r="T153">
            <v>10.61911431565705</v>
          </cell>
          <cell r="U153">
            <v>10.37202143153738</v>
          </cell>
          <cell r="CJ153" t="str">
            <v>NSIndustrialCIMS.Generic Fuels.Natural Gas</v>
          </cell>
        </row>
        <row r="154">
          <cell r="K154">
            <v>11.909990808627297</v>
          </cell>
          <cell r="L154">
            <v>11.466753672658907</v>
          </cell>
          <cell r="M154">
            <v>8.4855219049580075</v>
          </cell>
          <cell r="N154">
            <v>5.374765508885706</v>
          </cell>
          <cell r="O154">
            <v>6.1686263113567792</v>
          </cell>
          <cell r="P154">
            <v>8.5588963077674247</v>
          </cell>
          <cell r="Q154">
            <v>10.806054230500541</v>
          </cell>
          <cell r="R154">
            <v>11.058285847608525</v>
          </cell>
          <cell r="S154">
            <v>10.723981544125335</v>
          </cell>
          <cell r="T154">
            <v>10.348841950072464</v>
          </cell>
          <cell r="U154">
            <v>10.110374782425621</v>
          </cell>
          <cell r="CJ154" t="str">
            <v>PEIndustrialCIMS.Generic Fuels.Natural Gas</v>
          </cell>
        </row>
        <row r="155">
          <cell r="K155">
            <v>11.502358357598615</v>
          </cell>
          <cell r="L155">
            <v>11.070200478319066</v>
          </cell>
          <cell r="M155">
            <v>8.2968928835240892</v>
          </cell>
          <cell r="N155">
            <v>5.5042083290721981</v>
          </cell>
          <cell r="O155">
            <v>4.4429681981384315</v>
          </cell>
          <cell r="P155">
            <v>3.8693158879078768</v>
          </cell>
          <cell r="Q155">
            <v>3.4336825542956304</v>
          </cell>
          <cell r="R155">
            <v>3.6749506560828697</v>
          </cell>
          <cell r="S155">
            <v>3.9940591641526275</v>
          </cell>
          <cell r="T155">
            <v>4.2582980565216619</v>
          </cell>
          <cell r="U155">
            <v>4.4045422953950908</v>
          </cell>
          <cell r="CJ155" t="str">
            <v>NLIndustrialCIMS.Generic Fuels.Natural Gas</v>
          </cell>
        </row>
        <row r="156">
          <cell r="K156">
            <v>10.175113651691561</v>
          </cell>
          <cell r="L156">
            <v>9.0414458094670387</v>
          </cell>
          <cell r="M156">
            <v>5.4212974040586941</v>
          </cell>
          <cell r="N156">
            <v>3.4228731503327166</v>
          </cell>
          <cell r="O156">
            <v>2.3822703418165179</v>
          </cell>
          <cell r="P156">
            <v>1.6385069471057196</v>
          </cell>
          <cell r="Q156">
            <v>1.2038441854743593</v>
          </cell>
          <cell r="R156">
            <v>1.448887616785266</v>
          </cell>
          <cell r="S156">
            <v>1.7720047665341236</v>
          </cell>
          <cell r="T156">
            <v>2.0376018368382893</v>
          </cell>
          <cell r="U156">
            <v>2.1834546706592981</v>
          </cell>
          <cell r="CJ156" t="str">
            <v>YTIndustrialCIMS.Generic Fuels.Natural Gas</v>
          </cell>
        </row>
        <row r="157">
          <cell r="K157">
            <v>10.258942776695671</v>
          </cell>
          <cell r="L157">
            <v>9.1159350502681669</v>
          </cell>
          <cell r="M157">
            <v>5.465961535912764</v>
          </cell>
          <cell r="N157">
            <v>3.4510730377764394</v>
          </cell>
          <cell r="O157">
            <v>2.5637421936865525</v>
          </cell>
          <cell r="P157">
            <v>1.897854362628661</v>
          </cell>
          <cell r="Q157">
            <v>1.4607998856123348</v>
          </cell>
          <cell r="R157">
            <v>1.7067348637858974</v>
          </cell>
          <cell r="S157">
            <v>2.0314727479410233</v>
          </cell>
          <cell r="T157">
            <v>2.2986149135696832</v>
          </cell>
          <cell r="U157">
            <v>2.4453152639288298</v>
          </cell>
          <cell r="CJ157" t="str">
            <v>NTIndustrialCIMS.Generic Fuels.Natural Gas</v>
          </cell>
        </row>
        <row r="158">
          <cell r="K158">
            <v>10.258942776695671</v>
          </cell>
          <cell r="L158">
            <v>9.1159350502681669</v>
          </cell>
          <cell r="M158">
            <v>5.465961535912764</v>
          </cell>
          <cell r="N158">
            <v>3.4510729789552457</v>
          </cell>
          <cell r="O158">
            <v>2.4031073675893211</v>
          </cell>
          <cell r="P158">
            <v>1.6547632679756474</v>
          </cell>
          <cell r="Q158">
            <v>1.2178096983644433</v>
          </cell>
          <cell r="R158">
            <v>1.4641585597456073</v>
          </cell>
          <cell r="S158">
            <v>1.7893374182725292</v>
          </cell>
          <cell r="T158">
            <v>2.0566312647407616</v>
          </cell>
          <cell r="U158">
            <v>2.2032907358134768</v>
          </cell>
          <cell r="CJ158" t="str">
            <v>NUIndustrialCIMS.Generic Fuels.Natural Gas</v>
          </cell>
        </row>
        <row r="159">
          <cell r="K159">
            <v>12.081784066757658</v>
          </cell>
          <cell r="L159">
            <v>11.586139952308962</v>
          </cell>
          <cell r="M159">
            <v>8.6220201667957106</v>
          </cell>
          <cell r="N159">
            <v>5.6574866119831171</v>
          </cell>
          <cell r="O159">
            <v>5.8115829089902373</v>
          </cell>
          <cell r="P159">
            <v>7.6634334070960728</v>
          </cell>
          <cell r="Q159">
            <v>9.2873760140546651</v>
          </cell>
          <cell r="R159">
            <v>9.5545261841583269</v>
          </cell>
          <cell r="S159">
            <v>9.3881199557650774</v>
          </cell>
          <cell r="T159">
            <v>9.1696020108178526</v>
          </cell>
          <cell r="U159">
            <v>9.0226518326889025</v>
          </cell>
          <cell r="CJ159" t="str">
            <v>ATIndustrialCIMS.Generic Fuels.Natural Gas</v>
          </cell>
        </row>
        <row r="160">
          <cell r="K160">
            <v>10.230999735027632</v>
          </cell>
          <cell r="L160">
            <v>9.0911053033344569</v>
          </cell>
          <cell r="M160">
            <v>5.4510734919614068</v>
          </cell>
          <cell r="N160">
            <v>3.4416730556881334</v>
          </cell>
          <cell r="O160">
            <v>2.4497066343641305</v>
          </cell>
          <cell r="P160">
            <v>1.7303748592366759</v>
          </cell>
          <cell r="Q160">
            <v>1.2941512564837125</v>
          </cell>
          <cell r="R160">
            <v>1.5399270134389236</v>
          </cell>
          <cell r="S160">
            <v>1.8642716442492253</v>
          </cell>
          <cell r="T160">
            <v>2.1309493383829117</v>
          </cell>
          <cell r="U160">
            <v>2.2773535568005348</v>
          </cell>
          <cell r="CJ160" t="str">
            <v>TRIndustrialCIMS.Generic Fuels.Natural Gas</v>
          </cell>
        </row>
        <row r="161">
          <cell r="K161">
            <v>14.709588107293524</v>
          </cell>
          <cell r="L161">
            <v>16.173592364609263</v>
          </cell>
          <cell r="M161">
            <v>20.722933772987751</v>
          </cell>
          <cell r="N161">
            <v>21.309095217384559</v>
          </cell>
          <cell r="O161">
            <v>23.275859230177169</v>
          </cell>
          <cell r="P161">
            <v>26.922118517319912</v>
          </cell>
          <cell r="Q161">
            <v>27.51111617513369</v>
          </cell>
          <cell r="R161">
            <v>27.512328261481095</v>
          </cell>
          <cell r="S161">
            <v>27.194227750173795</v>
          </cell>
          <cell r="T161">
            <v>26.654622643148873</v>
          </cell>
          <cell r="U161">
            <v>26.267906240583024</v>
          </cell>
          <cell r="CJ161" t="str">
            <v>CANIndustrialCIMS.Generic Fuels.Fuel Oil</v>
          </cell>
        </row>
        <row r="162">
          <cell r="K162">
            <v>14.945439104162251</v>
          </cell>
          <cell r="L162">
            <v>16.70646397776316</v>
          </cell>
          <cell r="M162">
            <v>22.762270427342287</v>
          </cell>
          <cell r="N162">
            <v>24.315123645252079</v>
          </cell>
          <cell r="O162">
            <v>26.164052266642358</v>
          </cell>
          <cell r="P162">
            <v>30.948352898021703</v>
          </cell>
          <cell r="Q162">
            <v>33.298652005497985</v>
          </cell>
          <cell r="R162">
            <v>32.40142182921327</v>
          </cell>
          <cell r="S162">
            <v>30.078846933818745</v>
          </cell>
          <cell r="T162">
            <v>27.366064060466229</v>
          </cell>
          <cell r="U162">
            <v>25.866398066631078</v>
          </cell>
          <cell r="CJ162" t="str">
            <v>BCIndustrialCIMS.Generic Fuels.Fuel Oil</v>
          </cell>
        </row>
        <row r="163">
          <cell r="K163">
            <v>14.715573543729503</v>
          </cell>
          <cell r="L163">
            <v>16.270759845357258</v>
          </cell>
          <cell r="M163">
            <v>20.51082961395413</v>
          </cell>
          <cell r="N163">
            <v>20.340023151583789</v>
          </cell>
          <cell r="O163">
            <v>20.944812937165278</v>
          </cell>
          <cell r="P163">
            <v>22.551684315860971</v>
          </cell>
          <cell r="Q163">
            <v>21.035113055301469</v>
          </cell>
          <cell r="R163">
            <v>20.964048805045994</v>
          </cell>
          <cell r="S163">
            <v>21.219784402400073</v>
          </cell>
          <cell r="T163">
            <v>21.330559671767361</v>
          </cell>
          <cell r="U163">
            <v>21.345417383824518</v>
          </cell>
          <cell r="CJ163" t="str">
            <v>ABIndustrialCIMS.Generic Fuels.Fuel Oil</v>
          </cell>
        </row>
        <row r="164">
          <cell r="K164">
            <v>14.768571195832036</v>
          </cell>
          <cell r="L164">
            <v>16.294596454831389</v>
          </cell>
          <cell r="M164">
            <v>20.418265386057499</v>
          </cell>
          <cell r="N164">
            <v>20.190789620842018</v>
          </cell>
          <cell r="O164">
            <v>21.905846850802881</v>
          </cell>
          <cell r="P164">
            <v>24.49635298958577</v>
          </cell>
          <cell r="Q164">
            <v>23.651598072373918</v>
          </cell>
          <cell r="R164">
            <v>23.59060191875502</v>
          </cell>
          <cell r="S164">
            <v>23.689497552113163</v>
          </cell>
          <cell r="T164">
            <v>23.643084788035033</v>
          </cell>
          <cell r="U164">
            <v>23.561978033449243</v>
          </cell>
          <cell r="CJ164" t="str">
            <v>SKIndustrialCIMS.Generic Fuels.Fuel Oil</v>
          </cell>
        </row>
        <row r="165">
          <cell r="K165">
            <v>14.50543288275545</v>
          </cell>
          <cell r="L165">
            <v>15.919869734977734</v>
          </cell>
          <cell r="M165">
            <v>21.555522228653011</v>
          </cell>
          <cell r="N165">
            <v>23.4867768632276</v>
          </cell>
          <cell r="O165">
            <v>28.18726280922748</v>
          </cell>
          <cell r="P165">
            <v>34.39962918333805</v>
          </cell>
          <cell r="Q165">
            <v>37.12004831914652</v>
          </cell>
          <cell r="R165">
            <v>37.071004274649283</v>
          </cell>
          <cell r="S165">
            <v>36.202796893693467</v>
          </cell>
          <cell r="T165">
            <v>34.959427795609336</v>
          </cell>
          <cell r="U165">
            <v>33.999211064467723</v>
          </cell>
          <cell r="CJ165" t="str">
            <v>MBIndustrialCIMS.Generic Fuels.Fuel Oil</v>
          </cell>
        </row>
        <row r="166">
          <cell r="K166">
            <v>14.622162569109763</v>
          </cell>
          <cell r="L166">
            <v>16.039368564730932</v>
          </cell>
          <cell r="M166">
            <v>21.13276050792421</v>
          </cell>
          <cell r="N166">
            <v>22.381685164948298</v>
          </cell>
          <cell r="O166">
            <v>26.769291707341196</v>
          </cell>
          <cell r="P166">
            <v>32.994153200244568</v>
          </cell>
          <cell r="Q166">
            <v>35.757999080063755</v>
          </cell>
          <cell r="R166">
            <v>35.758331300900977</v>
          </cell>
          <cell r="S166">
            <v>35.021004133707137</v>
          </cell>
          <cell r="T166">
            <v>34.139176108333984</v>
          </cell>
          <cell r="U166">
            <v>33.549636046384833</v>
          </cell>
          <cell r="CJ166" t="str">
            <v>ONIndustrialCIMS.Generic Fuels.Fuel Oil</v>
          </cell>
        </row>
        <row r="167">
          <cell r="K167">
            <v>14.59364386109876</v>
          </cell>
          <cell r="L167">
            <v>15.8528634079192</v>
          </cell>
          <cell r="M167">
            <v>19.678128801929141</v>
          </cell>
          <cell r="N167">
            <v>20.735220196549541</v>
          </cell>
          <cell r="O167">
            <v>23.797600237240474</v>
          </cell>
          <cell r="P167">
            <v>29.319979885627141</v>
          </cell>
          <cell r="Q167">
            <v>32.040591707795265</v>
          </cell>
          <cell r="R167">
            <v>32.011050747649868</v>
          </cell>
          <cell r="S167">
            <v>31.186326343907808</v>
          </cell>
          <cell r="T167">
            <v>30.036308878368612</v>
          </cell>
          <cell r="U167">
            <v>29.165804635135629</v>
          </cell>
          <cell r="CJ167" t="str">
            <v>QCIndustrialCIMS.Generic Fuels.Fuel Oil</v>
          </cell>
        </row>
        <row r="168">
          <cell r="K168">
            <v>14.694069336100219</v>
          </cell>
          <cell r="L168">
            <v>16.090505042045315</v>
          </cell>
          <cell r="M168">
            <v>20.3340312076167</v>
          </cell>
          <cell r="N168">
            <v>20.278520517666593</v>
          </cell>
          <cell r="O168">
            <v>24.566088877722525</v>
          </cell>
          <cell r="P168">
            <v>30.759490101635556</v>
          </cell>
          <cell r="Q168">
            <v>33.477165275735977</v>
          </cell>
          <cell r="R168">
            <v>33.444007945230865</v>
          </cell>
          <cell r="S168">
            <v>32.6152733408776</v>
          </cell>
          <cell r="T168">
            <v>31.466360223080095</v>
          </cell>
          <cell r="U168">
            <v>30.600484103795601</v>
          </cell>
          <cell r="CJ168" t="str">
            <v>NBIndustrialCIMS.Generic Fuels.Fuel Oil</v>
          </cell>
        </row>
        <row r="169">
          <cell r="K169">
            <v>14.437145835520855</v>
          </cell>
          <cell r="L169">
            <v>15.889078052423985</v>
          </cell>
          <cell r="M169">
            <v>20.13194858290958</v>
          </cell>
          <cell r="N169">
            <v>20.064958919053304</v>
          </cell>
          <cell r="O169">
            <v>20.939750549718788</v>
          </cell>
          <cell r="P169">
            <v>21.888624940567201</v>
          </cell>
          <cell r="Q169">
            <v>20.395918939098753</v>
          </cell>
          <cell r="R169">
            <v>20.329015210440147</v>
          </cell>
          <cell r="S169">
            <v>20.582478137462058</v>
          </cell>
          <cell r="T169">
            <v>20.693023048230675</v>
          </cell>
          <cell r="U169">
            <v>20.708916351539735</v>
          </cell>
          <cell r="CJ169" t="str">
            <v>NSIndustrialCIMS.Generic Fuels.Fuel Oil</v>
          </cell>
        </row>
        <row r="170">
          <cell r="K170">
            <v>14.184624668073232</v>
          </cell>
          <cell r="L170">
            <v>15.597002069363933</v>
          </cell>
          <cell r="M170">
            <v>19.889205276643835</v>
          </cell>
          <cell r="N170">
            <v>19.941415512084784</v>
          </cell>
          <cell r="O170">
            <v>20.834787656607354</v>
          </cell>
          <cell r="P170">
            <v>21.86924218261224</v>
          </cell>
          <cell r="Q170">
            <v>20.40417893737251</v>
          </cell>
          <cell r="R170">
            <v>20.340859625680196</v>
          </cell>
          <cell r="S170">
            <v>20.590285291853103</v>
          </cell>
          <cell r="T170">
            <v>20.700085027120167</v>
          </cell>
          <cell r="U170">
            <v>20.717318879236931</v>
          </cell>
          <cell r="CJ170" t="str">
            <v>PEIndustrialCIMS.Generic Fuels.Fuel Oil</v>
          </cell>
        </row>
        <row r="171">
          <cell r="K171">
            <v>15.750217719982786</v>
          </cell>
          <cell r="L171">
            <v>16.874634270631791</v>
          </cell>
          <cell r="M171">
            <v>21.44663058916025</v>
          </cell>
          <cell r="N171">
            <v>21.874076766403821</v>
          </cell>
          <cell r="O171">
            <v>22.459160447504171</v>
          </cell>
          <cell r="P171">
            <v>23.771000032360067</v>
          </cell>
          <cell r="Q171">
            <v>22.258874064385559</v>
          </cell>
          <cell r="R171">
            <v>22.186371704583504</v>
          </cell>
          <cell r="S171">
            <v>22.439165069309968</v>
          </cell>
          <cell r="T171">
            <v>22.549045716259283</v>
          </cell>
          <cell r="U171">
            <v>22.564350300076942</v>
          </cell>
          <cell r="CJ171" t="str">
            <v>NLIndustrialCIMS.Generic Fuels.Fuel Oil</v>
          </cell>
        </row>
        <row r="172">
          <cell r="K172">
            <v>18.364095091488032</v>
          </cell>
          <cell r="L172">
            <v>19.430564797264626</v>
          </cell>
          <cell r="M172">
            <v>24.752484006000518</v>
          </cell>
          <cell r="N172">
            <v>25.743171465621241</v>
          </cell>
          <cell r="O172">
            <v>26.982833014878196</v>
          </cell>
          <cell r="P172">
            <v>29.016074958502784</v>
          </cell>
          <cell r="Q172">
            <v>27.501954958943656</v>
          </cell>
          <cell r="R172">
            <v>27.420542037737409</v>
          </cell>
          <cell r="S172">
            <v>27.663793523561111</v>
          </cell>
          <cell r="T172">
            <v>27.770402071856527</v>
          </cell>
          <cell r="U172">
            <v>27.786600770880817</v>
          </cell>
          <cell r="CJ172" t="str">
            <v>YTIndustrialCIMS.Generic Fuels.Fuel Oil</v>
          </cell>
        </row>
        <row r="173">
          <cell r="K173">
            <v>17.143069178577218</v>
          </cell>
          <cell r="L173">
            <v>18.755885926209949</v>
          </cell>
          <cell r="M173">
            <v>24.106092145980753</v>
          </cell>
          <cell r="N173">
            <v>24.755181231354726</v>
          </cell>
          <cell r="O173">
            <v>26.074902765383111</v>
          </cell>
          <cell r="P173">
            <v>28.100880038163364</v>
          </cell>
          <cell r="Q173">
            <v>26.57672578400614</v>
          </cell>
          <cell r="R173">
            <v>26.495533577184737</v>
          </cell>
          <cell r="S173">
            <v>26.741979599321539</v>
          </cell>
          <cell r="T173">
            <v>26.849442491245277</v>
          </cell>
          <cell r="U173">
            <v>26.8649805505766</v>
          </cell>
          <cell r="CJ173" t="str">
            <v>NTIndustrialCIMS.Generic Fuels.Fuel Oil</v>
          </cell>
        </row>
        <row r="174">
          <cell r="K174">
            <v>18.515390308004438</v>
          </cell>
          <cell r="L174">
            <v>19.590646276553027</v>
          </cell>
          <cell r="M174">
            <v>24.956410875707405</v>
          </cell>
          <cell r="N174">
            <v>25.955260255257024</v>
          </cell>
          <cell r="O174">
            <v>27.206970316794543</v>
          </cell>
          <cell r="P174">
            <v>29.259309135195853</v>
          </cell>
          <cell r="Q174">
            <v>27.734671343249758</v>
          </cell>
          <cell r="R174">
            <v>27.651505893885165</v>
          </cell>
          <cell r="S174">
            <v>27.895851086167653</v>
          </cell>
          <cell r="T174">
            <v>28.002592808167456</v>
          </cell>
          <cell r="U174">
            <v>28.018325994363412</v>
          </cell>
          <cell r="CJ174" t="str">
            <v>NUIndustrialCIMS.Generic Fuels.Fuel Oil</v>
          </cell>
        </row>
        <row r="175">
          <cell r="K175">
            <v>14.766514389919273</v>
          </cell>
          <cell r="L175">
            <v>16.112804858616254</v>
          </cell>
          <cell r="M175">
            <v>20.450453914082591</v>
          </cell>
          <cell r="N175">
            <v>20.539742928802124</v>
          </cell>
          <cell r="O175">
            <v>22.199946882888209</v>
          </cell>
          <cell r="P175">
            <v>24.572089314293766</v>
          </cell>
          <cell r="Q175">
            <v>24.134034304148201</v>
          </cell>
          <cell r="R175">
            <v>24.075063621483679</v>
          </cell>
          <cell r="S175">
            <v>24.056800459875681</v>
          </cell>
          <cell r="T175">
            <v>23.852128503672557</v>
          </cell>
          <cell r="U175">
            <v>23.6477674086623</v>
          </cell>
          <cell r="CJ175" t="str">
            <v>ATIndustrialCIMS.Generic Fuels.Fuel Oil</v>
          </cell>
        </row>
        <row r="176">
          <cell r="K176">
            <v>18.007518192689897</v>
          </cell>
          <cell r="L176">
            <v>19.259032333342535</v>
          </cell>
          <cell r="M176">
            <v>24.604995675896223</v>
          </cell>
          <cell r="N176">
            <v>25.484537650744329</v>
          </cell>
          <cell r="O176">
            <v>26.75490203235195</v>
          </cell>
          <cell r="P176">
            <v>28.792088043953999</v>
          </cell>
          <cell r="Q176">
            <v>27.271117362066519</v>
          </cell>
          <cell r="R176">
            <v>27.189193836269101</v>
          </cell>
          <cell r="S176">
            <v>27.433874736350102</v>
          </cell>
          <cell r="T176">
            <v>27.540812457089753</v>
          </cell>
          <cell r="U176">
            <v>27.556635771940275</v>
          </cell>
          <cell r="CJ176" t="str">
            <v>TRIndustrialCIMS.Generic Fuels.Fuel Oil</v>
          </cell>
        </row>
        <row r="177">
          <cell r="K177"/>
          <cell r="L177"/>
          <cell r="M177"/>
          <cell r="N177"/>
          <cell r="O177"/>
          <cell r="P177"/>
          <cell r="Q177"/>
          <cell r="R177"/>
          <cell r="S177"/>
          <cell r="T177"/>
          <cell r="U177"/>
        </row>
        <row r="178">
          <cell r="K178"/>
          <cell r="L178"/>
          <cell r="M178"/>
          <cell r="N178"/>
          <cell r="O178"/>
          <cell r="P178"/>
          <cell r="Q178"/>
          <cell r="R178"/>
          <cell r="S178"/>
          <cell r="T178"/>
          <cell r="U178"/>
        </row>
        <row r="179">
          <cell r="K179">
            <v>34.935162957516454</v>
          </cell>
          <cell r="L179">
            <v>35.28730912083784</v>
          </cell>
          <cell r="M179">
            <v>37.36272450709253</v>
          </cell>
          <cell r="N179">
            <v>36.038285527617056</v>
          </cell>
          <cell r="O179">
            <v>35.992035959946371</v>
          </cell>
          <cell r="P179">
            <v>38.420708714885272</v>
          </cell>
          <cell r="Q179">
            <v>37.843690068968122</v>
          </cell>
          <cell r="R179">
            <v>38.713640407151743</v>
          </cell>
          <cell r="S179">
            <v>38.90546371230198</v>
          </cell>
          <cell r="T179">
            <v>38.811092049562639</v>
          </cell>
          <cell r="U179">
            <v>38.832776914430646</v>
          </cell>
          <cell r="CJ179" t="str">
            <v>CANTransportationCIMS.Generic Fuels.Gasoline</v>
          </cell>
        </row>
        <row r="180">
          <cell r="K180">
            <v>36.424883925969098</v>
          </cell>
          <cell r="L180">
            <v>37.154151539898272</v>
          </cell>
          <cell r="M180">
            <v>40.341566970042052</v>
          </cell>
          <cell r="N180">
            <v>40.360489161864216</v>
          </cell>
          <cell r="O180">
            <v>40.846748534816896</v>
          </cell>
          <cell r="P180">
            <v>42.53709493114016</v>
          </cell>
          <cell r="Q180">
            <v>41.906348513945318</v>
          </cell>
          <cell r="R180">
            <v>42.870544244817339</v>
          </cell>
          <cell r="S180">
            <v>43.128851081699793</v>
          </cell>
          <cell r="T180">
            <v>43.088938794857675</v>
          </cell>
          <cell r="U180">
            <v>43.153666043004449</v>
          </cell>
          <cell r="CJ180" t="str">
            <v>BCTransportationCIMS.Generic Fuels.Gasoline</v>
          </cell>
        </row>
        <row r="181">
          <cell r="K181">
            <v>32.217638354198456</v>
          </cell>
          <cell r="L181">
            <v>33.047005025088794</v>
          </cell>
          <cell r="M181">
            <v>34.305956415716594</v>
          </cell>
          <cell r="N181">
            <v>32.279582505584635</v>
          </cell>
          <cell r="O181">
            <v>33.403845019222842</v>
          </cell>
          <cell r="P181">
            <v>36.144605927798942</v>
          </cell>
          <cell r="Q181">
            <v>35.685733654451646</v>
          </cell>
          <cell r="R181">
            <v>36.656570896284393</v>
          </cell>
          <cell r="S181">
            <v>36.921875713528991</v>
          </cell>
          <cell r="T181">
            <v>36.882397480826889</v>
          </cell>
          <cell r="U181">
            <v>36.946309158172632</v>
          </cell>
          <cell r="CJ181" t="str">
            <v>ABTransportationCIMS.Generic Fuels.Gasoline</v>
          </cell>
        </row>
        <row r="182">
          <cell r="K182">
            <v>37.690131767435588</v>
          </cell>
          <cell r="L182">
            <v>38.172377983365315</v>
          </cell>
          <cell r="M182">
            <v>38.902842421703483</v>
          </cell>
          <cell r="N182">
            <v>35.280337303356873</v>
          </cell>
          <cell r="O182">
            <v>35.80692947598115</v>
          </cell>
          <cell r="P182">
            <v>38.947638222132177</v>
          </cell>
          <cell r="Q182">
            <v>38.500147406470944</v>
          </cell>
          <cell r="R182">
            <v>39.523518269931486</v>
          </cell>
          <cell r="S182">
            <v>39.77602465747816</v>
          </cell>
          <cell r="T182">
            <v>39.711468031430691</v>
          </cell>
          <cell r="U182">
            <v>39.758271285027952</v>
          </cell>
          <cell r="CJ182" t="str">
            <v>SKTransportationCIMS.Generic Fuels.Gasoline</v>
          </cell>
        </row>
        <row r="183">
          <cell r="K183">
            <v>35.575838173771992</v>
          </cell>
          <cell r="L183">
            <v>36.420519871732076</v>
          </cell>
          <cell r="M183">
            <v>37.829339862237497</v>
          </cell>
          <cell r="N183">
            <v>34.767139562594323</v>
          </cell>
          <cell r="O183">
            <v>35.225034204626475</v>
          </cell>
          <cell r="P183">
            <v>38.224995242639821</v>
          </cell>
          <cell r="Q183">
            <v>37.655495801632362</v>
          </cell>
          <cell r="R183">
            <v>38.676595629156765</v>
          </cell>
          <cell r="S183">
            <v>38.95372495234011</v>
          </cell>
          <cell r="T183">
            <v>38.915266109574468</v>
          </cell>
          <cell r="U183">
            <v>38.979591395995861</v>
          </cell>
          <cell r="CJ183" t="str">
            <v>MBTransportationCIMS.Generic Fuels.Gasoline</v>
          </cell>
        </row>
        <row r="184">
          <cell r="K184">
            <v>33.852171960448743</v>
          </cell>
          <cell r="L184">
            <v>34.032668865122851</v>
          </cell>
          <cell r="M184">
            <v>36.470903330875203</v>
          </cell>
          <cell r="N184">
            <v>35.570893823917828</v>
          </cell>
          <cell r="O184">
            <v>35.340912393621799</v>
          </cell>
          <cell r="P184">
            <v>37.620875113964921</v>
          </cell>
          <cell r="Q184">
            <v>37.072747192301101</v>
          </cell>
          <cell r="R184">
            <v>38.034634149705667</v>
          </cell>
          <cell r="S184">
            <v>38.314425700823861</v>
          </cell>
          <cell r="T184">
            <v>38.294946394667122</v>
          </cell>
          <cell r="U184">
            <v>38.365778903187206</v>
          </cell>
          <cell r="CJ184" t="str">
            <v>ONTransportationCIMS.Generic Fuels.Gasoline</v>
          </cell>
        </row>
        <row r="185">
          <cell r="K185">
            <v>36.325394170583849</v>
          </cell>
          <cell r="L185">
            <v>36.514472438509941</v>
          </cell>
          <cell r="M185">
            <v>38.564427882283375</v>
          </cell>
          <cell r="N185">
            <v>37.489431986555907</v>
          </cell>
          <cell r="O185">
            <v>36.273560812254203</v>
          </cell>
          <cell r="P185">
            <v>38.836236566678338</v>
          </cell>
          <cell r="Q185">
            <v>38.693623939365509</v>
          </cell>
          <cell r="R185">
            <v>39.54875569701332</v>
          </cell>
          <cell r="S185">
            <v>39.813931857901594</v>
          </cell>
          <cell r="T185">
            <v>39.762007403633277</v>
          </cell>
          <cell r="U185">
            <v>39.810854261719264</v>
          </cell>
          <cell r="CJ185" t="str">
            <v>QCTransportationCIMS.Generic Fuels.Gasoline</v>
          </cell>
        </row>
        <row r="186">
          <cell r="K186">
            <v>36.647915209540443</v>
          </cell>
          <cell r="L186">
            <v>36.577058613456643</v>
          </cell>
          <cell r="M186">
            <v>37.488806477794803</v>
          </cell>
          <cell r="N186">
            <v>34.520952043945577</v>
          </cell>
          <cell r="O186">
            <v>35.23521284572837</v>
          </cell>
          <cell r="P186">
            <v>38.354466600615247</v>
          </cell>
          <cell r="Q186">
            <v>37.717891316494857</v>
          </cell>
          <cell r="R186">
            <v>38.667916017063547</v>
          </cell>
          <cell r="S186">
            <v>38.950583677630775</v>
          </cell>
          <cell r="T186">
            <v>38.916601437271908</v>
          </cell>
          <cell r="U186">
            <v>38.978275333994915</v>
          </cell>
          <cell r="CJ186" t="str">
            <v>NBTransportationCIMS.Generic Fuels.Gasoline</v>
          </cell>
        </row>
        <row r="187">
          <cell r="K187">
            <v>36.567895423680355</v>
          </cell>
          <cell r="L187">
            <v>36.629792294383535</v>
          </cell>
          <cell r="M187">
            <v>37.993514748628044</v>
          </cell>
          <cell r="N187">
            <v>34.79407711887486</v>
          </cell>
          <cell r="O187">
            <v>34.37716246328587</v>
          </cell>
          <cell r="P187">
            <v>38.256667469001123</v>
          </cell>
          <cell r="Q187">
            <v>37.592486448855063</v>
          </cell>
          <cell r="R187">
            <v>38.540893111648501</v>
          </cell>
          <cell r="S187">
            <v>38.830513775073882</v>
          </cell>
          <cell r="T187">
            <v>38.805692001787257</v>
          </cell>
          <cell r="U187">
            <v>38.873104198839449</v>
          </cell>
          <cell r="CJ187" t="str">
            <v>NSTransportationCIMS.Generic Fuels.Gasoline</v>
          </cell>
        </row>
        <row r="188">
          <cell r="K188">
            <v>35.134990165669997</v>
          </cell>
          <cell r="L188">
            <v>34.977475572276298</v>
          </cell>
          <cell r="M188">
            <v>35.864035673477197</v>
          </cell>
          <cell r="N188">
            <v>33.841810457655519</v>
          </cell>
          <cell r="O188">
            <v>34.059785087721231</v>
          </cell>
          <cell r="P188">
            <v>36.904829709065901</v>
          </cell>
          <cell r="Q188">
            <v>36.15298620080425</v>
          </cell>
          <cell r="R188">
            <v>37.087358202412986</v>
          </cell>
          <cell r="S188">
            <v>37.38751865414315</v>
          </cell>
          <cell r="T188">
            <v>37.372946448871929</v>
          </cell>
          <cell r="U188">
            <v>37.447582482619602</v>
          </cell>
          <cell r="CJ188" t="str">
            <v>PETransportationCIMS.Generic Fuels.Gasoline</v>
          </cell>
        </row>
        <row r="189">
          <cell r="K189">
            <v>38.657471203509836</v>
          </cell>
          <cell r="L189">
            <v>39.003595176536933</v>
          </cell>
          <cell r="M189">
            <v>40.187651391687133</v>
          </cell>
          <cell r="N189">
            <v>38.611854155888985</v>
          </cell>
          <cell r="O189">
            <v>39.736035897774151</v>
          </cell>
          <cell r="P189">
            <v>43.117224360114484</v>
          </cell>
          <cell r="Q189">
            <v>42.894262049818437</v>
          </cell>
          <cell r="R189">
            <v>43.918281147004052</v>
          </cell>
          <cell r="S189">
            <v>44.099596865892508</v>
          </cell>
          <cell r="T189">
            <v>43.965628452397951</v>
          </cell>
          <cell r="U189">
            <v>43.968437848492997</v>
          </cell>
          <cell r="CJ189" t="str">
            <v>NLTransportationCIMS.Generic Fuels.Gasoline</v>
          </cell>
        </row>
        <row r="190">
          <cell r="K190">
            <v>39.643028793649229</v>
          </cell>
          <cell r="L190">
            <v>39.655995382606278</v>
          </cell>
          <cell r="M190">
            <v>40.947237283500115</v>
          </cell>
          <cell r="N190">
            <v>39.657076672394709</v>
          </cell>
          <cell r="O190">
            <v>41.60186627611143</v>
          </cell>
          <cell r="P190">
            <v>44.314613534746627</v>
          </cell>
          <cell r="Q190">
            <v>44.219119851985887</v>
          </cell>
          <cell r="R190">
            <v>45.268931459115166</v>
          </cell>
          <cell r="S190">
            <v>45.45574007046983</v>
          </cell>
          <cell r="T190">
            <v>45.350458409194296</v>
          </cell>
          <cell r="U190">
            <v>45.377599819762516</v>
          </cell>
          <cell r="CJ190" t="str">
            <v>YTTransportationCIMS.Generic Fuels.Gasoline</v>
          </cell>
        </row>
        <row r="191">
          <cell r="K191">
            <v>40.088431602714692</v>
          </cell>
          <cell r="L191">
            <v>40.85681189723195</v>
          </cell>
          <cell r="M191">
            <v>42.960137642754752</v>
          </cell>
          <cell r="N191">
            <v>40.484167178461675</v>
          </cell>
          <cell r="O191">
            <v>40.239697483904315</v>
          </cell>
          <cell r="P191">
            <v>42.953267163662275</v>
          </cell>
          <cell r="Q191">
            <v>42.871618176327182</v>
          </cell>
          <cell r="R191">
            <v>43.92291348153401</v>
          </cell>
          <cell r="S191">
            <v>44.106819183888746</v>
          </cell>
          <cell r="T191">
            <v>43.995632962389315</v>
          </cell>
          <cell r="U191">
            <v>44.017758767370168</v>
          </cell>
          <cell r="CJ191" t="str">
            <v>NTTransportationCIMS.Generic Fuels.Gasoline</v>
          </cell>
        </row>
        <row r="192">
          <cell r="K192">
            <v>40.050617187342255</v>
          </cell>
          <cell r="L192">
            <v>40.056177727484609</v>
          </cell>
          <cell r="M192">
            <v>41.338913025085596</v>
          </cell>
          <cell r="N192">
            <v>40.023364027732278</v>
          </cell>
          <cell r="O192">
            <v>41.980788560016464</v>
          </cell>
          <cell r="P192">
            <v>44.724061213344157</v>
          </cell>
          <cell r="Q192">
            <v>44.638141233002997</v>
          </cell>
          <cell r="R192">
            <v>45.68708323501393</v>
          </cell>
          <cell r="S192">
            <v>45.869934895798025</v>
          </cell>
          <cell r="T192">
            <v>45.759811177302552</v>
          </cell>
          <cell r="U192">
            <v>45.783426147968292</v>
          </cell>
          <cell r="CJ192" t="str">
            <v>NUTransportationCIMS.Generic Fuels.Gasoline</v>
          </cell>
        </row>
        <row r="193">
          <cell r="K193">
            <v>36.752068000600154</v>
          </cell>
          <cell r="L193">
            <v>36.796980414163357</v>
          </cell>
          <cell r="M193">
            <v>37.883502072896789</v>
          </cell>
          <cell r="N193">
            <v>35.442173444091232</v>
          </cell>
          <cell r="O193">
            <v>35.852049073627406</v>
          </cell>
          <cell r="P193">
            <v>39.158297034699189</v>
          </cell>
          <cell r="Q193">
            <v>38.589406503993153</v>
          </cell>
          <cell r="R193">
            <v>39.553612119532275</v>
          </cell>
          <cell r="S193">
            <v>39.817053243185079</v>
          </cell>
          <cell r="T193">
            <v>39.765217085082263</v>
          </cell>
          <cell r="U193">
            <v>39.816849965986734</v>
          </cell>
          <cell r="CJ193" t="str">
            <v>ATTransportationCIMS.Generic Fuels.Gasoline</v>
          </cell>
        </row>
        <row r="194">
          <cell r="K194">
            <v>39.92735919456873</v>
          </cell>
          <cell r="L194">
            <v>40.189661669107615</v>
          </cell>
          <cell r="M194">
            <v>41.748762650446821</v>
          </cell>
          <cell r="N194">
            <v>40.05486929286289</v>
          </cell>
          <cell r="O194">
            <v>41.274117440010734</v>
          </cell>
          <cell r="P194">
            <v>43.997313970584351</v>
          </cell>
          <cell r="Q194">
            <v>43.909626420438691</v>
          </cell>
          <cell r="R194">
            <v>44.959642725221038</v>
          </cell>
          <cell r="S194">
            <v>45.144164716718869</v>
          </cell>
          <cell r="T194">
            <v>45.035300849628719</v>
          </cell>
          <cell r="U194">
            <v>45.059594911700323</v>
          </cell>
          <cell r="CJ194" t="str">
            <v>TRTransportationCIMS.Generic Fuels.Gasoline</v>
          </cell>
        </row>
        <row r="195">
          <cell r="K195">
            <v>32.719398591153805</v>
          </cell>
          <cell r="L195">
            <v>33.141920633731594</v>
          </cell>
          <cell r="M195">
            <v>35.068258665167065</v>
          </cell>
          <cell r="N195">
            <v>33.746152395593718</v>
          </cell>
          <cell r="O195">
            <v>32.844060039189557</v>
          </cell>
          <cell r="P195">
            <v>34.194776858275418</v>
          </cell>
          <cell r="Q195">
            <v>33.579513452776226</v>
          </cell>
          <cell r="R195">
            <v>34.598564599178914</v>
          </cell>
          <cell r="S195">
            <v>34.888533709778393</v>
          </cell>
          <cell r="T195">
            <v>34.878795454423198</v>
          </cell>
          <cell r="U195">
            <v>34.972565605623004</v>
          </cell>
          <cell r="CJ195" t="str">
            <v>CANTransportationCIMS.Generic Fuels.Diesel</v>
          </cell>
        </row>
        <row r="196">
          <cell r="K196">
            <v>34.696901661414607</v>
          </cell>
          <cell r="L196">
            <v>34.979902107734738</v>
          </cell>
          <cell r="M196">
            <v>38.365085272366819</v>
          </cell>
          <cell r="N196">
            <v>37.642466338551948</v>
          </cell>
          <cell r="O196">
            <v>35.345513622805598</v>
          </cell>
          <cell r="P196">
            <v>35.963587386029573</v>
          </cell>
          <cell r="Q196">
            <v>34.496453574161968</v>
          </cell>
          <cell r="R196">
            <v>35.417115795722296</v>
          </cell>
          <cell r="S196">
            <v>35.894675420727616</v>
          </cell>
          <cell r="T196">
            <v>36.075277874963788</v>
          </cell>
          <cell r="U196">
            <v>36.284523451912627</v>
          </cell>
          <cell r="CJ196" t="str">
            <v>BCTransportationCIMS.Generic Fuels.Diesel</v>
          </cell>
        </row>
        <row r="197">
          <cell r="K197">
            <v>30.030572170036656</v>
          </cell>
          <cell r="L197">
            <v>30.697433763639015</v>
          </cell>
          <cell r="M197">
            <v>32.514335105243454</v>
          </cell>
          <cell r="N197">
            <v>31.617884023679061</v>
          </cell>
          <cell r="O197">
            <v>31.310102911682304</v>
          </cell>
          <cell r="P197">
            <v>32.345461971651211</v>
          </cell>
          <cell r="Q197">
            <v>31.928316600194098</v>
          </cell>
          <cell r="R197">
            <v>33.024112932066963</v>
          </cell>
          <cell r="S197">
            <v>33.304483983637837</v>
          </cell>
          <cell r="T197">
            <v>33.276958774429453</v>
          </cell>
          <cell r="U197">
            <v>33.362790466961656</v>
          </cell>
          <cell r="CJ197" t="str">
            <v>ABTransportationCIMS.Generic Fuels.Diesel</v>
          </cell>
        </row>
        <row r="198">
          <cell r="K198">
            <v>34.82027126676028</v>
          </cell>
          <cell r="L198">
            <v>34.871545471723415</v>
          </cell>
          <cell r="M198">
            <v>35.739404362445875</v>
          </cell>
          <cell r="N198">
            <v>33.611517674029308</v>
          </cell>
          <cell r="O198">
            <v>33.72270574541367</v>
          </cell>
          <cell r="P198">
            <v>35.578937155066882</v>
          </cell>
          <cell r="Q198">
            <v>35.077153199863751</v>
          </cell>
          <cell r="R198">
            <v>36.148067010346118</v>
          </cell>
          <cell r="S198">
            <v>36.425152653932258</v>
          </cell>
          <cell r="T198">
            <v>36.392019337294926</v>
          </cell>
          <cell r="U198">
            <v>36.472756419371663</v>
          </cell>
          <cell r="CJ198" t="str">
            <v>SKTransportationCIMS.Generic Fuels.Diesel</v>
          </cell>
        </row>
        <row r="199">
          <cell r="K199">
            <v>33.147816721780877</v>
          </cell>
          <cell r="L199">
            <v>33.545441369601114</v>
          </cell>
          <cell r="M199">
            <v>35.400165581709253</v>
          </cell>
          <cell r="N199">
            <v>33.966349126410016</v>
          </cell>
          <cell r="O199">
            <v>34.241866247166385</v>
          </cell>
          <cell r="P199">
            <v>35.992272592788709</v>
          </cell>
          <cell r="Q199">
            <v>35.435971856000577</v>
          </cell>
          <cell r="R199">
            <v>36.527972907853119</v>
          </cell>
          <cell r="S199">
            <v>36.837128760288827</v>
          </cell>
          <cell r="T199">
            <v>36.817840095045213</v>
          </cell>
          <cell r="U199">
            <v>36.900708748867117</v>
          </cell>
          <cell r="CJ199" t="str">
            <v>MBTransportationCIMS.Generic Fuels.Diesel</v>
          </cell>
        </row>
        <row r="200">
          <cell r="K200">
            <v>31.214276445001829</v>
          </cell>
          <cell r="L200">
            <v>31.771095635911525</v>
          </cell>
          <cell r="M200">
            <v>34.230835759378714</v>
          </cell>
          <cell r="N200">
            <v>32.624824972030929</v>
          </cell>
          <cell r="O200">
            <v>31.879776273923607</v>
          </cell>
          <cell r="P200">
            <v>33.809515547565155</v>
          </cell>
          <cell r="Q200">
            <v>33.177224978731161</v>
          </cell>
          <cell r="R200">
            <v>34.188133964968536</v>
          </cell>
          <cell r="S200">
            <v>34.446962731613596</v>
          </cell>
          <cell r="T200">
            <v>34.420623751889998</v>
          </cell>
          <cell r="U200">
            <v>34.516702012145451</v>
          </cell>
          <cell r="CJ200" t="str">
            <v>ONTransportationCIMS.Generic Fuels.Diesel</v>
          </cell>
        </row>
        <row r="201">
          <cell r="K201">
            <v>35.069832250525401</v>
          </cell>
          <cell r="L201">
            <v>35.325632266950528</v>
          </cell>
          <cell r="M201">
            <v>37.015517126846689</v>
          </cell>
          <cell r="N201">
            <v>35.833024887676686</v>
          </cell>
          <cell r="O201">
            <v>33.307831536232733</v>
          </cell>
          <cell r="P201">
            <v>34.519452844257003</v>
          </cell>
          <cell r="Q201">
            <v>34.329772138583252</v>
          </cell>
          <cell r="R201">
            <v>35.264958383168405</v>
          </cell>
          <cell r="S201">
            <v>35.62138634892861</v>
          </cell>
          <cell r="T201">
            <v>35.64978943541427</v>
          </cell>
          <cell r="U201">
            <v>35.75540978391831</v>
          </cell>
          <cell r="CJ201" t="str">
            <v>QCTransportationCIMS.Generic Fuels.Diesel</v>
          </cell>
        </row>
        <row r="202">
          <cell r="K202">
            <v>35.513397111499081</v>
          </cell>
          <cell r="L202">
            <v>35.491877495323671</v>
          </cell>
          <cell r="M202">
            <v>36.466008948615034</v>
          </cell>
          <cell r="N202">
            <v>34.338497060768695</v>
          </cell>
          <cell r="O202">
            <v>33.47089513020007</v>
          </cell>
          <cell r="P202">
            <v>35.457184845588436</v>
          </cell>
          <cell r="Q202">
            <v>34.898381330474827</v>
          </cell>
          <cell r="R202">
            <v>35.958296235915256</v>
          </cell>
          <cell r="S202">
            <v>36.281379657084351</v>
          </cell>
          <cell r="T202">
            <v>36.277656618496138</v>
          </cell>
          <cell r="U202">
            <v>36.364350409423466</v>
          </cell>
          <cell r="CJ202" t="str">
            <v>NBTransportationCIMS.Generic Fuels.Diesel</v>
          </cell>
        </row>
        <row r="203">
          <cell r="K203">
            <v>33.878372462431855</v>
          </cell>
          <cell r="L203">
            <v>34.14937458803184</v>
          </cell>
          <cell r="M203">
            <v>35.623630165855701</v>
          </cell>
          <cell r="N203">
            <v>32.637475501887565</v>
          </cell>
          <cell r="O203">
            <v>31.514486537739142</v>
          </cell>
          <cell r="P203">
            <v>34.462031739555108</v>
          </cell>
          <cell r="Q203">
            <v>33.89532536086373</v>
          </cell>
          <cell r="R203">
            <v>34.957507345288299</v>
          </cell>
          <cell r="S203">
            <v>35.285563026509109</v>
          </cell>
          <cell r="T203">
            <v>35.286528573570997</v>
          </cell>
          <cell r="U203">
            <v>35.376018045036844</v>
          </cell>
          <cell r="CJ203" t="str">
            <v>NSTransportationCIMS.Generic Fuels.Diesel</v>
          </cell>
        </row>
        <row r="204">
          <cell r="K204">
            <v>33.275723023396992</v>
          </cell>
          <cell r="L204">
            <v>33.391505971723397</v>
          </cell>
          <cell r="M204">
            <v>34.522334944244427</v>
          </cell>
          <cell r="N204">
            <v>33.061690915140503</v>
          </cell>
          <cell r="O204">
            <v>32.128667663769534</v>
          </cell>
          <cell r="P204">
            <v>33.805010821695262</v>
          </cell>
          <cell r="Q204">
            <v>33.197679446345148</v>
          </cell>
          <cell r="R204">
            <v>34.263408774169015</v>
          </cell>
          <cell r="S204">
            <v>34.607877684360325</v>
          </cell>
          <cell r="T204">
            <v>34.628556615624326</v>
          </cell>
          <cell r="U204">
            <v>34.731918578018842</v>
          </cell>
          <cell r="CJ204" t="str">
            <v>PETransportationCIMS.Generic Fuels.Diesel</v>
          </cell>
        </row>
        <row r="205">
          <cell r="K205">
            <v>37.234484805379438</v>
          </cell>
          <cell r="L205">
            <v>37.369536849999214</v>
          </cell>
          <cell r="M205">
            <v>38.326899352904142</v>
          </cell>
          <cell r="N205">
            <v>36.711687045106949</v>
          </cell>
          <cell r="O205">
            <v>36.513707717521491</v>
          </cell>
          <cell r="P205">
            <v>38.736258072369019</v>
          </cell>
          <cell r="Q205">
            <v>38.434680251320543</v>
          </cell>
          <cell r="R205">
            <v>39.552461253514544</v>
          </cell>
          <cell r="S205">
            <v>39.816145849472349</v>
          </cell>
          <cell r="T205">
            <v>39.754570214160175</v>
          </cell>
          <cell r="U205">
            <v>39.806588309328021</v>
          </cell>
          <cell r="CJ205" t="str">
            <v>NLTransportationCIMS.Generic Fuels.Diesel</v>
          </cell>
        </row>
        <row r="206">
          <cell r="K206">
            <v>35.133370844192328</v>
          </cell>
          <cell r="L206">
            <v>35.789575895473753</v>
          </cell>
          <cell r="M206">
            <v>38.516173388046255</v>
          </cell>
          <cell r="N206">
            <v>37.591080393941397</v>
          </cell>
          <cell r="O206">
            <v>37.824398222988272</v>
          </cell>
          <cell r="P206">
            <v>40.006077946664881</v>
          </cell>
          <cell r="Q206">
            <v>39.817512079541835</v>
          </cell>
          <cell r="R206">
            <v>40.947517898721415</v>
          </cell>
          <cell r="S206">
            <v>41.192328838620824</v>
          </cell>
          <cell r="T206">
            <v>41.129075024893226</v>
          </cell>
          <cell r="U206">
            <v>41.189201999870043</v>
          </cell>
          <cell r="CJ206" t="str">
            <v>YTTransportationCIMS.Generic Fuels.Diesel</v>
          </cell>
        </row>
        <row r="207">
          <cell r="K207">
            <v>34.064555804108863</v>
          </cell>
          <cell r="L207">
            <v>35.525973363353728</v>
          </cell>
          <cell r="M207">
            <v>38.244405041336321</v>
          </cell>
          <cell r="N207">
            <v>36.710122688646052</v>
          </cell>
          <cell r="O207">
            <v>36.935291753794544</v>
          </cell>
          <cell r="P207">
            <v>39.230801201759206</v>
          </cell>
          <cell r="Q207">
            <v>39.070754482234442</v>
          </cell>
          <cell r="R207">
            <v>40.203362878189331</v>
          </cell>
          <cell r="S207">
            <v>40.441844519826262</v>
          </cell>
          <cell r="T207">
            <v>40.369475755018662</v>
          </cell>
          <cell r="U207">
            <v>40.422715020610035</v>
          </cell>
          <cell r="CJ207" t="str">
            <v>NTTransportationCIMS.Generic Fuels.Diesel</v>
          </cell>
        </row>
        <row r="208">
          <cell r="K208">
            <v>36.304713314587843</v>
          </cell>
          <cell r="L208">
            <v>36.884582910576839</v>
          </cell>
          <cell r="M208">
            <v>39.425239462542173</v>
          </cell>
          <cell r="N208">
            <v>38.336327708518489</v>
          </cell>
          <cell r="O208">
            <v>38.450154959476997</v>
          </cell>
          <cell r="P208">
            <v>40.609863325906311</v>
          </cell>
          <cell r="Q208">
            <v>40.418853481249009</v>
          </cell>
          <cell r="R208">
            <v>41.54485155747566</v>
          </cell>
          <cell r="S208">
            <v>41.785878725037513</v>
          </cell>
          <cell r="T208">
            <v>41.718842291423606</v>
          </cell>
          <cell r="U208">
            <v>41.776469156771284</v>
          </cell>
          <cell r="CJ208" t="str">
            <v>NUTransportationCIMS.Generic Fuels.Diesel</v>
          </cell>
        </row>
        <row r="209">
          <cell r="K209">
            <v>35.138309419721608</v>
          </cell>
          <cell r="L209">
            <v>35.264127596154609</v>
          </cell>
          <cell r="M209">
            <v>36.404989517880672</v>
          </cell>
          <cell r="N209">
            <v>34.348823980786975</v>
          </cell>
          <cell r="O209">
            <v>33.572392674016676</v>
          </cell>
          <cell r="P209">
            <v>35.803199836781026</v>
          </cell>
          <cell r="Q209">
            <v>35.302345259587469</v>
          </cell>
          <cell r="R209">
            <v>36.377694312422193</v>
          </cell>
          <cell r="S209">
            <v>36.689075453332997</v>
          </cell>
          <cell r="T209">
            <v>36.674024395826208</v>
          </cell>
          <cell r="U209">
            <v>36.754002972772611</v>
          </cell>
          <cell r="CJ209" t="str">
            <v>ATTransportationCIMS.Generic Fuels.Diesel</v>
          </cell>
        </row>
        <row r="210">
          <cell r="K210">
            <v>35.186155819402828</v>
          </cell>
          <cell r="L210">
            <v>36.085132337792807</v>
          </cell>
          <cell r="M210">
            <v>38.748620522164074</v>
          </cell>
          <cell r="N210">
            <v>37.565935190942362</v>
          </cell>
          <cell r="O210">
            <v>37.758045186027417</v>
          </cell>
          <cell r="P210">
            <v>39.972869163418203</v>
          </cell>
          <cell r="Q210">
            <v>39.794070062875903</v>
          </cell>
          <cell r="R210">
            <v>40.923549008691062</v>
          </cell>
          <cell r="S210">
            <v>41.164570757063309</v>
          </cell>
          <cell r="T210">
            <v>41.096538672674519</v>
          </cell>
          <cell r="U210">
            <v>41.153209568368659</v>
          </cell>
          <cell r="CJ210" t="str">
            <v>TRTransportationCIMS.Generic Fuels.Diesel</v>
          </cell>
        </row>
        <row r="795">
          <cell r="E795" t="str">
            <v>Biogas</v>
          </cell>
          <cell r="K795">
            <v>0</v>
          </cell>
          <cell r="L795">
            <v>0</v>
          </cell>
          <cell r="M795">
            <v>0</v>
          </cell>
          <cell r="N795">
            <v>0</v>
          </cell>
          <cell r="O795">
            <v>0</v>
          </cell>
          <cell r="P795">
            <v>0</v>
          </cell>
          <cell r="Q795">
            <v>0</v>
          </cell>
          <cell r="R795">
            <v>0</v>
          </cell>
          <cell r="S795">
            <v>0</v>
          </cell>
          <cell r="T795">
            <v>0</v>
          </cell>
          <cell r="U795">
            <v>0</v>
          </cell>
        </row>
        <row r="796">
          <cell r="E796" t="str">
            <v>Black Liquor</v>
          </cell>
          <cell r="K796">
            <v>0</v>
          </cell>
          <cell r="L796">
            <v>0</v>
          </cell>
          <cell r="M796">
            <v>0</v>
          </cell>
          <cell r="N796">
            <v>0</v>
          </cell>
          <cell r="O796">
            <v>0</v>
          </cell>
          <cell r="P796">
            <v>0</v>
          </cell>
          <cell r="Q796">
            <v>0</v>
          </cell>
          <cell r="R796">
            <v>0</v>
          </cell>
          <cell r="S796">
            <v>0</v>
          </cell>
          <cell r="T796">
            <v>0</v>
          </cell>
          <cell r="U796">
            <v>0</v>
          </cell>
        </row>
        <row r="797">
          <cell r="E797" t="str">
            <v>Coal</v>
          </cell>
          <cell r="K797">
            <v>2.6451827310390286</v>
          </cell>
          <cell r="L797">
            <v>2.5675436842813699</v>
          </cell>
          <cell r="M797">
            <v>2.33462654400839</v>
          </cell>
          <cell r="N797">
            <v>2.33462654400839</v>
          </cell>
          <cell r="O797">
            <v>2.33462654400839</v>
          </cell>
          <cell r="P797">
            <v>2.33462654400839</v>
          </cell>
          <cell r="Q797">
            <v>2.33462654400839</v>
          </cell>
          <cell r="R797">
            <v>2.33462654400839</v>
          </cell>
          <cell r="S797">
            <v>2.33462654400839</v>
          </cell>
          <cell r="T797">
            <v>2.33462654400839</v>
          </cell>
          <cell r="U797">
            <v>2.33462654400839</v>
          </cell>
        </row>
        <row r="798">
          <cell r="E798" t="str">
            <v>Coke</v>
          </cell>
          <cell r="K798">
            <v>2.7114430765744828</v>
          </cell>
          <cell r="L798">
            <v>2.8733728858611101</v>
          </cell>
          <cell r="M798">
            <v>3.3591623137209599</v>
          </cell>
          <cell r="N798">
            <v>3.3591623137209599</v>
          </cell>
          <cell r="O798">
            <v>3.3591623137209599</v>
          </cell>
          <cell r="P798">
            <v>3.3591623137209599</v>
          </cell>
          <cell r="Q798">
            <v>3.3591623137209599</v>
          </cell>
          <cell r="R798">
            <v>3.3591623137209599</v>
          </cell>
          <cell r="S798">
            <v>3.3591623137209599</v>
          </cell>
          <cell r="T798">
            <v>3.3591623137209599</v>
          </cell>
          <cell r="U798">
            <v>3.3591623137209599</v>
          </cell>
        </row>
        <row r="799">
          <cell r="E799" t="str">
            <v>Hydrogen</v>
          </cell>
          <cell r="K799">
            <v>59.532871676928607</v>
          </cell>
          <cell r="L799">
            <v>55.585908894687201</v>
          </cell>
          <cell r="M799">
            <v>46.639973843363798</v>
          </cell>
          <cell r="N799">
            <v>45.1924971956634</v>
          </cell>
          <cell r="O799">
            <v>42.6822408830553</v>
          </cell>
          <cell r="P799">
            <v>42.6822408830553</v>
          </cell>
          <cell r="Q799">
            <v>42.6822408830553</v>
          </cell>
          <cell r="R799">
            <v>42.6822408830553</v>
          </cell>
          <cell r="S799">
            <v>42.6822408830553</v>
          </cell>
          <cell r="T799">
            <v>42.6822408830553</v>
          </cell>
          <cell r="U799">
            <v>42.6822408830553</v>
          </cell>
        </row>
        <row r="800">
          <cell r="E800" t="str">
            <v>Jet Fuel</v>
          </cell>
          <cell r="K800">
            <v>17.588550071448253</v>
          </cell>
          <cell r="L800">
            <v>20.286557707742901</v>
          </cell>
          <cell r="M800">
            <v>27.204590863547502</v>
          </cell>
          <cell r="N800">
            <v>27.792585740087301</v>
          </cell>
          <cell r="O800">
            <v>32.830982809845999</v>
          </cell>
          <cell r="P800">
            <v>34.830041283130299</v>
          </cell>
          <cell r="Q800">
            <v>36.154675431643497</v>
          </cell>
          <cell r="R800">
            <v>36.751568264299401</v>
          </cell>
          <cell r="S800">
            <v>37.830547209983003</v>
          </cell>
          <cell r="T800">
            <v>37.830547209983003</v>
          </cell>
          <cell r="U800">
            <v>37.830547209983003</v>
          </cell>
        </row>
        <row r="801">
          <cell r="E801" t="str">
            <v>LPG</v>
          </cell>
          <cell r="K801">
            <v>34.654406149177703</v>
          </cell>
          <cell r="L801">
            <v>27.8413380552951</v>
          </cell>
          <cell r="M801">
            <v>35.450484776971301</v>
          </cell>
          <cell r="N801">
            <v>21.4263092753094</v>
          </cell>
          <cell r="O801">
            <v>28.561317388655102</v>
          </cell>
          <cell r="P801">
            <v>30.3903221376506</v>
          </cell>
          <cell r="Q801">
            <v>30.9916705857359</v>
          </cell>
          <cell r="R801">
            <v>31.5209767507625</v>
          </cell>
          <cell r="S801">
            <v>32.137212259876797</v>
          </cell>
          <cell r="T801">
            <v>32.137212259876797</v>
          </cell>
          <cell r="U801">
            <v>32.137212259876797</v>
          </cell>
        </row>
        <row r="802">
          <cell r="E802" t="str">
            <v>Petroleum Coke</v>
          </cell>
          <cell r="K802">
            <v>2.7114430765744828</v>
          </cell>
          <cell r="L802">
            <v>2.8733728858611101</v>
          </cell>
          <cell r="M802">
            <v>3.3591623137209599</v>
          </cell>
          <cell r="N802">
            <v>3.3591623137209599</v>
          </cell>
          <cell r="O802">
            <v>3.3591623137209599</v>
          </cell>
          <cell r="P802">
            <v>3.3591623137209599</v>
          </cell>
          <cell r="Q802">
            <v>3.3591623137209599</v>
          </cell>
          <cell r="R802">
            <v>3.3591623137209599</v>
          </cell>
          <cell r="S802">
            <v>3.3591623137209599</v>
          </cell>
          <cell r="T802">
            <v>3.3591623137209599</v>
          </cell>
          <cell r="U802">
            <v>3.3591623137209599</v>
          </cell>
        </row>
        <row r="803">
          <cell r="E803" t="str">
            <v>Propane</v>
          </cell>
          <cell r="K803">
            <v>13.396871273564102</v>
          </cell>
          <cell r="L803">
            <v>27.8413380552951</v>
          </cell>
          <cell r="M803">
            <v>47.012111104128799</v>
          </cell>
          <cell r="N803">
            <v>59.093424752308799</v>
          </cell>
          <cell r="O803">
            <v>67.870915586325594</v>
          </cell>
          <cell r="P803">
            <v>71.452462793724607</v>
          </cell>
          <cell r="Q803">
            <v>74.057171945186894</v>
          </cell>
          <cell r="R803">
            <v>75.465710440620697</v>
          </cell>
          <cell r="S803">
            <v>77.119170702216906</v>
          </cell>
          <cell r="T803">
            <v>77.119170702216906</v>
          </cell>
          <cell r="U803">
            <v>77.119170702216906</v>
          </cell>
        </row>
        <row r="804">
          <cell r="E804" t="str">
            <v>Refinery Fuel Gas</v>
          </cell>
          <cell r="K804">
            <v>0</v>
          </cell>
          <cell r="L804">
            <v>0</v>
          </cell>
          <cell r="M804">
            <v>0</v>
          </cell>
          <cell r="N804">
            <v>0</v>
          </cell>
          <cell r="O804">
            <v>0</v>
          </cell>
          <cell r="P804">
            <v>0</v>
          </cell>
          <cell r="Q804">
            <v>0</v>
          </cell>
          <cell r="R804">
            <v>0</v>
          </cell>
          <cell r="S804">
            <v>0</v>
          </cell>
          <cell r="T804">
            <v>0</v>
          </cell>
          <cell r="U804">
            <v>0</v>
          </cell>
        </row>
        <row r="805">
          <cell r="E805" t="str">
            <v>Solid Biomass</v>
          </cell>
          <cell r="K805">
            <v>1.5054207166802769</v>
          </cell>
          <cell r="L805">
            <v>1.22168905950096</v>
          </cell>
          <cell r="M805">
            <v>0.37049408796290201</v>
          </cell>
          <cell r="N805">
            <v>0.37049408796290201</v>
          </cell>
          <cell r="O805">
            <v>0.37049408796290201</v>
          </cell>
          <cell r="P805">
            <v>0.37049408796290201</v>
          </cell>
          <cell r="Q805">
            <v>0.37049408796290201</v>
          </cell>
          <cell r="R805">
            <v>0.37049408796290201</v>
          </cell>
          <cell r="S805">
            <v>0.37049408796290201</v>
          </cell>
          <cell r="T805">
            <v>0.37049408796290201</v>
          </cell>
          <cell r="U805">
            <v>0.37049408796290201</v>
          </cell>
        </row>
        <row r="806">
          <cell r="E806" t="str">
            <v>Uranium</v>
          </cell>
          <cell r="K806">
            <v>0.15835207918590033</v>
          </cell>
          <cell r="L806">
            <v>0.157112434</v>
          </cell>
          <cell r="M806">
            <v>0.15339349844229899</v>
          </cell>
          <cell r="N806">
            <v>0.15339349844229899</v>
          </cell>
          <cell r="O806">
            <v>0.15339349844229899</v>
          </cell>
          <cell r="P806">
            <v>0.15339349844229899</v>
          </cell>
          <cell r="Q806">
            <v>0.15339349844229899</v>
          </cell>
          <cell r="R806">
            <v>0.15339349844229899</v>
          </cell>
          <cell r="S806">
            <v>0.15339349844229899</v>
          </cell>
          <cell r="T806">
            <v>0.15339349844229899</v>
          </cell>
          <cell r="U806">
            <v>0.15339349844229899</v>
          </cell>
        </row>
        <row r="807">
          <cell r="E807" t="str">
            <v>Waste Fuel</v>
          </cell>
          <cell r="K807">
            <v>1.0445441458733233</v>
          </cell>
          <cell r="L807">
            <v>1.05676103646833</v>
          </cell>
          <cell r="M807">
            <v>1.0934117082533501</v>
          </cell>
          <cell r="N807">
            <v>1.0934117082533501</v>
          </cell>
          <cell r="O807">
            <v>1.0934117082533501</v>
          </cell>
          <cell r="P807">
            <v>1.0934117082533501</v>
          </cell>
          <cell r="Q807">
            <v>1.0934117082533501</v>
          </cell>
          <cell r="R807">
            <v>1.0934117082533501</v>
          </cell>
          <cell r="S807">
            <v>1.0934117082533501</v>
          </cell>
          <cell r="T807">
            <v>1.0934117082533501</v>
          </cell>
          <cell r="U807">
            <v>1.0934117082533501</v>
          </cell>
        </row>
        <row r="809">
          <cell r="K809">
            <v>1.280373831775701</v>
          </cell>
        </row>
      </sheetData>
      <sheetData sheetId="3"/>
      <sheetData sheetId="4"/>
      <sheetData sheetId="5"/>
      <sheetData sheetId="6"/>
      <sheetData sheetId="7"/>
      <sheetData sheetId="8">
        <row r="1">
          <cell r="G1">
            <v>2000</v>
          </cell>
          <cell r="H1">
            <v>2001</v>
          </cell>
          <cell r="I1">
            <v>2002</v>
          </cell>
          <cell r="J1">
            <v>2003</v>
          </cell>
          <cell r="K1">
            <v>2004</v>
          </cell>
          <cell r="L1">
            <v>2005</v>
          </cell>
          <cell r="M1">
            <v>2006</v>
          </cell>
          <cell r="N1">
            <v>2007</v>
          </cell>
          <cell r="O1">
            <v>2008</v>
          </cell>
          <cell r="P1">
            <v>2009</v>
          </cell>
          <cell r="Q1">
            <v>2010</v>
          </cell>
          <cell r="R1">
            <v>2011</v>
          </cell>
          <cell r="S1">
            <v>2012</v>
          </cell>
          <cell r="T1">
            <v>2013</v>
          </cell>
          <cell r="U1">
            <v>2014</v>
          </cell>
          <cell r="V1">
            <v>2015</v>
          </cell>
          <cell r="W1">
            <v>2016</v>
          </cell>
          <cell r="X1">
            <v>2017</v>
          </cell>
          <cell r="Y1">
            <v>2018</v>
          </cell>
          <cell r="Z1">
            <v>2019</v>
          </cell>
          <cell r="AA1">
            <v>2020</v>
          </cell>
          <cell r="AB1">
            <v>2021</v>
          </cell>
          <cell r="AC1">
            <v>2022</v>
          </cell>
          <cell r="AD1">
            <v>2023</v>
          </cell>
          <cell r="AE1">
            <v>2024</v>
          </cell>
          <cell r="AF1">
            <v>2025</v>
          </cell>
          <cell r="AG1">
            <v>2026</v>
          </cell>
          <cell r="AH1">
            <v>2027</v>
          </cell>
          <cell r="AI1">
            <v>2028</v>
          </cell>
          <cell r="AJ1">
            <v>2029</v>
          </cell>
          <cell r="AK1">
            <v>2030</v>
          </cell>
          <cell r="AL1">
            <v>2031</v>
          </cell>
          <cell r="AM1">
            <v>2032</v>
          </cell>
          <cell r="AN1">
            <v>2033</v>
          </cell>
          <cell r="AO1">
            <v>2034</v>
          </cell>
          <cell r="AP1">
            <v>2035</v>
          </cell>
          <cell r="AQ1">
            <v>2036</v>
          </cell>
          <cell r="AR1">
            <v>2037</v>
          </cell>
          <cell r="AS1">
            <v>2038</v>
          </cell>
          <cell r="AT1">
            <v>2039</v>
          </cell>
          <cell r="AU1">
            <v>2040</v>
          </cell>
          <cell r="AV1">
            <v>2041</v>
          </cell>
          <cell r="AW1">
            <v>2042</v>
          </cell>
          <cell r="AX1">
            <v>2043</v>
          </cell>
          <cell r="AY1">
            <v>2044</v>
          </cell>
          <cell r="AZ1">
            <v>2045</v>
          </cell>
          <cell r="BA1">
            <v>2046</v>
          </cell>
          <cell r="BB1">
            <v>2047</v>
          </cell>
          <cell r="BC1">
            <v>2048</v>
          </cell>
          <cell r="BD1">
            <v>2049</v>
          </cell>
          <cell r="BE1">
            <v>2050</v>
          </cell>
          <cell r="BF1">
            <v>2051</v>
          </cell>
          <cell r="BG1">
            <v>2052</v>
          </cell>
          <cell r="BH1">
            <v>2053</v>
          </cell>
          <cell r="BI1">
            <v>2054</v>
          </cell>
          <cell r="BJ1">
            <v>2055</v>
          </cell>
          <cell r="BK1">
            <v>2056</v>
          </cell>
          <cell r="BL1">
            <v>2057</v>
          </cell>
          <cell r="BM1">
            <v>2058</v>
          </cell>
          <cell r="BN1">
            <v>2059</v>
          </cell>
          <cell r="BO1">
            <v>2060</v>
          </cell>
        </row>
        <row r="29">
          <cell r="B29" t="str">
            <v>Biodiesel</v>
          </cell>
          <cell r="G29">
            <v>33.322391017173047</v>
          </cell>
          <cell r="H29">
            <v>33.322391017173047</v>
          </cell>
          <cell r="I29">
            <v>33.322391017173047</v>
          </cell>
          <cell r="J29">
            <v>33.322391017173047</v>
          </cell>
          <cell r="K29">
            <v>33.322391017173047</v>
          </cell>
          <cell r="L29">
            <v>33.322391017173047</v>
          </cell>
          <cell r="M29">
            <v>33.322391017173047</v>
          </cell>
          <cell r="N29">
            <v>33.322391017173047</v>
          </cell>
          <cell r="O29">
            <v>33.322391017173047</v>
          </cell>
          <cell r="P29">
            <v>33.322391017173047</v>
          </cell>
          <cell r="Q29">
            <v>33.322391017173047</v>
          </cell>
          <cell r="R29">
            <v>33.322391017173047</v>
          </cell>
          <cell r="S29">
            <v>33.322391017173047</v>
          </cell>
          <cell r="T29">
            <v>33.322391017173047</v>
          </cell>
          <cell r="U29">
            <v>33.322391017173047</v>
          </cell>
          <cell r="V29">
            <v>33.322391017173047</v>
          </cell>
          <cell r="W29">
            <v>33.322391017173047</v>
          </cell>
          <cell r="X29">
            <v>33.322391017173047</v>
          </cell>
          <cell r="Y29">
            <v>33.322391017173047</v>
          </cell>
          <cell r="Z29">
            <v>33.322391017173047</v>
          </cell>
          <cell r="AA29">
            <v>33.322391017173047</v>
          </cell>
          <cell r="AB29">
            <v>33.322391017173047</v>
          </cell>
          <cell r="AC29">
            <v>33.322391017173047</v>
          </cell>
          <cell r="AD29">
            <v>33.322391017173047</v>
          </cell>
          <cell r="AE29">
            <v>33.322391017173047</v>
          </cell>
          <cell r="AF29">
            <v>33.322391017173047</v>
          </cell>
          <cell r="AG29">
            <v>33.322391017173047</v>
          </cell>
          <cell r="AH29">
            <v>33.322391017173047</v>
          </cell>
          <cell r="AI29">
            <v>33.322391017173047</v>
          </cell>
          <cell r="AJ29">
            <v>33.322391017173047</v>
          </cell>
          <cell r="AK29">
            <v>33.322391017173047</v>
          </cell>
          <cell r="AL29">
            <v>33.322391017173047</v>
          </cell>
          <cell r="AM29">
            <v>33.322391017173047</v>
          </cell>
          <cell r="AN29">
            <v>33.322391017173047</v>
          </cell>
          <cell r="AO29">
            <v>33.322391017173047</v>
          </cell>
          <cell r="AP29">
            <v>33.322391017173047</v>
          </cell>
          <cell r="AQ29">
            <v>33.322391017173047</v>
          </cell>
          <cell r="AR29">
            <v>33.322391017173047</v>
          </cell>
          <cell r="AS29">
            <v>33.322391017173047</v>
          </cell>
          <cell r="AT29">
            <v>33.322391017173047</v>
          </cell>
          <cell r="AU29">
            <v>33.322391017173047</v>
          </cell>
          <cell r="AV29">
            <v>33.322391017173047</v>
          </cell>
          <cell r="AW29">
            <v>33.322391017173047</v>
          </cell>
          <cell r="AX29">
            <v>33.322391017173047</v>
          </cell>
          <cell r="AY29">
            <v>33.322391017173047</v>
          </cell>
          <cell r="AZ29">
            <v>33.322391017173047</v>
          </cell>
          <cell r="BA29">
            <v>33.322391017173047</v>
          </cell>
          <cell r="BB29">
            <v>33.322391017173047</v>
          </cell>
          <cell r="BC29">
            <v>33.322391017173047</v>
          </cell>
          <cell r="BD29">
            <v>33.322391017173047</v>
          </cell>
          <cell r="BE29">
            <v>33.322391017173047</v>
          </cell>
          <cell r="BF29">
            <v>33.322391017173047</v>
          </cell>
          <cell r="BG29">
            <v>33.322391017173047</v>
          </cell>
          <cell r="BH29">
            <v>33.322391017173047</v>
          </cell>
          <cell r="BI29">
            <v>33.322391017173047</v>
          </cell>
          <cell r="BJ29">
            <v>33.322391017173047</v>
          </cell>
          <cell r="BK29">
            <v>33.322391017173047</v>
          </cell>
          <cell r="BL29">
            <v>33.322391017173047</v>
          </cell>
          <cell r="BM29">
            <v>33.322391017173047</v>
          </cell>
          <cell r="BN29">
            <v>33.322391017173047</v>
          </cell>
          <cell r="BO29">
            <v>33.322391017173047</v>
          </cell>
        </row>
        <row r="30">
          <cell r="B30" t="str">
            <v>Biogas</v>
          </cell>
          <cell r="G30">
            <v>37.989999934966505</v>
          </cell>
          <cell r="H30">
            <v>38.090000067537595</v>
          </cell>
          <cell r="I30">
            <v>38.089999943885992</v>
          </cell>
          <cell r="J30">
            <v>38.200000000000003</v>
          </cell>
          <cell r="K30">
            <v>38.21000005608883</v>
          </cell>
          <cell r="L30">
            <v>38.259998958056819</v>
          </cell>
          <cell r="M30">
            <v>38.260000180720937</v>
          </cell>
          <cell r="N30">
            <v>38.110000608339433</v>
          </cell>
          <cell r="O30">
            <v>38.409998944225379</v>
          </cell>
          <cell r="P30">
            <v>38.430000915151403</v>
          </cell>
          <cell r="Q30">
            <v>38.51999993949601</v>
          </cell>
          <cell r="R30">
            <v>38.560001088530569</v>
          </cell>
          <cell r="S30">
            <v>38.740000970806214</v>
          </cell>
          <cell r="T30">
            <v>38.85000097656868</v>
          </cell>
          <cell r="U30">
            <v>38.999999222988272</v>
          </cell>
          <cell r="V30">
            <v>39.239999484440986</v>
          </cell>
          <cell r="W30">
            <v>39.029993050258099</v>
          </cell>
          <cell r="X30">
            <v>39.219991692165777</v>
          </cell>
          <cell r="Y30">
            <v>39.11000062547992</v>
          </cell>
          <cell r="Z30">
            <v>39.28004057736554</v>
          </cell>
          <cell r="AA30">
            <v>39.279978463639132</v>
          </cell>
          <cell r="AB30">
            <v>39.279978463639132</v>
          </cell>
          <cell r="AC30">
            <v>39.279978463639132</v>
          </cell>
          <cell r="AD30">
            <v>39.279978463639132</v>
          </cell>
          <cell r="AE30">
            <v>39.279978463639132</v>
          </cell>
          <cell r="AF30">
            <v>39.279978463639132</v>
          </cell>
          <cell r="AG30">
            <v>39.279978463639132</v>
          </cell>
          <cell r="AH30">
            <v>39.279978463639132</v>
          </cell>
          <cell r="AI30">
            <v>39.279978463639132</v>
          </cell>
          <cell r="AJ30">
            <v>39.279978463639132</v>
          </cell>
          <cell r="AK30">
            <v>39.279978463639132</v>
          </cell>
          <cell r="AL30">
            <v>39.279978463639132</v>
          </cell>
          <cell r="AM30">
            <v>39.279978463639132</v>
          </cell>
          <cell r="AN30">
            <v>39.279978463639132</v>
          </cell>
          <cell r="AO30">
            <v>39.279978463639132</v>
          </cell>
          <cell r="AP30">
            <v>39.279978463639132</v>
          </cell>
          <cell r="AQ30">
            <v>39.279978463639132</v>
          </cell>
          <cell r="AR30">
            <v>39.279978463639132</v>
          </cell>
          <cell r="AS30">
            <v>39.279978463639132</v>
          </cell>
          <cell r="AT30">
            <v>39.279978463639132</v>
          </cell>
          <cell r="AU30">
            <v>39.279978463639132</v>
          </cell>
          <cell r="AV30">
            <v>39.279978463639132</v>
          </cell>
          <cell r="AW30">
            <v>39.279978463639132</v>
          </cell>
          <cell r="AX30">
            <v>39.279978463639132</v>
          </cell>
          <cell r="AY30">
            <v>39.279978463639132</v>
          </cell>
          <cell r="AZ30">
            <v>39.279978463639132</v>
          </cell>
          <cell r="BA30">
            <v>39.279978463639132</v>
          </cell>
          <cell r="BB30">
            <v>39.279978463639132</v>
          </cell>
          <cell r="BC30">
            <v>39.279978463639132</v>
          </cell>
          <cell r="BD30">
            <v>39.279978463639132</v>
          </cell>
          <cell r="BE30">
            <v>39.279978463639132</v>
          </cell>
          <cell r="BF30">
            <v>39.279978463639132</v>
          </cell>
          <cell r="BG30">
            <v>39.279978463639132</v>
          </cell>
          <cell r="BH30">
            <v>39.279978463639132</v>
          </cell>
          <cell r="BI30">
            <v>39.279978463639132</v>
          </cell>
          <cell r="BJ30">
            <v>39.279978463639132</v>
          </cell>
          <cell r="BK30">
            <v>39.279978463639132</v>
          </cell>
          <cell r="BL30">
            <v>39.279978463639132</v>
          </cell>
          <cell r="BM30">
            <v>39.279978463639132</v>
          </cell>
          <cell r="BN30">
            <v>39.279978463639132</v>
          </cell>
          <cell r="BO30">
            <v>39.279978463639132</v>
          </cell>
        </row>
        <row r="31">
          <cell r="B31" t="str">
            <v>Black liquor</v>
          </cell>
          <cell r="G31">
            <v>14</v>
          </cell>
          <cell r="H31">
            <v>14</v>
          </cell>
          <cell r="I31">
            <v>14</v>
          </cell>
          <cell r="J31">
            <v>14</v>
          </cell>
          <cell r="K31">
            <v>14</v>
          </cell>
          <cell r="L31">
            <v>14.000000108315001</v>
          </cell>
          <cell r="M31">
            <v>13.999999806108626</v>
          </cell>
          <cell r="N31">
            <v>13.999999748986674</v>
          </cell>
          <cell r="O31">
            <v>14.000000379920184</v>
          </cell>
          <cell r="P31">
            <v>14.000000293094232</v>
          </cell>
          <cell r="Q31">
            <v>13.999999509048447</v>
          </cell>
          <cell r="R31">
            <v>13.999999576064937</v>
          </cell>
          <cell r="S31">
            <v>13.999999862124477</v>
          </cell>
          <cell r="T31">
            <v>14.000000358891684</v>
          </cell>
          <cell r="U31">
            <v>13.999999930118202</v>
          </cell>
          <cell r="V31">
            <v>14.000000263165045</v>
          </cell>
          <cell r="W31">
            <v>13.999999650391192</v>
          </cell>
          <cell r="X31">
            <v>14.000000177847673</v>
          </cell>
          <cell r="Y31">
            <v>14.000000287867154</v>
          </cell>
          <cell r="Z31">
            <v>14.000000057915708</v>
          </cell>
          <cell r="AA31">
            <v>13.999999571880892</v>
          </cell>
          <cell r="AB31">
            <v>13.999999571880892</v>
          </cell>
          <cell r="AC31">
            <v>13.999999571880892</v>
          </cell>
          <cell r="AD31">
            <v>13.999999571880892</v>
          </cell>
          <cell r="AE31">
            <v>13.999999571880892</v>
          </cell>
          <cell r="AF31">
            <v>13.999999571880892</v>
          </cell>
          <cell r="AG31">
            <v>13.999999571880892</v>
          </cell>
          <cell r="AH31">
            <v>13.999999571880892</v>
          </cell>
          <cell r="AI31">
            <v>13.999999571880892</v>
          </cell>
          <cell r="AJ31">
            <v>13.999999571880892</v>
          </cell>
          <cell r="AK31">
            <v>13.999999571880892</v>
          </cell>
          <cell r="AL31">
            <v>13.999999571880892</v>
          </cell>
          <cell r="AM31">
            <v>13.999999571880892</v>
          </cell>
          <cell r="AN31">
            <v>13.999999571880892</v>
          </cell>
          <cell r="AO31">
            <v>13.999999571880892</v>
          </cell>
          <cell r="AP31">
            <v>13.999999571880892</v>
          </cell>
          <cell r="AQ31">
            <v>13.999999571880892</v>
          </cell>
          <cell r="AR31">
            <v>13.999999571880892</v>
          </cell>
          <cell r="AS31">
            <v>13.999999571880892</v>
          </cell>
          <cell r="AT31">
            <v>13.999999571880892</v>
          </cell>
          <cell r="AU31">
            <v>13.999999571880892</v>
          </cell>
          <cell r="AV31">
            <v>13.999999571880892</v>
          </cell>
          <cell r="AW31">
            <v>13.999999571880892</v>
          </cell>
          <cell r="AX31">
            <v>13.999999571880892</v>
          </cell>
          <cell r="AY31">
            <v>13.999999571880892</v>
          </cell>
          <cell r="AZ31">
            <v>13.999999571880892</v>
          </cell>
          <cell r="BA31">
            <v>13.999999571880892</v>
          </cell>
          <cell r="BB31">
            <v>13.999999571880892</v>
          </cell>
          <cell r="BC31">
            <v>13.999999571880892</v>
          </cell>
          <cell r="BD31">
            <v>13.999999571880892</v>
          </cell>
          <cell r="BE31">
            <v>13.999999571880892</v>
          </cell>
          <cell r="BF31">
            <v>13.999999571880892</v>
          </cell>
          <cell r="BG31">
            <v>13.999999571880892</v>
          </cell>
          <cell r="BH31">
            <v>13.999999571880892</v>
          </cell>
          <cell r="BI31">
            <v>13.999999571880892</v>
          </cell>
          <cell r="BJ31">
            <v>13.999999571880892</v>
          </cell>
          <cell r="BK31">
            <v>13.999999571880892</v>
          </cell>
          <cell r="BL31">
            <v>13.999999571880892</v>
          </cell>
          <cell r="BM31">
            <v>13.999999571880892</v>
          </cell>
          <cell r="BN31">
            <v>13.999999571880892</v>
          </cell>
          <cell r="BO31">
            <v>13.999999571880892</v>
          </cell>
        </row>
        <row r="32">
          <cell r="B32" t="str">
            <v>Coal</v>
          </cell>
          <cell r="G32">
            <v>27.281135001993739</v>
          </cell>
          <cell r="H32">
            <v>27.326522347523987</v>
          </cell>
          <cell r="I32">
            <v>27.26900553429919</v>
          </cell>
          <cell r="J32">
            <v>26.649636115461792</v>
          </cell>
          <cell r="K32">
            <v>26.436665511450485</v>
          </cell>
          <cell r="L32">
            <v>26.065005050848569</v>
          </cell>
          <cell r="M32">
            <v>25.961495108007071</v>
          </cell>
          <cell r="N32">
            <v>25.531014474531759</v>
          </cell>
          <cell r="O32">
            <v>25.843172868753484</v>
          </cell>
          <cell r="P32">
            <v>26.793021648355463</v>
          </cell>
          <cell r="Q32">
            <v>26.786318243881073</v>
          </cell>
          <cell r="R32">
            <v>26.168637600813259</v>
          </cell>
          <cell r="S32">
            <v>26.659965993421157</v>
          </cell>
          <cell r="T32">
            <v>27.016240445692489</v>
          </cell>
          <cell r="U32">
            <v>26.977445511114617</v>
          </cell>
          <cell r="V32">
            <v>27.053121030041794</v>
          </cell>
          <cell r="W32">
            <v>27.163362076755085</v>
          </cell>
          <cell r="X32">
            <v>26.765276773307829</v>
          </cell>
          <cell r="Y32">
            <v>26.964276060526934</v>
          </cell>
          <cell r="Z32">
            <v>27.168687414844136</v>
          </cell>
          <cell r="AA32">
            <v>26.836304091575098</v>
          </cell>
          <cell r="AB32">
            <v>26.836304091575098</v>
          </cell>
          <cell r="AC32">
            <v>26.836304091575098</v>
          </cell>
          <cell r="AD32">
            <v>26.836304091575098</v>
          </cell>
          <cell r="AE32">
            <v>26.836304091575098</v>
          </cell>
          <cell r="AF32">
            <v>26.836304091575098</v>
          </cell>
          <cell r="AG32">
            <v>26.836304091575098</v>
          </cell>
          <cell r="AH32">
            <v>26.836304091575098</v>
          </cell>
          <cell r="AI32">
            <v>26.836304091575098</v>
          </cell>
          <cell r="AJ32">
            <v>26.836304091575098</v>
          </cell>
          <cell r="AK32">
            <v>26.836304091575098</v>
          </cell>
          <cell r="AL32">
            <v>26.836304091575098</v>
          </cell>
          <cell r="AM32">
            <v>26.836304091575098</v>
          </cell>
          <cell r="AN32">
            <v>26.836304091575098</v>
          </cell>
          <cell r="AO32">
            <v>26.836304091575098</v>
          </cell>
          <cell r="AP32">
            <v>26.836304091575098</v>
          </cell>
          <cell r="AQ32">
            <v>26.836304091575098</v>
          </cell>
          <cell r="AR32">
            <v>26.836304091575098</v>
          </cell>
          <cell r="AS32">
            <v>26.836304091575098</v>
          </cell>
          <cell r="AT32">
            <v>26.836304091575098</v>
          </cell>
          <cell r="AU32">
            <v>26.836304091575098</v>
          </cell>
          <cell r="AV32">
            <v>26.836304091575098</v>
          </cell>
          <cell r="AW32">
            <v>26.836304091575098</v>
          </cell>
          <cell r="AX32">
            <v>26.836304091575098</v>
          </cell>
          <cell r="AY32">
            <v>26.836304091575098</v>
          </cell>
          <cell r="AZ32">
            <v>26.836304091575098</v>
          </cell>
          <cell r="BA32">
            <v>26.836304091575098</v>
          </cell>
          <cell r="BB32">
            <v>26.836304091575098</v>
          </cell>
          <cell r="BC32">
            <v>26.836304091575098</v>
          </cell>
          <cell r="BD32">
            <v>26.836304091575098</v>
          </cell>
          <cell r="BE32">
            <v>26.836304091575098</v>
          </cell>
          <cell r="BF32">
            <v>26.836304091575098</v>
          </cell>
          <cell r="BG32">
            <v>26.836304091575098</v>
          </cell>
          <cell r="BH32">
            <v>26.836304091575098</v>
          </cell>
          <cell r="BI32">
            <v>26.836304091575098</v>
          </cell>
          <cell r="BJ32">
            <v>26.836304091575098</v>
          </cell>
          <cell r="BK32">
            <v>26.836304091575098</v>
          </cell>
          <cell r="BL32">
            <v>26.836304091575098</v>
          </cell>
          <cell r="BM32">
            <v>26.836304091575098</v>
          </cell>
          <cell r="BN32">
            <v>26.836304091575098</v>
          </cell>
          <cell r="BO32">
            <v>26.836304091575098</v>
          </cell>
        </row>
        <row r="33">
          <cell r="B33" t="str">
            <v>Coke</v>
          </cell>
          <cell r="G33">
            <v>28.830000239717378</v>
          </cell>
          <cell r="H33">
            <v>28.82999995511139</v>
          </cell>
          <cell r="I33">
            <v>28.830000015450388</v>
          </cell>
          <cell r="J33">
            <v>28.82999994686336</v>
          </cell>
          <cell r="K33">
            <v>28.829999901213348</v>
          </cell>
          <cell r="L33">
            <v>28.830000062087507</v>
          </cell>
          <cell r="M33">
            <v>28.829996791359196</v>
          </cell>
          <cell r="N33">
            <v>28.829996297848346</v>
          </cell>
          <cell r="O33">
            <v>28.829998215308454</v>
          </cell>
          <cell r="P33">
            <v>28.83000207582332</v>
          </cell>
          <cell r="Q33">
            <v>28.829995050999777</v>
          </cell>
          <cell r="R33">
            <v>28.829996754598554</v>
          </cell>
          <cell r="S33">
            <v>28.829999073505032</v>
          </cell>
          <cell r="T33">
            <v>28.830005119721349</v>
          </cell>
          <cell r="U33">
            <v>28.830002406580906</v>
          </cell>
          <cell r="V33">
            <v>28.829999136977442</v>
          </cell>
          <cell r="W33">
            <v>28.830004655337383</v>
          </cell>
          <cell r="X33">
            <v>28.82999851086289</v>
          </cell>
          <cell r="Y33">
            <v>28.830003049454579</v>
          </cell>
          <cell r="Z33">
            <v>28.829996525224686</v>
          </cell>
          <cell r="AA33">
            <v>28.830000581498822</v>
          </cell>
          <cell r="AB33">
            <v>28.830000581498822</v>
          </cell>
          <cell r="AC33">
            <v>28.830000581498822</v>
          </cell>
          <cell r="AD33">
            <v>28.830000581498822</v>
          </cell>
          <cell r="AE33">
            <v>28.830000581498822</v>
          </cell>
          <cell r="AF33">
            <v>28.830000581498822</v>
          </cell>
          <cell r="AG33">
            <v>28.830000581498822</v>
          </cell>
          <cell r="AH33">
            <v>28.830000581498822</v>
          </cell>
          <cell r="AI33">
            <v>28.830000581498822</v>
          </cell>
          <cell r="AJ33">
            <v>28.830000581498822</v>
          </cell>
          <cell r="AK33">
            <v>28.830000581498822</v>
          </cell>
          <cell r="AL33">
            <v>28.830000581498822</v>
          </cell>
          <cell r="AM33">
            <v>28.830000581498822</v>
          </cell>
          <cell r="AN33">
            <v>28.830000581498822</v>
          </cell>
          <cell r="AO33">
            <v>28.830000581498822</v>
          </cell>
          <cell r="AP33">
            <v>28.830000581498822</v>
          </cell>
          <cell r="AQ33">
            <v>28.830000581498822</v>
          </cell>
          <cell r="AR33">
            <v>28.830000581498822</v>
          </cell>
          <cell r="AS33">
            <v>28.830000581498822</v>
          </cell>
          <cell r="AT33">
            <v>28.830000581498822</v>
          </cell>
          <cell r="AU33">
            <v>28.830000581498822</v>
          </cell>
          <cell r="AV33">
            <v>28.830000581498822</v>
          </cell>
          <cell r="AW33">
            <v>28.830000581498822</v>
          </cell>
          <cell r="AX33">
            <v>28.830000581498822</v>
          </cell>
          <cell r="AY33">
            <v>28.830000581498822</v>
          </cell>
          <cell r="AZ33">
            <v>28.830000581498822</v>
          </cell>
          <cell r="BA33">
            <v>28.830000581498822</v>
          </cell>
          <cell r="BB33">
            <v>28.830000581498822</v>
          </cell>
          <cell r="BC33">
            <v>28.830000581498822</v>
          </cell>
          <cell r="BD33">
            <v>28.830000581498822</v>
          </cell>
          <cell r="BE33">
            <v>28.830000581498822</v>
          </cell>
          <cell r="BF33">
            <v>28.830000581498822</v>
          </cell>
          <cell r="BG33">
            <v>28.830000581498822</v>
          </cell>
          <cell r="BH33">
            <v>28.830000581498822</v>
          </cell>
          <cell r="BI33">
            <v>28.830000581498822</v>
          </cell>
          <cell r="BJ33">
            <v>28.830000581498822</v>
          </cell>
          <cell r="BK33">
            <v>28.830000581498822</v>
          </cell>
          <cell r="BL33">
            <v>28.830000581498822</v>
          </cell>
          <cell r="BM33">
            <v>28.830000581498822</v>
          </cell>
          <cell r="BN33">
            <v>28.830000581498822</v>
          </cell>
          <cell r="BO33">
            <v>28.830000581498822</v>
          </cell>
        </row>
        <row r="34">
          <cell r="B34" t="str">
            <v>Diesel</v>
          </cell>
          <cell r="G34">
            <v>38.679925435948505</v>
          </cell>
          <cell r="H34">
            <v>38.680065473475189</v>
          </cell>
          <cell r="I34">
            <v>38.299955672007968</v>
          </cell>
          <cell r="J34">
            <v>38.300019365322605</v>
          </cell>
          <cell r="K34">
            <v>38.299998399923197</v>
          </cell>
          <cell r="L34">
            <v>38.299931844114475</v>
          </cell>
          <cell r="M34">
            <v>38.300002287300146</v>
          </cell>
          <cell r="N34">
            <v>38.300022546602378</v>
          </cell>
          <cell r="O34">
            <v>38.299933175988855</v>
          </cell>
          <cell r="P34">
            <v>38.299956398350787</v>
          </cell>
          <cell r="Q34">
            <v>38.299949311917906</v>
          </cell>
          <cell r="R34">
            <v>38.300029726613161</v>
          </cell>
          <cell r="S34">
            <v>38.300027818991097</v>
          </cell>
          <cell r="T34">
            <v>38.299954894000905</v>
          </cell>
          <cell r="U34">
            <v>38.300025305449751</v>
          </cell>
          <cell r="V34">
            <v>38.299949988288397</v>
          </cell>
          <cell r="W34">
            <v>38.299968511111558</v>
          </cell>
          <cell r="X34">
            <v>38.300038616220696</v>
          </cell>
          <cell r="Y34">
            <v>38.29996720005623</v>
          </cell>
          <cell r="Z34">
            <v>38.299964686095301</v>
          </cell>
          <cell r="AA34">
            <v>38.299928248342916</v>
          </cell>
          <cell r="AB34">
            <v>38.299928248342916</v>
          </cell>
          <cell r="AC34">
            <v>38.299928248342916</v>
          </cell>
          <cell r="AD34">
            <v>38.299928248342916</v>
          </cell>
          <cell r="AE34">
            <v>38.299928248342916</v>
          </cell>
          <cell r="AF34">
            <v>38.299928248342916</v>
          </cell>
          <cell r="AG34">
            <v>38.299928248342916</v>
          </cell>
          <cell r="AH34">
            <v>38.299928248342916</v>
          </cell>
          <cell r="AI34">
            <v>38.299928248342916</v>
          </cell>
          <cell r="AJ34">
            <v>38.299928248342916</v>
          </cell>
          <cell r="AK34">
            <v>38.299928248342916</v>
          </cell>
          <cell r="AL34">
            <v>38.299928248342916</v>
          </cell>
          <cell r="AM34">
            <v>38.299928248342916</v>
          </cell>
          <cell r="AN34">
            <v>38.299928248342916</v>
          </cell>
          <cell r="AO34">
            <v>38.299928248342916</v>
          </cell>
          <cell r="AP34">
            <v>38.299928248342916</v>
          </cell>
          <cell r="AQ34">
            <v>38.299928248342916</v>
          </cell>
          <cell r="AR34">
            <v>38.299928248342916</v>
          </cell>
          <cell r="AS34">
            <v>38.299928248342916</v>
          </cell>
          <cell r="AT34">
            <v>38.299928248342916</v>
          </cell>
          <cell r="AU34">
            <v>38.299928248342916</v>
          </cell>
          <cell r="AV34">
            <v>38.299928248342916</v>
          </cell>
          <cell r="AW34">
            <v>38.299928248342916</v>
          </cell>
          <cell r="AX34">
            <v>38.299928248342916</v>
          </cell>
          <cell r="AY34">
            <v>38.299928248342916</v>
          </cell>
          <cell r="AZ34">
            <v>38.299928248342916</v>
          </cell>
          <cell r="BA34">
            <v>38.299928248342916</v>
          </cell>
          <cell r="BB34">
            <v>38.299928248342916</v>
          </cell>
          <cell r="BC34">
            <v>38.299928248342916</v>
          </cell>
          <cell r="BD34">
            <v>38.299928248342916</v>
          </cell>
          <cell r="BE34">
            <v>38.299928248342916</v>
          </cell>
          <cell r="BF34">
            <v>38.299928248342916</v>
          </cell>
          <cell r="BG34">
            <v>38.299928248342916</v>
          </cell>
          <cell r="BH34">
            <v>38.299928248342916</v>
          </cell>
          <cell r="BI34">
            <v>38.299928248342916</v>
          </cell>
          <cell r="BJ34">
            <v>38.299928248342916</v>
          </cell>
          <cell r="BK34">
            <v>38.299928248342916</v>
          </cell>
          <cell r="BL34">
            <v>38.299928248342916</v>
          </cell>
          <cell r="BM34">
            <v>38.299928248342916</v>
          </cell>
          <cell r="BN34">
            <v>38.299928248342916</v>
          </cell>
          <cell r="BO34">
            <v>38.299928248342916</v>
          </cell>
        </row>
        <row r="35">
          <cell r="B35" t="str">
            <v>Electricity</v>
          </cell>
          <cell r="G35">
            <v>3.6</v>
          </cell>
          <cell r="H35">
            <v>3.6</v>
          </cell>
          <cell r="I35">
            <v>3.6</v>
          </cell>
          <cell r="J35">
            <v>3.6</v>
          </cell>
          <cell r="K35">
            <v>3.6</v>
          </cell>
          <cell r="L35">
            <v>3.6</v>
          </cell>
          <cell r="M35">
            <v>3.6</v>
          </cell>
          <cell r="N35">
            <v>3.6</v>
          </cell>
          <cell r="O35">
            <v>3.6</v>
          </cell>
          <cell r="P35">
            <v>3.6</v>
          </cell>
          <cell r="Q35">
            <v>3.6</v>
          </cell>
          <cell r="R35">
            <v>3.6</v>
          </cell>
          <cell r="S35">
            <v>3.6</v>
          </cell>
          <cell r="T35">
            <v>3.6</v>
          </cell>
          <cell r="U35">
            <v>3.6</v>
          </cell>
          <cell r="V35">
            <v>3.6</v>
          </cell>
          <cell r="W35">
            <v>3.6</v>
          </cell>
          <cell r="X35">
            <v>3.6</v>
          </cell>
          <cell r="Y35">
            <v>3.6</v>
          </cell>
          <cell r="Z35">
            <v>3.6</v>
          </cell>
          <cell r="AA35">
            <v>3.6</v>
          </cell>
          <cell r="AB35">
            <v>3.6</v>
          </cell>
          <cell r="AC35">
            <v>3.6</v>
          </cell>
          <cell r="AD35">
            <v>3.6</v>
          </cell>
          <cell r="AE35">
            <v>3.6</v>
          </cell>
          <cell r="AF35">
            <v>3.6</v>
          </cell>
          <cell r="AG35">
            <v>3.6</v>
          </cell>
          <cell r="AH35">
            <v>3.6</v>
          </cell>
          <cell r="AI35">
            <v>3.6</v>
          </cell>
          <cell r="AJ35">
            <v>3.6</v>
          </cell>
          <cell r="AK35">
            <v>3.6</v>
          </cell>
          <cell r="AL35">
            <v>3.6</v>
          </cell>
          <cell r="AM35">
            <v>3.6</v>
          </cell>
          <cell r="AN35">
            <v>3.6</v>
          </cell>
          <cell r="AO35">
            <v>3.6</v>
          </cell>
          <cell r="AP35">
            <v>3.6</v>
          </cell>
          <cell r="AQ35">
            <v>3.6</v>
          </cell>
          <cell r="AR35">
            <v>3.6</v>
          </cell>
          <cell r="AS35">
            <v>3.6</v>
          </cell>
          <cell r="AT35">
            <v>3.6</v>
          </cell>
          <cell r="AU35">
            <v>3.6</v>
          </cell>
          <cell r="AV35">
            <v>3.6</v>
          </cell>
          <cell r="AW35">
            <v>3.6</v>
          </cell>
          <cell r="AX35">
            <v>3.6</v>
          </cell>
          <cell r="AY35">
            <v>3.6</v>
          </cell>
          <cell r="AZ35">
            <v>3.6</v>
          </cell>
          <cell r="BA35">
            <v>3.6</v>
          </cell>
          <cell r="BB35">
            <v>3.6</v>
          </cell>
          <cell r="BC35">
            <v>3.6</v>
          </cell>
          <cell r="BD35">
            <v>3.6</v>
          </cell>
          <cell r="BE35">
            <v>3.6</v>
          </cell>
          <cell r="BF35">
            <v>3.6</v>
          </cell>
          <cell r="BG35">
            <v>3.6</v>
          </cell>
          <cell r="BH35">
            <v>3.6</v>
          </cell>
          <cell r="BI35">
            <v>3.6</v>
          </cell>
          <cell r="BJ35">
            <v>3.6</v>
          </cell>
          <cell r="BK35">
            <v>3.6</v>
          </cell>
          <cell r="BL35">
            <v>3.6</v>
          </cell>
          <cell r="BM35">
            <v>3.6</v>
          </cell>
          <cell r="BN35">
            <v>3.6</v>
          </cell>
          <cell r="BO35">
            <v>3.6</v>
          </cell>
        </row>
        <row r="36">
          <cell r="B36" t="str">
            <v>Ethanol</v>
          </cell>
          <cell r="G36">
            <v>21.275601056803168</v>
          </cell>
          <cell r="H36">
            <v>21.275601056803168</v>
          </cell>
          <cell r="I36">
            <v>21.275601056803168</v>
          </cell>
          <cell r="J36">
            <v>21.275601056803168</v>
          </cell>
          <cell r="K36">
            <v>21.275601056803168</v>
          </cell>
          <cell r="L36">
            <v>21.275601056803168</v>
          </cell>
          <cell r="M36">
            <v>21.275601056803168</v>
          </cell>
          <cell r="N36">
            <v>21.275601056803168</v>
          </cell>
          <cell r="O36">
            <v>21.275601056803168</v>
          </cell>
          <cell r="P36">
            <v>21.275601056803168</v>
          </cell>
          <cell r="Q36">
            <v>21.275601056803168</v>
          </cell>
          <cell r="R36">
            <v>21.275601056803168</v>
          </cell>
          <cell r="S36">
            <v>21.275601056803168</v>
          </cell>
          <cell r="T36">
            <v>21.275601056803168</v>
          </cell>
          <cell r="U36">
            <v>21.275601056803168</v>
          </cell>
          <cell r="V36">
            <v>21.275601056803168</v>
          </cell>
          <cell r="W36">
            <v>21.275601056803168</v>
          </cell>
          <cell r="X36">
            <v>21.275601056803168</v>
          </cell>
          <cell r="Y36">
            <v>21.275601056803168</v>
          </cell>
          <cell r="Z36">
            <v>21.275601056803168</v>
          </cell>
          <cell r="AA36">
            <v>21.275601056803168</v>
          </cell>
          <cell r="AB36">
            <v>21.275601056803168</v>
          </cell>
          <cell r="AC36">
            <v>21.275601056803168</v>
          </cell>
          <cell r="AD36">
            <v>21.275601056803168</v>
          </cell>
          <cell r="AE36">
            <v>21.275601056803168</v>
          </cell>
          <cell r="AF36">
            <v>21.275601056803168</v>
          </cell>
          <cell r="AG36">
            <v>21.275601056803168</v>
          </cell>
          <cell r="AH36">
            <v>21.275601056803168</v>
          </cell>
          <cell r="AI36">
            <v>21.275601056803168</v>
          </cell>
          <cell r="AJ36">
            <v>21.275601056803168</v>
          </cell>
          <cell r="AK36">
            <v>21.275601056803168</v>
          </cell>
          <cell r="AL36">
            <v>21.275601056803168</v>
          </cell>
          <cell r="AM36">
            <v>21.275601056803168</v>
          </cell>
          <cell r="AN36">
            <v>21.275601056803168</v>
          </cell>
          <cell r="AO36">
            <v>21.275601056803168</v>
          </cell>
          <cell r="AP36">
            <v>21.275601056803168</v>
          </cell>
          <cell r="AQ36">
            <v>21.275601056803168</v>
          </cell>
          <cell r="AR36">
            <v>21.275601056803168</v>
          </cell>
          <cell r="AS36">
            <v>21.275601056803168</v>
          </cell>
          <cell r="AT36">
            <v>21.275601056803168</v>
          </cell>
          <cell r="AU36">
            <v>21.275601056803168</v>
          </cell>
          <cell r="AV36">
            <v>21.275601056803168</v>
          </cell>
          <cell r="AW36">
            <v>21.275601056803168</v>
          </cell>
          <cell r="AX36">
            <v>21.275601056803168</v>
          </cell>
          <cell r="AY36">
            <v>21.275601056803168</v>
          </cell>
          <cell r="AZ36">
            <v>21.275601056803168</v>
          </cell>
          <cell r="BA36">
            <v>21.275601056803168</v>
          </cell>
          <cell r="BB36">
            <v>21.275601056803168</v>
          </cell>
          <cell r="BC36">
            <v>21.275601056803168</v>
          </cell>
          <cell r="BD36">
            <v>21.275601056803168</v>
          </cell>
          <cell r="BE36">
            <v>21.275601056803168</v>
          </cell>
          <cell r="BF36">
            <v>21.275601056803168</v>
          </cell>
          <cell r="BG36">
            <v>21.275601056803168</v>
          </cell>
          <cell r="BH36">
            <v>21.275601056803168</v>
          </cell>
          <cell r="BI36">
            <v>21.275601056803168</v>
          </cell>
          <cell r="BJ36">
            <v>21.275601056803168</v>
          </cell>
          <cell r="BK36">
            <v>21.275601056803168</v>
          </cell>
          <cell r="BL36">
            <v>21.275601056803168</v>
          </cell>
          <cell r="BM36">
            <v>21.275601056803168</v>
          </cell>
          <cell r="BN36">
            <v>21.275601056803168</v>
          </cell>
          <cell r="BO36">
            <v>21.275601056803168</v>
          </cell>
        </row>
        <row r="37">
          <cell r="B37" t="str">
            <v>Fuel oil</v>
          </cell>
          <cell r="G37">
            <v>42.500001679681141</v>
          </cell>
          <cell r="H37">
            <v>42.500001372430312</v>
          </cell>
          <cell r="I37">
            <v>42.500001853421082</v>
          </cell>
          <cell r="J37">
            <v>42.500000153212326</v>
          </cell>
          <cell r="K37">
            <v>42.500001555910806</v>
          </cell>
          <cell r="L37">
            <v>42.49999462158479</v>
          </cell>
          <cell r="M37">
            <v>42.499993198406727</v>
          </cell>
          <cell r="N37">
            <v>42.500007934339692</v>
          </cell>
          <cell r="O37">
            <v>42.500003902539106</v>
          </cell>
          <cell r="P37">
            <v>42.500005927963386</v>
          </cell>
          <cell r="Q37">
            <v>42.499996053265136</v>
          </cell>
          <cell r="R37">
            <v>42.500008082757489</v>
          </cell>
          <cell r="S37">
            <v>42.500026715920235</v>
          </cell>
          <cell r="T37">
            <v>42.500005546759979</v>
          </cell>
          <cell r="U37">
            <v>42.500005546759979</v>
          </cell>
          <cell r="V37">
            <v>42.500005546759979</v>
          </cell>
          <cell r="W37">
            <v>42.500021461699902</v>
          </cell>
          <cell r="X37">
            <v>42.500030396341863</v>
          </cell>
          <cell r="Y37">
            <v>42.500030396341863</v>
          </cell>
          <cell r="Z37">
            <v>42.500007804183667</v>
          </cell>
          <cell r="AA37">
            <v>42.499812906568415</v>
          </cell>
          <cell r="AB37">
            <v>42.499812906568415</v>
          </cell>
          <cell r="AC37">
            <v>42.499812906568415</v>
          </cell>
          <cell r="AD37">
            <v>42.499812906568415</v>
          </cell>
          <cell r="AE37">
            <v>42.499812906568415</v>
          </cell>
          <cell r="AF37">
            <v>42.499812906568415</v>
          </cell>
          <cell r="AG37">
            <v>42.499812906568415</v>
          </cell>
          <cell r="AH37">
            <v>42.499812906568415</v>
          </cell>
          <cell r="AI37">
            <v>42.499812906568415</v>
          </cell>
          <cell r="AJ37">
            <v>42.499812906568415</v>
          </cell>
          <cell r="AK37">
            <v>42.499812906568415</v>
          </cell>
          <cell r="AL37">
            <v>42.499812906568415</v>
          </cell>
          <cell r="AM37">
            <v>42.499812906568415</v>
          </cell>
          <cell r="AN37">
            <v>42.499812906568415</v>
          </cell>
          <cell r="AO37">
            <v>42.499812906568415</v>
          </cell>
          <cell r="AP37">
            <v>42.499812906568415</v>
          </cell>
          <cell r="AQ37">
            <v>42.499812906568415</v>
          </cell>
          <cell r="AR37">
            <v>42.499812906568415</v>
          </cell>
          <cell r="AS37">
            <v>42.499812906568415</v>
          </cell>
          <cell r="AT37">
            <v>42.499812906568415</v>
          </cell>
          <cell r="AU37">
            <v>42.499812906568415</v>
          </cell>
          <cell r="AV37">
            <v>42.499812906568415</v>
          </cell>
          <cell r="AW37">
            <v>42.499812906568415</v>
          </cell>
          <cell r="AX37">
            <v>42.499812906568415</v>
          </cell>
          <cell r="AY37">
            <v>42.499812906568415</v>
          </cell>
          <cell r="AZ37">
            <v>42.499812906568415</v>
          </cell>
          <cell r="BA37">
            <v>42.499812906568415</v>
          </cell>
          <cell r="BB37">
            <v>42.499812906568415</v>
          </cell>
          <cell r="BC37">
            <v>42.499812906568415</v>
          </cell>
          <cell r="BD37">
            <v>42.499812906568415</v>
          </cell>
          <cell r="BE37">
            <v>42.499812906568415</v>
          </cell>
          <cell r="BF37">
            <v>42.499812906568415</v>
          </cell>
          <cell r="BG37">
            <v>42.499812906568415</v>
          </cell>
          <cell r="BH37">
            <v>42.499812906568415</v>
          </cell>
          <cell r="BI37">
            <v>42.499812906568415</v>
          </cell>
          <cell r="BJ37">
            <v>42.499812906568415</v>
          </cell>
          <cell r="BK37">
            <v>42.499812906568415</v>
          </cell>
          <cell r="BL37">
            <v>42.499812906568415</v>
          </cell>
          <cell r="BM37">
            <v>42.499812906568415</v>
          </cell>
          <cell r="BN37">
            <v>42.499812906568415</v>
          </cell>
          <cell r="BO37">
            <v>42.499812906568415</v>
          </cell>
        </row>
        <row r="38">
          <cell r="B38" t="str">
            <v>Gasoline</v>
          </cell>
          <cell r="G38">
            <v>34.659999168511533</v>
          </cell>
          <cell r="H38">
            <v>34.659952530630569</v>
          </cell>
          <cell r="I38">
            <v>34.99994930856888</v>
          </cell>
          <cell r="J38">
            <v>35.000024944125158</v>
          </cell>
          <cell r="K38">
            <v>35</v>
          </cell>
          <cell r="L38">
            <v>34.999987755571823</v>
          </cell>
          <cell r="M38">
            <v>35</v>
          </cell>
          <cell r="N38">
            <v>35</v>
          </cell>
          <cell r="O38">
            <v>35.000011988021569</v>
          </cell>
          <cell r="P38">
            <v>34.999976328671664</v>
          </cell>
          <cell r="Q38">
            <v>35.000023044660551</v>
          </cell>
          <cell r="R38">
            <v>35</v>
          </cell>
          <cell r="S38">
            <v>34.999988381090922</v>
          </cell>
          <cell r="T38">
            <v>34.999988640675021</v>
          </cell>
          <cell r="U38">
            <v>34.999977954144619</v>
          </cell>
          <cell r="V38">
            <v>34.99996661703733</v>
          </cell>
          <cell r="W38">
            <v>35.000010793145059</v>
          </cell>
          <cell r="X38">
            <v>34.999967894728954</v>
          </cell>
          <cell r="Y38">
            <v>35</v>
          </cell>
          <cell r="Z38">
            <v>34.999968542313738</v>
          </cell>
          <cell r="AA38">
            <v>34.999962880015836</v>
          </cell>
          <cell r="AB38">
            <v>34.999962880015836</v>
          </cell>
          <cell r="AC38">
            <v>34.999962880015836</v>
          </cell>
          <cell r="AD38">
            <v>34.999962880015836</v>
          </cell>
          <cell r="AE38">
            <v>34.999962880015836</v>
          </cell>
          <cell r="AF38">
            <v>34.999962880015836</v>
          </cell>
          <cell r="AG38">
            <v>34.999962880015836</v>
          </cell>
          <cell r="AH38">
            <v>34.999962880015836</v>
          </cell>
          <cell r="AI38">
            <v>34.999962880015836</v>
          </cell>
          <cell r="AJ38">
            <v>34.999962880015836</v>
          </cell>
          <cell r="AK38">
            <v>34.999962880015836</v>
          </cell>
          <cell r="AL38">
            <v>34.999962880015836</v>
          </cell>
          <cell r="AM38">
            <v>34.999962880015836</v>
          </cell>
          <cell r="AN38">
            <v>34.999962880015836</v>
          </cell>
          <cell r="AO38">
            <v>34.999962880015836</v>
          </cell>
          <cell r="AP38">
            <v>34.999962880015836</v>
          </cell>
          <cell r="AQ38">
            <v>34.999962880015836</v>
          </cell>
          <cell r="AR38">
            <v>34.999962880015836</v>
          </cell>
          <cell r="AS38">
            <v>34.999962880015836</v>
          </cell>
          <cell r="AT38">
            <v>34.999962880015836</v>
          </cell>
          <cell r="AU38">
            <v>34.999962880015836</v>
          </cell>
          <cell r="AV38">
            <v>34.999962880015836</v>
          </cell>
          <cell r="AW38">
            <v>34.999962880015836</v>
          </cell>
          <cell r="AX38">
            <v>34.999962880015836</v>
          </cell>
          <cell r="AY38">
            <v>34.999962880015836</v>
          </cell>
          <cell r="AZ38">
            <v>34.999962880015836</v>
          </cell>
          <cell r="BA38">
            <v>34.999962880015836</v>
          </cell>
          <cell r="BB38">
            <v>34.999962880015836</v>
          </cell>
          <cell r="BC38">
            <v>34.999962880015836</v>
          </cell>
          <cell r="BD38">
            <v>34.999962880015836</v>
          </cell>
          <cell r="BE38">
            <v>34.999962880015836</v>
          </cell>
          <cell r="BF38">
            <v>34.999962880015836</v>
          </cell>
          <cell r="BG38">
            <v>34.999962880015836</v>
          </cell>
          <cell r="BH38">
            <v>34.999962880015836</v>
          </cell>
          <cell r="BI38">
            <v>34.999962880015836</v>
          </cell>
          <cell r="BJ38">
            <v>34.999962880015836</v>
          </cell>
          <cell r="BK38">
            <v>34.999962880015836</v>
          </cell>
          <cell r="BL38">
            <v>34.999962880015836</v>
          </cell>
          <cell r="BM38">
            <v>34.999962880015836</v>
          </cell>
          <cell r="BN38">
            <v>34.999962880015836</v>
          </cell>
          <cell r="BO38">
            <v>34.999962880015836</v>
          </cell>
        </row>
        <row r="39">
          <cell r="B39" t="str">
            <v>Hydrogen</v>
          </cell>
          <cell r="G39">
            <v>142</v>
          </cell>
          <cell r="H39">
            <v>142</v>
          </cell>
          <cell r="I39">
            <v>142</v>
          </cell>
          <cell r="J39">
            <v>142</v>
          </cell>
          <cell r="K39">
            <v>142</v>
          </cell>
          <cell r="L39">
            <v>142</v>
          </cell>
          <cell r="M39">
            <v>142</v>
          </cell>
          <cell r="N39">
            <v>142</v>
          </cell>
          <cell r="O39">
            <v>142</v>
          </cell>
          <cell r="P39">
            <v>142</v>
          </cell>
          <cell r="Q39">
            <v>142</v>
          </cell>
          <cell r="R39">
            <v>142</v>
          </cell>
          <cell r="S39">
            <v>142</v>
          </cell>
          <cell r="T39">
            <v>142</v>
          </cell>
          <cell r="U39">
            <v>142</v>
          </cell>
          <cell r="V39">
            <v>142</v>
          </cell>
          <cell r="W39">
            <v>142</v>
          </cell>
          <cell r="X39">
            <v>142</v>
          </cell>
          <cell r="Y39">
            <v>142</v>
          </cell>
          <cell r="Z39">
            <v>142</v>
          </cell>
          <cell r="AA39">
            <v>142</v>
          </cell>
          <cell r="AB39">
            <v>142</v>
          </cell>
          <cell r="AC39">
            <v>142</v>
          </cell>
          <cell r="AD39">
            <v>142</v>
          </cell>
          <cell r="AE39">
            <v>142</v>
          </cell>
          <cell r="AF39">
            <v>142</v>
          </cell>
          <cell r="AG39">
            <v>142</v>
          </cell>
          <cell r="AH39">
            <v>142</v>
          </cell>
          <cell r="AI39">
            <v>142</v>
          </cell>
          <cell r="AJ39">
            <v>142</v>
          </cell>
          <cell r="AK39">
            <v>142</v>
          </cell>
          <cell r="AL39">
            <v>142</v>
          </cell>
          <cell r="AM39">
            <v>142</v>
          </cell>
          <cell r="AN39">
            <v>142</v>
          </cell>
          <cell r="AO39">
            <v>142</v>
          </cell>
          <cell r="AP39">
            <v>142</v>
          </cell>
          <cell r="AQ39">
            <v>142</v>
          </cell>
          <cell r="AR39">
            <v>142</v>
          </cell>
          <cell r="AS39">
            <v>142</v>
          </cell>
          <cell r="AT39">
            <v>142</v>
          </cell>
          <cell r="AU39">
            <v>142</v>
          </cell>
          <cell r="AV39">
            <v>142</v>
          </cell>
          <cell r="AW39">
            <v>142</v>
          </cell>
          <cell r="AX39">
            <v>142</v>
          </cell>
          <cell r="AY39">
            <v>142</v>
          </cell>
          <cell r="AZ39">
            <v>142</v>
          </cell>
          <cell r="BA39">
            <v>142</v>
          </cell>
          <cell r="BB39">
            <v>142</v>
          </cell>
          <cell r="BC39">
            <v>142</v>
          </cell>
          <cell r="BD39">
            <v>142</v>
          </cell>
          <cell r="BE39">
            <v>142</v>
          </cell>
          <cell r="BF39">
            <v>142</v>
          </cell>
          <cell r="BG39">
            <v>142</v>
          </cell>
          <cell r="BH39">
            <v>142</v>
          </cell>
          <cell r="BI39">
            <v>142</v>
          </cell>
          <cell r="BJ39">
            <v>142</v>
          </cell>
          <cell r="BK39">
            <v>142</v>
          </cell>
          <cell r="BL39">
            <v>142</v>
          </cell>
          <cell r="BM39">
            <v>142</v>
          </cell>
          <cell r="BN39">
            <v>142</v>
          </cell>
          <cell r="BO39">
            <v>142</v>
          </cell>
        </row>
        <row r="40">
          <cell r="B40" t="str">
            <v>Jet fuel</v>
          </cell>
          <cell r="G40">
            <v>36.369907239712113</v>
          </cell>
          <cell r="H40">
            <v>36.370010596962203</v>
          </cell>
          <cell r="I40">
            <v>37.40004995420864</v>
          </cell>
          <cell r="J40">
            <v>37.400067238191291</v>
          </cell>
          <cell r="K40">
            <v>37.399981406303262</v>
          </cell>
          <cell r="L40">
            <v>37.400184612679666</v>
          </cell>
          <cell r="M40">
            <v>37.400059355987537</v>
          </cell>
          <cell r="N40">
            <v>37.400157760962927</v>
          </cell>
          <cell r="O40">
            <v>37.40004043482994</v>
          </cell>
          <cell r="P40">
            <v>37.400068271036012</v>
          </cell>
          <cell r="Q40">
            <v>37.400177462289264</v>
          </cell>
          <cell r="R40">
            <v>37.400238829734306</v>
          </cell>
          <cell r="S40">
            <v>37.39993851829081</v>
          </cell>
          <cell r="T40">
            <v>37.400161140754925</v>
          </cell>
          <cell r="U40">
            <v>37.400081034931844</v>
          </cell>
          <cell r="V40">
            <v>37.400171193326173</v>
          </cell>
          <cell r="W40">
            <v>37.400183235298023</v>
          </cell>
          <cell r="X40">
            <v>37.400138080678566</v>
          </cell>
          <cell r="Y40">
            <v>37.400039523088068</v>
          </cell>
          <cell r="Z40">
            <v>37.399874740415996</v>
          </cell>
          <cell r="AA40">
            <v>37.399790709313436</v>
          </cell>
          <cell r="AB40">
            <v>37.399790709313436</v>
          </cell>
          <cell r="AC40">
            <v>37.399790709313436</v>
          </cell>
          <cell r="AD40">
            <v>37.399790709313436</v>
          </cell>
          <cell r="AE40">
            <v>37.399790709313436</v>
          </cell>
          <cell r="AF40">
            <v>37.399790709313436</v>
          </cell>
          <cell r="AG40">
            <v>37.399790709313436</v>
          </cell>
          <cell r="AH40">
            <v>37.399790709313436</v>
          </cell>
          <cell r="AI40">
            <v>37.399790709313436</v>
          </cell>
          <cell r="AJ40">
            <v>37.399790709313436</v>
          </cell>
          <cell r="AK40">
            <v>37.399790709313436</v>
          </cell>
          <cell r="AL40">
            <v>37.399790709313436</v>
          </cell>
          <cell r="AM40">
            <v>37.399790709313436</v>
          </cell>
          <cell r="AN40">
            <v>37.399790709313436</v>
          </cell>
          <cell r="AO40">
            <v>37.399790709313436</v>
          </cell>
          <cell r="AP40">
            <v>37.399790709313436</v>
          </cell>
          <cell r="AQ40">
            <v>37.399790709313436</v>
          </cell>
          <cell r="AR40">
            <v>37.399790709313436</v>
          </cell>
          <cell r="AS40">
            <v>37.399790709313436</v>
          </cell>
          <cell r="AT40">
            <v>37.399790709313436</v>
          </cell>
          <cell r="AU40">
            <v>37.399790709313436</v>
          </cell>
          <cell r="AV40">
            <v>37.399790709313436</v>
          </cell>
          <cell r="AW40">
            <v>37.399790709313436</v>
          </cell>
          <cell r="AX40">
            <v>37.399790709313436</v>
          </cell>
          <cell r="AY40">
            <v>37.399790709313436</v>
          </cell>
          <cell r="AZ40">
            <v>37.399790709313436</v>
          </cell>
          <cell r="BA40">
            <v>37.399790709313436</v>
          </cell>
          <cell r="BB40">
            <v>37.399790709313436</v>
          </cell>
          <cell r="BC40">
            <v>37.399790709313436</v>
          </cell>
          <cell r="BD40">
            <v>37.399790709313436</v>
          </cell>
          <cell r="BE40">
            <v>37.399790709313436</v>
          </cell>
          <cell r="BF40">
            <v>37.399790709313436</v>
          </cell>
          <cell r="BG40">
            <v>37.399790709313436</v>
          </cell>
          <cell r="BH40">
            <v>37.399790709313436</v>
          </cell>
          <cell r="BI40">
            <v>37.399790709313436</v>
          </cell>
          <cell r="BJ40">
            <v>37.399790709313436</v>
          </cell>
          <cell r="BK40">
            <v>37.399790709313436</v>
          </cell>
          <cell r="BL40">
            <v>37.399790709313436</v>
          </cell>
          <cell r="BM40">
            <v>37.399790709313436</v>
          </cell>
          <cell r="BN40">
            <v>37.399790709313436</v>
          </cell>
          <cell r="BO40">
            <v>37.399790709313436</v>
          </cell>
        </row>
        <row r="41">
          <cell r="B41" t="str">
            <v>LPG</v>
          </cell>
          <cell r="G41">
            <v>26.84811029236986</v>
          </cell>
          <cell r="H41">
            <v>26.84811029236986</v>
          </cell>
          <cell r="I41">
            <v>26.84811029236986</v>
          </cell>
          <cell r="J41">
            <v>26.800082610491533</v>
          </cell>
          <cell r="K41">
            <v>26.799897075220859</v>
          </cell>
          <cell r="L41">
            <v>26.799897075220859</v>
          </cell>
          <cell r="M41">
            <v>26.799897075220859</v>
          </cell>
          <cell r="N41">
            <v>26.799897075220859</v>
          </cell>
          <cell r="O41">
            <v>26.799897075220859</v>
          </cell>
          <cell r="P41">
            <v>26.799897075220859</v>
          </cell>
          <cell r="Q41">
            <v>26.799897075220859</v>
          </cell>
          <cell r="R41">
            <v>26.799897075220859</v>
          </cell>
          <cell r="S41">
            <v>26.799897075220859</v>
          </cell>
          <cell r="T41">
            <v>26.799897075220859</v>
          </cell>
          <cell r="U41">
            <v>26.799897075220859</v>
          </cell>
          <cell r="V41">
            <v>26.799897075220859</v>
          </cell>
          <cell r="W41">
            <v>26.799897075220859</v>
          </cell>
          <cell r="X41">
            <v>26.799897075220859</v>
          </cell>
          <cell r="Y41">
            <v>26.799897075220859</v>
          </cell>
          <cell r="Z41">
            <v>26.799897075220859</v>
          </cell>
          <cell r="AA41">
            <v>26.799897075220859</v>
          </cell>
          <cell r="AB41">
            <v>26.799897075220859</v>
          </cell>
          <cell r="AC41">
            <v>26.799897075220859</v>
          </cell>
          <cell r="AD41">
            <v>26.799897075220859</v>
          </cell>
          <cell r="AE41">
            <v>26.799897075220859</v>
          </cell>
          <cell r="AF41">
            <v>26.799897075220859</v>
          </cell>
          <cell r="AG41">
            <v>26.799897075220859</v>
          </cell>
          <cell r="AH41">
            <v>26.799897075220859</v>
          </cell>
          <cell r="AI41">
            <v>26.799897075220859</v>
          </cell>
          <cell r="AJ41">
            <v>26.799897075220859</v>
          </cell>
          <cell r="AK41">
            <v>26.799897075220859</v>
          </cell>
          <cell r="AL41">
            <v>26.799897075220859</v>
          </cell>
          <cell r="AM41">
            <v>26.799897075220859</v>
          </cell>
          <cell r="AN41">
            <v>26.799897075220859</v>
          </cell>
          <cell r="AO41">
            <v>26.799897075220859</v>
          </cell>
          <cell r="AP41">
            <v>26.799897075220859</v>
          </cell>
          <cell r="AQ41">
            <v>26.799897075220859</v>
          </cell>
          <cell r="AR41">
            <v>26.799897075220859</v>
          </cell>
          <cell r="AS41">
            <v>26.799897075220859</v>
          </cell>
          <cell r="AT41">
            <v>26.799897075220859</v>
          </cell>
          <cell r="AU41">
            <v>26.799897075220859</v>
          </cell>
          <cell r="AV41">
            <v>26.799897075220859</v>
          </cell>
          <cell r="AW41">
            <v>26.799897075220859</v>
          </cell>
          <cell r="AX41">
            <v>26.799897075220859</v>
          </cell>
          <cell r="AY41">
            <v>26.799897075220859</v>
          </cell>
          <cell r="AZ41">
            <v>26.799897075220859</v>
          </cell>
          <cell r="BA41">
            <v>26.799897075220859</v>
          </cell>
          <cell r="BB41">
            <v>26.799897075220859</v>
          </cell>
          <cell r="BC41">
            <v>26.799897075220859</v>
          </cell>
          <cell r="BD41">
            <v>26.799897075220859</v>
          </cell>
          <cell r="BE41">
            <v>26.799897075220859</v>
          </cell>
          <cell r="BF41">
            <v>26.799897075220859</v>
          </cell>
          <cell r="BG41">
            <v>26.799897075220859</v>
          </cell>
          <cell r="BH41">
            <v>26.799897075220859</v>
          </cell>
          <cell r="BI41">
            <v>26.799897075220859</v>
          </cell>
          <cell r="BJ41">
            <v>26.799897075220859</v>
          </cell>
          <cell r="BK41">
            <v>26.799897075220859</v>
          </cell>
          <cell r="BL41">
            <v>26.799897075220859</v>
          </cell>
          <cell r="BM41">
            <v>26.799897075220859</v>
          </cell>
          <cell r="BN41">
            <v>26.799897075220859</v>
          </cell>
          <cell r="BO41">
            <v>26.799897075220859</v>
          </cell>
        </row>
        <row r="42">
          <cell r="B42" t="str">
            <v>Natural gas</v>
          </cell>
          <cell r="G42">
            <v>37.989999934966505</v>
          </cell>
          <cell r="H42">
            <v>38.090000067537595</v>
          </cell>
          <cell r="I42">
            <v>38.089999943885992</v>
          </cell>
          <cell r="J42">
            <v>38.200000000000003</v>
          </cell>
          <cell r="K42">
            <v>38.21000005608883</v>
          </cell>
          <cell r="L42">
            <v>38.259998958056819</v>
          </cell>
          <cell r="M42">
            <v>38.260000180720937</v>
          </cell>
          <cell r="N42">
            <v>38.110000608339433</v>
          </cell>
          <cell r="O42">
            <v>38.409998944225379</v>
          </cell>
          <cell r="P42">
            <v>38.430000915151403</v>
          </cell>
          <cell r="Q42">
            <v>38.51999993949601</v>
          </cell>
          <cell r="R42">
            <v>38.560001088530569</v>
          </cell>
          <cell r="S42">
            <v>38.740000970806214</v>
          </cell>
          <cell r="T42">
            <v>38.85000097656868</v>
          </cell>
          <cell r="U42">
            <v>38.999999222988272</v>
          </cell>
          <cell r="V42">
            <v>39.239999484440986</v>
          </cell>
          <cell r="W42">
            <v>39.029993050258099</v>
          </cell>
          <cell r="X42">
            <v>39.219991692165777</v>
          </cell>
          <cell r="Y42">
            <v>39.11000062547992</v>
          </cell>
          <cell r="Z42">
            <v>39.28004057736554</v>
          </cell>
          <cell r="AA42">
            <v>39.279978463639132</v>
          </cell>
          <cell r="AB42">
            <v>39.279978463639132</v>
          </cell>
          <cell r="AC42">
            <v>39.279978463639132</v>
          </cell>
          <cell r="AD42">
            <v>39.279978463639132</v>
          </cell>
          <cell r="AE42">
            <v>39.279978463639132</v>
          </cell>
          <cell r="AF42">
            <v>39.279978463639132</v>
          </cell>
          <cell r="AG42">
            <v>39.279978463639132</v>
          </cell>
          <cell r="AH42">
            <v>39.279978463639132</v>
          </cell>
          <cell r="AI42">
            <v>39.279978463639132</v>
          </cell>
          <cell r="AJ42">
            <v>39.279978463639132</v>
          </cell>
          <cell r="AK42">
            <v>39.279978463639132</v>
          </cell>
          <cell r="AL42">
            <v>39.279978463639132</v>
          </cell>
          <cell r="AM42">
            <v>39.279978463639132</v>
          </cell>
          <cell r="AN42">
            <v>39.279978463639132</v>
          </cell>
          <cell r="AO42">
            <v>39.279978463639132</v>
          </cell>
          <cell r="AP42">
            <v>39.279978463639132</v>
          </cell>
          <cell r="AQ42">
            <v>39.279978463639132</v>
          </cell>
          <cell r="AR42">
            <v>39.279978463639132</v>
          </cell>
          <cell r="AS42">
            <v>39.279978463639132</v>
          </cell>
          <cell r="AT42">
            <v>39.279978463639132</v>
          </cell>
          <cell r="AU42">
            <v>39.279978463639132</v>
          </cell>
          <cell r="AV42">
            <v>39.279978463639132</v>
          </cell>
          <cell r="AW42">
            <v>39.279978463639132</v>
          </cell>
          <cell r="AX42">
            <v>39.279978463639132</v>
          </cell>
          <cell r="AY42">
            <v>39.279978463639132</v>
          </cell>
          <cell r="AZ42">
            <v>39.279978463639132</v>
          </cell>
          <cell r="BA42">
            <v>39.279978463639132</v>
          </cell>
          <cell r="BB42">
            <v>39.279978463639132</v>
          </cell>
          <cell r="BC42">
            <v>39.279978463639132</v>
          </cell>
          <cell r="BD42">
            <v>39.279978463639132</v>
          </cell>
          <cell r="BE42">
            <v>39.279978463639132</v>
          </cell>
          <cell r="BF42">
            <v>39.279978463639132</v>
          </cell>
          <cell r="BG42">
            <v>39.279978463639132</v>
          </cell>
          <cell r="BH42">
            <v>39.279978463639132</v>
          </cell>
          <cell r="BI42">
            <v>39.279978463639132</v>
          </cell>
          <cell r="BJ42">
            <v>39.279978463639132</v>
          </cell>
          <cell r="BK42">
            <v>39.279978463639132</v>
          </cell>
          <cell r="BL42">
            <v>39.279978463639132</v>
          </cell>
          <cell r="BM42">
            <v>39.279978463639132</v>
          </cell>
          <cell r="BN42">
            <v>39.279978463639132</v>
          </cell>
          <cell r="BO42">
            <v>39.279978463639132</v>
          </cell>
        </row>
        <row r="43">
          <cell r="B43" t="str">
            <v>Petroleum coke</v>
          </cell>
          <cell r="G43">
            <v>38.647544558124402</v>
          </cell>
          <cell r="H43">
            <v>38.647544505439768</v>
          </cell>
          <cell r="I43">
            <v>38.647544645524597</v>
          </cell>
          <cell r="J43">
            <v>38.647544383625231</v>
          </cell>
          <cell r="K43">
            <v>38.647544562117609</v>
          </cell>
          <cell r="L43">
            <v>38.647544328371573</v>
          </cell>
          <cell r="M43">
            <v>38.647538364410046</v>
          </cell>
          <cell r="N43">
            <v>38.647532379989407</v>
          </cell>
          <cell r="O43">
            <v>38.647536489743565</v>
          </cell>
          <cell r="P43">
            <v>38.647537590620246</v>
          </cell>
          <cell r="Q43">
            <v>38.647532447156081</v>
          </cell>
          <cell r="R43">
            <v>38.647541819225708</v>
          </cell>
          <cell r="S43">
            <v>38.647535763672678</v>
          </cell>
          <cell r="T43">
            <v>38.647553606699262</v>
          </cell>
          <cell r="U43">
            <v>38.649998943212829</v>
          </cell>
          <cell r="V43">
            <v>38.650005369567552</v>
          </cell>
          <cell r="W43">
            <v>38.649992812913396</v>
          </cell>
          <cell r="X43">
            <v>38.649995985309531</v>
          </cell>
          <cell r="Y43">
            <v>38.64999248131695</v>
          </cell>
          <cell r="Z43">
            <v>38.650016910448436</v>
          </cell>
          <cell r="AA43">
            <v>38.649994080243204</v>
          </cell>
          <cell r="AB43">
            <v>38.649994080243204</v>
          </cell>
          <cell r="AC43">
            <v>38.649994080243204</v>
          </cell>
          <cell r="AD43">
            <v>38.649994080243204</v>
          </cell>
          <cell r="AE43">
            <v>38.649994080243204</v>
          </cell>
          <cell r="AF43">
            <v>38.649994080243204</v>
          </cell>
          <cell r="AG43">
            <v>38.649994080243204</v>
          </cell>
          <cell r="AH43">
            <v>38.649994080243204</v>
          </cell>
          <cell r="AI43">
            <v>38.649994080243204</v>
          </cell>
          <cell r="AJ43">
            <v>38.649994080243204</v>
          </cell>
          <cell r="AK43">
            <v>38.649994080243204</v>
          </cell>
          <cell r="AL43">
            <v>38.649994080243204</v>
          </cell>
          <cell r="AM43">
            <v>38.649994080243204</v>
          </cell>
          <cell r="AN43">
            <v>38.649994080243204</v>
          </cell>
          <cell r="AO43">
            <v>38.649994080243204</v>
          </cell>
          <cell r="AP43">
            <v>38.649994080243204</v>
          </cell>
          <cell r="AQ43">
            <v>38.649994080243204</v>
          </cell>
          <cell r="AR43">
            <v>38.649994080243204</v>
          </cell>
          <cell r="AS43">
            <v>38.649994080243204</v>
          </cell>
          <cell r="AT43">
            <v>38.649994080243204</v>
          </cell>
          <cell r="AU43">
            <v>38.649994080243204</v>
          </cell>
          <cell r="AV43">
            <v>38.649994080243204</v>
          </cell>
          <cell r="AW43">
            <v>38.649994080243204</v>
          </cell>
          <cell r="AX43">
            <v>38.649994080243204</v>
          </cell>
          <cell r="AY43">
            <v>38.649994080243204</v>
          </cell>
          <cell r="AZ43">
            <v>38.649994080243204</v>
          </cell>
          <cell r="BA43">
            <v>38.649994080243204</v>
          </cell>
          <cell r="BB43">
            <v>38.649994080243204</v>
          </cell>
          <cell r="BC43">
            <v>38.649994080243204</v>
          </cell>
          <cell r="BD43">
            <v>38.649994080243204</v>
          </cell>
          <cell r="BE43">
            <v>38.649994080243204</v>
          </cell>
          <cell r="BF43">
            <v>38.649994080243204</v>
          </cell>
          <cell r="BG43">
            <v>38.649994080243204</v>
          </cell>
          <cell r="BH43">
            <v>38.649994080243204</v>
          </cell>
          <cell r="BI43">
            <v>38.649994080243204</v>
          </cell>
          <cell r="BJ43">
            <v>38.649994080243204</v>
          </cell>
          <cell r="BK43">
            <v>38.649994080243204</v>
          </cell>
          <cell r="BL43">
            <v>38.649994080243204</v>
          </cell>
          <cell r="BM43">
            <v>38.649994080243204</v>
          </cell>
          <cell r="BN43">
            <v>38.649994080243204</v>
          </cell>
          <cell r="BO43">
            <v>38.649994080243204</v>
          </cell>
        </row>
        <row r="44">
          <cell r="B44" t="str">
            <v>Propane</v>
          </cell>
          <cell r="G44">
            <v>25.309998872084865</v>
          </cell>
          <cell r="H44">
            <v>25.310000955862236</v>
          </cell>
          <cell r="I44">
            <v>25.309996195358337</v>
          </cell>
          <cell r="J44">
            <v>25.310000652642113</v>
          </cell>
          <cell r="K44">
            <v>25.309999732126116</v>
          </cell>
          <cell r="L44">
            <v>25.310004648873331</v>
          </cell>
          <cell r="M44">
            <v>25.310008937742619</v>
          </cell>
          <cell r="N44">
            <v>25.309965026132161</v>
          </cell>
          <cell r="O44">
            <v>25.310016100068115</v>
          </cell>
          <cell r="P44">
            <v>25.30995543220482</v>
          </cell>
          <cell r="Q44">
            <v>25.309980203756457</v>
          </cell>
          <cell r="R44">
            <v>25.310013677607543</v>
          </cell>
          <cell r="S44">
            <v>25.309978730946472</v>
          </cell>
          <cell r="T44">
            <v>25.309978730946472</v>
          </cell>
          <cell r="U44">
            <v>25.309978730946472</v>
          </cell>
          <cell r="V44">
            <v>25.309978730946472</v>
          </cell>
          <cell r="W44">
            <v>25.309821486577206</v>
          </cell>
          <cell r="X44">
            <v>25.309922625347593</v>
          </cell>
          <cell r="Y44">
            <v>25.30993392896394</v>
          </cell>
          <cell r="Z44">
            <v>25.308861021918709</v>
          </cell>
          <cell r="AA44">
            <v>25.308861021918709</v>
          </cell>
          <cell r="AB44">
            <v>25.308861021918709</v>
          </cell>
          <cell r="AC44">
            <v>25.308861021918709</v>
          </cell>
          <cell r="AD44">
            <v>25.308861021918709</v>
          </cell>
          <cell r="AE44">
            <v>25.308861021918709</v>
          </cell>
          <cell r="AF44">
            <v>25.308861021918709</v>
          </cell>
          <cell r="AG44">
            <v>25.308861021918709</v>
          </cell>
          <cell r="AH44">
            <v>25.308861021918709</v>
          </cell>
          <cell r="AI44">
            <v>25.308861021918709</v>
          </cell>
          <cell r="AJ44">
            <v>25.308861021918709</v>
          </cell>
          <cell r="AK44">
            <v>25.308861021918709</v>
          </cell>
          <cell r="AL44">
            <v>25.308861021918709</v>
          </cell>
          <cell r="AM44">
            <v>25.308861021918709</v>
          </cell>
          <cell r="AN44">
            <v>25.308861021918709</v>
          </cell>
          <cell r="AO44">
            <v>25.308861021918709</v>
          </cell>
          <cell r="AP44">
            <v>25.308861021918709</v>
          </cell>
          <cell r="AQ44">
            <v>25.308861021918709</v>
          </cell>
          <cell r="AR44">
            <v>25.308861021918709</v>
          </cell>
          <cell r="AS44">
            <v>25.308861021918709</v>
          </cell>
          <cell r="AT44">
            <v>25.308861021918709</v>
          </cell>
          <cell r="AU44">
            <v>25.308861021918709</v>
          </cell>
          <cell r="AV44">
            <v>25.308861021918709</v>
          </cell>
          <cell r="AW44">
            <v>25.308861021918709</v>
          </cell>
          <cell r="AX44">
            <v>25.308861021918709</v>
          </cell>
          <cell r="AY44">
            <v>25.308861021918709</v>
          </cell>
          <cell r="AZ44">
            <v>25.308861021918709</v>
          </cell>
          <cell r="BA44">
            <v>25.308861021918709</v>
          </cell>
          <cell r="BB44">
            <v>25.308861021918709</v>
          </cell>
          <cell r="BC44">
            <v>25.308861021918709</v>
          </cell>
          <cell r="BD44">
            <v>25.308861021918709</v>
          </cell>
          <cell r="BE44">
            <v>25.308861021918709</v>
          </cell>
          <cell r="BF44">
            <v>25.308861021918709</v>
          </cell>
          <cell r="BG44">
            <v>25.308861021918709</v>
          </cell>
          <cell r="BH44">
            <v>25.308861021918709</v>
          </cell>
          <cell r="BI44">
            <v>25.308861021918709</v>
          </cell>
          <cell r="BJ44">
            <v>25.308861021918709</v>
          </cell>
          <cell r="BK44">
            <v>25.308861021918709</v>
          </cell>
          <cell r="BL44">
            <v>25.308861021918709</v>
          </cell>
          <cell r="BM44">
            <v>25.308861021918709</v>
          </cell>
          <cell r="BN44">
            <v>25.308861021918709</v>
          </cell>
          <cell r="BO44">
            <v>25.308861021918709</v>
          </cell>
        </row>
        <row r="45">
          <cell r="B45" t="str">
            <v>Refinery fuel gas</v>
          </cell>
          <cell r="G45">
            <v>36.08</v>
          </cell>
          <cell r="H45">
            <v>36.08</v>
          </cell>
          <cell r="I45">
            <v>36.08</v>
          </cell>
          <cell r="J45">
            <v>36.08</v>
          </cell>
          <cell r="K45">
            <v>36.08</v>
          </cell>
          <cell r="L45">
            <v>36.08</v>
          </cell>
          <cell r="M45">
            <v>36.08</v>
          </cell>
          <cell r="N45">
            <v>36.08</v>
          </cell>
          <cell r="O45">
            <v>36.08</v>
          </cell>
          <cell r="P45">
            <v>36.08</v>
          </cell>
          <cell r="Q45">
            <v>36.08</v>
          </cell>
          <cell r="R45">
            <v>36.08</v>
          </cell>
          <cell r="S45">
            <v>36.08</v>
          </cell>
          <cell r="T45">
            <v>36.08</v>
          </cell>
          <cell r="U45">
            <v>36.08</v>
          </cell>
          <cell r="V45">
            <v>36.08</v>
          </cell>
          <cell r="W45">
            <v>36.08</v>
          </cell>
          <cell r="X45">
            <v>36.08</v>
          </cell>
          <cell r="Y45">
            <v>36.08</v>
          </cell>
          <cell r="Z45">
            <v>36.08</v>
          </cell>
          <cell r="AA45">
            <v>36.08</v>
          </cell>
          <cell r="AB45">
            <v>36.08</v>
          </cell>
          <cell r="AC45">
            <v>36.08</v>
          </cell>
          <cell r="AD45">
            <v>36.08</v>
          </cell>
          <cell r="AE45">
            <v>36.08</v>
          </cell>
          <cell r="AF45">
            <v>36.08</v>
          </cell>
          <cell r="AG45">
            <v>36.08</v>
          </cell>
          <cell r="AH45">
            <v>36.08</v>
          </cell>
          <cell r="AI45">
            <v>36.08</v>
          </cell>
          <cell r="AJ45">
            <v>36.08</v>
          </cell>
          <cell r="AK45">
            <v>36.08</v>
          </cell>
          <cell r="AL45">
            <v>36.08</v>
          </cell>
          <cell r="AM45">
            <v>36.08</v>
          </cell>
          <cell r="AN45">
            <v>36.08</v>
          </cell>
          <cell r="AO45">
            <v>36.08</v>
          </cell>
          <cell r="AP45">
            <v>36.08</v>
          </cell>
          <cell r="AQ45">
            <v>36.08</v>
          </cell>
          <cell r="AR45">
            <v>36.08</v>
          </cell>
          <cell r="AS45">
            <v>36.08</v>
          </cell>
          <cell r="AT45">
            <v>36.08</v>
          </cell>
          <cell r="AU45">
            <v>36.08</v>
          </cell>
          <cell r="AV45">
            <v>36.08</v>
          </cell>
          <cell r="AW45">
            <v>36.08</v>
          </cell>
          <cell r="AX45">
            <v>36.08</v>
          </cell>
          <cell r="AY45">
            <v>36.08</v>
          </cell>
          <cell r="AZ45">
            <v>36.08</v>
          </cell>
          <cell r="BA45">
            <v>36.08</v>
          </cell>
          <cell r="BB45">
            <v>36.08</v>
          </cell>
          <cell r="BC45">
            <v>36.08</v>
          </cell>
          <cell r="BD45">
            <v>36.08</v>
          </cell>
          <cell r="BE45">
            <v>36.08</v>
          </cell>
          <cell r="BF45">
            <v>36.08</v>
          </cell>
          <cell r="BG45">
            <v>36.08</v>
          </cell>
          <cell r="BH45">
            <v>36.08</v>
          </cell>
          <cell r="BI45">
            <v>36.08</v>
          </cell>
          <cell r="BJ45">
            <v>36.08</v>
          </cell>
          <cell r="BK45">
            <v>36.08</v>
          </cell>
          <cell r="BL45">
            <v>36.08</v>
          </cell>
          <cell r="BM45">
            <v>36.08</v>
          </cell>
          <cell r="BN45">
            <v>36.08</v>
          </cell>
          <cell r="BO45">
            <v>36.08</v>
          </cell>
        </row>
        <row r="46">
          <cell r="B46" t="str">
            <v>Solid biomass</v>
          </cell>
          <cell r="G46">
            <v>18</v>
          </cell>
          <cell r="H46">
            <v>18</v>
          </cell>
          <cell r="I46">
            <v>18</v>
          </cell>
          <cell r="J46">
            <v>18</v>
          </cell>
          <cell r="K46">
            <v>18</v>
          </cell>
          <cell r="L46">
            <v>18.000000170755115</v>
          </cell>
          <cell r="M46">
            <v>18.000000343487216</v>
          </cell>
          <cell r="N46">
            <v>17.999999715692439</v>
          </cell>
          <cell r="O46">
            <v>17.999999523496939</v>
          </cell>
          <cell r="P46">
            <v>17.999999577905282</v>
          </cell>
          <cell r="Q46">
            <v>17.999999701146166</v>
          </cell>
          <cell r="R46">
            <v>17.999999899867035</v>
          </cell>
          <cell r="S46">
            <v>18.000000620051409</v>
          </cell>
          <cell r="T46">
            <v>18.000000410619947</v>
          </cell>
          <cell r="U46">
            <v>17.999999697412118</v>
          </cell>
          <cell r="V46">
            <v>17.999999903322561</v>
          </cell>
          <cell r="W46">
            <v>17.999999468259052</v>
          </cell>
          <cell r="X46">
            <v>18.000001067382186</v>
          </cell>
          <cell r="Y46">
            <v>17.999999620779249</v>
          </cell>
          <cell r="Z46">
            <v>18.000001177537875</v>
          </cell>
          <cell r="AA46">
            <v>17.999996647939824</v>
          </cell>
          <cell r="AB46">
            <v>17.999996647939824</v>
          </cell>
          <cell r="AC46">
            <v>17.999996647939824</v>
          </cell>
          <cell r="AD46">
            <v>17.999996647939824</v>
          </cell>
          <cell r="AE46">
            <v>17.999996647939824</v>
          </cell>
          <cell r="AF46">
            <v>17.999996647939824</v>
          </cell>
          <cell r="AG46">
            <v>17.999996647939824</v>
          </cell>
          <cell r="AH46">
            <v>17.999996647939824</v>
          </cell>
          <cell r="AI46">
            <v>17.999996647939824</v>
          </cell>
          <cell r="AJ46">
            <v>17.999996647939824</v>
          </cell>
          <cell r="AK46">
            <v>17.999996647939824</v>
          </cell>
          <cell r="AL46">
            <v>17.999996647939824</v>
          </cell>
          <cell r="AM46">
            <v>17.999996647939824</v>
          </cell>
          <cell r="AN46">
            <v>17.999996647939824</v>
          </cell>
          <cell r="AO46">
            <v>17.999996647939824</v>
          </cell>
          <cell r="AP46">
            <v>17.999996647939824</v>
          </cell>
          <cell r="AQ46">
            <v>17.999996647939824</v>
          </cell>
          <cell r="AR46">
            <v>17.999996647939824</v>
          </cell>
          <cell r="AS46">
            <v>17.999996647939824</v>
          </cell>
          <cell r="AT46">
            <v>17.999996647939824</v>
          </cell>
          <cell r="AU46">
            <v>17.999996647939824</v>
          </cell>
          <cell r="AV46">
            <v>17.999996647939824</v>
          </cell>
          <cell r="AW46">
            <v>17.999996647939824</v>
          </cell>
          <cell r="AX46">
            <v>17.999996647939824</v>
          </cell>
          <cell r="AY46">
            <v>17.999996647939824</v>
          </cell>
          <cell r="AZ46">
            <v>17.999996647939824</v>
          </cell>
          <cell r="BA46">
            <v>17.999996647939824</v>
          </cell>
          <cell r="BB46">
            <v>17.999996647939824</v>
          </cell>
          <cell r="BC46">
            <v>17.999996647939824</v>
          </cell>
          <cell r="BD46">
            <v>17.999996647939824</v>
          </cell>
          <cell r="BE46">
            <v>17.999996647939824</v>
          </cell>
          <cell r="BF46">
            <v>17.999996647939824</v>
          </cell>
          <cell r="BG46">
            <v>17.999996647939824</v>
          </cell>
          <cell r="BH46">
            <v>17.999996647939824</v>
          </cell>
          <cell r="BI46">
            <v>17.999996647939824</v>
          </cell>
          <cell r="BJ46">
            <v>17.999996647939824</v>
          </cell>
          <cell r="BK46">
            <v>17.999996647939824</v>
          </cell>
          <cell r="BL46">
            <v>17.999996647939824</v>
          </cell>
          <cell r="BM46">
            <v>17.999996647939824</v>
          </cell>
          <cell r="BN46">
            <v>17.999996647939824</v>
          </cell>
          <cell r="BO46">
            <v>17.999996647939824</v>
          </cell>
        </row>
        <row r="47">
          <cell r="B47" t="str">
            <v>Uranium</v>
          </cell>
          <cell r="G47">
            <v>697.70600000000002</v>
          </cell>
          <cell r="H47">
            <v>690.779</v>
          </cell>
          <cell r="I47">
            <v>697.35400000000004</v>
          </cell>
          <cell r="J47">
            <v>688.81899999999996</v>
          </cell>
          <cell r="K47">
            <v>704.54700000000003</v>
          </cell>
          <cell r="L47">
            <v>704.54700000000003</v>
          </cell>
          <cell r="M47">
            <v>704.54700000000003</v>
          </cell>
          <cell r="N47">
            <v>704.54700000000003</v>
          </cell>
          <cell r="O47">
            <v>704.54700000000003</v>
          </cell>
          <cell r="P47">
            <v>704.54700000000003</v>
          </cell>
          <cell r="Q47">
            <v>704.54700000000003</v>
          </cell>
          <cell r="R47">
            <v>704.54700000000003</v>
          </cell>
          <cell r="S47">
            <v>704.54700000000003</v>
          </cell>
          <cell r="T47">
            <v>704.54700000000003</v>
          </cell>
          <cell r="U47">
            <v>704.54700000000003</v>
          </cell>
          <cell r="V47">
            <v>704.54700000000003</v>
          </cell>
          <cell r="W47">
            <v>704.54700000000003</v>
          </cell>
          <cell r="X47">
            <v>704.54700000000003</v>
          </cell>
          <cell r="Y47">
            <v>704.54700000000003</v>
          </cell>
          <cell r="Z47">
            <v>704.54700000000003</v>
          </cell>
          <cell r="AA47">
            <v>704.54700000000003</v>
          </cell>
          <cell r="AB47">
            <v>704.54700000000003</v>
          </cell>
          <cell r="AC47">
            <v>704.54700000000003</v>
          </cell>
          <cell r="AD47">
            <v>704.54700000000003</v>
          </cell>
          <cell r="AE47">
            <v>704.54700000000003</v>
          </cell>
          <cell r="AF47">
            <v>704.54700000000003</v>
          </cell>
          <cell r="AG47">
            <v>704.54700000000003</v>
          </cell>
          <cell r="AH47">
            <v>704.54700000000003</v>
          </cell>
          <cell r="AI47">
            <v>704.54700000000003</v>
          </cell>
          <cell r="AJ47">
            <v>704.54700000000003</v>
          </cell>
          <cell r="AK47">
            <v>704.54700000000003</v>
          </cell>
          <cell r="AL47">
            <v>704.54700000000003</v>
          </cell>
          <cell r="AM47">
            <v>704.54700000000003</v>
          </cell>
          <cell r="AN47">
            <v>704.54700000000003</v>
          </cell>
          <cell r="AO47">
            <v>704.54700000000003</v>
          </cell>
          <cell r="AP47">
            <v>704.54700000000003</v>
          </cell>
          <cell r="AQ47">
            <v>704.54700000000003</v>
          </cell>
          <cell r="AR47">
            <v>704.54700000000003</v>
          </cell>
          <cell r="AS47">
            <v>704.54700000000003</v>
          </cell>
          <cell r="AT47">
            <v>704.54700000000003</v>
          </cell>
          <cell r="AU47">
            <v>704.54700000000003</v>
          </cell>
          <cell r="AV47">
            <v>704.54700000000003</v>
          </cell>
          <cell r="AW47">
            <v>704.54700000000003</v>
          </cell>
          <cell r="AX47">
            <v>704.54700000000003</v>
          </cell>
          <cell r="AY47">
            <v>704.54700000000003</v>
          </cell>
          <cell r="AZ47">
            <v>704.54700000000003</v>
          </cell>
          <cell r="BA47">
            <v>704.54700000000003</v>
          </cell>
          <cell r="BB47">
            <v>704.54700000000003</v>
          </cell>
          <cell r="BC47">
            <v>704.54700000000003</v>
          </cell>
          <cell r="BD47">
            <v>704.54700000000003</v>
          </cell>
          <cell r="BE47">
            <v>704.54700000000003</v>
          </cell>
          <cell r="BF47">
            <v>704.54700000000003</v>
          </cell>
          <cell r="BG47">
            <v>704.54700000000003</v>
          </cell>
          <cell r="BH47">
            <v>704.54700000000003</v>
          </cell>
          <cell r="BI47">
            <v>704.54700000000003</v>
          </cell>
          <cell r="BJ47">
            <v>704.54700000000003</v>
          </cell>
          <cell r="BK47">
            <v>704.54700000000003</v>
          </cell>
          <cell r="BL47">
            <v>704.54700000000003</v>
          </cell>
          <cell r="BM47">
            <v>704.54700000000003</v>
          </cell>
          <cell r="BN47">
            <v>704.54700000000003</v>
          </cell>
          <cell r="BO47">
            <v>704.54700000000003</v>
          </cell>
        </row>
        <row r="48">
          <cell r="B48" t="str">
            <v>Waste fuel</v>
          </cell>
          <cell r="G48">
            <v>23.825845566410475</v>
          </cell>
          <cell r="H48">
            <v>23.825845566410475</v>
          </cell>
          <cell r="I48">
            <v>23.825845566410475</v>
          </cell>
          <cell r="J48">
            <v>23.825845566410475</v>
          </cell>
          <cell r="K48">
            <v>23.825845566410475</v>
          </cell>
          <cell r="L48">
            <v>23.825845566410475</v>
          </cell>
          <cell r="M48">
            <v>23.825845566410475</v>
          </cell>
          <cell r="N48">
            <v>23.825845566410475</v>
          </cell>
          <cell r="O48">
            <v>23.825845566410475</v>
          </cell>
          <cell r="P48">
            <v>23.825845566410475</v>
          </cell>
          <cell r="Q48">
            <v>23.825845566410475</v>
          </cell>
          <cell r="R48">
            <v>23.825845566410475</v>
          </cell>
          <cell r="S48">
            <v>25.785579568642955</v>
          </cell>
          <cell r="T48">
            <v>25.115648483146426</v>
          </cell>
          <cell r="U48">
            <v>19.892782210730346</v>
          </cell>
          <cell r="V48">
            <v>18.827996205514722</v>
          </cell>
          <cell r="W48">
            <v>19.49311426579958</v>
          </cell>
          <cell r="X48">
            <v>18.991961502984498</v>
          </cell>
          <cell r="Y48">
            <v>19.929244224136646</v>
          </cell>
          <cell r="Z48">
            <v>18.592829630027559</v>
          </cell>
          <cell r="AA48">
            <v>18.592829630027559</v>
          </cell>
          <cell r="AB48">
            <v>18.592829630027559</v>
          </cell>
          <cell r="AC48">
            <v>18.592829630027559</v>
          </cell>
          <cell r="AD48">
            <v>18.592829630027559</v>
          </cell>
          <cell r="AE48">
            <v>18.592829630027559</v>
          </cell>
          <cell r="AF48">
            <v>18.592829630027559</v>
          </cell>
          <cell r="AG48">
            <v>18.592829630027559</v>
          </cell>
          <cell r="AH48">
            <v>18.592829630027559</v>
          </cell>
          <cell r="AI48">
            <v>18.592829630027559</v>
          </cell>
          <cell r="AJ48">
            <v>18.592829630027559</v>
          </cell>
          <cell r="AK48">
            <v>18.592829630027559</v>
          </cell>
          <cell r="AL48">
            <v>18.592829630027559</v>
          </cell>
          <cell r="AM48">
            <v>18.592829630027559</v>
          </cell>
          <cell r="AN48">
            <v>18.592829630027559</v>
          </cell>
          <cell r="AO48">
            <v>18.592829630027559</v>
          </cell>
          <cell r="AP48">
            <v>18.592829630027559</v>
          </cell>
          <cell r="AQ48">
            <v>18.592829630027559</v>
          </cell>
          <cell r="AR48">
            <v>18.592829630027559</v>
          </cell>
          <cell r="AS48">
            <v>18.592829630027559</v>
          </cell>
          <cell r="AT48">
            <v>18.592829630027559</v>
          </cell>
          <cell r="AU48">
            <v>18.592829630027559</v>
          </cell>
          <cell r="AV48">
            <v>18.592829630027559</v>
          </cell>
          <cell r="AW48">
            <v>18.592829630027559</v>
          </cell>
          <cell r="AX48">
            <v>18.592829630027559</v>
          </cell>
          <cell r="AY48">
            <v>18.592829630027559</v>
          </cell>
          <cell r="AZ48">
            <v>18.592829630027559</v>
          </cell>
          <cell r="BA48">
            <v>18.592829630027559</v>
          </cell>
          <cell r="BB48">
            <v>18.592829630027559</v>
          </cell>
          <cell r="BC48">
            <v>18.592829630027559</v>
          </cell>
          <cell r="BD48">
            <v>18.592829630027559</v>
          </cell>
          <cell r="BE48">
            <v>18.592829630027559</v>
          </cell>
          <cell r="BF48">
            <v>18.592829630027559</v>
          </cell>
          <cell r="BG48">
            <v>18.592829630027559</v>
          </cell>
          <cell r="BH48">
            <v>18.592829630027559</v>
          </cell>
          <cell r="BI48">
            <v>18.592829630027559</v>
          </cell>
          <cell r="BJ48">
            <v>18.592829630027559</v>
          </cell>
          <cell r="BK48">
            <v>18.592829630027559</v>
          </cell>
          <cell r="BL48">
            <v>18.592829630027559</v>
          </cell>
          <cell r="BM48">
            <v>18.592829630027559</v>
          </cell>
          <cell r="BN48">
            <v>18.592829630027559</v>
          </cell>
          <cell r="BO48">
            <v>18.592829630027559</v>
          </cell>
        </row>
        <row r="60">
          <cell r="B60" t="str">
            <v>Biodiesel</v>
          </cell>
          <cell r="G60">
            <v>2.4740000000000002</v>
          </cell>
          <cell r="H60">
            <v>2.4740000000000002</v>
          </cell>
          <cell r="I60">
            <v>2.4740000000000002</v>
          </cell>
          <cell r="J60">
            <v>2.4740000000000002</v>
          </cell>
          <cell r="K60">
            <v>2.4740000000000002</v>
          </cell>
          <cell r="L60">
            <v>2.4740000000000002</v>
          </cell>
          <cell r="M60">
            <v>2.4740000000000002</v>
          </cell>
          <cell r="N60">
            <v>2.4740000000000002</v>
          </cell>
          <cell r="O60">
            <v>2.4740000000000002</v>
          </cell>
          <cell r="P60">
            <v>2.4740000000000002</v>
          </cell>
          <cell r="Q60">
            <v>2.4740000000000002</v>
          </cell>
          <cell r="R60">
            <v>2.4740000000000002</v>
          </cell>
          <cell r="S60">
            <v>2.4740000000000002</v>
          </cell>
          <cell r="T60">
            <v>2.4740000000000002</v>
          </cell>
          <cell r="U60">
            <v>2.4740000000000002</v>
          </cell>
          <cell r="V60">
            <v>2.4740000000000002</v>
          </cell>
          <cell r="W60">
            <v>2.4740000000000002</v>
          </cell>
          <cell r="X60">
            <v>2.4740000000000002</v>
          </cell>
          <cell r="Y60">
            <v>2.4740000000000002</v>
          </cell>
          <cell r="Z60">
            <v>2.4740000000000002</v>
          </cell>
          <cell r="AA60">
            <v>2.4740000000000002</v>
          </cell>
          <cell r="AB60">
            <v>2.4740000000000002</v>
          </cell>
          <cell r="AC60">
            <v>2.4740000000000002</v>
          </cell>
          <cell r="AD60">
            <v>2.4740000000000002</v>
          </cell>
          <cell r="AE60">
            <v>2.4740000000000002</v>
          </cell>
          <cell r="AF60">
            <v>2.4740000000000002</v>
          </cell>
          <cell r="AG60">
            <v>2.4740000000000002</v>
          </cell>
          <cell r="AH60">
            <v>2.4740000000000002</v>
          </cell>
          <cell r="AI60">
            <v>2.4740000000000002</v>
          </cell>
          <cell r="AJ60">
            <v>2.4740000000000002</v>
          </cell>
          <cell r="AK60">
            <v>2.4740000000000002</v>
          </cell>
          <cell r="AL60">
            <v>2.4740000000000002</v>
          </cell>
          <cell r="AM60">
            <v>2.4740000000000002</v>
          </cell>
          <cell r="AN60">
            <v>2.4740000000000002</v>
          </cell>
          <cell r="AO60">
            <v>2.4740000000000002</v>
          </cell>
          <cell r="AP60">
            <v>2.4740000000000002</v>
          </cell>
          <cell r="AQ60">
            <v>2.4740000000000002</v>
          </cell>
          <cell r="AR60">
            <v>2.4740000000000002</v>
          </cell>
          <cell r="AS60">
            <v>2.4740000000000002</v>
          </cell>
          <cell r="AT60">
            <v>2.4740000000000002</v>
          </cell>
          <cell r="AU60">
            <v>2.4740000000000002</v>
          </cell>
          <cell r="AV60">
            <v>2.4740000000000002</v>
          </cell>
          <cell r="AW60">
            <v>2.4740000000000002</v>
          </cell>
          <cell r="AX60">
            <v>2.4740000000000002</v>
          </cell>
          <cell r="AY60">
            <v>2.4740000000000002</v>
          </cell>
          <cell r="AZ60">
            <v>2.4740000000000002</v>
          </cell>
          <cell r="BA60">
            <v>2.4740000000000002</v>
          </cell>
          <cell r="BB60">
            <v>2.4740000000000002</v>
          </cell>
          <cell r="BC60">
            <v>2.4740000000000002</v>
          </cell>
          <cell r="BD60">
            <v>2.4740000000000002</v>
          </cell>
          <cell r="BE60">
            <v>2.4740000000000002</v>
          </cell>
          <cell r="BF60">
            <v>2.4740000000000002</v>
          </cell>
          <cell r="BG60">
            <v>2.4740000000000002</v>
          </cell>
          <cell r="BH60">
            <v>2.4740000000000002</v>
          </cell>
          <cell r="BI60">
            <v>2.4740000000000002</v>
          </cell>
          <cell r="BJ60">
            <v>2.4740000000000002</v>
          </cell>
          <cell r="BK60">
            <v>2.4740000000000002</v>
          </cell>
          <cell r="BL60">
            <v>2.4740000000000002</v>
          </cell>
          <cell r="BM60">
            <v>2.4740000000000002</v>
          </cell>
          <cell r="BN60">
            <v>2.4740000000000002</v>
          </cell>
          <cell r="BO60">
            <v>2.4740000000000002</v>
          </cell>
        </row>
        <row r="61">
          <cell r="B61" t="str">
            <v>Biogas</v>
          </cell>
          <cell r="G61">
            <v>1.924554644585263</v>
          </cell>
          <cell r="H61">
            <v>1.9259654378916002</v>
          </cell>
          <cell r="I61">
            <v>1.9253243980632109</v>
          </cell>
          <cell r="J61">
            <v>1.9247191708830438</v>
          </cell>
          <cell r="K61">
            <v>1.9237840329776548</v>
          </cell>
          <cell r="L61">
            <v>1.9232955378430103</v>
          </cell>
          <cell r="M61">
            <v>1.9227521702006549</v>
          </cell>
          <cell r="N61">
            <v>1.923132210142374</v>
          </cell>
          <cell r="O61">
            <v>1.9227220165715386</v>
          </cell>
          <cell r="P61">
            <v>1.9228415170419213</v>
          </cell>
          <cell r="Q61">
            <v>1.9231770712641942</v>
          </cell>
          <cell r="R61">
            <v>1.9235801832666188</v>
          </cell>
          <cell r="S61">
            <v>1.923467994013375</v>
          </cell>
          <cell r="T61">
            <v>1.9235794660095515</v>
          </cell>
          <cell r="U61">
            <v>1.9232966175284987</v>
          </cell>
          <cell r="V61">
            <v>1.9235609078498794</v>
          </cell>
          <cell r="W61">
            <v>1.9235609078498794</v>
          </cell>
          <cell r="X61">
            <v>1.9235609078498794</v>
          </cell>
          <cell r="Y61">
            <v>1.9235609078498794</v>
          </cell>
          <cell r="Z61">
            <v>1.9235609078498794</v>
          </cell>
          <cell r="AA61">
            <v>1.9235609078498794</v>
          </cell>
          <cell r="AB61">
            <v>1.9235609078498794</v>
          </cell>
          <cell r="AC61">
            <v>1.9235609078498794</v>
          </cell>
          <cell r="AD61">
            <v>1.9235609078498794</v>
          </cell>
          <cell r="AE61">
            <v>1.9235609078498794</v>
          </cell>
          <cell r="AF61">
            <v>1.9235609078498794</v>
          </cell>
          <cell r="AG61">
            <v>1.9235609078498794</v>
          </cell>
          <cell r="AH61">
            <v>1.9235609078498794</v>
          </cell>
          <cell r="AI61">
            <v>1.9235609078498794</v>
          </cell>
          <cell r="AJ61">
            <v>1.9235609078498794</v>
          </cell>
          <cell r="AK61">
            <v>1.9235609078498794</v>
          </cell>
          <cell r="AL61">
            <v>1.9235609078498794</v>
          </cell>
          <cell r="AM61">
            <v>1.9235609078498794</v>
          </cell>
          <cell r="AN61">
            <v>1.9235609078498794</v>
          </cell>
          <cell r="AO61">
            <v>1.9235609078498794</v>
          </cell>
          <cell r="AP61">
            <v>1.9235609078498794</v>
          </cell>
          <cell r="AQ61">
            <v>1.9235609078498794</v>
          </cell>
          <cell r="AR61">
            <v>1.9235609078498794</v>
          </cell>
          <cell r="AS61">
            <v>1.9235609078498794</v>
          </cell>
          <cell r="AT61">
            <v>1.9235609078498794</v>
          </cell>
          <cell r="AU61">
            <v>1.9235609078498794</v>
          </cell>
          <cell r="AV61">
            <v>1.9235609078498794</v>
          </cell>
          <cell r="AW61">
            <v>1.9235609078498794</v>
          </cell>
          <cell r="AX61">
            <v>1.9235609078498794</v>
          </cell>
          <cell r="AY61">
            <v>1.9235609078498794</v>
          </cell>
          <cell r="AZ61">
            <v>1.9235609078498794</v>
          </cell>
          <cell r="BA61">
            <v>1.9235609078498794</v>
          </cell>
          <cell r="BB61">
            <v>1.9235609078498794</v>
          </cell>
          <cell r="BC61">
            <v>1.9235609078498794</v>
          </cell>
          <cell r="BD61">
            <v>1.9235609078498794</v>
          </cell>
          <cell r="BE61">
            <v>1.9235609078498794</v>
          </cell>
          <cell r="BF61">
            <v>1.9235609078498794</v>
          </cell>
          <cell r="BG61">
            <v>1.9235609078498794</v>
          </cell>
          <cell r="BH61">
            <v>1.9235609078498794</v>
          </cell>
          <cell r="BI61">
            <v>1.9235609078498794</v>
          </cell>
          <cell r="BJ61">
            <v>1.9235609078498794</v>
          </cell>
          <cell r="BK61">
            <v>1.9235609078498794</v>
          </cell>
          <cell r="BL61">
            <v>1.9235609078498794</v>
          </cell>
          <cell r="BM61">
            <v>1.9235609078498794</v>
          </cell>
          <cell r="BN61">
            <v>1.9235609078498794</v>
          </cell>
          <cell r="BO61">
            <v>1.9235609078498794</v>
          </cell>
        </row>
        <row r="62">
          <cell r="B62" t="str">
            <v>Black liquor</v>
          </cell>
          <cell r="G62">
            <v>1.2773722627737227</v>
          </cell>
          <cell r="H62">
            <v>1.2773722627737227</v>
          </cell>
          <cell r="I62">
            <v>1.2773722627737227</v>
          </cell>
          <cell r="J62">
            <v>1.2773722627737227</v>
          </cell>
          <cell r="K62">
            <v>1.2773722627737227</v>
          </cell>
          <cell r="L62">
            <v>1.2773722627737227</v>
          </cell>
          <cell r="M62">
            <v>1.2773722627737227</v>
          </cell>
          <cell r="N62">
            <v>1.2773722627737227</v>
          </cell>
          <cell r="O62">
            <v>1.2773722627737227</v>
          </cell>
          <cell r="P62">
            <v>1.2773722627737227</v>
          </cell>
          <cell r="Q62">
            <v>1.2773722627737227</v>
          </cell>
          <cell r="R62">
            <v>1.2773722627737227</v>
          </cell>
          <cell r="S62">
            <v>1.2773722627737227</v>
          </cell>
          <cell r="T62">
            <v>1.2773722627737227</v>
          </cell>
          <cell r="U62">
            <v>1.2773722627737227</v>
          </cell>
          <cell r="V62">
            <v>1.2773722627737227</v>
          </cell>
          <cell r="W62">
            <v>1.2773722627737227</v>
          </cell>
          <cell r="X62">
            <v>1.2773722627737227</v>
          </cell>
          <cell r="Y62">
            <v>1.2773722627737227</v>
          </cell>
          <cell r="Z62">
            <v>1.2773722627737227</v>
          </cell>
          <cell r="AA62">
            <v>1.2773722627737227</v>
          </cell>
          <cell r="AB62">
            <v>1.2773722627737227</v>
          </cell>
          <cell r="AC62">
            <v>1.2773722627737227</v>
          </cell>
          <cell r="AD62">
            <v>1.2773722627737227</v>
          </cell>
          <cell r="AE62">
            <v>1.2773722627737227</v>
          </cell>
          <cell r="AF62">
            <v>1.2773722627737227</v>
          </cell>
          <cell r="AG62">
            <v>1.2773722627737227</v>
          </cell>
          <cell r="AH62">
            <v>1.2773722627737227</v>
          </cell>
          <cell r="AI62">
            <v>1.2773722627737227</v>
          </cell>
          <cell r="AJ62">
            <v>1.2773722627737227</v>
          </cell>
          <cell r="AK62">
            <v>1.2773722627737227</v>
          </cell>
          <cell r="AL62">
            <v>1.2773722627737227</v>
          </cell>
          <cell r="AM62">
            <v>1.2773722627737227</v>
          </cell>
          <cell r="AN62">
            <v>1.2773722627737227</v>
          </cell>
          <cell r="AO62">
            <v>1.2773722627737227</v>
          </cell>
          <cell r="AP62">
            <v>1.2773722627737227</v>
          </cell>
          <cell r="AQ62">
            <v>1.2773722627737227</v>
          </cell>
          <cell r="AR62">
            <v>1.2773722627737227</v>
          </cell>
          <cell r="AS62">
            <v>1.2773722627737227</v>
          </cell>
          <cell r="AT62">
            <v>1.2773722627737227</v>
          </cell>
          <cell r="AU62">
            <v>1.2773722627737227</v>
          </cell>
          <cell r="AV62">
            <v>1.2773722627737227</v>
          </cell>
          <cell r="AW62">
            <v>1.2773722627737227</v>
          </cell>
          <cell r="AX62">
            <v>1.2773722627737227</v>
          </cell>
          <cell r="AY62">
            <v>1.2773722627737227</v>
          </cell>
          <cell r="AZ62">
            <v>1.2773722627737227</v>
          </cell>
          <cell r="BA62">
            <v>1.2773722627737227</v>
          </cell>
          <cell r="BB62">
            <v>1.2773722627737227</v>
          </cell>
          <cell r="BC62">
            <v>1.2773722627737227</v>
          </cell>
          <cell r="BD62">
            <v>1.2773722627737227</v>
          </cell>
          <cell r="BE62">
            <v>1.2773722627737227</v>
          </cell>
          <cell r="BF62">
            <v>1.2773722627737227</v>
          </cell>
          <cell r="BG62">
            <v>1.2773722627737227</v>
          </cell>
          <cell r="BH62">
            <v>1.2773722627737227</v>
          </cell>
          <cell r="BI62">
            <v>1.2773722627737227</v>
          </cell>
          <cell r="BJ62">
            <v>1.2773722627737227</v>
          </cell>
          <cell r="BK62">
            <v>1.2773722627737227</v>
          </cell>
          <cell r="BL62">
            <v>1.2773722627737227</v>
          </cell>
          <cell r="BM62">
            <v>1.2773722627737227</v>
          </cell>
          <cell r="BN62">
            <v>1.2773722627737227</v>
          </cell>
          <cell r="BO62">
            <v>1.2773722627737227</v>
          </cell>
        </row>
        <row r="63">
          <cell r="B63" t="str">
            <v>Coal</v>
          </cell>
          <cell r="G63">
            <v>2.1850000000000001</v>
          </cell>
          <cell r="H63">
            <v>2.1850000000000001</v>
          </cell>
          <cell r="I63">
            <v>2.1850000000000001</v>
          </cell>
          <cell r="J63">
            <v>2.1850000000000001</v>
          </cell>
          <cell r="K63">
            <v>2.1850000000000001</v>
          </cell>
          <cell r="L63">
            <v>2.1850000000000001</v>
          </cell>
          <cell r="M63">
            <v>2.1850000000000001</v>
          </cell>
          <cell r="N63">
            <v>2.1850000000000001</v>
          </cell>
          <cell r="O63">
            <v>2.1850000000000001</v>
          </cell>
          <cell r="P63">
            <v>2.1850000000000001</v>
          </cell>
          <cell r="Q63">
            <v>2.1850000000000001</v>
          </cell>
          <cell r="R63">
            <v>2.1850000000000001</v>
          </cell>
          <cell r="S63">
            <v>2.1850000000000001</v>
          </cell>
          <cell r="T63">
            <v>2.1850000000000001</v>
          </cell>
          <cell r="U63">
            <v>2.1850000000000001</v>
          </cell>
          <cell r="V63">
            <v>2.1850000000000001</v>
          </cell>
          <cell r="W63">
            <v>2.1850000000000001</v>
          </cell>
          <cell r="X63">
            <v>2.1850000000000001</v>
          </cell>
          <cell r="Y63">
            <v>2.1850000000000001</v>
          </cell>
          <cell r="Z63">
            <v>2.1850000000000001</v>
          </cell>
          <cell r="AA63">
            <v>2.1850000000000001</v>
          </cell>
          <cell r="AB63">
            <v>2.1850000000000001</v>
          </cell>
          <cell r="AC63">
            <v>2.1850000000000001</v>
          </cell>
          <cell r="AD63">
            <v>2.1850000000000001</v>
          </cell>
          <cell r="AE63">
            <v>2.1850000000000001</v>
          </cell>
          <cell r="AF63">
            <v>2.1850000000000001</v>
          </cell>
          <cell r="AG63">
            <v>2.1850000000000001</v>
          </cell>
          <cell r="AH63">
            <v>2.1850000000000001</v>
          </cell>
          <cell r="AI63">
            <v>2.1850000000000001</v>
          </cell>
          <cell r="AJ63">
            <v>2.1850000000000001</v>
          </cell>
          <cell r="AK63">
            <v>2.1850000000000001</v>
          </cell>
          <cell r="AL63">
            <v>2.1850000000000001</v>
          </cell>
          <cell r="AM63">
            <v>2.1850000000000001</v>
          </cell>
          <cell r="AN63">
            <v>2.1850000000000001</v>
          </cell>
          <cell r="AO63">
            <v>2.1850000000000001</v>
          </cell>
          <cell r="AP63">
            <v>2.1850000000000001</v>
          </cell>
          <cell r="AQ63">
            <v>2.1850000000000001</v>
          </cell>
          <cell r="AR63">
            <v>2.1850000000000001</v>
          </cell>
          <cell r="AS63">
            <v>2.1850000000000001</v>
          </cell>
          <cell r="AT63">
            <v>2.1850000000000001</v>
          </cell>
          <cell r="AU63">
            <v>2.1850000000000001</v>
          </cell>
          <cell r="AV63">
            <v>2.1850000000000001</v>
          </cell>
          <cell r="AW63">
            <v>2.1850000000000001</v>
          </cell>
          <cell r="AX63">
            <v>2.1850000000000001</v>
          </cell>
          <cell r="AY63">
            <v>2.1850000000000001</v>
          </cell>
          <cell r="AZ63">
            <v>2.1850000000000001</v>
          </cell>
          <cell r="BA63">
            <v>2.1850000000000001</v>
          </cell>
          <cell r="BB63">
            <v>2.1850000000000001</v>
          </cell>
          <cell r="BC63">
            <v>2.1850000000000001</v>
          </cell>
          <cell r="BD63">
            <v>2.1850000000000001</v>
          </cell>
          <cell r="BE63">
            <v>2.1850000000000001</v>
          </cell>
          <cell r="BF63">
            <v>2.1850000000000001</v>
          </cell>
          <cell r="BG63">
            <v>2.1850000000000001</v>
          </cell>
          <cell r="BH63">
            <v>2.1850000000000001</v>
          </cell>
          <cell r="BI63">
            <v>2.1850000000000001</v>
          </cell>
          <cell r="BJ63">
            <v>2.1850000000000001</v>
          </cell>
          <cell r="BK63">
            <v>2.1850000000000001</v>
          </cell>
          <cell r="BL63">
            <v>2.1850000000000001</v>
          </cell>
          <cell r="BM63">
            <v>2.1850000000000001</v>
          </cell>
          <cell r="BN63">
            <v>2.1850000000000001</v>
          </cell>
          <cell r="BO63">
            <v>2.1850000000000001</v>
          </cell>
        </row>
        <row r="64">
          <cell r="B64" t="str">
            <v>Coke</v>
          </cell>
          <cell r="G64">
            <v>3.173</v>
          </cell>
          <cell r="H64">
            <v>3.173</v>
          </cell>
          <cell r="I64">
            <v>3.173</v>
          </cell>
          <cell r="J64">
            <v>3.173</v>
          </cell>
          <cell r="K64">
            <v>3.173</v>
          </cell>
          <cell r="L64">
            <v>3.173</v>
          </cell>
          <cell r="M64">
            <v>3.173</v>
          </cell>
          <cell r="N64">
            <v>3.173</v>
          </cell>
          <cell r="O64">
            <v>3.173</v>
          </cell>
          <cell r="P64">
            <v>3.173</v>
          </cell>
          <cell r="Q64">
            <v>3.173</v>
          </cell>
          <cell r="R64">
            <v>3.173</v>
          </cell>
          <cell r="S64">
            <v>3.173</v>
          </cell>
          <cell r="T64">
            <v>3.173</v>
          </cell>
          <cell r="U64">
            <v>3.173</v>
          </cell>
          <cell r="V64">
            <v>3.173</v>
          </cell>
          <cell r="W64">
            <v>3.173</v>
          </cell>
          <cell r="X64">
            <v>3.173</v>
          </cell>
          <cell r="Y64">
            <v>3.173</v>
          </cell>
          <cell r="Z64">
            <v>3.173</v>
          </cell>
          <cell r="AA64">
            <v>3.173</v>
          </cell>
          <cell r="AB64">
            <v>3.173</v>
          </cell>
          <cell r="AC64">
            <v>3.173</v>
          </cell>
          <cell r="AD64">
            <v>3.173</v>
          </cell>
          <cell r="AE64">
            <v>3.173</v>
          </cell>
          <cell r="AF64">
            <v>3.173</v>
          </cell>
          <cell r="AG64">
            <v>3.173</v>
          </cell>
          <cell r="AH64">
            <v>3.173</v>
          </cell>
          <cell r="AI64">
            <v>3.173</v>
          </cell>
          <cell r="AJ64">
            <v>3.173</v>
          </cell>
          <cell r="AK64">
            <v>3.173</v>
          </cell>
          <cell r="AL64">
            <v>3.173</v>
          </cell>
          <cell r="AM64">
            <v>3.173</v>
          </cell>
          <cell r="AN64">
            <v>3.173</v>
          </cell>
          <cell r="AO64">
            <v>3.173</v>
          </cell>
          <cell r="AP64">
            <v>3.173</v>
          </cell>
          <cell r="AQ64">
            <v>3.173</v>
          </cell>
          <cell r="AR64">
            <v>3.173</v>
          </cell>
          <cell r="AS64">
            <v>3.173</v>
          </cell>
          <cell r="AT64">
            <v>3.173</v>
          </cell>
          <cell r="AU64">
            <v>3.173</v>
          </cell>
          <cell r="AV64">
            <v>3.173</v>
          </cell>
          <cell r="AW64">
            <v>3.173</v>
          </cell>
          <cell r="AX64">
            <v>3.173</v>
          </cell>
          <cell r="AY64">
            <v>3.173</v>
          </cell>
          <cell r="AZ64">
            <v>3.173</v>
          </cell>
          <cell r="BA64">
            <v>3.173</v>
          </cell>
          <cell r="BB64">
            <v>3.173</v>
          </cell>
          <cell r="BC64">
            <v>3.173</v>
          </cell>
          <cell r="BD64">
            <v>3.173</v>
          </cell>
          <cell r="BE64">
            <v>3.173</v>
          </cell>
          <cell r="BF64">
            <v>3.173</v>
          </cell>
          <cell r="BG64">
            <v>3.173</v>
          </cell>
          <cell r="BH64">
            <v>3.173</v>
          </cell>
          <cell r="BI64">
            <v>3.173</v>
          </cell>
          <cell r="BJ64">
            <v>3.173</v>
          </cell>
          <cell r="BK64">
            <v>3.173</v>
          </cell>
          <cell r="BL64">
            <v>3.173</v>
          </cell>
          <cell r="BM64">
            <v>3.173</v>
          </cell>
          <cell r="BN64">
            <v>3.173</v>
          </cell>
          <cell r="BO64">
            <v>3.173</v>
          </cell>
        </row>
        <row r="65">
          <cell r="B65" t="str">
            <v>Diesel</v>
          </cell>
          <cell r="G65">
            <v>2.69</v>
          </cell>
          <cell r="H65">
            <v>2.69</v>
          </cell>
          <cell r="I65">
            <v>2.69</v>
          </cell>
          <cell r="J65">
            <v>2.69</v>
          </cell>
          <cell r="K65">
            <v>2.69</v>
          </cell>
          <cell r="L65">
            <v>2.69</v>
          </cell>
          <cell r="M65">
            <v>2.69</v>
          </cell>
          <cell r="N65">
            <v>2.69</v>
          </cell>
          <cell r="O65">
            <v>2.69</v>
          </cell>
          <cell r="P65">
            <v>2.69</v>
          </cell>
          <cell r="Q65">
            <v>2.69</v>
          </cell>
          <cell r="R65">
            <v>2.69</v>
          </cell>
          <cell r="S65">
            <v>2.69</v>
          </cell>
          <cell r="T65">
            <v>2.69</v>
          </cell>
          <cell r="U65">
            <v>2.69</v>
          </cell>
          <cell r="V65">
            <v>2.69</v>
          </cell>
          <cell r="W65">
            <v>2.69</v>
          </cell>
          <cell r="X65">
            <v>2.69</v>
          </cell>
          <cell r="Y65">
            <v>2.69</v>
          </cell>
          <cell r="Z65">
            <v>2.69</v>
          </cell>
          <cell r="AA65">
            <v>2.69</v>
          </cell>
          <cell r="AB65">
            <v>2.69</v>
          </cell>
          <cell r="AC65">
            <v>2.69</v>
          </cell>
          <cell r="AD65">
            <v>2.69</v>
          </cell>
          <cell r="AE65">
            <v>2.69</v>
          </cell>
          <cell r="AF65">
            <v>2.69</v>
          </cell>
          <cell r="AG65">
            <v>2.69</v>
          </cell>
          <cell r="AH65">
            <v>2.69</v>
          </cell>
          <cell r="AI65">
            <v>2.69</v>
          </cell>
          <cell r="AJ65">
            <v>2.69</v>
          </cell>
          <cell r="AK65">
            <v>2.69</v>
          </cell>
          <cell r="AL65">
            <v>2.69</v>
          </cell>
          <cell r="AM65">
            <v>2.69</v>
          </cell>
          <cell r="AN65">
            <v>2.69</v>
          </cell>
          <cell r="AO65">
            <v>2.69</v>
          </cell>
          <cell r="AP65">
            <v>2.69</v>
          </cell>
          <cell r="AQ65">
            <v>2.69</v>
          </cell>
          <cell r="AR65">
            <v>2.69</v>
          </cell>
          <cell r="AS65">
            <v>2.69</v>
          </cell>
          <cell r="AT65">
            <v>2.69</v>
          </cell>
          <cell r="AU65">
            <v>2.69</v>
          </cell>
          <cell r="AV65">
            <v>2.69</v>
          </cell>
          <cell r="AW65">
            <v>2.69</v>
          </cell>
          <cell r="AX65">
            <v>2.69</v>
          </cell>
          <cell r="AY65">
            <v>2.69</v>
          </cell>
          <cell r="AZ65">
            <v>2.69</v>
          </cell>
          <cell r="BA65">
            <v>2.69</v>
          </cell>
          <cell r="BB65">
            <v>2.69</v>
          </cell>
          <cell r="BC65">
            <v>2.69</v>
          </cell>
          <cell r="BD65">
            <v>2.69</v>
          </cell>
          <cell r="BE65">
            <v>2.69</v>
          </cell>
          <cell r="BF65">
            <v>2.69</v>
          </cell>
          <cell r="BG65">
            <v>2.69</v>
          </cell>
          <cell r="BH65">
            <v>2.69</v>
          </cell>
          <cell r="BI65">
            <v>2.69</v>
          </cell>
          <cell r="BJ65">
            <v>2.69</v>
          </cell>
          <cell r="BK65">
            <v>2.69</v>
          </cell>
          <cell r="BL65">
            <v>2.69</v>
          </cell>
          <cell r="BM65">
            <v>2.69</v>
          </cell>
          <cell r="BN65">
            <v>2.69</v>
          </cell>
          <cell r="BO65">
            <v>2.69</v>
          </cell>
        </row>
        <row r="66">
          <cell r="B66" t="str">
            <v>Electricity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</row>
        <row r="67">
          <cell r="B67" t="str">
            <v>Ethanol</v>
          </cell>
          <cell r="G67">
            <v>1.5089999999999999</v>
          </cell>
          <cell r="H67">
            <v>1.5089999999999999</v>
          </cell>
          <cell r="I67">
            <v>1.5089999999999999</v>
          </cell>
          <cell r="J67">
            <v>1.5089999999999999</v>
          </cell>
          <cell r="K67">
            <v>1.5089999999999999</v>
          </cell>
          <cell r="L67">
            <v>1.5089999999999999</v>
          </cell>
          <cell r="M67">
            <v>1.5089999999999999</v>
          </cell>
          <cell r="N67">
            <v>1.5089999999999999</v>
          </cell>
          <cell r="O67">
            <v>1.5089999999999999</v>
          </cell>
          <cell r="P67">
            <v>1.5089999999999999</v>
          </cell>
          <cell r="Q67">
            <v>1.5089999999999999</v>
          </cell>
          <cell r="R67">
            <v>1.5089999999999999</v>
          </cell>
          <cell r="S67">
            <v>1.5089999999999999</v>
          </cell>
          <cell r="T67">
            <v>1.5089999999999999</v>
          </cell>
          <cell r="U67">
            <v>1.5089999999999999</v>
          </cell>
          <cell r="V67">
            <v>1.5089999999999999</v>
          </cell>
          <cell r="W67">
            <v>1.5089999999999999</v>
          </cell>
          <cell r="X67">
            <v>1.5089999999999999</v>
          </cell>
          <cell r="Y67">
            <v>1.5089999999999999</v>
          </cell>
          <cell r="Z67">
            <v>1.5089999999999999</v>
          </cell>
          <cell r="AA67">
            <v>1.5089999999999999</v>
          </cell>
          <cell r="AB67">
            <v>1.5089999999999999</v>
          </cell>
          <cell r="AC67">
            <v>1.5089999999999999</v>
          </cell>
          <cell r="AD67">
            <v>1.5089999999999999</v>
          </cell>
          <cell r="AE67">
            <v>1.5089999999999999</v>
          </cell>
          <cell r="AF67">
            <v>1.5089999999999999</v>
          </cell>
          <cell r="AG67">
            <v>1.5089999999999999</v>
          </cell>
          <cell r="AH67">
            <v>1.5089999999999999</v>
          </cell>
          <cell r="AI67">
            <v>1.5089999999999999</v>
          </cell>
          <cell r="AJ67">
            <v>1.5089999999999999</v>
          </cell>
          <cell r="AK67">
            <v>1.5089999999999999</v>
          </cell>
          <cell r="AL67">
            <v>1.5089999999999999</v>
          </cell>
          <cell r="AM67">
            <v>1.5089999999999999</v>
          </cell>
          <cell r="AN67">
            <v>1.5089999999999999</v>
          </cell>
          <cell r="AO67">
            <v>1.5089999999999999</v>
          </cell>
          <cell r="AP67">
            <v>1.5089999999999999</v>
          </cell>
          <cell r="AQ67">
            <v>1.5089999999999999</v>
          </cell>
          <cell r="AR67">
            <v>1.5089999999999999</v>
          </cell>
          <cell r="AS67">
            <v>1.5089999999999999</v>
          </cell>
          <cell r="AT67">
            <v>1.5089999999999999</v>
          </cell>
          <cell r="AU67">
            <v>1.5089999999999999</v>
          </cell>
          <cell r="AV67">
            <v>1.5089999999999999</v>
          </cell>
          <cell r="AW67">
            <v>1.5089999999999999</v>
          </cell>
          <cell r="AX67">
            <v>1.5089999999999999</v>
          </cell>
          <cell r="AY67">
            <v>1.5089999999999999</v>
          </cell>
          <cell r="AZ67">
            <v>1.5089999999999999</v>
          </cell>
          <cell r="BA67">
            <v>1.5089999999999999</v>
          </cell>
          <cell r="BB67">
            <v>1.5089999999999999</v>
          </cell>
          <cell r="BC67">
            <v>1.5089999999999999</v>
          </cell>
          <cell r="BD67">
            <v>1.5089999999999999</v>
          </cell>
          <cell r="BE67">
            <v>1.5089999999999999</v>
          </cell>
          <cell r="BF67">
            <v>1.5089999999999999</v>
          </cell>
          <cell r="BG67">
            <v>1.5089999999999999</v>
          </cell>
          <cell r="BH67">
            <v>1.5089999999999999</v>
          </cell>
          <cell r="BI67">
            <v>1.5089999999999999</v>
          </cell>
          <cell r="BJ67">
            <v>1.5089999999999999</v>
          </cell>
          <cell r="BK67">
            <v>1.5089999999999999</v>
          </cell>
          <cell r="BL67">
            <v>1.5089999999999999</v>
          </cell>
          <cell r="BM67">
            <v>1.5089999999999999</v>
          </cell>
          <cell r="BN67">
            <v>1.5089999999999999</v>
          </cell>
          <cell r="BO67">
            <v>1.5089999999999999</v>
          </cell>
        </row>
        <row r="68">
          <cell r="B68" t="str">
            <v>Fuel oil</v>
          </cell>
          <cell r="G68">
            <v>3.1560000000000001</v>
          </cell>
          <cell r="H68">
            <v>3.1560000000000001</v>
          </cell>
          <cell r="I68">
            <v>3.1560000000000001</v>
          </cell>
          <cell r="J68">
            <v>3.1560000000000001</v>
          </cell>
          <cell r="K68">
            <v>3.1560000000000001</v>
          </cell>
          <cell r="L68">
            <v>3.1560000000000001</v>
          </cell>
          <cell r="M68">
            <v>3.1560000000000001</v>
          </cell>
          <cell r="N68">
            <v>3.1560000000000001</v>
          </cell>
          <cell r="O68">
            <v>3.1560000000000001</v>
          </cell>
          <cell r="P68">
            <v>3.1560000000000001</v>
          </cell>
          <cell r="Q68">
            <v>3.1560000000000001</v>
          </cell>
          <cell r="R68">
            <v>3.1560000000000001</v>
          </cell>
          <cell r="S68">
            <v>3.1560000000000001</v>
          </cell>
          <cell r="T68">
            <v>3.1560000000000001</v>
          </cell>
          <cell r="U68">
            <v>3.1560000000000001</v>
          </cell>
          <cell r="V68">
            <v>3.1560000000000001</v>
          </cell>
          <cell r="W68">
            <v>3.1560000000000001</v>
          </cell>
          <cell r="X68">
            <v>3.1560000000000001</v>
          </cell>
          <cell r="Y68">
            <v>3.1560000000000001</v>
          </cell>
          <cell r="Z68">
            <v>3.1560000000000001</v>
          </cell>
          <cell r="AA68">
            <v>3.1560000000000001</v>
          </cell>
          <cell r="AB68">
            <v>3.1560000000000001</v>
          </cell>
          <cell r="AC68">
            <v>3.1560000000000001</v>
          </cell>
          <cell r="AD68">
            <v>3.1560000000000001</v>
          </cell>
          <cell r="AE68">
            <v>3.1560000000000001</v>
          </cell>
          <cell r="AF68">
            <v>3.1560000000000001</v>
          </cell>
          <cell r="AG68">
            <v>3.1560000000000001</v>
          </cell>
          <cell r="AH68">
            <v>3.1560000000000001</v>
          </cell>
          <cell r="AI68">
            <v>3.1560000000000001</v>
          </cell>
          <cell r="AJ68">
            <v>3.1560000000000001</v>
          </cell>
          <cell r="AK68">
            <v>3.1560000000000001</v>
          </cell>
          <cell r="AL68">
            <v>3.1560000000000001</v>
          </cell>
          <cell r="AM68">
            <v>3.1560000000000001</v>
          </cell>
          <cell r="AN68">
            <v>3.1560000000000001</v>
          </cell>
          <cell r="AO68">
            <v>3.1560000000000001</v>
          </cell>
          <cell r="AP68">
            <v>3.1560000000000001</v>
          </cell>
          <cell r="AQ68">
            <v>3.1560000000000001</v>
          </cell>
          <cell r="AR68">
            <v>3.1560000000000001</v>
          </cell>
          <cell r="AS68">
            <v>3.1560000000000001</v>
          </cell>
          <cell r="AT68">
            <v>3.1560000000000001</v>
          </cell>
          <cell r="AU68">
            <v>3.1560000000000001</v>
          </cell>
          <cell r="AV68">
            <v>3.1560000000000001</v>
          </cell>
          <cell r="AW68">
            <v>3.1560000000000001</v>
          </cell>
          <cell r="AX68">
            <v>3.1560000000000001</v>
          </cell>
          <cell r="AY68">
            <v>3.1560000000000001</v>
          </cell>
          <cell r="AZ68">
            <v>3.1560000000000001</v>
          </cell>
          <cell r="BA68">
            <v>3.1560000000000001</v>
          </cell>
          <cell r="BB68">
            <v>3.1560000000000001</v>
          </cell>
          <cell r="BC68">
            <v>3.1560000000000001</v>
          </cell>
          <cell r="BD68">
            <v>3.1560000000000001</v>
          </cell>
          <cell r="BE68">
            <v>3.1560000000000001</v>
          </cell>
          <cell r="BF68">
            <v>3.1560000000000001</v>
          </cell>
          <cell r="BG68">
            <v>3.1560000000000001</v>
          </cell>
          <cell r="BH68">
            <v>3.1560000000000001</v>
          </cell>
          <cell r="BI68">
            <v>3.1560000000000001</v>
          </cell>
          <cell r="BJ68">
            <v>3.1560000000000001</v>
          </cell>
          <cell r="BK68">
            <v>3.1560000000000001</v>
          </cell>
          <cell r="BL68">
            <v>3.1560000000000001</v>
          </cell>
          <cell r="BM68">
            <v>3.1560000000000001</v>
          </cell>
          <cell r="BN68">
            <v>3.1560000000000001</v>
          </cell>
          <cell r="BO68">
            <v>3.1560000000000001</v>
          </cell>
        </row>
        <row r="69">
          <cell r="B69" t="str">
            <v>Gasoline</v>
          </cell>
          <cell r="G69">
            <v>2.3159999999999998</v>
          </cell>
          <cell r="H69">
            <v>2.3159999999999998</v>
          </cell>
          <cell r="I69">
            <v>2.3159999999999998</v>
          </cell>
          <cell r="J69">
            <v>2.3159999999999998</v>
          </cell>
          <cell r="K69">
            <v>2.3159999999999998</v>
          </cell>
          <cell r="L69">
            <v>2.3159999999999998</v>
          </cell>
          <cell r="M69">
            <v>2.3159999999999998</v>
          </cell>
          <cell r="N69">
            <v>2.3159999999999998</v>
          </cell>
          <cell r="O69">
            <v>2.3159999999999998</v>
          </cell>
          <cell r="P69">
            <v>2.3159999999999998</v>
          </cell>
          <cell r="Q69">
            <v>2.3159999999999998</v>
          </cell>
          <cell r="R69">
            <v>2.3159999999999998</v>
          </cell>
          <cell r="S69">
            <v>2.3159999999999998</v>
          </cell>
          <cell r="T69">
            <v>2.3159999999999998</v>
          </cell>
          <cell r="U69">
            <v>2.3159999999999998</v>
          </cell>
          <cell r="V69">
            <v>2.3159999999999998</v>
          </cell>
          <cell r="W69">
            <v>2.3159999999999998</v>
          </cell>
          <cell r="X69">
            <v>2.3159999999999998</v>
          </cell>
          <cell r="Y69">
            <v>2.3159999999999998</v>
          </cell>
          <cell r="Z69">
            <v>2.3159999999999998</v>
          </cell>
          <cell r="AA69">
            <v>2.3159999999999998</v>
          </cell>
          <cell r="AB69">
            <v>2.3159999999999998</v>
          </cell>
          <cell r="AC69">
            <v>2.3159999999999998</v>
          </cell>
          <cell r="AD69">
            <v>2.3159999999999998</v>
          </cell>
          <cell r="AE69">
            <v>2.3159999999999998</v>
          </cell>
          <cell r="AF69">
            <v>2.3159999999999998</v>
          </cell>
          <cell r="AG69">
            <v>2.3159999999999998</v>
          </cell>
          <cell r="AH69">
            <v>2.3159999999999998</v>
          </cell>
          <cell r="AI69">
            <v>2.3159999999999998</v>
          </cell>
          <cell r="AJ69">
            <v>2.3159999999999998</v>
          </cell>
          <cell r="AK69">
            <v>2.3159999999999998</v>
          </cell>
          <cell r="AL69">
            <v>2.3159999999999998</v>
          </cell>
          <cell r="AM69">
            <v>2.3159999999999998</v>
          </cell>
          <cell r="AN69">
            <v>2.3159999999999998</v>
          </cell>
          <cell r="AO69">
            <v>2.3159999999999998</v>
          </cell>
          <cell r="AP69">
            <v>2.3159999999999998</v>
          </cell>
          <cell r="AQ69">
            <v>2.3159999999999998</v>
          </cell>
          <cell r="AR69">
            <v>2.3159999999999998</v>
          </cell>
          <cell r="AS69">
            <v>2.3159999999999998</v>
          </cell>
          <cell r="AT69">
            <v>2.3159999999999998</v>
          </cell>
          <cell r="AU69">
            <v>2.3159999999999998</v>
          </cell>
          <cell r="AV69">
            <v>2.3159999999999998</v>
          </cell>
          <cell r="AW69">
            <v>2.3159999999999998</v>
          </cell>
          <cell r="AX69">
            <v>2.3159999999999998</v>
          </cell>
          <cell r="AY69">
            <v>2.3159999999999998</v>
          </cell>
          <cell r="AZ69">
            <v>2.3159999999999998</v>
          </cell>
          <cell r="BA69">
            <v>2.3159999999999998</v>
          </cell>
          <cell r="BB69">
            <v>2.3159999999999998</v>
          </cell>
          <cell r="BC69">
            <v>2.3159999999999998</v>
          </cell>
          <cell r="BD69">
            <v>2.3159999999999998</v>
          </cell>
          <cell r="BE69">
            <v>2.3159999999999998</v>
          </cell>
          <cell r="BF69">
            <v>2.3159999999999998</v>
          </cell>
          <cell r="BG69">
            <v>2.3159999999999998</v>
          </cell>
          <cell r="BH69">
            <v>2.3159999999999998</v>
          </cell>
          <cell r="BI69">
            <v>2.3159999999999998</v>
          </cell>
          <cell r="BJ69">
            <v>2.3159999999999998</v>
          </cell>
          <cell r="BK69">
            <v>2.3159999999999998</v>
          </cell>
          <cell r="BL69">
            <v>2.3159999999999998</v>
          </cell>
          <cell r="BM69">
            <v>2.3159999999999998</v>
          </cell>
          <cell r="BN69">
            <v>2.3159999999999998</v>
          </cell>
          <cell r="BO69">
            <v>2.3159999999999998</v>
          </cell>
        </row>
        <row r="70">
          <cell r="B70" t="str">
            <v>Hydrogen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BC70">
            <v>0</v>
          </cell>
          <cell r="BD70">
            <v>0</v>
          </cell>
          <cell r="BE70">
            <v>0</v>
          </cell>
          <cell r="BF70">
            <v>0</v>
          </cell>
          <cell r="BG70">
            <v>0</v>
          </cell>
          <cell r="BH70">
            <v>0</v>
          </cell>
          <cell r="BI70">
            <v>0</v>
          </cell>
          <cell r="BJ70">
            <v>0</v>
          </cell>
          <cell r="BK70">
            <v>0</v>
          </cell>
          <cell r="BL70">
            <v>0</v>
          </cell>
          <cell r="BM70">
            <v>0</v>
          </cell>
          <cell r="BN70">
            <v>0</v>
          </cell>
          <cell r="BO70">
            <v>0</v>
          </cell>
        </row>
        <row r="71">
          <cell r="B71" t="str">
            <v>Jet fuel</v>
          </cell>
          <cell r="G71">
            <v>2.56</v>
          </cell>
          <cell r="H71">
            <v>2.56</v>
          </cell>
          <cell r="I71">
            <v>2.56</v>
          </cell>
          <cell r="J71">
            <v>2.56</v>
          </cell>
          <cell r="K71">
            <v>2.56</v>
          </cell>
          <cell r="L71">
            <v>2.56</v>
          </cell>
          <cell r="M71">
            <v>2.56</v>
          </cell>
          <cell r="N71">
            <v>2.56</v>
          </cell>
          <cell r="O71">
            <v>2.56</v>
          </cell>
          <cell r="P71">
            <v>2.56</v>
          </cell>
          <cell r="Q71">
            <v>2.56</v>
          </cell>
          <cell r="R71">
            <v>2.56</v>
          </cell>
          <cell r="S71">
            <v>2.56</v>
          </cell>
          <cell r="T71">
            <v>2.56</v>
          </cell>
          <cell r="U71">
            <v>2.56</v>
          </cell>
          <cell r="V71">
            <v>2.56</v>
          </cell>
          <cell r="W71">
            <v>2.56</v>
          </cell>
          <cell r="X71">
            <v>2.56</v>
          </cell>
          <cell r="Y71">
            <v>2.56</v>
          </cell>
          <cell r="Z71">
            <v>2.56</v>
          </cell>
          <cell r="AA71">
            <v>2.56</v>
          </cell>
          <cell r="AB71">
            <v>2.56</v>
          </cell>
          <cell r="AC71">
            <v>2.56</v>
          </cell>
          <cell r="AD71">
            <v>2.56</v>
          </cell>
          <cell r="AE71">
            <v>2.56</v>
          </cell>
          <cell r="AF71">
            <v>2.56</v>
          </cell>
          <cell r="AG71">
            <v>2.56</v>
          </cell>
          <cell r="AH71">
            <v>2.56</v>
          </cell>
          <cell r="AI71">
            <v>2.56</v>
          </cell>
          <cell r="AJ71">
            <v>2.56</v>
          </cell>
          <cell r="AK71">
            <v>2.56</v>
          </cell>
          <cell r="AL71">
            <v>2.56</v>
          </cell>
          <cell r="AM71">
            <v>2.56</v>
          </cell>
          <cell r="AN71">
            <v>2.56</v>
          </cell>
          <cell r="AO71">
            <v>2.56</v>
          </cell>
          <cell r="AP71">
            <v>2.56</v>
          </cell>
          <cell r="AQ71">
            <v>2.56</v>
          </cell>
          <cell r="AR71">
            <v>2.56</v>
          </cell>
          <cell r="AS71">
            <v>2.56</v>
          </cell>
          <cell r="AT71">
            <v>2.56</v>
          </cell>
          <cell r="AU71">
            <v>2.56</v>
          </cell>
          <cell r="AV71">
            <v>2.56</v>
          </cell>
          <cell r="AW71">
            <v>2.56</v>
          </cell>
          <cell r="AX71">
            <v>2.56</v>
          </cell>
          <cell r="AY71">
            <v>2.56</v>
          </cell>
          <cell r="AZ71">
            <v>2.56</v>
          </cell>
          <cell r="BA71">
            <v>2.56</v>
          </cell>
          <cell r="BB71">
            <v>2.56</v>
          </cell>
          <cell r="BC71">
            <v>2.56</v>
          </cell>
          <cell r="BD71">
            <v>2.56</v>
          </cell>
          <cell r="BE71">
            <v>2.56</v>
          </cell>
          <cell r="BF71">
            <v>2.56</v>
          </cell>
          <cell r="BG71">
            <v>2.56</v>
          </cell>
          <cell r="BH71">
            <v>2.56</v>
          </cell>
          <cell r="BI71">
            <v>2.56</v>
          </cell>
          <cell r="BJ71">
            <v>2.56</v>
          </cell>
          <cell r="BK71">
            <v>2.56</v>
          </cell>
          <cell r="BL71">
            <v>2.56</v>
          </cell>
          <cell r="BM71">
            <v>2.56</v>
          </cell>
          <cell r="BN71">
            <v>2.56</v>
          </cell>
          <cell r="BO71">
            <v>2.56</v>
          </cell>
        </row>
        <row r="72">
          <cell r="B72" t="str">
            <v>LPG</v>
          </cell>
          <cell r="G72">
            <v>1.5149999999999999</v>
          </cell>
          <cell r="H72">
            <v>1.5149999999999999</v>
          </cell>
          <cell r="I72">
            <v>1.5149999999999999</v>
          </cell>
          <cell r="J72">
            <v>1.5149999999999999</v>
          </cell>
          <cell r="K72">
            <v>1.5149999999999999</v>
          </cell>
          <cell r="L72">
            <v>1.5149999999999999</v>
          </cell>
          <cell r="M72">
            <v>1.5149999999999999</v>
          </cell>
          <cell r="N72">
            <v>1.5149999999999999</v>
          </cell>
          <cell r="O72">
            <v>1.5149999999999999</v>
          </cell>
          <cell r="P72">
            <v>1.5149999999999999</v>
          </cell>
          <cell r="Q72">
            <v>1.5149999999999999</v>
          </cell>
          <cell r="R72">
            <v>1.5149999999999999</v>
          </cell>
          <cell r="S72">
            <v>1.5149999999999999</v>
          </cell>
          <cell r="T72">
            <v>1.5149999999999999</v>
          </cell>
          <cell r="U72">
            <v>1.5149999999999999</v>
          </cell>
          <cell r="V72">
            <v>1.5149999999999999</v>
          </cell>
          <cell r="W72">
            <v>1.5149999999999999</v>
          </cell>
          <cell r="X72">
            <v>1.5149999999999999</v>
          </cell>
          <cell r="Y72">
            <v>1.5149999999999999</v>
          </cell>
          <cell r="Z72">
            <v>1.5149999999999999</v>
          </cell>
          <cell r="AA72">
            <v>1.5149999999999999</v>
          </cell>
          <cell r="AB72">
            <v>1.5149999999999999</v>
          </cell>
          <cell r="AC72">
            <v>1.5149999999999999</v>
          </cell>
          <cell r="AD72">
            <v>1.5149999999999999</v>
          </cell>
          <cell r="AE72">
            <v>1.5149999999999999</v>
          </cell>
          <cell r="AF72">
            <v>1.5149999999999999</v>
          </cell>
          <cell r="AG72">
            <v>1.5149999999999999</v>
          </cell>
          <cell r="AH72">
            <v>1.5149999999999999</v>
          </cell>
          <cell r="AI72">
            <v>1.5149999999999999</v>
          </cell>
          <cell r="AJ72">
            <v>1.5149999999999999</v>
          </cell>
          <cell r="AK72">
            <v>1.5149999999999999</v>
          </cell>
          <cell r="AL72">
            <v>1.5149999999999999</v>
          </cell>
          <cell r="AM72">
            <v>1.5149999999999999</v>
          </cell>
          <cell r="AN72">
            <v>1.5149999999999999</v>
          </cell>
          <cell r="AO72">
            <v>1.5149999999999999</v>
          </cell>
          <cell r="AP72">
            <v>1.5149999999999999</v>
          </cell>
          <cell r="AQ72">
            <v>1.5149999999999999</v>
          </cell>
          <cell r="AR72">
            <v>1.5149999999999999</v>
          </cell>
          <cell r="AS72">
            <v>1.5149999999999999</v>
          </cell>
          <cell r="AT72">
            <v>1.5149999999999999</v>
          </cell>
          <cell r="AU72">
            <v>1.5149999999999999</v>
          </cell>
          <cell r="AV72">
            <v>1.5149999999999999</v>
          </cell>
          <cell r="AW72">
            <v>1.5149999999999999</v>
          </cell>
          <cell r="AX72">
            <v>1.5149999999999999</v>
          </cell>
          <cell r="AY72">
            <v>1.5149999999999999</v>
          </cell>
          <cell r="AZ72">
            <v>1.5149999999999999</v>
          </cell>
          <cell r="BA72">
            <v>1.5149999999999999</v>
          </cell>
          <cell r="BB72">
            <v>1.5149999999999999</v>
          </cell>
          <cell r="BC72">
            <v>1.5149999999999999</v>
          </cell>
          <cell r="BD72">
            <v>1.5149999999999999</v>
          </cell>
          <cell r="BE72">
            <v>1.5149999999999999</v>
          </cell>
          <cell r="BF72">
            <v>1.5149999999999999</v>
          </cell>
          <cell r="BG72">
            <v>1.5149999999999999</v>
          </cell>
          <cell r="BH72">
            <v>1.5149999999999999</v>
          </cell>
          <cell r="BI72">
            <v>1.5149999999999999</v>
          </cell>
          <cell r="BJ72">
            <v>1.5149999999999999</v>
          </cell>
          <cell r="BK72">
            <v>1.5149999999999999</v>
          </cell>
          <cell r="BL72">
            <v>1.5149999999999999</v>
          </cell>
          <cell r="BM72">
            <v>1.5149999999999999</v>
          </cell>
          <cell r="BN72">
            <v>1.5149999999999999</v>
          </cell>
          <cell r="BO72">
            <v>1.5149999999999999</v>
          </cell>
        </row>
        <row r="73">
          <cell r="B73" t="str">
            <v>Natural gas</v>
          </cell>
          <cell r="G73">
            <v>1.924554644585263</v>
          </cell>
          <cell r="H73">
            <v>1.9259654378916002</v>
          </cell>
          <cell r="I73">
            <v>1.9253243980632109</v>
          </cell>
          <cell r="J73">
            <v>1.9247191708830438</v>
          </cell>
          <cell r="K73">
            <v>1.9237840329776548</v>
          </cell>
          <cell r="L73">
            <v>1.9232955378430103</v>
          </cell>
          <cell r="M73">
            <v>1.9227521702006549</v>
          </cell>
          <cell r="N73">
            <v>1.923132210142374</v>
          </cell>
          <cell r="O73">
            <v>1.9227220165715386</v>
          </cell>
          <cell r="P73">
            <v>1.9228415170419213</v>
          </cell>
          <cell r="Q73">
            <v>1.9231770712641942</v>
          </cell>
          <cell r="R73">
            <v>1.9235801832666188</v>
          </cell>
          <cell r="S73">
            <v>1.923467994013375</v>
          </cell>
          <cell r="T73">
            <v>1.9235794660095515</v>
          </cell>
          <cell r="U73">
            <v>1.9232966175284987</v>
          </cell>
          <cell r="V73">
            <v>1.9235609078498794</v>
          </cell>
          <cell r="W73">
            <v>1.9235609078498794</v>
          </cell>
          <cell r="X73">
            <v>1.9235609078498794</v>
          </cell>
          <cell r="Y73">
            <v>1.9235609078498794</v>
          </cell>
          <cell r="Z73">
            <v>1.9235609078498794</v>
          </cell>
          <cell r="AA73">
            <v>1.9235609078498794</v>
          </cell>
          <cell r="AB73">
            <v>1.9235609078498794</v>
          </cell>
          <cell r="AC73">
            <v>1.9235609078498794</v>
          </cell>
          <cell r="AD73">
            <v>1.9235609078498794</v>
          </cell>
          <cell r="AE73">
            <v>1.9235609078498794</v>
          </cell>
          <cell r="AF73">
            <v>1.9235609078498794</v>
          </cell>
          <cell r="AG73">
            <v>1.9235609078498794</v>
          </cell>
          <cell r="AH73">
            <v>1.9235609078498794</v>
          </cell>
          <cell r="AI73">
            <v>1.9235609078498794</v>
          </cell>
          <cell r="AJ73">
            <v>1.9235609078498794</v>
          </cell>
          <cell r="AK73">
            <v>1.9235609078498794</v>
          </cell>
          <cell r="AL73">
            <v>1.9235609078498794</v>
          </cell>
          <cell r="AM73">
            <v>1.9235609078498794</v>
          </cell>
          <cell r="AN73">
            <v>1.9235609078498794</v>
          </cell>
          <cell r="AO73">
            <v>1.9235609078498794</v>
          </cell>
          <cell r="AP73">
            <v>1.9235609078498794</v>
          </cell>
          <cell r="AQ73">
            <v>1.9235609078498794</v>
          </cell>
          <cell r="AR73">
            <v>1.9235609078498794</v>
          </cell>
          <cell r="AS73">
            <v>1.9235609078498794</v>
          </cell>
          <cell r="AT73">
            <v>1.9235609078498794</v>
          </cell>
          <cell r="AU73">
            <v>1.9235609078498794</v>
          </cell>
          <cell r="AV73">
            <v>1.9235609078498794</v>
          </cell>
          <cell r="AW73">
            <v>1.9235609078498794</v>
          </cell>
          <cell r="AX73">
            <v>1.9235609078498794</v>
          </cell>
          <cell r="AY73">
            <v>1.9235609078498794</v>
          </cell>
          <cell r="AZ73">
            <v>1.9235609078498794</v>
          </cell>
          <cell r="BA73">
            <v>1.9235609078498794</v>
          </cell>
          <cell r="BB73">
            <v>1.9235609078498794</v>
          </cell>
          <cell r="BC73">
            <v>1.9235609078498794</v>
          </cell>
          <cell r="BD73">
            <v>1.9235609078498794</v>
          </cell>
          <cell r="BE73">
            <v>1.9235609078498794</v>
          </cell>
          <cell r="BF73">
            <v>1.9235609078498794</v>
          </cell>
          <cell r="BG73">
            <v>1.9235609078498794</v>
          </cell>
          <cell r="BH73">
            <v>1.9235609078498794</v>
          </cell>
          <cell r="BI73">
            <v>1.9235609078498794</v>
          </cell>
          <cell r="BJ73">
            <v>1.9235609078498794</v>
          </cell>
          <cell r="BK73">
            <v>1.9235609078498794</v>
          </cell>
          <cell r="BL73">
            <v>1.9235609078498794</v>
          </cell>
          <cell r="BM73">
            <v>1.9235609078498794</v>
          </cell>
          <cell r="BN73">
            <v>1.9235609078498794</v>
          </cell>
          <cell r="BO73">
            <v>1.9235609078498794</v>
          </cell>
        </row>
        <row r="74">
          <cell r="B74" t="str">
            <v>Petroleum coke</v>
          </cell>
          <cell r="G74">
            <v>3.0000356605247189</v>
          </cell>
          <cell r="H74">
            <v>3.0431753426921717</v>
          </cell>
          <cell r="I74">
            <v>3.07213790310783</v>
          </cell>
          <cell r="J74">
            <v>3.10516289453258</v>
          </cell>
          <cell r="K74">
            <v>3.0991495336854187</v>
          </cell>
          <cell r="L74">
            <v>3.0879960100945993</v>
          </cell>
          <cell r="M74">
            <v>3.0895505145627866</v>
          </cell>
          <cell r="N74">
            <v>3.1021512257577162</v>
          </cell>
          <cell r="O74">
            <v>3.1115041975724957</v>
          </cell>
          <cell r="P74">
            <v>3.109225057676468</v>
          </cell>
          <cell r="Q74">
            <v>3.1102383528432611</v>
          </cell>
          <cell r="R74">
            <v>3.0871775329056392</v>
          </cell>
          <cell r="S74">
            <v>3.0930161389338484</v>
          </cell>
          <cell r="T74">
            <v>3.0786661148073389</v>
          </cell>
          <cell r="U74">
            <v>3.0400301501796858</v>
          </cell>
          <cell r="V74">
            <v>3.053772756693431</v>
          </cell>
          <cell r="W74">
            <v>3.0579442175186884</v>
          </cell>
          <cell r="X74">
            <v>3.0750735357101422</v>
          </cell>
          <cell r="Y74">
            <v>3.049694466353813</v>
          </cell>
          <cell r="Z74">
            <v>3.0551540572917726</v>
          </cell>
          <cell r="AA74">
            <v>3.104863216227173</v>
          </cell>
          <cell r="AB74">
            <v>3.104863216227173</v>
          </cell>
          <cell r="AC74">
            <v>3.104863216227173</v>
          </cell>
          <cell r="AD74">
            <v>3.104863216227173</v>
          </cell>
          <cell r="AE74">
            <v>3.104863216227173</v>
          </cell>
          <cell r="AF74">
            <v>3.104863216227173</v>
          </cell>
          <cell r="AG74">
            <v>3.104863216227173</v>
          </cell>
          <cell r="AH74">
            <v>3.104863216227173</v>
          </cell>
          <cell r="AI74">
            <v>3.104863216227173</v>
          </cell>
          <cell r="AJ74">
            <v>3.104863216227173</v>
          </cell>
          <cell r="AK74">
            <v>3.104863216227173</v>
          </cell>
          <cell r="AL74">
            <v>3.104863216227173</v>
          </cell>
          <cell r="AM74">
            <v>3.104863216227173</v>
          </cell>
          <cell r="AN74">
            <v>3.104863216227173</v>
          </cell>
          <cell r="AO74">
            <v>3.104863216227173</v>
          </cell>
          <cell r="AP74">
            <v>3.104863216227173</v>
          </cell>
          <cell r="AQ74">
            <v>3.104863216227173</v>
          </cell>
          <cell r="AR74">
            <v>3.104863216227173</v>
          </cell>
          <cell r="AS74">
            <v>3.104863216227173</v>
          </cell>
          <cell r="AT74">
            <v>3.104863216227173</v>
          </cell>
          <cell r="AU74">
            <v>3.104863216227173</v>
          </cell>
          <cell r="AV74">
            <v>3.104863216227173</v>
          </cell>
          <cell r="AW74">
            <v>3.104863216227173</v>
          </cell>
          <cell r="AX74">
            <v>3.104863216227173</v>
          </cell>
          <cell r="AY74">
            <v>3.104863216227173</v>
          </cell>
          <cell r="AZ74">
            <v>3.104863216227173</v>
          </cell>
          <cell r="BA74">
            <v>3.104863216227173</v>
          </cell>
          <cell r="BB74">
            <v>3.104863216227173</v>
          </cell>
          <cell r="BC74">
            <v>3.104863216227173</v>
          </cell>
          <cell r="BD74">
            <v>3.104863216227173</v>
          </cell>
          <cell r="BE74">
            <v>3.104863216227173</v>
          </cell>
          <cell r="BF74">
            <v>3.104863216227173</v>
          </cell>
          <cell r="BG74">
            <v>3.104863216227173</v>
          </cell>
          <cell r="BH74">
            <v>3.104863216227173</v>
          </cell>
          <cell r="BI74">
            <v>3.104863216227173</v>
          </cell>
          <cell r="BJ74">
            <v>3.104863216227173</v>
          </cell>
          <cell r="BK74">
            <v>3.104863216227173</v>
          </cell>
          <cell r="BL74">
            <v>3.104863216227173</v>
          </cell>
          <cell r="BM74">
            <v>3.104863216227173</v>
          </cell>
          <cell r="BN74">
            <v>3.104863216227173</v>
          </cell>
          <cell r="BO74">
            <v>3.104863216227173</v>
          </cell>
        </row>
        <row r="75">
          <cell r="B75" t="str">
            <v>Propane</v>
          </cell>
          <cell r="G75">
            <v>1.5149999999999999</v>
          </cell>
          <cell r="H75">
            <v>1.5149999999999999</v>
          </cell>
          <cell r="I75">
            <v>1.5149999999999999</v>
          </cell>
          <cell r="J75">
            <v>1.5149999999999999</v>
          </cell>
          <cell r="K75">
            <v>1.5149999999999999</v>
          </cell>
          <cell r="L75">
            <v>1.5149999999999999</v>
          </cell>
          <cell r="M75">
            <v>1.5149999999999999</v>
          </cell>
          <cell r="N75">
            <v>1.5149999999999999</v>
          </cell>
          <cell r="O75">
            <v>1.5149999999999999</v>
          </cell>
          <cell r="P75">
            <v>1.5149999999999999</v>
          </cell>
          <cell r="Q75">
            <v>1.5149999999999999</v>
          </cell>
          <cell r="R75">
            <v>1.5149999999999999</v>
          </cell>
          <cell r="S75">
            <v>1.5149999999999999</v>
          </cell>
          <cell r="T75">
            <v>1.5149999999999999</v>
          </cell>
          <cell r="U75">
            <v>1.5149999999999999</v>
          </cell>
          <cell r="V75">
            <v>1.5149999999999999</v>
          </cell>
          <cell r="W75">
            <v>1.5149999999999999</v>
          </cell>
          <cell r="X75">
            <v>1.5149999999999999</v>
          </cell>
          <cell r="Y75">
            <v>1.5149999999999999</v>
          </cell>
          <cell r="Z75">
            <v>1.5149999999999999</v>
          </cell>
          <cell r="AA75">
            <v>1.5149999999999999</v>
          </cell>
          <cell r="AB75">
            <v>1.5149999999999999</v>
          </cell>
          <cell r="AC75">
            <v>1.5149999999999999</v>
          </cell>
          <cell r="AD75">
            <v>1.5149999999999999</v>
          </cell>
          <cell r="AE75">
            <v>1.5149999999999999</v>
          </cell>
          <cell r="AF75">
            <v>1.5149999999999999</v>
          </cell>
          <cell r="AG75">
            <v>1.5149999999999999</v>
          </cell>
          <cell r="AH75">
            <v>1.5149999999999999</v>
          </cell>
          <cell r="AI75">
            <v>1.5149999999999999</v>
          </cell>
          <cell r="AJ75">
            <v>1.5149999999999999</v>
          </cell>
          <cell r="AK75">
            <v>1.5149999999999999</v>
          </cell>
          <cell r="AL75">
            <v>1.5149999999999999</v>
          </cell>
          <cell r="AM75">
            <v>1.5149999999999999</v>
          </cell>
          <cell r="AN75">
            <v>1.5149999999999999</v>
          </cell>
          <cell r="AO75">
            <v>1.5149999999999999</v>
          </cell>
          <cell r="AP75">
            <v>1.5149999999999999</v>
          </cell>
          <cell r="AQ75">
            <v>1.5149999999999999</v>
          </cell>
          <cell r="AR75">
            <v>1.5149999999999999</v>
          </cell>
          <cell r="AS75">
            <v>1.5149999999999999</v>
          </cell>
          <cell r="AT75">
            <v>1.5149999999999999</v>
          </cell>
          <cell r="AU75">
            <v>1.5149999999999999</v>
          </cell>
          <cell r="AV75">
            <v>1.5149999999999999</v>
          </cell>
          <cell r="AW75">
            <v>1.5149999999999999</v>
          </cell>
          <cell r="AX75">
            <v>1.5149999999999999</v>
          </cell>
          <cell r="AY75">
            <v>1.5149999999999999</v>
          </cell>
          <cell r="AZ75">
            <v>1.5149999999999999</v>
          </cell>
          <cell r="BA75">
            <v>1.5149999999999999</v>
          </cell>
          <cell r="BB75">
            <v>1.5149999999999999</v>
          </cell>
          <cell r="BC75">
            <v>1.5149999999999999</v>
          </cell>
          <cell r="BD75">
            <v>1.5149999999999999</v>
          </cell>
          <cell r="BE75">
            <v>1.5149999999999999</v>
          </cell>
          <cell r="BF75">
            <v>1.5149999999999999</v>
          </cell>
          <cell r="BG75">
            <v>1.5149999999999999</v>
          </cell>
          <cell r="BH75">
            <v>1.5149999999999999</v>
          </cell>
          <cell r="BI75">
            <v>1.5149999999999999</v>
          </cell>
          <cell r="BJ75">
            <v>1.5149999999999999</v>
          </cell>
          <cell r="BK75">
            <v>1.5149999999999999</v>
          </cell>
          <cell r="BL75">
            <v>1.5149999999999999</v>
          </cell>
          <cell r="BM75">
            <v>1.5149999999999999</v>
          </cell>
          <cell r="BN75">
            <v>1.5149999999999999</v>
          </cell>
          <cell r="BO75">
            <v>1.5149999999999999</v>
          </cell>
        </row>
        <row r="76">
          <cell r="B76" t="str">
            <v>Refinery fuel gas</v>
          </cell>
          <cell r="G76">
            <v>1.8494518723793572</v>
          </cell>
          <cell r="H76">
            <v>1.8339926754117768</v>
          </cell>
          <cell r="I76">
            <v>1.8419673741712774</v>
          </cell>
          <cell r="J76">
            <v>1.8335053530967245</v>
          </cell>
          <cell r="K76">
            <v>1.8596015799628636</v>
          </cell>
          <cell r="L76">
            <v>1.8893887906894378</v>
          </cell>
          <cell r="M76">
            <v>1.9111828690527857</v>
          </cell>
          <cell r="N76">
            <v>1.9136852010490295</v>
          </cell>
          <cell r="O76">
            <v>1.8668835941730286</v>
          </cell>
          <cell r="P76">
            <v>1.9029020888735626</v>
          </cell>
          <cell r="Q76">
            <v>1.9711678259820682</v>
          </cell>
          <cell r="R76">
            <v>1.9743163373414683</v>
          </cell>
          <cell r="S76">
            <v>2.1044307867433405</v>
          </cell>
          <cell r="T76">
            <v>2.1183749776719312</v>
          </cell>
          <cell r="U76">
            <v>2.1249483833590146</v>
          </cell>
          <cell r="V76">
            <v>2.137335090240787</v>
          </cell>
          <cell r="W76">
            <v>2.149636649357622</v>
          </cell>
          <cell r="X76">
            <v>2.1758690213465193</v>
          </cell>
          <cell r="Y76">
            <v>2.1596368749331902</v>
          </cell>
          <cell r="Z76">
            <v>1.984739946832442</v>
          </cell>
          <cell r="AA76">
            <v>1.9892089711113055</v>
          </cell>
          <cell r="AB76">
            <v>1.9892089711113055</v>
          </cell>
          <cell r="AC76">
            <v>1.9892089711113055</v>
          </cell>
          <cell r="AD76">
            <v>1.9892089711113055</v>
          </cell>
          <cell r="AE76">
            <v>1.9892089711113055</v>
          </cell>
          <cell r="AF76">
            <v>1.9892089711113055</v>
          </cell>
          <cell r="AG76">
            <v>1.9892089711113055</v>
          </cell>
          <cell r="AH76">
            <v>1.9892089711113055</v>
          </cell>
          <cell r="AI76">
            <v>1.9892089711113055</v>
          </cell>
          <cell r="AJ76">
            <v>1.9892089711113055</v>
          </cell>
          <cell r="AK76">
            <v>1.9892089711113055</v>
          </cell>
          <cell r="AL76">
            <v>1.9892089711113055</v>
          </cell>
          <cell r="AM76">
            <v>1.9892089711113055</v>
          </cell>
          <cell r="AN76">
            <v>1.9892089711113055</v>
          </cell>
          <cell r="AO76">
            <v>1.9892089711113055</v>
          </cell>
          <cell r="AP76">
            <v>1.9892089711113055</v>
          </cell>
          <cell r="AQ76">
            <v>1.9892089711113055</v>
          </cell>
          <cell r="AR76">
            <v>1.9892089711113055</v>
          </cell>
          <cell r="AS76">
            <v>1.9892089711113055</v>
          </cell>
          <cell r="AT76">
            <v>1.9892089711113055</v>
          </cell>
          <cell r="AU76">
            <v>1.9892089711113055</v>
          </cell>
          <cell r="AV76">
            <v>1.9892089711113055</v>
          </cell>
          <cell r="AW76">
            <v>1.9892089711113055</v>
          </cell>
          <cell r="AX76">
            <v>1.9892089711113055</v>
          </cell>
          <cell r="AY76">
            <v>1.9892089711113055</v>
          </cell>
          <cell r="AZ76">
            <v>1.9892089711113055</v>
          </cell>
          <cell r="BA76">
            <v>1.9892089711113055</v>
          </cell>
          <cell r="BB76">
            <v>1.9892089711113055</v>
          </cell>
          <cell r="BC76">
            <v>1.9892089711113055</v>
          </cell>
          <cell r="BD76">
            <v>1.9892089711113055</v>
          </cell>
          <cell r="BE76">
            <v>1.9892089711113055</v>
          </cell>
          <cell r="BF76">
            <v>1.9892089711113055</v>
          </cell>
          <cell r="BG76">
            <v>1.9892089711113055</v>
          </cell>
          <cell r="BH76">
            <v>1.9892089711113055</v>
          </cell>
          <cell r="BI76">
            <v>1.9892089711113055</v>
          </cell>
          <cell r="BJ76">
            <v>1.9892089711113055</v>
          </cell>
          <cell r="BK76">
            <v>1.9892089711113055</v>
          </cell>
          <cell r="BL76">
            <v>1.9892089711113055</v>
          </cell>
          <cell r="BM76">
            <v>1.9892089711113055</v>
          </cell>
          <cell r="BN76">
            <v>1.9892089711113055</v>
          </cell>
          <cell r="BO76">
            <v>1.9892089711113055</v>
          </cell>
        </row>
        <row r="77">
          <cell r="B77" t="str">
            <v>Solid biomass</v>
          </cell>
          <cell r="G77">
            <v>1.5102739726027397</v>
          </cell>
          <cell r="H77">
            <v>1.5102739726027397</v>
          </cell>
          <cell r="I77">
            <v>1.5102739726027397</v>
          </cell>
          <cell r="J77">
            <v>1.5102739726027397</v>
          </cell>
          <cell r="K77">
            <v>1.5102739726027397</v>
          </cell>
          <cell r="L77">
            <v>1.5102739726027397</v>
          </cell>
          <cell r="M77">
            <v>1.5102739726027397</v>
          </cell>
          <cell r="N77">
            <v>1.5102739726027397</v>
          </cell>
          <cell r="O77">
            <v>1.5102739726027397</v>
          </cell>
          <cell r="P77">
            <v>1.5102739726027397</v>
          </cell>
          <cell r="Q77">
            <v>1.5102739726027397</v>
          </cell>
          <cell r="R77">
            <v>1.5102739726027397</v>
          </cell>
          <cell r="S77">
            <v>1.5102739726027397</v>
          </cell>
          <cell r="T77">
            <v>1.5102739726027397</v>
          </cell>
          <cell r="U77">
            <v>1.5102739726027397</v>
          </cell>
          <cell r="V77">
            <v>1.5102739726027397</v>
          </cell>
          <cell r="W77">
            <v>1.5102739726027397</v>
          </cell>
          <cell r="X77">
            <v>1.5102739726027397</v>
          </cell>
          <cell r="Y77">
            <v>1.5102739726027397</v>
          </cell>
          <cell r="Z77">
            <v>1.5102739726027397</v>
          </cell>
          <cell r="AA77">
            <v>1.5102739726027397</v>
          </cell>
          <cell r="AB77">
            <v>1.5102739726027397</v>
          </cell>
          <cell r="AC77">
            <v>1.5102739726027397</v>
          </cell>
          <cell r="AD77">
            <v>1.5102739726027397</v>
          </cell>
          <cell r="AE77">
            <v>1.5102739726027397</v>
          </cell>
          <cell r="AF77">
            <v>1.5102739726027397</v>
          </cell>
          <cell r="AG77">
            <v>1.5102739726027397</v>
          </cell>
          <cell r="AH77">
            <v>1.5102739726027397</v>
          </cell>
          <cell r="AI77">
            <v>1.5102739726027397</v>
          </cell>
          <cell r="AJ77">
            <v>1.5102739726027397</v>
          </cell>
          <cell r="AK77">
            <v>1.5102739726027397</v>
          </cell>
          <cell r="AL77">
            <v>1.5102739726027397</v>
          </cell>
          <cell r="AM77">
            <v>1.5102739726027397</v>
          </cell>
          <cell r="AN77">
            <v>1.5102739726027397</v>
          </cell>
          <cell r="AO77">
            <v>1.5102739726027397</v>
          </cell>
          <cell r="AP77">
            <v>1.5102739726027397</v>
          </cell>
          <cell r="AQ77">
            <v>1.5102739726027397</v>
          </cell>
          <cell r="AR77">
            <v>1.5102739726027397</v>
          </cell>
          <cell r="AS77">
            <v>1.5102739726027397</v>
          </cell>
          <cell r="AT77">
            <v>1.5102739726027397</v>
          </cell>
          <cell r="AU77">
            <v>1.5102739726027397</v>
          </cell>
          <cell r="AV77">
            <v>1.5102739726027397</v>
          </cell>
          <cell r="AW77">
            <v>1.5102739726027397</v>
          </cell>
          <cell r="AX77">
            <v>1.5102739726027397</v>
          </cell>
          <cell r="AY77">
            <v>1.5102739726027397</v>
          </cell>
          <cell r="AZ77">
            <v>1.5102739726027397</v>
          </cell>
          <cell r="BA77">
            <v>1.5102739726027397</v>
          </cell>
          <cell r="BB77">
            <v>1.5102739726027397</v>
          </cell>
          <cell r="BC77">
            <v>1.5102739726027397</v>
          </cell>
          <cell r="BD77">
            <v>1.5102739726027397</v>
          </cell>
          <cell r="BE77">
            <v>1.5102739726027397</v>
          </cell>
          <cell r="BF77">
            <v>1.5102739726027397</v>
          </cell>
          <cell r="BG77">
            <v>1.5102739726027397</v>
          </cell>
          <cell r="BH77">
            <v>1.5102739726027397</v>
          </cell>
          <cell r="BI77">
            <v>1.5102739726027397</v>
          </cell>
          <cell r="BJ77">
            <v>1.5102739726027397</v>
          </cell>
          <cell r="BK77">
            <v>1.5102739726027397</v>
          </cell>
          <cell r="BL77">
            <v>1.5102739726027397</v>
          </cell>
          <cell r="BM77">
            <v>1.5102739726027397</v>
          </cell>
          <cell r="BN77">
            <v>1.5102739726027397</v>
          </cell>
          <cell r="BO77">
            <v>1.5102739726027397</v>
          </cell>
        </row>
        <row r="78">
          <cell r="B78" t="str">
            <v>Uranium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BC78">
            <v>0</v>
          </cell>
          <cell r="BD78">
            <v>0</v>
          </cell>
          <cell r="BE78">
            <v>0</v>
          </cell>
          <cell r="BF78">
            <v>0</v>
          </cell>
          <cell r="BG78">
            <v>0</v>
          </cell>
          <cell r="BH78">
            <v>0</v>
          </cell>
          <cell r="BI78">
            <v>0</v>
          </cell>
          <cell r="BJ78">
            <v>0</v>
          </cell>
          <cell r="BK78">
            <v>0</v>
          </cell>
          <cell r="BL78">
            <v>0</v>
          </cell>
          <cell r="BM78">
            <v>0</v>
          </cell>
          <cell r="BN78">
            <v>0</v>
          </cell>
          <cell r="BO78">
            <v>0</v>
          </cell>
        </row>
        <row r="79">
          <cell r="B79" t="str">
            <v>Waste fuel</v>
          </cell>
          <cell r="G79">
            <v>7.7600000000000002E-2</v>
          </cell>
          <cell r="H79">
            <v>7.8600000000000003E-2</v>
          </cell>
          <cell r="I79">
            <v>8.0600000000000005E-2</v>
          </cell>
          <cell r="J79">
            <v>8.2600000000000007E-2</v>
          </cell>
          <cell r="K79">
            <v>8.1500000000000003E-2</v>
          </cell>
          <cell r="L79">
            <v>8.1199999999999994E-2</v>
          </cell>
          <cell r="M79">
            <v>8.3799999999999999E-2</v>
          </cell>
          <cell r="N79">
            <v>8.77E-2</v>
          </cell>
          <cell r="O79">
            <v>8.6300000000000002E-2</v>
          </cell>
          <cell r="P79">
            <v>7.9200000000000007E-2</v>
          </cell>
          <cell r="Q79">
            <v>8.0100000000000005E-2</v>
          </cell>
          <cell r="R79">
            <v>8.0100000000000005E-2</v>
          </cell>
          <cell r="S79">
            <v>8.0100000000000005E-2</v>
          </cell>
          <cell r="T79">
            <v>8.0100000000000005E-2</v>
          </cell>
          <cell r="U79">
            <v>8.0100000000000005E-2</v>
          </cell>
          <cell r="V79">
            <v>8.0100000000000005E-2</v>
          </cell>
          <cell r="W79">
            <v>8.0100000000000005E-2</v>
          </cell>
          <cell r="X79">
            <v>8.0100000000000005E-2</v>
          </cell>
          <cell r="Y79">
            <v>8.0100000000000005E-2</v>
          </cell>
          <cell r="Z79">
            <v>8.0100000000000005E-2</v>
          </cell>
          <cell r="AA79">
            <v>8.0100000000000005E-2</v>
          </cell>
          <cell r="AB79">
            <v>8.0100000000000005E-2</v>
          </cell>
          <cell r="AC79">
            <v>8.0100000000000005E-2</v>
          </cell>
          <cell r="AD79">
            <v>8.0100000000000005E-2</v>
          </cell>
          <cell r="AE79">
            <v>8.0100000000000005E-2</v>
          </cell>
          <cell r="AF79">
            <v>8.0100000000000005E-2</v>
          </cell>
          <cell r="AG79">
            <v>8.0100000000000005E-2</v>
          </cell>
          <cell r="AH79">
            <v>8.0100000000000005E-2</v>
          </cell>
          <cell r="AI79">
            <v>8.0100000000000005E-2</v>
          </cell>
          <cell r="AJ79">
            <v>8.0100000000000005E-2</v>
          </cell>
          <cell r="AK79">
            <v>8.0100000000000005E-2</v>
          </cell>
          <cell r="AL79">
            <v>8.0100000000000005E-2</v>
          </cell>
          <cell r="AM79">
            <v>8.0100000000000005E-2</v>
          </cell>
          <cell r="AN79">
            <v>8.0100000000000005E-2</v>
          </cell>
          <cell r="AO79">
            <v>8.0100000000000005E-2</v>
          </cell>
          <cell r="AP79">
            <v>8.0100000000000005E-2</v>
          </cell>
          <cell r="AQ79">
            <v>8.0100000000000005E-2</v>
          </cell>
          <cell r="AR79">
            <v>8.0100000000000005E-2</v>
          </cell>
          <cell r="AS79">
            <v>8.0100000000000005E-2</v>
          </cell>
          <cell r="AT79">
            <v>8.0100000000000005E-2</v>
          </cell>
          <cell r="AU79">
            <v>8.0100000000000005E-2</v>
          </cell>
          <cell r="AV79">
            <v>8.0100000000000005E-2</v>
          </cell>
          <cell r="AW79">
            <v>8.0100000000000005E-2</v>
          </cell>
          <cell r="AX79">
            <v>8.0100000000000005E-2</v>
          </cell>
          <cell r="AY79">
            <v>8.0100000000000005E-2</v>
          </cell>
          <cell r="AZ79">
            <v>8.0100000000000005E-2</v>
          </cell>
          <cell r="BA79">
            <v>8.0100000000000005E-2</v>
          </cell>
          <cell r="BB79">
            <v>8.0100000000000005E-2</v>
          </cell>
          <cell r="BC79">
            <v>8.0100000000000005E-2</v>
          </cell>
          <cell r="BD79">
            <v>8.0100000000000005E-2</v>
          </cell>
          <cell r="BE79">
            <v>8.0100000000000005E-2</v>
          </cell>
          <cell r="BF79">
            <v>8.0100000000000005E-2</v>
          </cell>
          <cell r="BG79">
            <v>8.0100000000000005E-2</v>
          </cell>
          <cell r="BH79">
            <v>8.0100000000000005E-2</v>
          </cell>
          <cell r="BI79">
            <v>8.0100000000000005E-2</v>
          </cell>
          <cell r="BJ79">
            <v>8.0100000000000005E-2</v>
          </cell>
          <cell r="BK79">
            <v>8.0100000000000005E-2</v>
          </cell>
          <cell r="BL79">
            <v>8.0100000000000005E-2</v>
          </cell>
          <cell r="BM79">
            <v>8.0100000000000005E-2</v>
          </cell>
          <cell r="BN79">
            <v>8.0100000000000005E-2</v>
          </cell>
          <cell r="BO79">
            <v>8.0100000000000005E-2</v>
          </cell>
        </row>
        <row r="132">
          <cell r="B132" t="str">
            <v>Biodiesel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  <cell r="AJ132">
            <v>0</v>
          </cell>
          <cell r="AK132">
            <v>0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  <cell r="AU132">
            <v>0</v>
          </cell>
          <cell r="AV132">
            <v>0</v>
          </cell>
          <cell r="AW132">
            <v>0</v>
          </cell>
          <cell r="AX132">
            <v>0</v>
          </cell>
          <cell r="AY132">
            <v>0</v>
          </cell>
          <cell r="AZ132">
            <v>0</v>
          </cell>
          <cell r="BA132">
            <v>0</v>
          </cell>
          <cell r="BB132">
            <v>0</v>
          </cell>
          <cell r="BC132">
            <v>0</v>
          </cell>
          <cell r="BD132">
            <v>0</v>
          </cell>
          <cell r="BE132">
            <v>0</v>
          </cell>
          <cell r="BF132">
            <v>0</v>
          </cell>
          <cell r="BG132">
            <v>0</v>
          </cell>
          <cell r="BH132">
            <v>0</v>
          </cell>
          <cell r="BI132">
            <v>0</v>
          </cell>
          <cell r="BJ132">
            <v>0</v>
          </cell>
          <cell r="BK132">
            <v>0</v>
          </cell>
          <cell r="BL132">
            <v>0</v>
          </cell>
          <cell r="BM132">
            <v>0</v>
          </cell>
          <cell r="BN132">
            <v>0</v>
          </cell>
          <cell r="BO132">
            <v>0</v>
          </cell>
        </row>
        <row r="133">
          <cell r="B133" t="str">
            <v>Biogas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0</v>
          </cell>
          <cell r="AY133">
            <v>0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  <cell r="BE133">
            <v>0</v>
          </cell>
          <cell r="BF133">
            <v>0</v>
          </cell>
          <cell r="BG133">
            <v>0</v>
          </cell>
          <cell r="BH133">
            <v>0</v>
          </cell>
          <cell r="BI133">
            <v>0</v>
          </cell>
          <cell r="BJ133">
            <v>0</v>
          </cell>
          <cell r="BK133">
            <v>0</v>
          </cell>
          <cell r="BL133">
            <v>0</v>
          </cell>
          <cell r="BM133">
            <v>0</v>
          </cell>
          <cell r="BN133">
            <v>0</v>
          </cell>
          <cell r="BO133">
            <v>0</v>
          </cell>
        </row>
        <row r="134">
          <cell r="B134" t="str">
            <v>Black liquor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0</v>
          </cell>
          <cell r="AX134">
            <v>0</v>
          </cell>
          <cell r="AY134">
            <v>0</v>
          </cell>
          <cell r="AZ134">
            <v>0</v>
          </cell>
          <cell r="BA134">
            <v>0</v>
          </cell>
          <cell r="BB134">
            <v>0</v>
          </cell>
          <cell r="BC134">
            <v>0</v>
          </cell>
          <cell r="BD134">
            <v>0</v>
          </cell>
          <cell r="BE134">
            <v>0</v>
          </cell>
          <cell r="BF134">
            <v>0</v>
          </cell>
          <cell r="BG134">
            <v>0</v>
          </cell>
          <cell r="BH134">
            <v>0</v>
          </cell>
          <cell r="BI134">
            <v>0</v>
          </cell>
          <cell r="BJ134">
            <v>0</v>
          </cell>
          <cell r="BK134">
            <v>0</v>
          </cell>
          <cell r="BL134">
            <v>0</v>
          </cell>
          <cell r="BM134">
            <v>0</v>
          </cell>
          <cell r="BN134">
            <v>0</v>
          </cell>
          <cell r="BO134">
            <v>0</v>
          </cell>
        </row>
        <row r="135">
          <cell r="B135" t="str">
            <v>Coal</v>
          </cell>
          <cell r="G135">
            <v>8.0091975639588225E-2</v>
          </cell>
          <cell r="H135">
            <v>7.9958948753608206E-2</v>
          </cell>
          <cell r="I135">
            <v>8.0127601178990121E-2</v>
          </cell>
          <cell r="J135">
            <v>8.1989862470665781E-2</v>
          </cell>
          <cell r="K135">
            <v>8.2650362961002519E-2</v>
          </cell>
          <cell r="L135">
            <v>8.3828873070901838E-2</v>
          </cell>
          <cell r="M135">
            <v>8.4163103508091114E-2</v>
          </cell>
          <cell r="N135">
            <v>8.5582184843443168E-2</v>
          </cell>
          <cell r="O135">
            <v>8.4548441907527708E-2</v>
          </cell>
          <cell r="P135">
            <v>8.1551085528052555E-2</v>
          </cell>
          <cell r="Q135">
            <v>8.1571494077919054E-2</v>
          </cell>
          <cell r="R135">
            <v>8.3496895533151316E-2</v>
          </cell>
          <cell r="S135">
            <v>8.1958094040299578E-2</v>
          </cell>
          <cell r="T135">
            <v>8.0877278405640629E-2</v>
          </cell>
          <cell r="U135">
            <v>8.0993584032994795E-2</v>
          </cell>
          <cell r="V135">
            <v>8.0767021208888012E-2</v>
          </cell>
          <cell r="W135">
            <v>8.0439232589319384E-2</v>
          </cell>
          <cell r="X135">
            <v>8.1635621350235096E-2</v>
          </cell>
          <cell r="Y135">
            <v>8.103314159428246E-2</v>
          </cell>
          <cell r="Z135">
            <v>8.0423465684477016E-2</v>
          </cell>
          <cell r="AA135">
            <v>8.1419557348284474E-2</v>
          </cell>
          <cell r="AB135">
            <v>8.1419557348284474E-2</v>
          </cell>
          <cell r="AC135">
            <v>8.1419557348284474E-2</v>
          </cell>
          <cell r="AD135">
            <v>8.1419557348284474E-2</v>
          </cell>
          <cell r="AE135">
            <v>8.1419557348284474E-2</v>
          </cell>
          <cell r="AF135">
            <v>8.1419557348284474E-2</v>
          </cell>
          <cell r="AG135">
            <v>8.1419557348284474E-2</v>
          </cell>
          <cell r="AH135">
            <v>8.1419557348284474E-2</v>
          </cell>
          <cell r="AI135">
            <v>8.1419557348284474E-2</v>
          </cell>
          <cell r="AJ135">
            <v>8.1419557348284474E-2</v>
          </cell>
          <cell r="AK135">
            <v>8.1419557348284474E-2</v>
          </cell>
          <cell r="AL135">
            <v>8.1419557348284474E-2</v>
          </cell>
          <cell r="AM135">
            <v>8.1419557348284474E-2</v>
          </cell>
          <cell r="AN135">
            <v>8.1419557348284474E-2</v>
          </cell>
          <cell r="AO135">
            <v>8.1419557348284474E-2</v>
          </cell>
          <cell r="AP135">
            <v>8.1419557348284474E-2</v>
          </cell>
          <cell r="AQ135">
            <v>8.1419557348284474E-2</v>
          </cell>
          <cell r="AR135">
            <v>8.1419557348284474E-2</v>
          </cell>
          <cell r="AS135">
            <v>8.1419557348284474E-2</v>
          </cell>
          <cell r="AT135">
            <v>8.1419557348284474E-2</v>
          </cell>
          <cell r="AU135">
            <v>8.1419557348284474E-2</v>
          </cell>
          <cell r="AV135">
            <v>8.1419557348284474E-2</v>
          </cell>
          <cell r="AW135">
            <v>8.1419557348284474E-2</v>
          </cell>
          <cell r="AX135">
            <v>8.1419557348284474E-2</v>
          </cell>
          <cell r="AY135">
            <v>8.1419557348284474E-2</v>
          </cell>
          <cell r="AZ135">
            <v>8.1419557348284474E-2</v>
          </cell>
          <cell r="BA135">
            <v>8.1419557348284474E-2</v>
          </cell>
          <cell r="BB135">
            <v>8.1419557348284474E-2</v>
          </cell>
          <cell r="BC135">
            <v>8.1419557348284474E-2</v>
          </cell>
          <cell r="BD135">
            <v>8.1419557348284474E-2</v>
          </cell>
          <cell r="BE135">
            <v>8.1419557348284474E-2</v>
          </cell>
          <cell r="BF135">
            <v>8.1419557348284474E-2</v>
          </cell>
          <cell r="BG135">
            <v>8.1419557348284474E-2</v>
          </cell>
          <cell r="BH135">
            <v>8.1419557348284474E-2</v>
          </cell>
          <cell r="BI135">
            <v>8.1419557348284474E-2</v>
          </cell>
          <cell r="BJ135">
            <v>8.1419557348284474E-2</v>
          </cell>
          <cell r="BK135">
            <v>8.1419557348284474E-2</v>
          </cell>
          <cell r="BL135">
            <v>8.1419557348284474E-2</v>
          </cell>
          <cell r="BM135">
            <v>8.1419557348284474E-2</v>
          </cell>
          <cell r="BN135">
            <v>8.1419557348284474E-2</v>
          </cell>
          <cell r="BO135">
            <v>8.1419557348284474E-2</v>
          </cell>
        </row>
        <row r="136">
          <cell r="B136" t="str">
            <v>Coke</v>
          </cell>
          <cell r="G136">
            <v>0.11005896543936709</v>
          </cell>
          <cell r="H136">
            <v>0.11005896652585481</v>
          </cell>
          <cell r="I136">
            <v>0.11005896629550976</v>
          </cell>
          <cell r="J136">
            <v>0.11005896655734179</v>
          </cell>
          <cell r="K136">
            <v>0.1100589667316114</v>
          </cell>
          <cell r="L136">
            <v>0.11005896611747185</v>
          </cell>
          <cell r="M136">
            <v>0.1100589786035286</v>
          </cell>
          <cell r="N136">
            <v>0.11005898048751428</v>
          </cell>
          <cell r="O136">
            <v>0.11005897316757957</v>
          </cell>
          <cell r="P136">
            <v>0.11005895843000511</v>
          </cell>
          <cell r="Q136">
            <v>0.11005898524737921</v>
          </cell>
          <cell r="R136">
            <v>0.11005897874386295</v>
          </cell>
          <cell r="S136">
            <v>0.11005896989140068</v>
          </cell>
          <cell r="T136">
            <v>0.1100589468098807</v>
          </cell>
          <cell r="U136">
            <v>0.11005895716733316</v>
          </cell>
          <cell r="V136">
            <v>0.11005896964909377</v>
          </cell>
          <cell r="W136">
            <v>0.110058948582673</v>
          </cell>
          <cell r="X136">
            <v>0.11005897203929586</v>
          </cell>
          <cell r="Y136">
            <v>0.11005895471315355</v>
          </cell>
          <cell r="Z136">
            <v>0.11005897961950141</v>
          </cell>
          <cell r="AA136">
            <v>0.11005896413461123</v>
          </cell>
          <cell r="AB136">
            <v>0.11005896413461123</v>
          </cell>
          <cell r="AC136">
            <v>0.11005896413461123</v>
          </cell>
          <cell r="AD136">
            <v>0.11005896413461123</v>
          </cell>
          <cell r="AE136">
            <v>0.11005896413461123</v>
          </cell>
          <cell r="AF136">
            <v>0.11005896413461123</v>
          </cell>
          <cell r="AG136">
            <v>0.11005896413461123</v>
          </cell>
          <cell r="AH136">
            <v>0.11005896413461123</v>
          </cell>
          <cell r="AI136">
            <v>0.11005896413461123</v>
          </cell>
          <cell r="AJ136">
            <v>0.11005896413461123</v>
          </cell>
          <cell r="AK136">
            <v>0.11005896413461123</v>
          </cell>
          <cell r="AL136">
            <v>0.11005896413461123</v>
          </cell>
          <cell r="AM136">
            <v>0.11005896413461123</v>
          </cell>
          <cell r="AN136">
            <v>0.11005896413461123</v>
          </cell>
          <cell r="AO136">
            <v>0.11005896413461123</v>
          </cell>
          <cell r="AP136">
            <v>0.11005896413461123</v>
          </cell>
          <cell r="AQ136">
            <v>0.11005896413461123</v>
          </cell>
          <cell r="AR136">
            <v>0.11005896413461123</v>
          </cell>
          <cell r="AS136">
            <v>0.11005896413461123</v>
          </cell>
          <cell r="AT136">
            <v>0.11005896413461123</v>
          </cell>
          <cell r="AU136">
            <v>0.11005896413461123</v>
          </cell>
          <cell r="AV136">
            <v>0.11005896413461123</v>
          </cell>
          <cell r="AW136">
            <v>0.11005896413461123</v>
          </cell>
          <cell r="AX136">
            <v>0.11005896413461123</v>
          </cell>
          <cell r="AY136">
            <v>0.11005896413461123</v>
          </cell>
          <cell r="AZ136">
            <v>0.11005896413461123</v>
          </cell>
          <cell r="BA136">
            <v>0.11005896413461123</v>
          </cell>
          <cell r="BB136">
            <v>0.11005896413461123</v>
          </cell>
          <cell r="BC136">
            <v>0.11005896413461123</v>
          </cell>
          <cell r="BD136">
            <v>0.11005896413461123</v>
          </cell>
          <cell r="BE136">
            <v>0.11005896413461123</v>
          </cell>
          <cell r="BF136">
            <v>0.11005896413461123</v>
          </cell>
          <cell r="BG136">
            <v>0.11005896413461123</v>
          </cell>
          <cell r="BH136">
            <v>0.11005896413461123</v>
          </cell>
          <cell r="BI136">
            <v>0.11005896413461123</v>
          </cell>
          <cell r="BJ136">
            <v>0.11005896413461123</v>
          </cell>
          <cell r="BK136">
            <v>0.11005896413461123</v>
          </cell>
          <cell r="BL136">
            <v>0.11005896413461123</v>
          </cell>
          <cell r="BM136">
            <v>0.11005896413461123</v>
          </cell>
          <cell r="BN136">
            <v>0.11005896413461123</v>
          </cell>
          <cell r="BO136">
            <v>0.11005896413461123</v>
          </cell>
        </row>
        <row r="137">
          <cell r="B137" t="str">
            <v>Diesel</v>
          </cell>
          <cell r="G137">
            <v>6.9545118551339213E-2</v>
          </cell>
          <cell r="H137">
            <v>6.9544866769800692E-2</v>
          </cell>
          <cell r="I137">
            <v>7.0235068234452872E-2</v>
          </cell>
          <cell r="J137">
            <v>7.0234951432833093E-2</v>
          </cell>
          <cell r="K137">
            <v>7.0234989879409349E-2</v>
          </cell>
          <cell r="L137">
            <v>7.0235111930450358E-2</v>
          </cell>
          <cell r="M137">
            <v>7.023498275069226E-2</v>
          </cell>
          <cell r="N137">
            <v>7.0234945598971504E-2</v>
          </cell>
          <cell r="O137">
            <v>7.0235109488034964E-2</v>
          </cell>
          <cell r="P137">
            <v>7.0235066902473872E-2</v>
          </cell>
          <cell r="Q137">
            <v>7.0235079897689179E-2</v>
          </cell>
          <cell r="R137">
            <v>7.0234932432201913E-2</v>
          </cell>
          <cell r="S137">
            <v>7.0234935930416256E-2</v>
          </cell>
          <cell r="T137">
            <v>7.023506966117464E-2</v>
          </cell>
          <cell r="U137">
            <v>7.0234940539771321E-2</v>
          </cell>
          <cell r="V137">
            <v>7.023507865734982E-2</v>
          </cell>
          <cell r="W137">
            <v>7.023504468990828E-2</v>
          </cell>
          <cell r="X137">
            <v>7.0234916130364963E-2</v>
          </cell>
          <cell r="Y137">
            <v>7.0235047094140871E-2</v>
          </cell>
          <cell r="Z137">
            <v>7.023505170427996E-2</v>
          </cell>
          <cell r="AA137">
            <v>7.023511852444228E-2</v>
          </cell>
          <cell r="AB137">
            <v>7.023511852444228E-2</v>
          </cell>
          <cell r="AC137">
            <v>7.023511852444228E-2</v>
          </cell>
          <cell r="AD137">
            <v>7.023511852444228E-2</v>
          </cell>
          <cell r="AE137">
            <v>7.023511852444228E-2</v>
          </cell>
          <cell r="AF137">
            <v>7.023511852444228E-2</v>
          </cell>
          <cell r="AG137">
            <v>7.023511852444228E-2</v>
          </cell>
          <cell r="AH137">
            <v>7.023511852444228E-2</v>
          </cell>
          <cell r="AI137">
            <v>7.023511852444228E-2</v>
          </cell>
          <cell r="AJ137">
            <v>7.023511852444228E-2</v>
          </cell>
          <cell r="AK137">
            <v>7.023511852444228E-2</v>
          </cell>
          <cell r="AL137">
            <v>7.023511852444228E-2</v>
          </cell>
          <cell r="AM137">
            <v>7.023511852444228E-2</v>
          </cell>
          <cell r="AN137">
            <v>7.023511852444228E-2</v>
          </cell>
          <cell r="AO137">
            <v>7.023511852444228E-2</v>
          </cell>
          <cell r="AP137">
            <v>7.023511852444228E-2</v>
          </cell>
          <cell r="AQ137">
            <v>7.023511852444228E-2</v>
          </cell>
          <cell r="AR137">
            <v>7.023511852444228E-2</v>
          </cell>
          <cell r="AS137">
            <v>7.023511852444228E-2</v>
          </cell>
          <cell r="AT137">
            <v>7.023511852444228E-2</v>
          </cell>
          <cell r="AU137">
            <v>7.023511852444228E-2</v>
          </cell>
          <cell r="AV137">
            <v>7.023511852444228E-2</v>
          </cell>
          <cell r="AW137">
            <v>7.023511852444228E-2</v>
          </cell>
          <cell r="AX137">
            <v>7.023511852444228E-2</v>
          </cell>
          <cell r="AY137">
            <v>7.023511852444228E-2</v>
          </cell>
          <cell r="AZ137">
            <v>7.023511852444228E-2</v>
          </cell>
          <cell r="BA137">
            <v>7.023511852444228E-2</v>
          </cell>
          <cell r="BB137">
            <v>7.023511852444228E-2</v>
          </cell>
          <cell r="BC137">
            <v>7.023511852444228E-2</v>
          </cell>
          <cell r="BD137">
            <v>7.023511852444228E-2</v>
          </cell>
          <cell r="BE137">
            <v>7.023511852444228E-2</v>
          </cell>
          <cell r="BF137">
            <v>7.023511852444228E-2</v>
          </cell>
          <cell r="BG137">
            <v>7.023511852444228E-2</v>
          </cell>
          <cell r="BH137">
            <v>7.023511852444228E-2</v>
          </cell>
          <cell r="BI137">
            <v>7.023511852444228E-2</v>
          </cell>
          <cell r="BJ137">
            <v>7.023511852444228E-2</v>
          </cell>
          <cell r="BK137">
            <v>7.023511852444228E-2</v>
          </cell>
          <cell r="BL137">
            <v>7.023511852444228E-2</v>
          </cell>
          <cell r="BM137">
            <v>7.023511852444228E-2</v>
          </cell>
          <cell r="BN137">
            <v>7.023511852444228E-2</v>
          </cell>
          <cell r="BO137">
            <v>7.023511852444228E-2</v>
          </cell>
        </row>
        <row r="138">
          <cell r="B138" t="str">
            <v>Electricity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  <cell r="BE138">
            <v>0</v>
          </cell>
          <cell r="BF138">
            <v>0</v>
          </cell>
          <cell r="BG138">
            <v>0</v>
          </cell>
          <cell r="BH138">
            <v>0</v>
          </cell>
          <cell r="BI138">
            <v>0</v>
          </cell>
          <cell r="BJ138">
            <v>0</v>
          </cell>
          <cell r="BK138">
            <v>0</v>
          </cell>
          <cell r="BL138">
            <v>0</v>
          </cell>
          <cell r="BM138">
            <v>0</v>
          </cell>
          <cell r="BN138">
            <v>0</v>
          </cell>
          <cell r="BO138">
            <v>0</v>
          </cell>
        </row>
        <row r="139">
          <cell r="B139" t="str">
            <v>Ethanol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  <cell r="AJ139">
            <v>0</v>
          </cell>
          <cell r="AK139">
            <v>0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  <cell r="AU139">
            <v>0</v>
          </cell>
          <cell r="AV139">
            <v>0</v>
          </cell>
          <cell r="AW139">
            <v>0</v>
          </cell>
          <cell r="AX139">
            <v>0</v>
          </cell>
          <cell r="AY139">
            <v>0</v>
          </cell>
          <cell r="AZ139">
            <v>0</v>
          </cell>
          <cell r="BA139">
            <v>0</v>
          </cell>
          <cell r="BB139">
            <v>0</v>
          </cell>
          <cell r="BC139">
            <v>0</v>
          </cell>
          <cell r="BD139">
            <v>0</v>
          </cell>
          <cell r="BE139">
            <v>0</v>
          </cell>
          <cell r="BF139">
            <v>0</v>
          </cell>
          <cell r="BG139">
            <v>0</v>
          </cell>
          <cell r="BH139">
            <v>0</v>
          </cell>
          <cell r="BI139">
            <v>0</v>
          </cell>
          <cell r="BJ139">
            <v>0</v>
          </cell>
          <cell r="BK139">
            <v>0</v>
          </cell>
          <cell r="BL139">
            <v>0</v>
          </cell>
          <cell r="BM139">
            <v>0</v>
          </cell>
          <cell r="BN139">
            <v>0</v>
          </cell>
          <cell r="BO139">
            <v>0</v>
          </cell>
        </row>
        <row r="140">
          <cell r="B140" t="str">
            <v>Fuel oil</v>
          </cell>
          <cell r="G140">
            <v>7.4258820594561403E-2</v>
          </cell>
          <cell r="H140">
            <v>7.4258821131410427E-2</v>
          </cell>
          <cell r="I140">
            <v>7.4258820290991456E-2</v>
          </cell>
          <cell r="J140">
            <v>7.4258823261709017E-2</v>
          </cell>
          <cell r="K140">
            <v>7.4258820810821136E-2</v>
          </cell>
          <cell r="L140">
            <v>7.4258832926937329E-2</v>
          </cell>
          <cell r="M140">
            <v>7.4258835413609309E-2</v>
          </cell>
          <cell r="N140">
            <v>7.4258809666008924E-2</v>
          </cell>
          <cell r="O140">
            <v>7.4258816710636805E-2</v>
          </cell>
          <cell r="P140">
            <v>7.4258813171681759E-2</v>
          </cell>
          <cell r="Q140">
            <v>7.4258830425409775E-2</v>
          </cell>
          <cell r="R140">
            <v>7.4258809406683585E-2</v>
          </cell>
          <cell r="S140">
            <v>7.4258776849610381E-2</v>
          </cell>
          <cell r="T140">
            <v>7.4258813837745491E-2</v>
          </cell>
          <cell r="U140">
            <v>7.4258813837745491E-2</v>
          </cell>
          <cell r="V140">
            <v>7.4258813837745491E-2</v>
          </cell>
          <cell r="W140">
            <v>7.42587860301228E-2</v>
          </cell>
          <cell r="X140">
            <v>7.4258770418941841E-2</v>
          </cell>
          <cell r="Y140">
            <v>7.4258770418941841E-2</v>
          </cell>
          <cell r="Z140">
            <v>7.4258809893426092E-2</v>
          </cell>
          <cell r="AA140">
            <v>7.4259150432924262E-2</v>
          </cell>
          <cell r="AB140">
            <v>7.4259150432924262E-2</v>
          </cell>
          <cell r="AC140">
            <v>7.4259150432924262E-2</v>
          </cell>
          <cell r="AD140">
            <v>7.4259150432924262E-2</v>
          </cell>
          <cell r="AE140">
            <v>7.4259150432924262E-2</v>
          </cell>
          <cell r="AF140">
            <v>7.4259150432924262E-2</v>
          </cell>
          <cell r="AG140">
            <v>7.4259150432924262E-2</v>
          </cell>
          <cell r="AH140">
            <v>7.4259150432924262E-2</v>
          </cell>
          <cell r="AI140">
            <v>7.4259150432924262E-2</v>
          </cell>
          <cell r="AJ140">
            <v>7.4259150432924262E-2</v>
          </cell>
          <cell r="AK140">
            <v>7.4259150432924262E-2</v>
          </cell>
          <cell r="AL140">
            <v>7.4259150432924262E-2</v>
          </cell>
          <cell r="AM140">
            <v>7.4259150432924262E-2</v>
          </cell>
          <cell r="AN140">
            <v>7.4259150432924262E-2</v>
          </cell>
          <cell r="AO140">
            <v>7.4259150432924262E-2</v>
          </cell>
          <cell r="AP140">
            <v>7.4259150432924262E-2</v>
          </cell>
          <cell r="AQ140">
            <v>7.4259150432924262E-2</v>
          </cell>
          <cell r="AR140">
            <v>7.4259150432924262E-2</v>
          </cell>
          <cell r="AS140">
            <v>7.4259150432924262E-2</v>
          </cell>
          <cell r="AT140">
            <v>7.4259150432924262E-2</v>
          </cell>
          <cell r="AU140">
            <v>7.4259150432924262E-2</v>
          </cell>
          <cell r="AV140">
            <v>7.4259150432924262E-2</v>
          </cell>
          <cell r="AW140">
            <v>7.4259150432924262E-2</v>
          </cell>
          <cell r="AX140">
            <v>7.4259150432924262E-2</v>
          </cell>
          <cell r="AY140">
            <v>7.4259150432924262E-2</v>
          </cell>
          <cell r="AZ140">
            <v>7.4259150432924262E-2</v>
          </cell>
          <cell r="BA140">
            <v>7.4259150432924262E-2</v>
          </cell>
          <cell r="BB140">
            <v>7.4259150432924262E-2</v>
          </cell>
          <cell r="BC140">
            <v>7.4259150432924262E-2</v>
          </cell>
          <cell r="BD140">
            <v>7.4259150432924262E-2</v>
          </cell>
          <cell r="BE140">
            <v>7.4259150432924262E-2</v>
          </cell>
          <cell r="BF140">
            <v>7.4259150432924262E-2</v>
          </cell>
          <cell r="BG140">
            <v>7.4259150432924262E-2</v>
          </cell>
          <cell r="BH140">
            <v>7.4259150432924262E-2</v>
          </cell>
          <cell r="BI140">
            <v>7.4259150432924262E-2</v>
          </cell>
          <cell r="BJ140">
            <v>7.4259150432924262E-2</v>
          </cell>
          <cell r="BK140">
            <v>7.4259150432924262E-2</v>
          </cell>
          <cell r="BL140">
            <v>7.4259150432924262E-2</v>
          </cell>
          <cell r="BM140">
            <v>7.4259150432924262E-2</v>
          </cell>
          <cell r="BN140">
            <v>7.4259150432924262E-2</v>
          </cell>
          <cell r="BO140">
            <v>7.4259150432924262E-2</v>
          </cell>
        </row>
        <row r="141">
          <cell r="B141" t="str">
            <v>Gasoline</v>
          </cell>
          <cell r="G141">
            <v>6.6820544015017649E-2</v>
          </cell>
          <cell r="H141">
            <v>6.6820633927679091E-2</v>
          </cell>
          <cell r="I141">
            <v>6.6171524409407753E-2</v>
          </cell>
          <cell r="J141">
            <v>6.6171381411793712E-2</v>
          </cell>
          <cell r="K141">
            <v>6.6171428571428562E-2</v>
          </cell>
          <cell r="L141">
            <v>6.617145172090251E-2</v>
          </cell>
          <cell r="M141">
            <v>6.6171428571428562E-2</v>
          </cell>
          <cell r="N141">
            <v>6.6171428571428562E-2</v>
          </cell>
          <cell r="O141">
            <v>6.6171405906735953E-2</v>
          </cell>
          <cell r="P141">
            <v>6.6171473324762045E-2</v>
          </cell>
          <cell r="Q141">
            <v>6.6171385002939842E-2</v>
          </cell>
          <cell r="R141">
            <v>6.6171428571428562E-2</v>
          </cell>
          <cell r="S141">
            <v>6.6171450538287629E-2</v>
          </cell>
          <cell r="T141">
            <v>6.617145004751443E-2</v>
          </cell>
          <cell r="U141">
            <v>6.6171470251618958E-2</v>
          </cell>
          <cell r="V141">
            <v>6.6171491685726766E-2</v>
          </cell>
          <cell r="W141">
            <v>6.6171408165782652E-2</v>
          </cell>
          <cell r="X141">
            <v>6.6171489270102815E-2</v>
          </cell>
          <cell r="Y141">
            <v>6.6171428571428562E-2</v>
          </cell>
          <cell r="Z141">
            <v>6.6171488045768861E-2</v>
          </cell>
          <cell r="AA141">
            <v>6.6171498750999591E-2</v>
          </cell>
          <cell r="AB141">
            <v>6.6171498750999591E-2</v>
          </cell>
          <cell r="AC141">
            <v>6.6171498750999591E-2</v>
          </cell>
          <cell r="AD141">
            <v>6.6171498750999591E-2</v>
          </cell>
          <cell r="AE141">
            <v>6.6171498750999591E-2</v>
          </cell>
          <cell r="AF141">
            <v>6.6171498750999591E-2</v>
          </cell>
          <cell r="AG141">
            <v>6.6171498750999591E-2</v>
          </cell>
          <cell r="AH141">
            <v>6.6171498750999591E-2</v>
          </cell>
          <cell r="AI141">
            <v>6.6171498750999591E-2</v>
          </cell>
          <cell r="AJ141">
            <v>6.6171498750999591E-2</v>
          </cell>
          <cell r="AK141">
            <v>6.6171498750999591E-2</v>
          </cell>
          <cell r="AL141">
            <v>6.6171498750999591E-2</v>
          </cell>
          <cell r="AM141">
            <v>6.6171498750999591E-2</v>
          </cell>
          <cell r="AN141">
            <v>6.6171498750999591E-2</v>
          </cell>
          <cell r="AO141">
            <v>6.6171498750999591E-2</v>
          </cell>
          <cell r="AP141">
            <v>6.6171498750999591E-2</v>
          </cell>
          <cell r="AQ141">
            <v>6.6171498750999591E-2</v>
          </cell>
          <cell r="AR141">
            <v>6.6171498750999591E-2</v>
          </cell>
          <cell r="AS141">
            <v>6.6171498750999591E-2</v>
          </cell>
          <cell r="AT141">
            <v>6.6171498750999591E-2</v>
          </cell>
          <cell r="AU141">
            <v>6.6171498750999591E-2</v>
          </cell>
          <cell r="AV141">
            <v>6.6171498750999591E-2</v>
          </cell>
          <cell r="AW141">
            <v>6.6171498750999591E-2</v>
          </cell>
          <cell r="AX141">
            <v>6.6171498750999591E-2</v>
          </cell>
          <cell r="AY141">
            <v>6.6171498750999591E-2</v>
          </cell>
          <cell r="AZ141">
            <v>6.6171498750999591E-2</v>
          </cell>
          <cell r="BA141">
            <v>6.6171498750999591E-2</v>
          </cell>
          <cell r="BB141">
            <v>6.6171498750999591E-2</v>
          </cell>
          <cell r="BC141">
            <v>6.6171498750999591E-2</v>
          </cell>
          <cell r="BD141">
            <v>6.6171498750999591E-2</v>
          </cell>
          <cell r="BE141">
            <v>6.6171498750999591E-2</v>
          </cell>
          <cell r="BF141">
            <v>6.6171498750999591E-2</v>
          </cell>
          <cell r="BG141">
            <v>6.6171498750999591E-2</v>
          </cell>
          <cell r="BH141">
            <v>6.6171498750999591E-2</v>
          </cell>
          <cell r="BI141">
            <v>6.6171498750999591E-2</v>
          </cell>
          <cell r="BJ141">
            <v>6.6171498750999591E-2</v>
          </cell>
          <cell r="BK141">
            <v>6.6171498750999591E-2</v>
          </cell>
          <cell r="BL141">
            <v>6.6171498750999591E-2</v>
          </cell>
          <cell r="BM141">
            <v>6.6171498750999591E-2</v>
          </cell>
          <cell r="BN141">
            <v>6.6171498750999591E-2</v>
          </cell>
          <cell r="BO141">
            <v>6.6171498750999591E-2</v>
          </cell>
        </row>
        <row r="142">
          <cell r="B142" t="str">
            <v>Hydrogen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AV142">
            <v>0</v>
          </cell>
          <cell r="AW142">
            <v>0</v>
          </cell>
          <cell r="AX142">
            <v>0</v>
          </cell>
          <cell r="AY142">
            <v>0</v>
          </cell>
          <cell r="AZ142">
            <v>0</v>
          </cell>
          <cell r="BA142">
            <v>0</v>
          </cell>
          <cell r="BB142">
            <v>0</v>
          </cell>
          <cell r="BC142">
            <v>0</v>
          </cell>
          <cell r="BD142">
            <v>0</v>
          </cell>
          <cell r="BE142">
            <v>0</v>
          </cell>
          <cell r="BF142">
            <v>0</v>
          </cell>
          <cell r="BG142">
            <v>0</v>
          </cell>
          <cell r="BH142">
            <v>0</v>
          </cell>
          <cell r="BI142">
            <v>0</v>
          </cell>
          <cell r="BJ142">
            <v>0</v>
          </cell>
          <cell r="BK142">
            <v>0</v>
          </cell>
          <cell r="BL142">
            <v>0</v>
          </cell>
          <cell r="BM142">
            <v>0</v>
          </cell>
          <cell r="BN142">
            <v>0</v>
          </cell>
          <cell r="BO142">
            <v>0</v>
          </cell>
        </row>
        <row r="143">
          <cell r="B143" t="str">
            <v>Jet fuel</v>
          </cell>
          <cell r="G143">
            <v>7.0387861677160102E-2</v>
          </cell>
          <cell r="H143">
            <v>7.038766164708854E-2</v>
          </cell>
          <cell r="I143">
            <v>6.8449106435268872E-2</v>
          </cell>
          <cell r="J143">
            <v>6.8449074802353335E-2</v>
          </cell>
          <cell r="K143">
            <v>6.8449231891022991E-2</v>
          </cell>
          <cell r="L143">
            <v>6.844885998589674E-2</v>
          </cell>
          <cell r="M143">
            <v>6.8449089228254351E-2</v>
          </cell>
          <cell r="N143">
            <v>6.8448909129256275E-2</v>
          </cell>
          <cell r="O143">
            <v>6.844912385752186E-2</v>
          </cell>
          <cell r="P143">
            <v>6.844907291205557E-2</v>
          </cell>
          <cell r="Q143">
            <v>6.8448873072360611E-2</v>
          </cell>
          <cell r="R143">
            <v>6.8448760759375782E-2</v>
          </cell>
          <cell r="S143">
            <v>6.8449310384507897E-2</v>
          </cell>
          <cell r="T143">
            <v>6.84489029436392E-2</v>
          </cell>
          <cell r="U143">
            <v>6.8449049551762967E-2</v>
          </cell>
          <cell r="V143">
            <v>6.8448884545662614E-2</v>
          </cell>
          <cell r="W143">
            <v>6.8448862506745436E-2</v>
          </cell>
          <cell r="X143">
            <v>6.8448945147679324E-2</v>
          </cell>
          <cell r="Y143">
            <v>6.8449125526181376E-2</v>
          </cell>
          <cell r="Z143">
            <v>6.8449427110876079E-2</v>
          </cell>
          <cell r="AA143">
            <v>6.8449580905341784E-2</v>
          </cell>
          <cell r="AB143">
            <v>6.8449580905341784E-2</v>
          </cell>
          <cell r="AC143">
            <v>6.8449580905341784E-2</v>
          </cell>
          <cell r="AD143">
            <v>6.8449580905341784E-2</v>
          </cell>
          <cell r="AE143">
            <v>6.8449580905341784E-2</v>
          </cell>
          <cell r="AF143">
            <v>6.8449580905341784E-2</v>
          </cell>
          <cell r="AG143">
            <v>6.8449580905341784E-2</v>
          </cell>
          <cell r="AH143">
            <v>6.8449580905341784E-2</v>
          </cell>
          <cell r="AI143">
            <v>6.8449580905341784E-2</v>
          </cell>
          <cell r="AJ143">
            <v>6.8449580905341784E-2</v>
          </cell>
          <cell r="AK143">
            <v>6.8449580905341784E-2</v>
          </cell>
          <cell r="AL143">
            <v>6.8449580905341784E-2</v>
          </cell>
          <cell r="AM143">
            <v>6.8449580905341784E-2</v>
          </cell>
          <cell r="AN143">
            <v>6.8449580905341784E-2</v>
          </cell>
          <cell r="AO143">
            <v>6.8449580905341784E-2</v>
          </cell>
          <cell r="AP143">
            <v>6.8449580905341784E-2</v>
          </cell>
          <cell r="AQ143">
            <v>6.8449580905341784E-2</v>
          </cell>
          <cell r="AR143">
            <v>6.8449580905341784E-2</v>
          </cell>
          <cell r="AS143">
            <v>6.8449580905341784E-2</v>
          </cell>
          <cell r="AT143">
            <v>6.8449580905341784E-2</v>
          </cell>
          <cell r="AU143">
            <v>6.8449580905341784E-2</v>
          </cell>
          <cell r="AV143">
            <v>6.8449580905341784E-2</v>
          </cell>
          <cell r="AW143">
            <v>6.8449580905341784E-2</v>
          </cell>
          <cell r="AX143">
            <v>6.8449580905341784E-2</v>
          </cell>
          <cell r="AY143">
            <v>6.8449580905341784E-2</v>
          </cell>
          <cell r="AZ143">
            <v>6.8449580905341784E-2</v>
          </cell>
          <cell r="BA143">
            <v>6.8449580905341784E-2</v>
          </cell>
          <cell r="BB143">
            <v>6.8449580905341784E-2</v>
          </cell>
          <cell r="BC143">
            <v>6.8449580905341784E-2</v>
          </cell>
          <cell r="BD143">
            <v>6.8449580905341784E-2</v>
          </cell>
          <cell r="BE143">
            <v>6.8449580905341784E-2</v>
          </cell>
          <cell r="BF143">
            <v>6.8449580905341784E-2</v>
          </cell>
          <cell r="BG143">
            <v>6.8449580905341784E-2</v>
          </cell>
          <cell r="BH143">
            <v>6.8449580905341784E-2</v>
          </cell>
          <cell r="BI143">
            <v>6.8449580905341784E-2</v>
          </cell>
          <cell r="BJ143">
            <v>6.8449580905341784E-2</v>
          </cell>
          <cell r="BK143">
            <v>6.8449580905341784E-2</v>
          </cell>
          <cell r="BL143">
            <v>6.8449580905341784E-2</v>
          </cell>
          <cell r="BM143">
            <v>6.8449580905341784E-2</v>
          </cell>
          <cell r="BN143">
            <v>6.8449580905341784E-2</v>
          </cell>
          <cell r="BO143">
            <v>6.8449580905341784E-2</v>
          </cell>
        </row>
        <row r="144">
          <cell r="B144" t="str">
            <v>LPG</v>
          </cell>
          <cell r="G144">
            <v>5.6428552456839302E-2</v>
          </cell>
          <cell r="H144">
            <v>5.6428552456839302E-2</v>
          </cell>
          <cell r="I144">
            <v>5.6428552456839302E-2</v>
          </cell>
          <cell r="J144">
            <v>5.6529676494613379E-2</v>
          </cell>
          <cell r="K144">
            <v>5.6530067848684633E-2</v>
          </cell>
          <cell r="L144">
            <v>5.6530067848684633E-2</v>
          </cell>
          <cell r="M144">
            <v>5.6530067848684633E-2</v>
          </cell>
          <cell r="N144">
            <v>5.6530067848684633E-2</v>
          </cell>
          <cell r="O144">
            <v>5.6530067848684633E-2</v>
          </cell>
          <cell r="P144">
            <v>5.6530067848684633E-2</v>
          </cell>
          <cell r="Q144">
            <v>5.6530067848684633E-2</v>
          </cell>
          <cell r="R144">
            <v>5.6530067848684633E-2</v>
          </cell>
          <cell r="S144">
            <v>5.6530067848684633E-2</v>
          </cell>
          <cell r="T144">
            <v>5.6530067848684633E-2</v>
          </cell>
          <cell r="U144">
            <v>5.6530067848684633E-2</v>
          </cell>
          <cell r="V144">
            <v>5.6530067848684633E-2</v>
          </cell>
          <cell r="W144">
            <v>5.6530067848684633E-2</v>
          </cell>
          <cell r="X144">
            <v>5.6530067848684633E-2</v>
          </cell>
          <cell r="Y144">
            <v>5.6530067848684633E-2</v>
          </cell>
          <cell r="Z144">
            <v>5.6530067848684633E-2</v>
          </cell>
          <cell r="AA144">
            <v>5.6530067848684633E-2</v>
          </cell>
          <cell r="AB144">
            <v>5.6530067848684633E-2</v>
          </cell>
          <cell r="AC144">
            <v>5.6530067848684633E-2</v>
          </cell>
          <cell r="AD144">
            <v>5.6530067848684633E-2</v>
          </cell>
          <cell r="AE144">
            <v>5.6530067848684633E-2</v>
          </cell>
          <cell r="AF144">
            <v>5.6530067848684633E-2</v>
          </cell>
          <cell r="AG144">
            <v>5.6530067848684633E-2</v>
          </cell>
          <cell r="AH144">
            <v>5.6530067848684633E-2</v>
          </cell>
          <cell r="AI144">
            <v>5.6530067848684633E-2</v>
          </cell>
          <cell r="AJ144">
            <v>5.6530067848684633E-2</v>
          </cell>
          <cell r="AK144">
            <v>5.6530067848684633E-2</v>
          </cell>
          <cell r="AL144">
            <v>5.6530067848684633E-2</v>
          </cell>
          <cell r="AM144">
            <v>5.6530067848684633E-2</v>
          </cell>
          <cell r="AN144">
            <v>5.6530067848684633E-2</v>
          </cell>
          <cell r="AO144">
            <v>5.6530067848684633E-2</v>
          </cell>
          <cell r="AP144">
            <v>5.6530067848684633E-2</v>
          </cell>
          <cell r="AQ144">
            <v>5.6530067848684633E-2</v>
          </cell>
          <cell r="AR144">
            <v>5.6530067848684633E-2</v>
          </cell>
          <cell r="AS144">
            <v>5.6530067848684633E-2</v>
          </cell>
          <cell r="AT144">
            <v>5.6530067848684633E-2</v>
          </cell>
          <cell r="AU144">
            <v>5.6530067848684633E-2</v>
          </cell>
          <cell r="AV144">
            <v>5.6530067848684633E-2</v>
          </cell>
          <cell r="AW144">
            <v>5.6530067848684633E-2</v>
          </cell>
          <cell r="AX144">
            <v>5.6530067848684633E-2</v>
          </cell>
          <cell r="AY144">
            <v>5.6530067848684633E-2</v>
          </cell>
          <cell r="AZ144">
            <v>5.6530067848684633E-2</v>
          </cell>
          <cell r="BA144">
            <v>5.6530067848684633E-2</v>
          </cell>
          <cell r="BB144">
            <v>5.6530067848684633E-2</v>
          </cell>
          <cell r="BC144">
            <v>5.6530067848684633E-2</v>
          </cell>
          <cell r="BD144">
            <v>5.6530067848684633E-2</v>
          </cell>
          <cell r="BE144">
            <v>5.6530067848684633E-2</v>
          </cell>
          <cell r="BF144">
            <v>5.6530067848684633E-2</v>
          </cell>
          <cell r="BG144">
            <v>5.6530067848684633E-2</v>
          </cell>
          <cell r="BH144">
            <v>5.6530067848684633E-2</v>
          </cell>
          <cell r="BI144">
            <v>5.6530067848684633E-2</v>
          </cell>
          <cell r="BJ144">
            <v>5.6530067848684633E-2</v>
          </cell>
          <cell r="BK144">
            <v>5.6530067848684633E-2</v>
          </cell>
          <cell r="BL144">
            <v>5.6530067848684633E-2</v>
          </cell>
          <cell r="BM144">
            <v>5.6530067848684633E-2</v>
          </cell>
          <cell r="BN144">
            <v>5.6530067848684633E-2</v>
          </cell>
          <cell r="BO144">
            <v>5.6530067848684633E-2</v>
          </cell>
        </row>
        <row r="145">
          <cell r="B145" t="str">
            <v>Natural gas</v>
          </cell>
          <cell r="G145">
            <v>5.0659506393256851E-2</v>
          </cell>
          <cell r="H145">
            <v>5.0563545142469413E-2</v>
          </cell>
          <cell r="I145">
            <v>5.0546715697022571E-2</v>
          </cell>
          <cell r="J145">
            <v>5.0385318609503758E-2</v>
          </cell>
          <cell r="K145">
            <v>5.0347658470392923E-2</v>
          </cell>
          <cell r="L145">
            <v>5.0269095405659998E-2</v>
          </cell>
          <cell r="M145">
            <v>5.0254891822230627E-2</v>
          </cell>
          <cell r="N145">
            <v>5.0462665427550374E-2</v>
          </cell>
          <cell r="O145">
            <v>5.0057851325731519E-2</v>
          </cell>
          <cell r="P145">
            <v>5.0034906876201039E-2</v>
          </cell>
          <cell r="Q145">
            <v>4.9926715324116293E-2</v>
          </cell>
          <cell r="R145">
            <v>4.988537678850781E-2</v>
          </cell>
          <cell r="S145">
            <v>4.9650695555296109E-2</v>
          </cell>
          <cell r="T145">
            <v>4.9512983723467754E-2</v>
          </cell>
          <cell r="U145">
            <v>4.931529886787344E-2</v>
          </cell>
          <cell r="V145">
            <v>4.9020411139724628E-2</v>
          </cell>
          <cell r="W145">
            <v>4.9284172440741937E-2</v>
          </cell>
          <cell r="X145">
            <v>4.9045418544392809E-2</v>
          </cell>
          <cell r="Y145">
            <v>4.9183351497997463E-2</v>
          </cell>
          <cell r="Z145">
            <v>4.897044095617098E-2</v>
          </cell>
          <cell r="AA145">
            <v>4.8970518393498863E-2</v>
          </cell>
          <cell r="AB145">
            <v>4.8970518393498863E-2</v>
          </cell>
          <cell r="AC145">
            <v>4.8970518393498863E-2</v>
          </cell>
          <cell r="AD145">
            <v>4.8970518393498863E-2</v>
          </cell>
          <cell r="AE145">
            <v>4.8970518393498863E-2</v>
          </cell>
          <cell r="AF145">
            <v>4.8970518393498863E-2</v>
          </cell>
          <cell r="AG145">
            <v>4.8970518393498863E-2</v>
          </cell>
          <cell r="AH145">
            <v>4.8970518393498863E-2</v>
          </cell>
          <cell r="AI145">
            <v>4.8970518393498863E-2</v>
          </cell>
          <cell r="AJ145">
            <v>4.8970518393498863E-2</v>
          </cell>
          <cell r="AK145">
            <v>4.8970518393498863E-2</v>
          </cell>
          <cell r="AL145">
            <v>4.8970518393498863E-2</v>
          </cell>
          <cell r="AM145">
            <v>4.8970518393498863E-2</v>
          </cell>
          <cell r="AN145">
            <v>4.8970518393498863E-2</v>
          </cell>
          <cell r="AO145">
            <v>4.8970518393498863E-2</v>
          </cell>
          <cell r="AP145">
            <v>4.8970518393498863E-2</v>
          </cell>
          <cell r="AQ145">
            <v>4.8970518393498863E-2</v>
          </cell>
          <cell r="AR145">
            <v>4.8970518393498863E-2</v>
          </cell>
          <cell r="AS145">
            <v>4.8970518393498863E-2</v>
          </cell>
          <cell r="AT145">
            <v>4.8970518393498863E-2</v>
          </cell>
          <cell r="AU145">
            <v>4.8970518393498863E-2</v>
          </cell>
          <cell r="AV145">
            <v>4.8970518393498863E-2</v>
          </cell>
          <cell r="AW145">
            <v>4.8970518393498863E-2</v>
          </cell>
          <cell r="AX145">
            <v>4.8970518393498863E-2</v>
          </cell>
          <cell r="AY145">
            <v>4.8970518393498863E-2</v>
          </cell>
          <cell r="AZ145">
            <v>4.8970518393498863E-2</v>
          </cell>
          <cell r="BA145">
            <v>4.8970518393498863E-2</v>
          </cell>
          <cell r="BB145">
            <v>4.8970518393498863E-2</v>
          </cell>
          <cell r="BC145">
            <v>4.8970518393498863E-2</v>
          </cell>
          <cell r="BD145">
            <v>4.8970518393498863E-2</v>
          </cell>
          <cell r="BE145">
            <v>4.8970518393498863E-2</v>
          </cell>
          <cell r="BF145">
            <v>4.8970518393498863E-2</v>
          </cell>
          <cell r="BG145">
            <v>4.8970518393498863E-2</v>
          </cell>
          <cell r="BH145">
            <v>4.8970518393498863E-2</v>
          </cell>
          <cell r="BI145">
            <v>4.8970518393498863E-2</v>
          </cell>
          <cell r="BJ145">
            <v>4.8970518393498863E-2</v>
          </cell>
          <cell r="BK145">
            <v>4.8970518393498863E-2</v>
          </cell>
          <cell r="BL145">
            <v>4.8970518393498863E-2</v>
          </cell>
          <cell r="BM145">
            <v>4.8970518393498863E-2</v>
          </cell>
          <cell r="BN145">
            <v>4.8970518393498863E-2</v>
          </cell>
          <cell r="BO145">
            <v>4.8970518393498863E-2</v>
          </cell>
        </row>
        <row r="146">
          <cell r="B146" t="str">
            <v>Petroleum coke</v>
          </cell>
          <cell r="G146">
            <v>7.762551786473218E-2</v>
          </cell>
          <cell r="H146">
            <v>7.8741751426506149E-2</v>
          </cell>
          <cell r="I146">
            <v>7.949115348168917E-2</v>
          </cell>
          <cell r="J146">
            <v>8.0345671220659026E-2</v>
          </cell>
          <cell r="K146">
            <v>8.0190075949177125E-2</v>
          </cell>
          <cell r="L146">
            <v>7.9901480514705525E-2</v>
          </cell>
          <cell r="M146">
            <v>7.9941715444622169E-2</v>
          </cell>
          <cell r="N146">
            <v>8.0267769627742694E-2</v>
          </cell>
          <cell r="O146">
            <v>8.0509768026177791E-2</v>
          </cell>
          <cell r="P146">
            <v>8.0450793284979602E-2</v>
          </cell>
          <cell r="Q146">
            <v>8.0477022875806686E-2</v>
          </cell>
          <cell r="R146">
            <v>7.9880307713901838E-2</v>
          </cell>
          <cell r="S146">
            <v>8.0031393407524173E-2</v>
          </cell>
          <cell r="T146">
            <v>7.9660051607346113E-2</v>
          </cell>
          <cell r="U146">
            <v>7.8655374729668215E-2</v>
          </cell>
          <cell r="V146">
            <v>7.9010927100618897E-2</v>
          </cell>
          <cell r="W146">
            <v>7.9118881918575537E-2</v>
          </cell>
          <cell r="X146">
            <v>7.9562066109371554E-2</v>
          </cell>
          <cell r="Y146">
            <v>7.8905434918984968E-2</v>
          </cell>
          <cell r="Z146">
            <v>7.9046642188295102E-2</v>
          </cell>
          <cell r="AA146">
            <v>8.0332825143026143E-2</v>
          </cell>
          <cell r="AB146">
            <v>8.0332825143026143E-2</v>
          </cell>
          <cell r="AC146">
            <v>8.0332825143026143E-2</v>
          </cell>
          <cell r="AD146">
            <v>8.0332825143026143E-2</v>
          </cell>
          <cell r="AE146">
            <v>8.0332825143026143E-2</v>
          </cell>
          <cell r="AF146">
            <v>8.0332825143026143E-2</v>
          </cell>
          <cell r="AG146">
            <v>8.0332825143026143E-2</v>
          </cell>
          <cell r="AH146">
            <v>8.0332825143026143E-2</v>
          </cell>
          <cell r="AI146">
            <v>8.0332825143026143E-2</v>
          </cell>
          <cell r="AJ146">
            <v>8.0332825143026143E-2</v>
          </cell>
          <cell r="AK146">
            <v>8.0332825143026143E-2</v>
          </cell>
          <cell r="AL146">
            <v>8.0332825143026143E-2</v>
          </cell>
          <cell r="AM146">
            <v>8.0332825143026143E-2</v>
          </cell>
          <cell r="AN146">
            <v>8.0332825143026143E-2</v>
          </cell>
          <cell r="AO146">
            <v>8.0332825143026143E-2</v>
          </cell>
          <cell r="AP146">
            <v>8.0332825143026143E-2</v>
          </cell>
          <cell r="AQ146">
            <v>8.0332825143026143E-2</v>
          </cell>
          <cell r="AR146">
            <v>8.0332825143026143E-2</v>
          </cell>
          <cell r="AS146">
            <v>8.0332825143026143E-2</v>
          </cell>
          <cell r="AT146">
            <v>8.0332825143026143E-2</v>
          </cell>
          <cell r="AU146">
            <v>8.0332825143026143E-2</v>
          </cell>
          <cell r="AV146">
            <v>8.0332825143026143E-2</v>
          </cell>
          <cell r="AW146">
            <v>8.0332825143026143E-2</v>
          </cell>
          <cell r="AX146">
            <v>8.0332825143026143E-2</v>
          </cell>
          <cell r="AY146">
            <v>8.0332825143026143E-2</v>
          </cell>
          <cell r="AZ146">
            <v>8.0332825143026143E-2</v>
          </cell>
          <cell r="BA146">
            <v>8.0332825143026143E-2</v>
          </cell>
          <cell r="BB146">
            <v>8.0332825143026143E-2</v>
          </cell>
          <cell r="BC146">
            <v>8.0332825143026143E-2</v>
          </cell>
          <cell r="BD146">
            <v>8.0332825143026143E-2</v>
          </cell>
          <cell r="BE146">
            <v>8.0332825143026143E-2</v>
          </cell>
          <cell r="BF146">
            <v>8.0332825143026143E-2</v>
          </cell>
          <cell r="BG146">
            <v>8.0332825143026143E-2</v>
          </cell>
          <cell r="BH146">
            <v>8.0332825143026143E-2</v>
          </cell>
          <cell r="BI146">
            <v>8.0332825143026143E-2</v>
          </cell>
          <cell r="BJ146">
            <v>8.0332825143026143E-2</v>
          </cell>
          <cell r="BK146">
            <v>8.0332825143026143E-2</v>
          </cell>
          <cell r="BL146">
            <v>8.0332825143026143E-2</v>
          </cell>
          <cell r="BM146">
            <v>8.0332825143026143E-2</v>
          </cell>
          <cell r="BN146">
            <v>8.0332825143026143E-2</v>
          </cell>
          <cell r="BO146">
            <v>8.0332825143026143E-2</v>
          </cell>
        </row>
        <row r="147">
          <cell r="B147" t="str">
            <v>Propane</v>
          </cell>
          <cell r="G147">
            <v>5.9857766397253279E-2</v>
          </cell>
          <cell r="H147">
            <v>5.9857761469151567E-2</v>
          </cell>
          <cell r="I147">
            <v>5.9857772727671905E-2</v>
          </cell>
          <cell r="J147">
            <v>5.9857762186262486E-2</v>
          </cell>
          <cell r="K147">
            <v>5.9857764363268735E-2</v>
          </cell>
          <cell r="L147">
            <v>5.985775273523862E-2</v>
          </cell>
          <cell r="M147">
            <v>5.9857742592133653E-2</v>
          </cell>
          <cell r="N147">
            <v>5.9857846442529061E-2</v>
          </cell>
          <cell r="O147">
            <v>5.9857725653359922E-2</v>
          </cell>
          <cell r="P147">
            <v>5.9857869132092109E-2</v>
          </cell>
          <cell r="Q147">
            <v>5.9857810547601559E-2</v>
          </cell>
          <cell r="R147">
            <v>5.9857731382435463E-2</v>
          </cell>
          <cell r="S147">
            <v>5.9857814030780346E-2</v>
          </cell>
          <cell r="T147">
            <v>5.9857814030780346E-2</v>
          </cell>
          <cell r="U147">
            <v>5.9857814030780346E-2</v>
          </cell>
          <cell r="V147">
            <v>5.9857814030780346E-2</v>
          </cell>
          <cell r="W147">
            <v>5.9858185914249296E-2</v>
          </cell>
          <cell r="X147">
            <v>5.9857946720182582E-2</v>
          </cell>
          <cell r="Y147">
            <v>5.9857919987150926E-2</v>
          </cell>
          <cell r="Z147">
            <v>5.9860457516754152E-2</v>
          </cell>
          <cell r="AA147">
            <v>5.9860457516754152E-2</v>
          </cell>
          <cell r="AB147">
            <v>5.9860457516754152E-2</v>
          </cell>
          <cell r="AC147">
            <v>5.9860457516754152E-2</v>
          </cell>
          <cell r="AD147">
            <v>5.9860457516754152E-2</v>
          </cell>
          <cell r="AE147">
            <v>5.9860457516754152E-2</v>
          </cell>
          <cell r="AF147">
            <v>5.9860457516754152E-2</v>
          </cell>
          <cell r="AG147">
            <v>5.9860457516754152E-2</v>
          </cell>
          <cell r="AH147">
            <v>5.9860457516754152E-2</v>
          </cell>
          <cell r="AI147">
            <v>5.9860457516754152E-2</v>
          </cell>
          <cell r="AJ147">
            <v>5.9860457516754152E-2</v>
          </cell>
          <cell r="AK147">
            <v>5.9860457516754152E-2</v>
          </cell>
          <cell r="AL147">
            <v>5.9860457516754152E-2</v>
          </cell>
          <cell r="AM147">
            <v>5.9860457516754152E-2</v>
          </cell>
          <cell r="AN147">
            <v>5.9860457516754152E-2</v>
          </cell>
          <cell r="AO147">
            <v>5.9860457516754152E-2</v>
          </cell>
          <cell r="AP147">
            <v>5.9860457516754152E-2</v>
          </cell>
          <cell r="AQ147">
            <v>5.9860457516754152E-2</v>
          </cell>
          <cell r="AR147">
            <v>5.9860457516754152E-2</v>
          </cell>
          <cell r="AS147">
            <v>5.9860457516754152E-2</v>
          </cell>
          <cell r="AT147">
            <v>5.9860457516754152E-2</v>
          </cell>
          <cell r="AU147">
            <v>5.9860457516754152E-2</v>
          </cell>
          <cell r="AV147">
            <v>5.9860457516754152E-2</v>
          </cell>
          <cell r="AW147">
            <v>5.9860457516754152E-2</v>
          </cell>
          <cell r="AX147">
            <v>5.9860457516754152E-2</v>
          </cell>
          <cell r="AY147">
            <v>5.9860457516754152E-2</v>
          </cell>
          <cell r="AZ147">
            <v>5.9860457516754152E-2</v>
          </cell>
          <cell r="BA147">
            <v>5.9860457516754152E-2</v>
          </cell>
          <cell r="BB147">
            <v>5.9860457516754152E-2</v>
          </cell>
          <cell r="BC147">
            <v>5.9860457516754152E-2</v>
          </cell>
          <cell r="BD147">
            <v>5.9860457516754152E-2</v>
          </cell>
          <cell r="BE147">
            <v>5.9860457516754152E-2</v>
          </cell>
          <cell r="BF147">
            <v>5.9860457516754152E-2</v>
          </cell>
          <cell r="BG147">
            <v>5.9860457516754152E-2</v>
          </cell>
          <cell r="BH147">
            <v>5.9860457516754152E-2</v>
          </cell>
          <cell r="BI147">
            <v>5.9860457516754152E-2</v>
          </cell>
          <cell r="BJ147">
            <v>5.9860457516754152E-2</v>
          </cell>
          <cell r="BK147">
            <v>5.9860457516754152E-2</v>
          </cell>
          <cell r="BL147">
            <v>5.9860457516754152E-2</v>
          </cell>
          <cell r="BM147">
            <v>5.9860457516754152E-2</v>
          </cell>
          <cell r="BN147">
            <v>5.9860457516754152E-2</v>
          </cell>
          <cell r="BO147">
            <v>5.9860457516754152E-2</v>
          </cell>
        </row>
        <row r="148">
          <cell r="B148" t="str">
            <v>Refinery fuel gas</v>
          </cell>
          <cell r="G148">
            <v>5.1259752560403472E-2</v>
          </cell>
          <cell r="H148">
            <v>5.0831282577931729E-2</v>
          </cell>
          <cell r="I148">
            <v>5.1052310814059795E-2</v>
          </cell>
          <cell r="J148">
            <v>5.0817775861882609E-2</v>
          </cell>
          <cell r="K148">
            <v>5.1541063746199101E-2</v>
          </cell>
          <cell r="L148">
            <v>5.2366651626647394E-2</v>
          </cell>
          <cell r="M148">
            <v>5.297070036177344E-2</v>
          </cell>
          <cell r="N148">
            <v>5.3040055461447605E-2</v>
          </cell>
          <cell r="O148">
            <v>5.1742893408343371E-2</v>
          </cell>
          <cell r="P148">
            <v>5.2741188716007838E-2</v>
          </cell>
          <cell r="Q148">
            <v>5.4633254600389917E-2</v>
          </cell>
          <cell r="R148">
            <v>5.4720519327646017E-2</v>
          </cell>
          <cell r="S148">
            <v>5.8326795641445141E-2</v>
          </cell>
          <cell r="T148">
            <v>5.8713275434366163E-2</v>
          </cell>
          <cell r="U148">
            <v>5.8895465170704396E-2</v>
          </cell>
          <cell r="V148">
            <v>5.9238777445698089E-2</v>
          </cell>
          <cell r="W148">
            <v>5.9579729749379771E-2</v>
          </cell>
          <cell r="X148">
            <v>6.0306791057276037E-2</v>
          </cell>
          <cell r="Y148">
            <v>5.9856897864001953E-2</v>
          </cell>
          <cell r="Z148">
            <v>5.5009422029724003E-2</v>
          </cell>
          <cell r="AA148">
            <v>5.513328633900514E-2</v>
          </cell>
          <cell r="AB148">
            <v>5.513328633900514E-2</v>
          </cell>
          <cell r="AC148">
            <v>5.513328633900514E-2</v>
          </cell>
          <cell r="AD148">
            <v>5.513328633900514E-2</v>
          </cell>
          <cell r="AE148">
            <v>5.513328633900514E-2</v>
          </cell>
          <cell r="AF148">
            <v>5.513328633900514E-2</v>
          </cell>
          <cell r="AG148">
            <v>5.513328633900514E-2</v>
          </cell>
          <cell r="AH148">
            <v>5.513328633900514E-2</v>
          </cell>
          <cell r="AI148">
            <v>5.513328633900514E-2</v>
          </cell>
          <cell r="AJ148">
            <v>5.513328633900514E-2</v>
          </cell>
          <cell r="AK148">
            <v>5.513328633900514E-2</v>
          </cell>
          <cell r="AL148">
            <v>5.513328633900514E-2</v>
          </cell>
          <cell r="AM148">
            <v>5.513328633900514E-2</v>
          </cell>
          <cell r="AN148">
            <v>5.513328633900514E-2</v>
          </cell>
          <cell r="AO148">
            <v>5.513328633900514E-2</v>
          </cell>
          <cell r="AP148">
            <v>5.513328633900514E-2</v>
          </cell>
          <cell r="AQ148">
            <v>5.513328633900514E-2</v>
          </cell>
          <cell r="AR148">
            <v>5.513328633900514E-2</v>
          </cell>
          <cell r="AS148">
            <v>5.513328633900514E-2</v>
          </cell>
          <cell r="AT148">
            <v>5.513328633900514E-2</v>
          </cell>
          <cell r="AU148">
            <v>5.513328633900514E-2</v>
          </cell>
          <cell r="AV148">
            <v>5.513328633900514E-2</v>
          </cell>
          <cell r="AW148">
            <v>5.513328633900514E-2</v>
          </cell>
          <cell r="AX148">
            <v>5.513328633900514E-2</v>
          </cell>
          <cell r="AY148">
            <v>5.513328633900514E-2</v>
          </cell>
          <cell r="AZ148">
            <v>5.513328633900514E-2</v>
          </cell>
          <cell r="BA148">
            <v>5.513328633900514E-2</v>
          </cell>
          <cell r="BB148">
            <v>5.513328633900514E-2</v>
          </cell>
          <cell r="BC148">
            <v>5.513328633900514E-2</v>
          </cell>
          <cell r="BD148">
            <v>5.513328633900514E-2</v>
          </cell>
          <cell r="BE148">
            <v>5.513328633900514E-2</v>
          </cell>
          <cell r="BF148">
            <v>5.513328633900514E-2</v>
          </cell>
          <cell r="BG148">
            <v>5.513328633900514E-2</v>
          </cell>
          <cell r="BH148">
            <v>5.513328633900514E-2</v>
          </cell>
          <cell r="BI148">
            <v>5.513328633900514E-2</v>
          </cell>
          <cell r="BJ148">
            <v>5.513328633900514E-2</v>
          </cell>
          <cell r="BK148">
            <v>5.513328633900514E-2</v>
          </cell>
          <cell r="BL148">
            <v>5.513328633900514E-2</v>
          </cell>
          <cell r="BM148">
            <v>5.513328633900514E-2</v>
          </cell>
          <cell r="BN148">
            <v>5.513328633900514E-2</v>
          </cell>
          <cell r="BO148">
            <v>5.513328633900514E-2</v>
          </cell>
        </row>
        <row r="149">
          <cell r="B149" t="str">
            <v>Solid biomass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J149">
            <v>0</v>
          </cell>
          <cell r="AK149">
            <v>0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  <cell r="AU149">
            <v>0</v>
          </cell>
          <cell r="AV149">
            <v>0</v>
          </cell>
          <cell r="AW149">
            <v>0</v>
          </cell>
          <cell r="AX149">
            <v>0</v>
          </cell>
          <cell r="AY149">
            <v>0</v>
          </cell>
          <cell r="AZ149">
            <v>0</v>
          </cell>
          <cell r="BA149">
            <v>0</v>
          </cell>
          <cell r="BB149">
            <v>0</v>
          </cell>
          <cell r="BC149">
            <v>0</v>
          </cell>
          <cell r="BD149">
            <v>0</v>
          </cell>
          <cell r="BE149">
            <v>0</v>
          </cell>
          <cell r="BF149">
            <v>0</v>
          </cell>
          <cell r="BG149">
            <v>0</v>
          </cell>
          <cell r="BH149">
            <v>0</v>
          </cell>
          <cell r="BI149">
            <v>0</v>
          </cell>
          <cell r="BJ149">
            <v>0</v>
          </cell>
          <cell r="BK149">
            <v>0</v>
          </cell>
          <cell r="BL149">
            <v>0</v>
          </cell>
          <cell r="BM149">
            <v>0</v>
          </cell>
          <cell r="BN149">
            <v>0</v>
          </cell>
          <cell r="BO149">
            <v>0</v>
          </cell>
        </row>
        <row r="150">
          <cell r="B150" t="str">
            <v>Uranium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0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AU150">
            <v>0</v>
          </cell>
          <cell r="AV150">
            <v>0</v>
          </cell>
          <cell r="AW150">
            <v>0</v>
          </cell>
          <cell r="AX150">
            <v>0</v>
          </cell>
          <cell r="AY150">
            <v>0</v>
          </cell>
          <cell r="AZ150">
            <v>0</v>
          </cell>
          <cell r="BA150">
            <v>0</v>
          </cell>
          <cell r="BB150">
            <v>0</v>
          </cell>
          <cell r="BC150">
            <v>0</v>
          </cell>
          <cell r="BD150">
            <v>0</v>
          </cell>
          <cell r="BE150">
            <v>0</v>
          </cell>
          <cell r="BF150">
            <v>0</v>
          </cell>
          <cell r="BG150">
            <v>0</v>
          </cell>
          <cell r="BH150">
            <v>0</v>
          </cell>
          <cell r="BI150">
            <v>0</v>
          </cell>
          <cell r="BJ150">
            <v>0</v>
          </cell>
          <cell r="BK150">
            <v>0</v>
          </cell>
          <cell r="BL150">
            <v>0</v>
          </cell>
          <cell r="BM150">
            <v>0</v>
          </cell>
          <cell r="BN150">
            <v>0</v>
          </cell>
          <cell r="BO150">
            <v>0</v>
          </cell>
        </row>
        <row r="151">
          <cell r="B151" t="str">
            <v>Waste fuel</v>
          </cell>
          <cell r="G151">
            <v>3.2569673040020032E-3</v>
          </cell>
          <cell r="H151">
            <v>3.2989385321463586E-3</v>
          </cell>
          <cell r="I151">
            <v>3.3828809884350703E-3</v>
          </cell>
          <cell r="J151">
            <v>3.4668234447237816E-3</v>
          </cell>
          <cell r="K151">
            <v>3.4206550937649904E-3</v>
          </cell>
          <cell r="L151">
            <v>3.4080637253216832E-3</v>
          </cell>
          <cell r="M151">
            <v>3.5171889184970081E-3</v>
          </cell>
          <cell r="N151">
            <v>3.6808767082599958E-3</v>
          </cell>
          <cell r="O151">
            <v>3.6221169888578978E-3</v>
          </cell>
          <cell r="P151">
            <v>3.3241212690329723E-3</v>
          </cell>
          <cell r="Q151">
            <v>3.3618953743628924E-3</v>
          </cell>
          <cell r="R151">
            <v>3.3618953743628924E-3</v>
          </cell>
          <cell r="S151">
            <v>3.1063874204094732E-3</v>
          </cell>
          <cell r="T151">
            <v>3.1892467380943879E-3</v>
          </cell>
          <cell r="U151">
            <v>4.026586082905655E-3</v>
          </cell>
          <cell r="V151">
            <v>4.2543029606378771E-3</v>
          </cell>
          <cell r="W151">
            <v>4.1091433060819037E-3</v>
          </cell>
          <cell r="X151">
            <v>4.2175738397222775E-3</v>
          </cell>
          <cell r="Y151">
            <v>4.01921914846071E-3</v>
          </cell>
          <cell r="Z151">
            <v>4.3081124064428527E-3</v>
          </cell>
          <cell r="AA151">
            <v>4.3081124064428527E-3</v>
          </cell>
          <cell r="AB151">
            <v>4.3081124064428527E-3</v>
          </cell>
          <cell r="AC151">
            <v>4.3081124064428527E-3</v>
          </cell>
          <cell r="AD151">
            <v>4.3081124064428527E-3</v>
          </cell>
          <cell r="AE151">
            <v>4.3081124064428527E-3</v>
          </cell>
          <cell r="AF151">
            <v>4.3081124064428527E-3</v>
          </cell>
          <cell r="AG151">
            <v>4.3081124064428527E-3</v>
          </cell>
          <cell r="AH151">
            <v>4.3081124064428527E-3</v>
          </cell>
          <cell r="AI151">
            <v>4.3081124064428527E-3</v>
          </cell>
          <cell r="AJ151">
            <v>4.3081124064428527E-3</v>
          </cell>
          <cell r="AK151">
            <v>4.3081124064428527E-3</v>
          </cell>
          <cell r="AL151">
            <v>4.3081124064428527E-3</v>
          </cell>
          <cell r="AM151">
            <v>4.3081124064428527E-3</v>
          </cell>
          <cell r="AN151">
            <v>4.3081124064428527E-3</v>
          </cell>
          <cell r="AO151">
            <v>4.3081124064428527E-3</v>
          </cell>
          <cell r="AP151">
            <v>4.3081124064428527E-3</v>
          </cell>
          <cell r="AQ151">
            <v>4.3081124064428527E-3</v>
          </cell>
          <cell r="AR151">
            <v>4.3081124064428527E-3</v>
          </cell>
          <cell r="AS151">
            <v>4.3081124064428527E-3</v>
          </cell>
          <cell r="AT151">
            <v>4.3081124064428527E-3</v>
          </cell>
          <cell r="AU151">
            <v>4.3081124064428527E-3</v>
          </cell>
          <cell r="AV151">
            <v>4.3081124064428527E-3</v>
          </cell>
          <cell r="AW151">
            <v>4.3081124064428527E-3</v>
          </cell>
          <cell r="AX151">
            <v>4.3081124064428527E-3</v>
          </cell>
          <cell r="AY151">
            <v>4.3081124064428527E-3</v>
          </cell>
          <cell r="AZ151">
            <v>4.3081124064428527E-3</v>
          </cell>
          <cell r="BA151">
            <v>4.3081124064428527E-3</v>
          </cell>
          <cell r="BB151">
            <v>4.3081124064428527E-3</v>
          </cell>
          <cell r="BC151">
            <v>4.3081124064428527E-3</v>
          </cell>
          <cell r="BD151">
            <v>4.3081124064428527E-3</v>
          </cell>
          <cell r="BE151">
            <v>4.3081124064428527E-3</v>
          </cell>
          <cell r="BF151">
            <v>4.3081124064428527E-3</v>
          </cell>
          <cell r="BG151">
            <v>4.3081124064428527E-3</v>
          </cell>
          <cell r="BH151">
            <v>4.3081124064428527E-3</v>
          </cell>
          <cell r="BI151">
            <v>4.3081124064428527E-3</v>
          </cell>
          <cell r="BJ151">
            <v>4.3081124064428527E-3</v>
          </cell>
          <cell r="BK151">
            <v>4.3081124064428527E-3</v>
          </cell>
          <cell r="BL151">
            <v>4.3081124064428527E-3</v>
          </cell>
          <cell r="BM151">
            <v>4.3081124064428527E-3</v>
          </cell>
          <cell r="BN151">
            <v>4.3081124064428527E-3</v>
          </cell>
          <cell r="BO151">
            <v>4.3081124064428527E-3</v>
          </cell>
        </row>
        <row r="156">
          <cell r="G156">
            <v>3.9913102253513877E-6</v>
          </cell>
          <cell r="H156">
            <v>3.9913102253513877E-6</v>
          </cell>
          <cell r="I156">
            <v>3.9913102253513877E-6</v>
          </cell>
          <cell r="J156">
            <v>3.9913102253513877E-6</v>
          </cell>
          <cell r="K156">
            <v>3.9913102253513877E-6</v>
          </cell>
          <cell r="L156">
            <v>3.9913102253513877E-6</v>
          </cell>
          <cell r="M156">
            <v>3.9913102253513877E-6</v>
          </cell>
          <cell r="N156">
            <v>3.9913102253513877E-6</v>
          </cell>
          <cell r="O156">
            <v>3.9913102253513877E-6</v>
          </cell>
          <cell r="P156">
            <v>3.9913102253513877E-6</v>
          </cell>
          <cell r="Q156">
            <v>3.9913102253513877E-6</v>
          </cell>
          <cell r="R156">
            <v>3.9913102253513877E-6</v>
          </cell>
          <cell r="S156">
            <v>3.9913102253513877E-6</v>
          </cell>
          <cell r="T156">
            <v>3.9913102253513877E-6</v>
          </cell>
          <cell r="U156">
            <v>3.9913102253513877E-6</v>
          </cell>
          <cell r="V156">
            <v>3.9913102253513877E-6</v>
          </cell>
          <cell r="W156">
            <v>3.9913102253513877E-6</v>
          </cell>
          <cell r="X156">
            <v>3.9913102253513877E-6</v>
          </cell>
          <cell r="Y156">
            <v>3.9913102253513877E-6</v>
          </cell>
          <cell r="Z156">
            <v>3.9913102253513877E-6</v>
          </cell>
          <cell r="AA156">
            <v>3.9913102253513877E-6</v>
          </cell>
          <cell r="AB156">
            <v>3.9913102253513877E-6</v>
          </cell>
          <cell r="AC156">
            <v>3.9913102253513877E-6</v>
          </cell>
          <cell r="AD156">
            <v>3.9913102253513877E-6</v>
          </cell>
          <cell r="AE156">
            <v>3.9913102253513877E-6</v>
          </cell>
          <cell r="AF156">
            <v>3.9913102253513877E-6</v>
          </cell>
          <cell r="AG156">
            <v>3.9913102253513877E-6</v>
          </cell>
          <cell r="AH156">
            <v>3.9913102253513877E-6</v>
          </cell>
          <cell r="AI156">
            <v>3.9913102253513877E-6</v>
          </cell>
          <cell r="AJ156">
            <v>3.9913102253513877E-6</v>
          </cell>
          <cell r="AK156">
            <v>3.9913102253513877E-6</v>
          </cell>
          <cell r="AL156">
            <v>3.9913102253513877E-6</v>
          </cell>
          <cell r="AM156">
            <v>3.9913102253513877E-6</v>
          </cell>
          <cell r="AN156">
            <v>3.9913102253513877E-6</v>
          </cell>
          <cell r="AO156">
            <v>3.9913102253513877E-6</v>
          </cell>
          <cell r="AP156">
            <v>3.9913102253513877E-6</v>
          </cell>
          <cell r="AQ156">
            <v>3.9913102253513877E-6</v>
          </cell>
          <cell r="AR156">
            <v>3.9913102253513877E-6</v>
          </cell>
          <cell r="AS156">
            <v>3.9913102253513877E-6</v>
          </cell>
          <cell r="AT156">
            <v>3.9913102253513877E-6</v>
          </cell>
          <cell r="AU156">
            <v>3.9913102253513877E-6</v>
          </cell>
          <cell r="AV156">
            <v>3.9913102253513877E-6</v>
          </cell>
          <cell r="AW156">
            <v>3.9913102253513877E-6</v>
          </cell>
          <cell r="AX156">
            <v>3.9913102253513877E-6</v>
          </cell>
          <cell r="AY156">
            <v>3.9913102253513877E-6</v>
          </cell>
          <cell r="AZ156">
            <v>3.9913102253513877E-6</v>
          </cell>
          <cell r="BA156">
            <v>3.9913102253513877E-6</v>
          </cell>
          <cell r="BB156">
            <v>3.9913102253513877E-6</v>
          </cell>
          <cell r="BC156">
            <v>3.9913102253513877E-6</v>
          </cell>
          <cell r="BD156">
            <v>3.9913102253513877E-6</v>
          </cell>
          <cell r="BE156">
            <v>3.9913102253513877E-6</v>
          </cell>
          <cell r="BF156">
            <v>3.9913102253513877E-6</v>
          </cell>
          <cell r="BG156">
            <v>3.9913102253513877E-6</v>
          </cell>
          <cell r="BH156">
            <v>3.9913102253513877E-6</v>
          </cell>
          <cell r="BI156">
            <v>3.9913102253513877E-6</v>
          </cell>
          <cell r="BJ156">
            <v>3.9913102253513877E-6</v>
          </cell>
          <cell r="BK156">
            <v>3.9913102253513877E-6</v>
          </cell>
          <cell r="BL156">
            <v>3.9913102253513877E-6</v>
          </cell>
          <cell r="BM156">
            <v>3.9913102253513877E-6</v>
          </cell>
          <cell r="BN156">
            <v>3.9913102253513877E-6</v>
          </cell>
          <cell r="BO156">
            <v>3.9913102253513877E-6</v>
          </cell>
        </row>
        <row r="157">
          <cell r="G157">
            <v>9.7394051232794818E-7</v>
          </cell>
          <cell r="H157">
            <v>9.7138356351785468E-7</v>
          </cell>
          <cell r="I157">
            <v>9.7138356667125818E-7</v>
          </cell>
          <cell r="J157">
            <v>9.6858638743455478E-7</v>
          </cell>
          <cell r="K157">
            <v>9.6833289572591836E-7</v>
          </cell>
          <cell r="L157">
            <v>9.6706745968712354E-7</v>
          </cell>
          <cell r="M157">
            <v>9.670674287828192E-7</v>
          </cell>
          <cell r="N157">
            <v>9.7087377090997642E-7</v>
          </cell>
          <cell r="O157">
            <v>9.6329083616292674E-7</v>
          </cell>
          <cell r="P157">
            <v>9.6278946445229952E-7</v>
          </cell>
          <cell r="Q157">
            <v>9.6053998074030376E-7</v>
          </cell>
          <cell r="R157">
            <v>9.595435413772697E-7</v>
          </cell>
          <cell r="S157">
            <v>9.5508515933911687E-7</v>
          </cell>
          <cell r="T157">
            <v>9.5238092844104533E-7</v>
          </cell>
          <cell r="U157">
            <v>9.4871796761961505E-7</v>
          </cell>
          <cell r="V157">
            <v>9.4291540484527353E-7</v>
          </cell>
          <cell r="W157">
            <v>9.479888954209107E-7</v>
          </cell>
          <cell r="X157">
            <v>9.4339642625143072E-7</v>
          </cell>
          <cell r="Y157">
            <v>9.4604958855190435E-7</v>
          </cell>
          <cell r="Z157">
            <v>9.4195422041698765E-7</v>
          </cell>
          <cell r="AA157">
            <v>9.4195570993630577E-7</v>
          </cell>
          <cell r="AB157">
            <v>9.4195570993630577E-7</v>
          </cell>
          <cell r="AC157">
            <v>9.4195570993630577E-7</v>
          </cell>
          <cell r="AD157">
            <v>9.4195570993630577E-7</v>
          </cell>
          <cell r="AE157">
            <v>9.4195570993630577E-7</v>
          </cell>
          <cell r="AF157">
            <v>9.4195570993630577E-7</v>
          </cell>
          <cell r="AG157">
            <v>9.4195570993630577E-7</v>
          </cell>
          <cell r="AH157">
            <v>9.4195570993630577E-7</v>
          </cell>
          <cell r="AI157">
            <v>9.4195570993630577E-7</v>
          </cell>
          <cell r="AJ157">
            <v>9.4195570993630577E-7</v>
          </cell>
          <cell r="AK157">
            <v>9.4195570993630577E-7</v>
          </cell>
          <cell r="AL157">
            <v>9.4195570993630577E-7</v>
          </cell>
          <cell r="AM157">
            <v>9.4195570993630577E-7</v>
          </cell>
          <cell r="AN157">
            <v>9.4195570993630577E-7</v>
          </cell>
          <cell r="AO157">
            <v>9.4195570993630577E-7</v>
          </cell>
          <cell r="AP157">
            <v>9.4195570993630577E-7</v>
          </cell>
          <cell r="AQ157">
            <v>9.4195570993630577E-7</v>
          </cell>
          <cell r="AR157">
            <v>9.4195570993630577E-7</v>
          </cell>
          <cell r="AS157">
            <v>9.4195570993630577E-7</v>
          </cell>
          <cell r="AT157">
            <v>9.4195570993630577E-7</v>
          </cell>
          <cell r="AU157">
            <v>9.4195570993630577E-7</v>
          </cell>
          <cell r="AV157">
            <v>9.4195570993630577E-7</v>
          </cell>
          <cell r="AW157">
            <v>9.4195570993630577E-7</v>
          </cell>
          <cell r="AX157">
            <v>9.4195570993630577E-7</v>
          </cell>
          <cell r="AY157">
            <v>9.4195570993630577E-7</v>
          </cell>
          <cell r="AZ157">
            <v>9.4195570993630577E-7</v>
          </cell>
          <cell r="BA157">
            <v>9.4195570993630577E-7</v>
          </cell>
          <cell r="BB157">
            <v>9.4195570993630577E-7</v>
          </cell>
          <cell r="BC157">
            <v>9.4195570993630577E-7</v>
          </cell>
          <cell r="BD157">
            <v>9.4195570993630577E-7</v>
          </cell>
          <cell r="BE157">
            <v>9.4195570993630577E-7</v>
          </cell>
          <cell r="BF157">
            <v>9.4195570993630577E-7</v>
          </cell>
          <cell r="BG157">
            <v>9.4195570993630577E-7</v>
          </cell>
          <cell r="BH157">
            <v>9.4195570993630577E-7</v>
          </cell>
          <cell r="BI157">
            <v>9.4195570993630577E-7</v>
          </cell>
          <cell r="BJ157">
            <v>9.4195570993630577E-7</v>
          </cell>
          <cell r="BK157">
            <v>9.4195570993630577E-7</v>
          </cell>
          <cell r="BL157">
            <v>9.4195570993630577E-7</v>
          </cell>
          <cell r="BM157">
            <v>9.4195570993630577E-7</v>
          </cell>
          <cell r="BN157">
            <v>9.4195570993630577E-7</v>
          </cell>
          <cell r="BO157">
            <v>9.4195570993630577E-7</v>
          </cell>
        </row>
        <row r="158">
          <cell r="G158">
            <v>2.1897810218978103E-6</v>
          </cell>
          <cell r="H158">
            <v>2.1897810218978103E-6</v>
          </cell>
          <cell r="I158">
            <v>2.1897810218978103E-6</v>
          </cell>
          <cell r="J158">
            <v>2.1897810218978103E-6</v>
          </cell>
          <cell r="K158">
            <v>2.1897810218978103E-6</v>
          </cell>
          <cell r="L158">
            <v>2.1897810049559439E-6</v>
          </cell>
          <cell r="M158">
            <v>2.1897810522249288E-6</v>
          </cell>
          <cell r="N158">
            <v>2.1897810611595408E-6</v>
          </cell>
          <cell r="O158">
            <v>2.189780962473383E-6</v>
          </cell>
          <cell r="P158">
            <v>2.1897809760540837E-6</v>
          </cell>
          <cell r="Q158">
            <v>2.1897810986889842E-6</v>
          </cell>
          <cell r="R158">
            <v>2.1897810882067376E-6</v>
          </cell>
          <cell r="S158">
            <v>2.189781043463325E-6</v>
          </cell>
          <cell r="T158">
            <v>2.1897809657625118E-6</v>
          </cell>
          <cell r="U158">
            <v>2.1897810328282271E-6</v>
          </cell>
          <cell r="V158">
            <v>2.1897809807353955E-6</v>
          </cell>
          <cell r="W158">
            <v>2.1897810765811499E-6</v>
          </cell>
          <cell r="X158">
            <v>2.1897809940801353E-6</v>
          </cell>
          <cell r="Y158">
            <v>2.1897809768716662E-6</v>
          </cell>
          <cell r="Z158">
            <v>2.1897810128390449E-6</v>
          </cell>
          <cell r="AA158">
            <v>2.1897810888611765E-6</v>
          </cell>
          <cell r="AB158">
            <v>2.1897810888611765E-6</v>
          </cell>
          <cell r="AC158">
            <v>2.1897810888611765E-6</v>
          </cell>
          <cell r="AD158">
            <v>2.1897810888611765E-6</v>
          </cell>
          <cell r="AE158">
            <v>2.1897810888611765E-6</v>
          </cell>
          <cell r="AF158">
            <v>2.1897810888611765E-6</v>
          </cell>
          <cell r="AG158">
            <v>2.1897810888611765E-6</v>
          </cell>
          <cell r="AH158">
            <v>2.1897810888611765E-6</v>
          </cell>
          <cell r="AI158">
            <v>2.1897810888611765E-6</v>
          </cell>
          <cell r="AJ158">
            <v>2.1897810888611765E-6</v>
          </cell>
          <cell r="AK158">
            <v>2.1897810888611765E-6</v>
          </cell>
          <cell r="AL158">
            <v>2.1897810888611765E-6</v>
          </cell>
          <cell r="AM158">
            <v>2.1897810888611765E-6</v>
          </cell>
          <cell r="AN158">
            <v>2.1897810888611765E-6</v>
          </cell>
          <cell r="AO158">
            <v>2.1897810888611765E-6</v>
          </cell>
          <cell r="AP158">
            <v>2.1897810888611765E-6</v>
          </cell>
          <cell r="AQ158">
            <v>2.1897810888611765E-6</v>
          </cell>
          <cell r="AR158">
            <v>2.1897810888611765E-6</v>
          </cell>
          <cell r="AS158">
            <v>2.1897810888611765E-6</v>
          </cell>
          <cell r="AT158">
            <v>2.1897810888611765E-6</v>
          </cell>
          <cell r="AU158">
            <v>2.1897810888611765E-6</v>
          </cell>
          <cell r="AV158">
            <v>2.1897810888611765E-6</v>
          </cell>
          <cell r="AW158">
            <v>2.1897810888611765E-6</v>
          </cell>
          <cell r="AX158">
            <v>2.1897810888611765E-6</v>
          </cell>
          <cell r="AY158">
            <v>2.1897810888611765E-6</v>
          </cell>
          <cell r="AZ158">
            <v>2.1897810888611765E-6</v>
          </cell>
          <cell r="BA158">
            <v>2.1897810888611765E-6</v>
          </cell>
          <cell r="BB158">
            <v>2.1897810888611765E-6</v>
          </cell>
          <cell r="BC158">
            <v>2.1897810888611765E-6</v>
          </cell>
          <cell r="BD158">
            <v>2.1897810888611765E-6</v>
          </cell>
          <cell r="BE158">
            <v>2.1897810888611765E-6</v>
          </cell>
          <cell r="BF158">
            <v>2.1897810888611765E-6</v>
          </cell>
          <cell r="BG158">
            <v>2.1897810888611765E-6</v>
          </cell>
          <cell r="BH158">
            <v>2.1897810888611765E-6</v>
          </cell>
          <cell r="BI158">
            <v>2.1897810888611765E-6</v>
          </cell>
          <cell r="BJ158">
            <v>2.1897810888611765E-6</v>
          </cell>
          <cell r="BK158">
            <v>2.1897810888611765E-6</v>
          </cell>
          <cell r="BL158">
            <v>2.1897810888611765E-6</v>
          </cell>
          <cell r="BM158">
            <v>2.1897810888611765E-6</v>
          </cell>
          <cell r="BN158">
            <v>2.1897810888611765E-6</v>
          </cell>
          <cell r="BO158">
            <v>2.1897810888611765E-6</v>
          </cell>
        </row>
        <row r="159">
          <cell r="G159">
            <v>1.099660992763225E-6</v>
          </cell>
          <cell r="H159">
            <v>1.097834536662813E-6</v>
          </cell>
          <cell r="I159">
            <v>1.1001501306039834E-6</v>
          </cell>
          <cell r="J159">
            <v>1.1257189355240153E-6</v>
          </cell>
          <cell r="K159">
            <v>1.1347875921419111E-6</v>
          </cell>
          <cell r="L159">
            <v>1.150968508982634E-6</v>
          </cell>
          <cell r="M159">
            <v>1.1555574852369488E-6</v>
          </cell>
          <cell r="N159">
            <v>1.1750414394980755E-6</v>
          </cell>
          <cell r="O159">
            <v>1.1608481726434009E-6</v>
          </cell>
          <cell r="P159">
            <v>1.1196945381425979E-6</v>
          </cell>
          <cell r="Q159">
            <v>1.1199747470652502E-6</v>
          </cell>
          <cell r="R159">
            <v>1.1464104649860592E-6</v>
          </cell>
          <cell r="S159">
            <v>1.1252827557020538E-6</v>
          </cell>
          <cell r="T159">
            <v>1.1104431817708095E-6</v>
          </cell>
          <cell r="U159">
            <v>1.1120400553729264E-6</v>
          </cell>
          <cell r="V159">
            <v>1.1089293529824441E-6</v>
          </cell>
          <cell r="W159">
            <v>1.1044288227366507E-6</v>
          </cell>
          <cell r="X159">
            <v>1.120855213046706E-6</v>
          </cell>
          <cell r="Y159">
            <v>1.1125831797841986E-6</v>
          </cell>
          <cell r="Z159">
            <v>1.1042123434939637E-6</v>
          </cell>
          <cell r="AA159">
            <v>1.1178886592441805E-6</v>
          </cell>
          <cell r="AB159">
            <v>1.1178886592441805E-6</v>
          </cell>
          <cell r="AC159">
            <v>1.1178886592441805E-6</v>
          </cell>
          <cell r="AD159">
            <v>1.1178886592441805E-6</v>
          </cell>
          <cell r="AE159">
            <v>1.1178886592441805E-6</v>
          </cell>
          <cell r="AF159">
            <v>1.1178886592441805E-6</v>
          </cell>
          <cell r="AG159">
            <v>1.1178886592441805E-6</v>
          </cell>
          <cell r="AH159">
            <v>1.1178886592441805E-6</v>
          </cell>
          <cell r="AI159">
            <v>1.1178886592441805E-6</v>
          </cell>
          <cell r="AJ159">
            <v>1.1178886592441805E-6</v>
          </cell>
          <cell r="AK159">
            <v>1.1178886592441805E-6</v>
          </cell>
          <cell r="AL159">
            <v>1.1178886592441805E-6</v>
          </cell>
          <cell r="AM159">
            <v>1.1178886592441805E-6</v>
          </cell>
          <cell r="AN159">
            <v>1.1178886592441805E-6</v>
          </cell>
          <cell r="AO159">
            <v>1.1178886592441805E-6</v>
          </cell>
          <cell r="AP159">
            <v>1.1178886592441805E-6</v>
          </cell>
          <cell r="AQ159">
            <v>1.1178886592441805E-6</v>
          </cell>
          <cell r="AR159">
            <v>1.1178886592441805E-6</v>
          </cell>
          <cell r="AS159">
            <v>1.1178886592441805E-6</v>
          </cell>
          <cell r="AT159">
            <v>1.1178886592441805E-6</v>
          </cell>
          <cell r="AU159">
            <v>1.1178886592441805E-6</v>
          </cell>
          <cell r="AV159">
            <v>1.1178886592441805E-6</v>
          </cell>
          <cell r="AW159">
            <v>1.1178886592441805E-6</v>
          </cell>
          <cell r="AX159">
            <v>1.1178886592441805E-6</v>
          </cell>
          <cell r="AY159">
            <v>1.1178886592441805E-6</v>
          </cell>
          <cell r="AZ159">
            <v>1.1178886592441805E-6</v>
          </cell>
          <cell r="BA159">
            <v>1.1178886592441805E-6</v>
          </cell>
          <cell r="BB159">
            <v>1.1178886592441805E-6</v>
          </cell>
          <cell r="BC159">
            <v>1.1178886592441805E-6</v>
          </cell>
          <cell r="BD159">
            <v>1.1178886592441805E-6</v>
          </cell>
          <cell r="BE159">
            <v>1.1178886592441805E-6</v>
          </cell>
          <cell r="BF159">
            <v>1.1178886592441805E-6</v>
          </cell>
          <cell r="BG159">
            <v>1.1178886592441805E-6</v>
          </cell>
          <cell r="BH159">
            <v>1.1178886592441805E-6</v>
          </cell>
          <cell r="BI159">
            <v>1.1178886592441805E-6</v>
          </cell>
          <cell r="BJ159">
            <v>1.1178886592441805E-6</v>
          </cell>
          <cell r="BK159">
            <v>1.1178886592441805E-6</v>
          </cell>
          <cell r="BL159">
            <v>1.1178886592441805E-6</v>
          </cell>
          <cell r="BM159">
            <v>1.1178886592441805E-6</v>
          </cell>
          <cell r="BN159">
            <v>1.1178886592441805E-6</v>
          </cell>
          <cell r="BO159">
            <v>1.1178886592441805E-6</v>
          </cell>
        </row>
        <row r="160">
          <cell r="G160">
            <v>1.0405827176744446E-6</v>
          </cell>
          <cell r="H160">
            <v>1.0405827279469411E-6</v>
          </cell>
          <cell r="I160">
            <v>1.0405827257690807E-6</v>
          </cell>
          <cell r="J160">
            <v>1.0405827282446435E-6</v>
          </cell>
          <cell r="K160">
            <v>1.0405827298923233E-6</v>
          </cell>
          <cell r="L160">
            <v>1.0405827240857723E-6</v>
          </cell>
          <cell r="M160">
            <v>1.0405828421386253E-6</v>
          </cell>
          <cell r="N160">
            <v>1.0405828599512854E-6</v>
          </cell>
          <cell r="O160">
            <v>1.0405827907429522E-6</v>
          </cell>
          <cell r="P160">
            <v>1.0405826514025066E-6</v>
          </cell>
          <cell r="Q160">
            <v>1.0405829049547356E-6</v>
          </cell>
          <cell r="R160">
            <v>1.0405828434654549E-6</v>
          </cell>
          <cell r="S160">
            <v>1.0405827597674191E-6</v>
          </cell>
          <cell r="T160">
            <v>1.0405825415368488E-6</v>
          </cell>
          <cell r="U160">
            <v>1.0405826394642279E-6</v>
          </cell>
          <cell r="V160">
            <v>1.0405827574764618E-6</v>
          </cell>
          <cell r="W160">
            <v>1.0405825582982004E-6</v>
          </cell>
          <cell r="X160">
            <v>1.0405827800752839E-6</v>
          </cell>
          <cell r="Y160">
            <v>1.0405826162605125E-6</v>
          </cell>
          <cell r="Z160">
            <v>1.0405828517444191E-6</v>
          </cell>
          <cell r="AA160">
            <v>1.040582705338272E-6</v>
          </cell>
          <cell r="AB160">
            <v>1.040582705338272E-6</v>
          </cell>
          <cell r="AC160">
            <v>1.040582705338272E-6</v>
          </cell>
          <cell r="AD160">
            <v>1.040582705338272E-6</v>
          </cell>
          <cell r="AE160">
            <v>1.040582705338272E-6</v>
          </cell>
          <cell r="AF160">
            <v>1.040582705338272E-6</v>
          </cell>
          <cell r="AG160">
            <v>1.040582705338272E-6</v>
          </cell>
          <cell r="AH160">
            <v>1.040582705338272E-6</v>
          </cell>
          <cell r="AI160">
            <v>1.040582705338272E-6</v>
          </cell>
          <cell r="AJ160">
            <v>1.040582705338272E-6</v>
          </cell>
          <cell r="AK160">
            <v>1.040582705338272E-6</v>
          </cell>
          <cell r="AL160">
            <v>1.040582705338272E-6</v>
          </cell>
          <cell r="AM160">
            <v>1.040582705338272E-6</v>
          </cell>
          <cell r="AN160">
            <v>1.040582705338272E-6</v>
          </cell>
          <cell r="AO160">
            <v>1.040582705338272E-6</v>
          </cell>
          <cell r="AP160">
            <v>1.040582705338272E-6</v>
          </cell>
          <cell r="AQ160">
            <v>1.040582705338272E-6</v>
          </cell>
          <cell r="AR160">
            <v>1.040582705338272E-6</v>
          </cell>
          <cell r="AS160">
            <v>1.040582705338272E-6</v>
          </cell>
          <cell r="AT160">
            <v>1.040582705338272E-6</v>
          </cell>
          <cell r="AU160">
            <v>1.040582705338272E-6</v>
          </cell>
          <cell r="AV160">
            <v>1.040582705338272E-6</v>
          </cell>
          <cell r="AW160">
            <v>1.040582705338272E-6</v>
          </cell>
          <cell r="AX160">
            <v>1.040582705338272E-6</v>
          </cell>
          <cell r="AY160">
            <v>1.040582705338272E-6</v>
          </cell>
          <cell r="AZ160">
            <v>1.040582705338272E-6</v>
          </cell>
          <cell r="BA160">
            <v>1.040582705338272E-6</v>
          </cell>
          <cell r="BB160">
            <v>1.040582705338272E-6</v>
          </cell>
          <cell r="BC160">
            <v>1.040582705338272E-6</v>
          </cell>
          <cell r="BD160">
            <v>1.040582705338272E-6</v>
          </cell>
          <cell r="BE160">
            <v>1.040582705338272E-6</v>
          </cell>
          <cell r="BF160">
            <v>1.040582705338272E-6</v>
          </cell>
          <cell r="BG160">
            <v>1.040582705338272E-6</v>
          </cell>
          <cell r="BH160">
            <v>1.040582705338272E-6</v>
          </cell>
          <cell r="BI160">
            <v>1.040582705338272E-6</v>
          </cell>
          <cell r="BJ160">
            <v>1.040582705338272E-6</v>
          </cell>
          <cell r="BK160">
            <v>1.040582705338272E-6</v>
          </cell>
          <cell r="BL160">
            <v>1.040582705338272E-6</v>
          </cell>
          <cell r="BM160">
            <v>1.040582705338272E-6</v>
          </cell>
          <cell r="BN160">
            <v>1.040582705338272E-6</v>
          </cell>
          <cell r="BO160">
            <v>1.040582705338272E-6</v>
          </cell>
        </row>
        <row r="161">
          <cell r="G161">
            <v>3.4384761216833145E-6</v>
          </cell>
          <cell r="H161">
            <v>3.4384636730050162E-6</v>
          </cell>
          <cell r="I161">
            <v>3.4725888755324284E-6</v>
          </cell>
          <cell r="J161">
            <v>3.4725831005824543E-6</v>
          </cell>
          <cell r="K161">
            <v>3.4725850014726555E-6</v>
          </cell>
          <cell r="L161">
            <v>3.4725910359665046E-6</v>
          </cell>
          <cell r="M161">
            <v>3.4725846490119225E-6</v>
          </cell>
          <cell r="N161">
            <v>3.4725828121424573E-6</v>
          </cell>
          <cell r="O161">
            <v>3.472590915207677E-6</v>
          </cell>
          <cell r="P161">
            <v>3.4725888096762181E-6</v>
          </cell>
          <cell r="Q161">
            <v>3.4725894521905806E-6</v>
          </cell>
          <cell r="R161">
            <v>3.4725821611460424E-6</v>
          </cell>
          <cell r="S161">
            <v>3.4725823341060829E-6</v>
          </cell>
          <cell r="T161">
            <v>3.4725889460729468E-6</v>
          </cell>
          <cell r="U161">
            <v>3.4725825620035635E-6</v>
          </cell>
          <cell r="V161">
            <v>3.4725893908652516E-6</v>
          </cell>
          <cell r="W161">
            <v>3.4725877114341268E-6</v>
          </cell>
          <cell r="X161">
            <v>3.4725813551444388E-6</v>
          </cell>
          <cell r="Y161">
            <v>3.4725878303051065E-6</v>
          </cell>
          <cell r="Z161">
            <v>3.4725880582413511E-6</v>
          </cell>
          <cell r="AA161">
            <v>3.4725913619891544E-6</v>
          </cell>
          <cell r="AB161">
            <v>3.4725913619891544E-6</v>
          </cell>
          <cell r="AC161">
            <v>3.4725913619891544E-6</v>
          </cell>
          <cell r="AD161">
            <v>3.4725913619891544E-6</v>
          </cell>
          <cell r="AE161">
            <v>3.4725913619891544E-6</v>
          </cell>
          <cell r="AF161">
            <v>3.4725913619891544E-6</v>
          </cell>
          <cell r="AG161">
            <v>3.4725913619891544E-6</v>
          </cell>
          <cell r="AH161">
            <v>3.4725913619891544E-6</v>
          </cell>
          <cell r="AI161">
            <v>3.4725913619891544E-6</v>
          </cell>
          <cell r="AJ161">
            <v>3.4725913619891544E-6</v>
          </cell>
          <cell r="AK161">
            <v>3.4725913619891544E-6</v>
          </cell>
          <cell r="AL161">
            <v>3.4725913619891544E-6</v>
          </cell>
          <cell r="AM161">
            <v>3.4725913619891544E-6</v>
          </cell>
          <cell r="AN161">
            <v>3.4725913619891544E-6</v>
          </cell>
          <cell r="AO161">
            <v>3.4725913619891544E-6</v>
          </cell>
          <cell r="AP161">
            <v>3.4725913619891544E-6</v>
          </cell>
          <cell r="AQ161">
            <v>3.4725913619891544E-6</v>
          </cell>
          <cell r="AR161">
            <v>3.4725913619891544E-6</v>
          </cell>
          <cell r="AS161">
            <v>3.4725913619891544E-6</v>
          </cell>
          <cell r="AT161">
            <v>3.4725913619891544E-6</v>
          </cell>
          <cell r="AU161">
            <v>3.4725913619891544E-6</v>
          </cell>
          <cell r="AV161">
            <v>3.4725913619891544E-6</v>
          </cell>
          <cell r="AW161">
            <v>3.4725913619891544E-6</v>
          </cell>
          <cell r="AX161">
            <v>3.4725913619891544E-6</v>
          </cell>
          <cell r="AY161">
            <v>3.4725913619891544E-6</v>
          </cell>
          <cell r="AZ161">
            <v>3.4725913619891544E-6</v>
          </cell>
          <cell r="BA161">
            <v>3.4725913619891544E-6</v>
          </cell>
          <cell r="BB161">
            <v>3.4725913619891544E-6</v>
          </cell>
          <cell r="BC161">
            <v>3.4725913619891544E-6</v>
          </cell>
          <cell r="BD161">
            <v>3.4725913619891544E-6</v>
          </cell>
          <cell r="BE161">
            <v>3.4725913619891544E-6</v>
          </cell>
          <cell r="BF161">
            <v>3.4725913619891544E-6</v>
          </cell>
          <cell r="BG161">
            <v>3.4725913619891544E-6</v>
          </cell>
          <cell r="BH161">
            <v>3.4725913619891544E-6</v>
          </cell>
          <cell r="BI161">
            <v>3.4725913619891544E-6</v>
          </cell>
          <cell r="BJ161">
            <v>3.4725913619891544E-6</v>
          </cell>
          <cell r="BK161">
            <v>3.4725913619891544E-6</v>
          </cell>
          <cell r="BL161">
            <v>3.4725913619891544E-6</v>
          </cell>
          <cell r="BM161">
            <v>3.4725913619891544E-6</v>
          </cell>
          <cell r="BN161">
            <v>3.4725913619891544E-6</v>
          </cell>
          <cell r="BO161">
            <v>3.4725913619891544E-6</v>
          </cell>
        </row>
        <row r="162"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0</v>
          </cell>
          <cell r="AY162">
            <v>0</v>
          </cell>
          <cell r="AZ162">
            <v>0</v>
          </cell>
          <cell r="BA162">
            <v>0</v>
          </cell>
          <cell r="BB162">
            <v>0</v>
          </cell>
          <cell r="BC162">
            <v>0</v>
          </cell>
          <cell r="BD162">
            <v>0</v>
          </cell>
          <cell r="BE162">
            <v>0</v>
          </cell>
          <cell r="BF162">
            <v>0</v>
          </cell>
          <cell r="BG162">
            <v>0</v>
          </cell>
          <cell r="BH162">
            <v>0</v>
          </cell>
          <cell r="BI162">
            <v>0</v>
          </cell>
          <cell r="BJ162">
            <v>0</v>
          </cell>
          <cell r="BK162">
            <v>0</v>
          </cell>
          <cell r="BL162">
            <v>0</v>
          </cell>
          <cell r="BM162">
            <v>0</v>
          </cell>
          <cell r="BN162">
            <v>0</v>
          </cell>
          <cell r="BO162">
            <v>0</v>
          </cell>
        </row>
        <row r="163">
          <cell r="G163">
            <v>4.7002197368249499E-6</v>
          </cell>
          <cell r="H163">
            <v>4.7002197368249499E-6</v>
          </cell>
          <cell r="I163">
            <v>4.7002197368249499E-6</v>
          </cell>
          <cell r="J163">
            <v>4.7002197368249499E-6</v>
          </cell>
          <cell r="K163">
            <v>4.7002197368249499E-6</v>
          </cell>
          <cell r="L163">
            <v>4.7002197368249499E-6</v>
          </cell>
          <cell r="M163">
            <v>4.7002197368249499E-6</v>
          </cell>
          <cell r="N163">
            <v>4.7002197368249499E-6</v>
          </cell>
          <cell r="O163">
            <v>4.7002197368249499E-6</v>
          </cell>
          <cell r="P163">
            <v>4.7002197368249499E-6</v>
          </cell>
          <cell r="Q163">
            <v>4.7002197368249499E-6</v>
          </cell>
          <cell r="R163">
            <v>4.7002197368249499E-6</v>
          </cell>
          <cell r="S163">
            <v>4.7002197368249499E-6</v>
          </cell>
          <cell r="T163">
            <v>4.7002197368249499E-6</v>
          </cell>
          <cell r="U163">
            <v>4.7002197368249499E-6</v>
          </cell>
          <cell r="V163">
            <v>4.7002197368249499E-6</v>
          </cell>
          <cell r="W163">
            <v>4.7002197368249499E-6</v>
          </cell>
          <cell r="X163">
            <v>4.7002197368249499E-6</v>
          </cell>
          <cell r="Y163">
            <v>4.7002197368249499E-6</v>
          </cell>
          <cell r="Z163">
            <v>4.7002197368249499E-6</v>
          </cell>
          <cell r="AA163">
            <v>4.7002197368249499E-6</v>
          </cell>
          <cell r="AB163">
            <v>4.7002197368249499E-6</v>
          </cell>
          <cell r="AC163">
            <v>4.7002197368249499E-6</v>
          </cell>
          <cell r="AD163">
            <v>4.7002197368249499E-6</v>
          </cell>
          <cell r="AE163">
            <v>4.7002197368249499E-6</v>
          </cell>
          <cell r="AF163">
            <v>4.7002197368249499E-6</v>
          </cell>
          <cell r="AG163">
            <v>4.7002197368249499E-6</v>
          </cell>
          <cell r="AH163">
            <v>4.7002197368249499E-6</v>
          </cell>
          <cell r="AI163">
            <v>4.7002197368249499E-6</v>
          </cell>
          <cell r="AJ163">
            <v>4.7002197368249499E-6</v>
          </cell>
          <cell r="AK163">
            <v>4.7002197368249499E-6</v>
          </cell>
          <cell r="AL163">
            <v>4.7002197368249499E-6</v>
          </cell>
          <cell r="AM163">
            <v>4.7002197368249499E-6</v>
          </cell>
          <cell r="AN163">
            <v>4.7002197368249499E-6</v>
          </cell>
          <cell r="AO163">
            <v>4.7002197368249499E-6</v>
          </cell>
          <cell r="AP163">
            <v>4.7002197368249499E-6</v>
          </cell>
          <cell r="AQ163">
            <v>4.7002197368249499E-6</v>
          </cell>
          <cell r="AR163">
            <v>4.7002197368249499E-6</v>
          </cell>
          <cell r="AS163">
            <v>4.7002197368249499E-6</v>
          </cell>
          <cell r="AT163">
            <v>4.7002197368249499E-6</v>
          </cell>
          <cell r="AU163">
            <v>4.7002197368249499E-6</v>
          </cell>
          <cell r="AV163">
            <v>4.7002197368249499E-6</v>
          </cell>
          <cell r="AW163">
            <v>4.7002197368249499E-6</v>
          </cell>
          <cell r="AX163">
            <v>4.7002197368249499E-6</v>
          </cell>
          <cell r="AY163">
            <v>4.7002197368249499E-6</v>
          </cell>
          <cell r="AZ163">
            <v>4.7002197368249499E-6</v>
          </cell>
          <cell r="BA163">
            <v>4.7002197368249499E-6</v>
          </cell>
          <cell r="BB163">
            <v>4.7002197368249499E-6</v>
          </cell>
          <cell r="BC163">
            <v>4.7002197368249499E-6</v>
          </cell>
          <cell r="BD163">
            <v>4.7002197368249499E-6</v>
          </cell>
          <cell r="BE163">
            <v>4.7002197368249499E-6</v>
          </cell>
          <cell r="BF163">
            <v>4.7002197368249499E-6</v>
          </cell>
          <cell r="BG163">
            <v>4.7002197368249499E-6</v>
          </cell>
          <cell r="BH163">
            <v>4.7002197368249499E-6</v>
          </cell>
          <cell r="BI163">
            <v>4.7002197368249499E-6</v>
          </cell>
          <cell r="BJ163">
            <v>4.7002197368249499E-6</v>
          </cell>
          <cell r="BK163">
            <v>4.7002197368249499E-6</v>
          </cell>
          <cell r="BL163">
            <v>4.7002197368249499E-6</v>
          </cell>
          <cell r="BM163">
            <v>4.7002197368249499E-6</v>
          </cell>
          <cell r="BN163">
            <v>4.7002197368249499E-6</v>
          </cell>
          <cell r="BO163">
            <v>4.7002197368249499E-6</v>
          </cell>
        </row>
        <row r="164">
          <cell r="G164">
            <v>2.8235293001734373E-6</v>
          </cell>
          <cell r="H164">
            <v>2.8235293205859475E-6</v>
          </cell>
          <cell r="I164">
            <v>2.8235292886308541E-6</v>
          </cell>
          <cell r="J164">
            <v>2.8235294015858939E-6</v>
          </cell>
          <cell r="K164">
            <v>2.8235293083962409E-6</v>
          </cell>
          <cell r="L164">
            <v>2.8235297690850697E-6</v>
          </cell>
          <cell r="M164">
            <v>2.8235298636353346E-6</v>
          </cell>
          <cell r="N164">
            <v>2.8235288846391223E-6</v>
          </cell>
          <cell r="O164">
            <v>2.8235291524956956E-6</v>
          </cell>
          <cell r="P164">
            <v>2.8235290179346673E-6</v>
          </cell>
          <cell r="Q164">
            <v>2.8235296739699532E-6</v>
          </cell>
          <cell r="R164">
            <v>2.8235288747788435E-6</v>
          </cell>
          <cell r="S164">
            <v>2.8235276368673148E-6</v>
          </cell>
          <cell r="T164">
            <v>2.8235290432602849E-6</v>
          </cell>
          <cell r="U164">
            <v>2.8235290432602849E-6</v>
          </cell>
          <cell r="V164">
            <v>2.8235290432602849E-6</v>
          </cell>
          <cell r="W164">
            <v>2.8235279859362284E-6</v>
          </cell>
          <cell r="X164">
            <v>2.8235273923552028E-6</v>
          </cell>
          <cell r="Y164">
            <v>2.8235273923552028E-6</v>
          </cell>
          <cell r="Z164">
            <v>2.8235288932861631E-6</v>
          </cell>
          <cell r="AA164">
            <v>2.8235418415560557E-6</v>
          </cell>
          <cell r="AB164">
            <v>2.8235418415560557E-6</v>
          </cell>
          <cell r="AC164">
            <v>2.8235418415560557E-6</v>
          </cell>
          <cell r="AD164">
            <v>2.8235418415560557E-6</v>
          </cell>
          <cell r="AE164">
            <v>2.8235418415560557E-6</v>
          </cell>
          <cell r="AF164">
            <v>2.8235418415560557E-6</v>
          </cell>
          <cell r="AG164">
            <v>2.8235418415560557E-6</v>
          </cell>
          <cell r="AH164">
            <v>2.8235418415560557E-6</v>
          </cell>
          <cell r="AI164">
            <v>2.8235418415560557E-6</v>
          </cell>
          <cell r="AJ164">
            <v>2.8235418415560557E-6</v>
          </cell>
          <cell r="AK164">
            <v>2.8235418415560557E-6</v>
          </cell>
          <cell r="AL164">
            <v>2.8235418415560557E-6</v>
          </cell>
          <cell r="AM164">
            <v>2.8235418415560557E-6</v>
          </cell>
          <cell r="AN164">
            <v>2.8235418415560557E-6</v>
          </cell>
          <cell r="AO164">
            <v>2.8235418415560557E-6</v>
          </cell>
          <cell r="AP164">
            <v>2.8235418415560557E-6</v>
          </cell>
          <cell r="AQ164">
            <v>2.8235418415560557E-6</v>
          </cell>
          <cell r="AR164">
            <v>2.8235418415560557E-6</v>
          </cell>
          <cell r="AS164">
            <v>2.8235418415560557E-6</v>
          </cell>
          <cell r="AT164">
            <v>2.8235418415560557E-6</v>
          </cell>
          <cell r="AU164">
            <v>2.8235418415560557E-6</v>
          </cell>
          <cell r="AV164">
            <v>2.8235418415560557E-6</v>
          </cell>
          <cell r="AW164">
            <v>2.8235418415560557E-6</v>
          </cell>
          <cell r="AX164">
            <v>2.8235418415560557E-6</v>
          </cell>
          <cell r="AY164">
            <v>2.8235418415560557E-6</v>
          </cell>
          <cell r="AZ164">
            <v>2.8235418415560557E-6</v>
          </cell>
          <cell r="BA164">
            <v>2.8235418415560557E-6</v>
          </cell>
          <cell r="BB164">
            <v>2.8235418415560557E-6</v>
          </cell>
          <cell r="BC164">
            <v>2.8235418415560557E-6</v>
          </cell>
          <cell r="BD164">
            <v>2.8235418415560557E-6</v>
          </cell>
          <cell r="BE164">
            <v>2.8235418415560557E-6</v>
          </cell>
          <cell r="BF164">
            <v>2.8235418415560557E-6</v>
          </cell>
          <cell r="BG164">
            <v>2.8235418415560557E-6</v>
          </cell>
          <cell r="BH164">
            <v>2.8235418415560557E-6</v>
          </cell>
          <cell r="BI164">
            <v>2.8235418415560557E-6</v>
          </cell>
          <cell r="BJ164">
            <v>2.8235418415560557E-6</v>
          </cell>
          <cell r="BK164">
            <v>2.8235418415560557E-6</v>
          </cell>
          <cell r="BL164">
            <v>2.8235418415560557E-6</v>
          </cell>
          <cell r="BM164">
            <v>2.8235418415560557E-6</v>
          </cell>
          <cell r="BN164">
            <v>2.8235418415560557E-6</v>
          </cell>
          <cell r="BO164">
            <v>2.8235418415560557E-6</v>
          </cell>
        </row>
        <row r="165">
          <cell r="G165">
            <v>2.8851702942581023E-6</v>
          </cell>
          <cell r="H165">
            <v>2.8851741764973704E-6</v>
          </cell>
          <cell r="I165">
            <v>2.8571469952248602E-6</v>
          </cell>
          <cell r="J165">
            <v>2.8571408208891936E-6</v>
          </cell>
          <cell r="K165">
            <v>2.8571428571428573E-6</v>
          </cell>
          <cell r="L165">
            <v>2.8571438566883642E-6</v>
          </cell>
          <cell r="M165">
            <v>2.8571428571428573E-6</v>
          </cell>
          <cell r="N165">
            <v>2.8571428571428573E-6</v>
          </cell>
          <cell r="O165">
            <v>2.857141878529187E-6</v>
          </cell>
          <cell r="P165">
            <v>2.8571447894974979E-6</v>
          </cell>
          <cell r="Q165">
            <v>2.8571409759473164E-6</v>
          </cell>
          <cell r="R165">
            <v>2.8571428571428573E-6</v>
          </cell>
          <cell r="S165">
            <v>2.8571438056255458E-6</v>
          </cell>
          <cell r="T165">
            <v>2.8571437844349931E-6</v>
          </cell>
          <cell r="U165">
            <v>2.8571446568056545E-6</v>
          </cell>
          <cell r="V165">
            <v>2.8571455822852664E-6</v>
          </cell>
          <cell r="W165">
            <v>2.8571419760700631E-6</v>
          </cell>
          <cell r="X165">
            <v>2.8571454779837142E-6</v>
          </cell>
          <cell r="Y165">
            <v>2.8571428571428573E-6</v>
          </cell>
          <cell r="Z165">
            <v>2.8571454251195541E-6</v>
          </cell>
          <cell r="AA165">
            <v>2.8571458873488601E-6</v>
          </cell>
          <cell r="AB165">
            <v>2.8571458873488601E-6</v>
          </cell>
          <cell r="AC165">
            <v>2.8571458873488601E-6</v>
          </cell>
          <cell r="AD165">
            <v>2.8571458873488601E-6</v>
          </cell>
          <cell r="AE165">
            <v>2.8571458873488601E-6</v>
          </cell>
          <cell r="AF165">
            <v>2.8571458873488601E-6</v>
          </cell>
          <cell r="AG165">
            <v>2.8571458873488601E-6</v>
          </cell>
          <cell r="AH165">
            <v>2.8571458873488601E-6</v>
          </cell>
          <cell r="AI165">
            <v>2.8571458873488601E-6</v>
          </cell>
          <cell r="AJ165">
            <v>2.8571458873488601E-6</v>
          </cell>
          <cell r="AK165">
            <v>2.8571458873488601E-6</v>
          </cell>
          <cell r="AL165">
            <v>2.8571458873488601E-6</v>
          </cell>
          <cell r="AM165">
            <v>2.8571458873488601E-6</v>
          </cell>
          <cell r="AN165">
            <v>2.8571458873488601E-6</v>
          </cell>
          <cell r="AO165">
            <v>2.8571458873488601E-6</v>
          </cell>
          <cell r="AP165">
            <v>2.8571458873488601E-6</v>
          </cell>
          <cell r="AQ165">
            <v>2.8571458873488601E-6</v>
          </cell>
          <cell r="AR165">
            <v>2.8571458873488601E-6</v>
          </cell>
          <cell r="AS165">
            <v>2.8571458873488601E-6</v>
          </cell>
          <cell r="AT165">
            <v>2.8571458873488601E-6</v>
          </cell>
          <cell r="AU165">
            <v>2.8571458873488601E-6</v>
          </cell>
          <cell r="AV165">
            <v>2.8571458873488601E-6</v>
          </cell>
          <cell r="AW165">
            <v>2.8571458873488601E-6</v>
          </cell>
          <cell r="AX165">
            <v>2.8571458873488601E-6</v>
          </cell>
          <cell r="AY165">
            <v>2.8571458873488601E-6</v>
          </cell>
          <cell r="AZ165">
            <v>2.8571458873488601E-6</v>
          </cell>
          <cell r="BA165">
            <v>2.8571458873488601E-6</v>
          </cell>
          <cell r="BB165">
            <v>2.8571458873488601E-6</v>
          </cell>
          <cell r="BC165">
            <v>2.8571458873488601E-6</v>
          </cell>
          <cell r="BD165">
            <v>2.8571458873488601E-6</v>
          </cell>
          <cell r="BE165">
            <v>2.8571458873488601E-6</v>
          </cell>
          <cell r="BF165">
            <v>2.8571458873488601E-6</v>
          </cell>
          <cell r="BG165">
            <v>2.8571458873488601E-6</v>
          </cell>
          <cell r="BH165">
            <v>2.8571458873488601E-6</v>
          </cell>
          <cell r="BI165">
            <v>2.8571458873488601E-6</v>
          </cell>
          <cell r="BJ165">
            <v>2.8571458873488601E-6</v>
          </cell>
          <cell r="BK165">
            <v>2.8571458873488601E-6</v>
          </cell>
          <cell r="BL165">
            <v>2.8571458873488601E-6</v>
          </cell>
          <cell r="BM165">
            <v>2.8571458873488601E-6</v>
          </cell>
          <cell r="BN165">
            <v>2.8571458873488601E-6</v>
          </cell>
          <cell r="BO165">
            <v>2.8571458873488601E-6</v>
          </cell>
        </row>
        <row r="166"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J166">
            <v>0</v>
          </cell>
          <cell r="AK166">
            <v>0</v>
          </cell>
          <cell r="AL166">
            <v>0</v>
          </cell>
          <cell r="AM166">
            <v>0</v>
          </cell>
          <cell r="AN166">
            <v>0</v>
          </cell>
          <cell r="AO166">
            <v>0</v>
          </cell>
          <cell r="AP166">
            <v>0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  <cell r="AU166">
            <v>0</v>
          </cell>
          <cell r="AV166">
            <v>0</v>
          </cell>
          <cell r="AW166">
            <v>0</v>
          </cell>
          <cell r="AX166">
            <v>0</v>
          </cell>
          <cell r="AY166">
            <v>0</v>
          </cell>
          <cell r="AZ166">
            <v>0</v>
          </cell>
          <cell r="BA166">
            <v>0</v>
          </cell>
          <cell r="BB166">
            <v>0</v>
          </cell>
          <cell r="BC166">
            <v>0</v>
          </cell>
          <cell r="BD166">
            <v>0</v>
          </cell>
          <cell r="BE166">
            <v>0</v>
          </cell>
          <cell r="BF166">
            <v>0</v>
          </cell>
          <cell r="BG166">
            <v>0</v>
          </cell>
          <cell r="BH166">
            <v>0</v>
          </cell>
          <cell r="BI166">
            <v>0</v>
          </cell>
          <cell r="BJ166">
            <v>0</v>
          </cell>
          <cell r="BK166">
            <v>0</v>
          </cell>
          <cell r="BL166">
            <v>0</v>
          </cell>
          <cell r="BM166">
            <v>0</v>
          </cell>
          <cell r="BN166">
            <v>0</v>
          </cell>
          <cell r="BO166">
            <v>0</v>
          </cell>
        </row>
        <row r="167">
          <cell r="G167">
            <v>7.9736249556157934E-7</v>
          </cell>
          <cell r="H167">
            <v>7.9736022959592476E-7</v>
          </cell>
          <cell r="I167">
            <v>7.7540003383703026E-7</v>
          </cell>
          <cell r="J167">
            <v>7.7539967549540893E-7</v>
          </cell>
          <cell r="K167">
            <v>7.7540145501549478E-7</v>
          </cell>
          <cell r="L167">
            <v>7.7539724202773649E-7</v>
          </cell>
          <cell r="M167">
            <v>7.7539983891381881E-7</v>
          </cell>
          <cell r="N167">
            <v>7.7539779872985618E-7</v>
          </cell>
          <cell r="O167">
            <v>7.754002311984898E-7</v>
          </cell>
          <cell r="P167">
            <v>7.7539965408187943E-7</v>
          </cell>
          <cell r="Q167">
            <v>7.7539739027283511E-7</v>
          </cell>
          <cell r="R167">
            <v>7.7539611797730377E-7</v>
          </cell>
          <cell r="S167">
            <v>7.7540234419950352E-7</v>
          </cell>
          <cell r="T167">
            <v>7.7539772865841272E-7</v>
          </cell>
          <cell r="U167">
            <v>7.7539938945356478E-7</v>
          </cell>
          <cell r="V167">
            <v>7.7539752024383434E-7</v>
          </cell>
          <cell r="W167">
            <v>7.7539727058422559E-7</v>
          </cell>
          <cell r="X167">
            <v>7.7539820675105488E-7</v>
          </cell>
          <cell r="Y167">
            <v>7.7540025010127346E-7</v>
          </cell>
          <cell r="Z167">
            <v>7.7540366649039309E-7</v>
          </cell>
          <cell r="AA167">
            <v>7.7540540869332489E-7</v>
          </cell>
          <cell r="AB167">
            <v>7.7540540869332489E-7</v>
          </cell>
          <cell r="AC167">
            <v>7.7540540869332489E-7</v>
          </cell>
          <cell r="AD167">
            <v>7.7540540869332489E-7</v>
          </cell>
          <cell r="AE167">
            <v>7.7540540869332489E-7</v>
          </cell>
          <cell r="AF167">
            <v>7.7540540869332489E-7</v>
          </cell>
          <cell r="AG167">
            <v>7.7540540869332489E-7</v>
          </cell>
          <cell r="AH167">
            <v>7.7540540869332489E-7</v>
          </cell>
          <cell r="AI167">
            <v>7.7540540869332489E-7</v>
          </cell>
          <cell r="AJ167">
            <v>7.7540540869332489E-7</v>
          </cell>
          <cell r="AK167">
            <v>7.7540540869332489E-7</v>
          </cell>
          <cell r="AL167">
            <v>7.7540540869332489E-7</v>
          </cell>
          <cell r="AM167">
            <v>7.7540540869332489E-7</v>
          </cell>
          <cell r="AN167">
            <v>7.7540540869332489E-7</v>
          </cell>
          <cell r="AO167">
            <v>7.7540540869332489E-7</v>
          </cell>
          <cell r="AP167">
            <v>7.7540540869332489E-7</v>
          </cell>
          <cell r="AQ167">
            <v>7.7540540869332489E-7</v>
          </cell>
          <cell r="AR167">
            <v>7.7540540869332489E-7</v>
          </cell>
          <cell r="AS167">
            <v>7.7540540869332489E-7</v>
          </cell>
          <cell r="AT167">
            <v>7.7540540869332489E-7</v>
          </cell>
          <cell r="AU167">
            <v>7.7540540869332489E-7</v>
          </cell>
          <cell r="AV167">
            <v>7.7540540869332489E-7</v>
          </cell>
          <cell r="AW167">
            <v>7.7540540869332489E-7</v>
          </cell>
          <cell r="AX167">
            <v>7.7540540869332489E-7</v>
          </cell>
          <cell r="AY167">
            <v>7.7540540869332489E-7</v>
          </cell>
          <cell r="AZ167">
            <v>7.7540540869332489E-7</v>
          </cell>
          <cell r="BA167">
            <v>7.7540540869332489E-7</v>
          </cell>
          <cell r="BB167">
            <v>7.7540540869332489E-7</v>
          </cell>
          <cell r="BC167">
            <v>7.7540540869332489E-7</v>
          </cell>
          <cell r="BD167">
            <v>7.7540540869332489E-7</v>
          </cell>
          <cell r="BE167">
            <v>7.7540540869332489E-7</v>
          </cell>
          <cell r="BF167">
            <v>7.7540540869332489E-7</v>
          </cell>
          <cell r="BG167">
            <v>7.7540540869332489E-7</v>
          </cell>
          <cell r="BH167">
            <v>7.7540540869332489E-7</v>
          </cell>
          <cell r="BI167">
            <v>7.7540540869332489E-7</v>
          </cell>
          <cell r="BJ167">
            <v>7.7540540869332489E-7</v>
          </cell>
          <cell r="BK167">
            <v>7.7540540869332489E-7</v>
          </cell>
          <cell r="BL167">
            <v>7.7540540869332489E-7</v>
          </cell>
          <cell r="BM167">
            <v>7.7540540869332489E-7</v>
          </cell>
          <cell r="BN167">
            <v>7.7540540869332489E-7</v>
          </cell>
          <cell r="BO167">
            <v>7.7540540869332489E-7</v>
          </cell>
        </row>
        <row r="168">
          <cell r="G168">
            <v>8.9391766268260293E-7</v>
          </cell>
          <cell r="H168">
            <v>8.9391766268260293E-7</v>
          </cell>
          <cell r="I168">
            <v>8.9391766268260293E-7</v>
          </cell>
          <cell r="J168">
            <v>8.9551962763743971E-7</v>
          </cell>
          <cell r="K168">
            <v>8.9552582730589518E-7</v>
          </cell>
          <cell r="L168">
            <v>8.9552582730589518E-7</v>
          </cell>
          <cell r="M168">
            <v>8.9552582730589518E-7</v>
          </cell>
          <cell r="N168">
            <v>8.9552582730589518E-7</v>
          </cell>
          <cell r="O168">
            <v>8.9552582730589518E-7</v>
          </cell>
          <cell r="P168">
            <v>8.9552582730589518E-7</v>
          </cell>
          <cell r="Q168">
            <v>8.9552582730589518E-7</v>
          </cell>
          <cell r="R168">
            <v>8.9552582730589518E-7</v>
          </cell>
          <cell r="S168">
            <v>8.9552582730589518E-7</v>
          </cell>
          <cell r="T168">
            <v>8.9552582730589518E-7</v>
          </cell>
          <cell r="U168">
            <v>8.9552582730589518E-7</v>
          </cell>
          <cell r="V168">
            <v>8.9552582730589518E-7</v>
          </cell>
          <cell r="W168">
            <v>8.9552582730589518E-7</v>
          </cell>
          <cell r="X168">
            <v>8.9552582730589518E-7</v>
          </cell>
          <cell r="Y168">
            <v>8.9552582730589518E-7</v>
          </cell>
          <cell r="Z168">
            <v>8.9552582730589518E-7</v>
          </cell>
          <cell r="AA168">
            <v>8.9552582730589518E-7</v>
          </cell>
          <cell r="AB168">
            <v>8.9552582730589518E-7</v>
          </cell>
          <cell r="AC168">
            <v>8.9552582730589518E-7</v>
          </cell>
          <cell r="AD168">
            <v>8.9552582730589518E-7</v>
          </cell>
          <cell r="AE168">
            <v>8.9552582730589518E-7</v>
          </cell>
          <cell r="AF168">
            <v>8.9552582730589518E-7</v>
          </cell>
          <cell r="AG168">
            <v>8.9552582730589518E-7</v>
          </cell>
          <cell r="AH168">
            <v>8.9552582730589518E-7</v>
          </cell>
          <cell r="AI168">
            <v>8.9552582730589518E-7</v>
          </cell>
          <cell r="AJ168">
            <v>8.9552582730589518E-7</v>
          </cell>
          <cell r="AK168">
            <v>8.9552582730589518E-7</v>
          </cell>
          <cell r="AL168">
            <v>8.9552582730589518E-7</v>
          </cell>
          <cell r="AM168">
            <v>8.9552582730589518E-7</v>
          </cell>
          <cell r="AN168">
            <v>8.9552582730589518E-7</v>
          </cell>
          <cell r="AO168">
            <v>8.9552582730589518E-7</v>
          </cell>
          <cell r="AP168">
            <v>8.9552582730589518E-7</v>
          </cell>
          <cell r="AQ168">
            <v>8.9552582730589518E-7</v>
          </cell>
          <cell r="AR168">
            <v>8.9552582730589518E-7</v>
          </cell>
          <cell r="AS168">
            <v>8.9552582730589518E-7</v>
          </cell>
          <cell r="AT168">
            <v>8.9552582730589518E-7</v>
          </cell>
          <cell r="AU168">
            <v>8.9552582730589518E-7</v>
          </cell>
          <cell r="AV168">
            <v>8.9552582730589518E-7</v>
          </cell>
          <cell r="AW168">
            <v>8.9552582730589518E-7</v>
          </cell>
          <cell r="AX168">
            <v>8.9552582730589518E-7</v>
          </cell>
          <cell r="AY168">
            <v>8.9552582730589518E-7</v>
          </cell>
          <cell r="AZ168">
            <v>8.9552582730589518E-7</v>
          </cell>
          <cell r="BA168">
            <v>8.9552582730589518E-7</v>
          </cell>
          <cell r="BB168">
            <v>8.9552582730589518E-7</v>
          </cell>
          <cell r="BC168">
            <v>8.9552582730589518E-7</v>
          </cell>
          <cell r="BD168">
            <v>8.9552582730589518E-7</v>
          </cell>
          <cell r="BE168">
            <v>8.9552582730589518E-7</v>
          </cell>
          <cell r="BF168">
            <v>8.9552582730589518E-7</v>
          </cell>
          <cell r="BG168">
            <v>8.9552582730589518E-7</v>
          </cell>
          <cell r="BH168">
            <v>8.9552582730589518E-7</v>
          </cell>
          <cell r="BI168">
            <v>8.9552582730589518E-7</v>
          </cell>
          <cell r="BJ168">
            <v>8.9552582730589518E-7</v>
          </cell>
          <cell r="BK168">
            <v>8.9552582730589518E-7</v>
          </cell>
          <cell r="BL168">
            <v>8.9552582730589518E-7</v>
          </cell>
          <cell r="BM168">
            <v>8.9552582730589518E-7</v>
          </cell>
          <cell r="BN168">
            <v>8.9552582730589518E-7</v>
          </cell>
          <cell r="BO168">
            <v>8.9552582730589518E-7</v>
          </cell>
        </row>
        <row r="169">
          <cell r="G169">
            <v>9.7394051232794818E-7</v>
          </cell>
          <cell r="H169">
            <v>9.7138356351785468E-7</v>
          </cell>
          <cell r="I169">
            <v>9.7138356667125818E-7</v>
          </cell>
          <cell r="J169">
            <v>9.6858638743455478E-7</v>
          </cell>
          <cell r="K169">
            <v>9.6833289572591836E-7</v>
          </cell>
          <cell r="L169">
            <v>9.6706745968712354E-7</v>
          </cell>
          <cell r="M169">
            <v>9.670674287828192E-7</v>
          </cell>
          <cell r="N169">
            <v>9.7087377090997642E-7</v>
          </cell>
          <cell r="O169">
            <v>9.6329083616292674E-7</v>
          </cell>
          <cell r="P169">
            <v>9.6278946445229952E-7</v>
          </cell>
          <cell r="Q169">
            <v>9.6053998074030376E-7</v>
          </cell>
          <cell r="R169">
            <v>9.595435413772697E-7</v>
          </cell>
          <cell r="S169">
            <v>9.5508515933911687E-7</v>
          </cell>
          <cell r="T169">
            <v>9.5238092844104533E-7</v>
          </cell>
          <cell r="U169">
            <v>9.4871796761961505E-7</v>
          </cell>
          <cell r="V169">
            <v>9.4291540484527353E-7</v>
          </cell>
          <cell r="W169">
            <v>9.479888954209107E-7</v>
          </cell>
          <cell r="X169">
            <v>9.4339642625143072E-7</v>
          </cell>
          <cell r="Y169">
            <v>9.4604958855190435E-7</v>
          </cell>
          <cell r="Z169">
            <v>9.4195422041698765E-7</v>
          </cell>
          <cell r="AA169">
            <v>9.4195570993630577E-7</v>
          </cell>
          <cell r="AB169">
            <v>9.4195570993630577E-7</v>
          </cell>
          <cell r="AC169">
            <v>9.4195570993630577E-7</v>
          </cell>
          <cell r="AD169">
            <v>9.4195570993630577E-7</v>
          </cell>
          <cell r="AE169">
            <v>9.4195570993630577E-7</v>
          </cell>
          <cell r="AF169">
            <v>9.4195570993630577E-7</v>
          </cell>
          <cell r="AG169">
            <v>9.4195570993630577E-7</v>
          </cell>
          <cell r="AH169">
            <v>9.4195570993630577E-7</v>
          </cell>
          <cell r="AI169">
            <v>9.4195570993630577E-7</v>
          </cell>
          <cell r="AJ169">
            <v>9.4195570993630577E-7</v>
          </cell>
          <cell r="AK169">
            <v>9.4195570993630577E-7</v>
          </cell>
          <cell r="AL169">
            <v>9.4195570993630577E-7</v>
          </cell>
          <cell r="AM169">
            <v>9.4195570993630577E-7</v>
          </cell>
          <cell r="AN169">
            <v>9.4195570993630577E-7</v>
          </cell>
          <cell r="AO169">
            <v>9.4195570993630577E-7</v>
          </cell>
          <cell r="AP169">
            <v>9.4195570993630577E-7</v>
          </cell>
          <cell r="AQ169">
            <v>9.4195570993630577E-7</v>
          </cell>
          <cell r="AR169">
            <v>9.4195570993630577E-7</v>
          </cell>
          <cell r="AS169">
            <v>9.4195570993630577E-7</v>
          </cell>
          <cell r="AT169">
            <v>9.4195570993630577E-7</v>
          </cell>
          <cell r="AU169">
            <v>9.4195570993630577E-7</v>
          </cell>
          <cell r="AV169">
            <v>9.4195570993630577E-7</v>
          </cell>
          <cell r="AW169">
            <v>9.4195570993630577E-7</v>
          </cell>
          <cell r="AX169">
            <v>9.4195570993630577E-7</v>
          </cell>
          <cell r="AY169">
            <v>9.4195570993630577E-7</v>
          </cell>
          <cell r="AZ169">
            <v>9.4195570993630577E-7</v>
          </cell>
          <cell r="BA169">
            <v>9.4195570993630577E-7</v>
          </cell>
          <cell r="BB169">
            <v>9.4195570993630577E-7</v>
          </cell>
          <cell r="BC169">
            <v>9.4195570993630577E-7</v>
          </cell>
          <cell r="BD169">
            <v>9.4195570993630577E-7</v>
          </cell>
          <cell r="BE169">
            <v>9.4195570993630577E-7</v>
          </cell>
          <cell r="BF169">
            <v>9.4195570993630577E-7</v>
          </cell>
          <cell r="BG169">
            <v>9.4195570993630577E-7</v>
          </cell>
          <cell r="BH169">
            <v>9.4195570993630577E-7</v>
          </cell>
          <cell r="BI169">
            <v>9.4195570993630577E-7</v>
          </cell>
          <cell r="BJ169">
            <v>9.4195570993630577E-7</v>
          </cell>
          <cell r="BK169">
            <v>9.4195570993630577E-7</v>
          </cell>
          <cell r="BL169">
            <v>9.4195570993630577E-7</v>
          </cell>
          <cell r="BM169">
            <v>9.4195570993630577E-7</v>
          </cell>
          <cell r="BN169">
            <v>9.4195570993630577E-7</v>
          </cell>
          <cell r="BO169">
            <v>9.4195570993630577E-7</v>
          </cell>
        </row>
        <row r="170">
          <cell r="G170">
            <v>2.5889967532216271E-6</v>
          </cell>
          <cell r="H170">
            <v>2.5889967567509678E-6</v>
          </cell>
          <cell r="I170">
            <v>2.5889967473666931E-6</v>
          </cell>
          <cell r="J170">
            <v>2.5889967649113162E-6</v>
          </cell>
          <cell r="K170">
            <v>2.5889967529541222E-6</v>
          </cell>
          <cell r="L170">
            <v>2.5889967686127557E-6</v>
          </cell>
          <cell r="M170">
            <v>2.5889971681382565E-6</v>
          </cell>
          <cell r="N170">
            <v>2.5889975690344362E-6</v>
          </cell>
          <cell r="O170">
            <v>2.588997293722101E-6</v>
          </cell>
          <cell r="P170">
            <v>2.5889972199744079E-6</v>
          </cell>
          <cell r="Q170">
            <v>2.5889975645349421E-6</v>
          </cell>
          <cell r="R170">
            <v>2.5889969367003036E-6</v>
          </cell>
          <cell r="S170">
            <v>2.5889973423615687E-6</v>
          </cell>
          <cell r="T170">
            <v>2.5889961470582676E-6</v>
          </cell>
          <cell r="U170">
            <v>2.5888323445489533E-6</v>
          </cell>
          <cell r="V170">
            <v>2.5888319141025715E-6</v>
          </cell>
          <cell r="W170">
            <v>2.5888327551652638E-6</v>
          </cell>
          <cell r="X170">
            <v>2.5888325426735722E-6</v>
          </cell>
          <cell r="Y170">
            <v>2.5888327773760766E-6</v>
          </cell>
          <cell r="Z170">
            <v>2.588831141078311E-6</v>
          </cell>
          <cell r="AA170">
            <v>2.5888326702776725E-6</v>
          </cell>
          <cell r="AB170">
            <v>2.5888326702776725E-6</v>
          </cell>
          <cell r="AC170">
            <v>2.5888326702776725E-6</v>
          </cell>
          <cell r="AD170">
            <v>2.5888326702776725E-6</v>
          </cell>
          <cell r="AE170">
            <v>2.5888326702776725E-6</v>
          </cell>
          <cell r="AF170">
            <v>2.5888326702776725E-6</v>
          </cell>
          <cell r="AG170">
            <v>2.5888326702776725E-6</v>
          </cell>
          <cell r="AH170">
            <v>2.5888326702776725E-6</v>
          </cell>
          <cell r="AI170">
            <v>2.5888326702776725E-6</v>
          </cell>
          <cell r="AJ170">
            <v>2.5888326702776725E-6</v>
          </cell>
          <cell r="AK170">
            <v>2.5888326702776725E-6</v>
          </cell>
          <cell r="AL170">
            <v>2.5888326702776725E-6</v>
          </cell>
          <cell r="AM170">
            <v>2.5888326702776725E-6</v>
          </cell>
          <cell r="AN170">
            <v>2.5888326702776725E-6</v>
          </cell>
          <cell r="AO170">
            <v>2.5888326702776725E-6</v>
          </cell>
          <cell r="AP170">
            <v>2.5888326702776725E-6</v>
          </cell>
          <cell r="AQ170">
            <v>2.5888326702776725E-6</v>
          </cell>
          <cell r="AR170">
            <v>2.5888326702776725E-6</v>
          </cell>
          <cell r="AS170">
            <v>2.5888326702776725E-6</v>
          </cell>
          <cell r="AT170">
            <v>2.5888326702776725E-6</v>
          </cell>
          <cell r="AU170">
            <v>2.5888326702776725E-6</v>
          </cell>
          <cell r="AV170">
            <v>2.5888326702776725E-6</v>
          </cell>
          <cell r="AW170">
            <v>2.5888326702776725E-6</v>
          </cell>
          <cell r="AX170">
            <v>2.5888326702776725E-6</v>
          </cell>
          <cell r="AY170">
            <v>2.5888326702776725E-6</v>
          </cell>
          <cell r="AZ170">
            <v>2.5888326702776725E-6</v>
          </cell>
          <cell r="BA170">
            <v>2.5888326702776725E-6</v>
          </cell>
          <cell r="BB170">
            <v>2.5888326702776725E-6</v>
          </cell>
          <cell r="BC170">
            <v>2.5888326702776725E-6</v>
          </cell>
          <cell r="BD170">
            <v>2.5888326702776725E-6</v>
          </cell>
          <cell r="BE170">
            <v>2.5888326702776725E-6</v>
          </cell>
          <cell r="BF170">
            <v>2.5888326702776725E-6</v>
          </cell>
          <cell r="BG170">
            <v>2.5888326702776725E-6</v>
          </cell>
          <cell r="BH170">
            <v>2.5888326702776725E-6</v>
          </cell>
          <cell r="BI170">
            <v>2.5888326702776725E-6</v>
          </cell>
          <cell r="BJ170">
            <v>2.5888326702776725E-6</v>
          </cell>
          <cell r="BK170">
            <v>2.5888326702776725E-6</v>
          </cell>
          <cell r="BL170">
            <v>2.5888326702776725E-6</v>
          </cell>
          <cell r="BM170">
            <v>2.5888326702776725E-6</v>
          </cell>
          <cell r="BN170">
            <v>2.5888326702776725E-6</v>
          </cell>
          <cell r="BO170">
            <v>2.5888326702776725E-6</v>
          </cell>
        </row>
        <row r="171">
          <cell r="G171">
            <v>9.4824184391688377E-7</v>
          </cell>
          <cell r="H171">
            <v>9.482417658479457E-7</v>
          </cell>
          <cell r="I171">
            <v>9.4824194420074309E-7</v>
          </cell>
          <cell r="J171">
            <v>9.4824177720811866E-7</v>
          </cell>
          <cell r="K171">
            <v>9.4824181169534642E-7</v>
          </cell>
          <cell r="L171">
            <v>9.482416274889288E-7</v>
          </cell>
          <cell r="M171">
            <v>9.4824146680607779E-7</v>
          </cell>
          <cell r="N171">
            <v>9.4824311196085648E-7</v>
          </cell>
          <cell r="O171">
            <v>9.4824119846906824E-7</v>
          </cell>
          <cell r="P171">
            <v>9.4824347139947907E-7</v>
          </cell>
          <cell r="Q171">
            <v>9.4824254332834167E-7</v>
          </cell>
          <cell r="R171">
            <v>9.4824128922670058E-7</v>
          </cell>
          <cell r="S171">
            <v>9.4824259850741151E-7</v>
          </cell>
          <cell r="T171">
            <v>9.4824259850741151E-7</v>
          </cell>
          <cell r="U171">
            <v>9.4824259850741151E-7</v>
          </cell>
          <cell r="V171">
            <v>9.4824259850741151E-7</v>
          </cell>
          <cell r="W171">
            <v>9.4824848973068197E-7</v>
          </cell>
          <cell r="X171">
            <v>9.4824470051774394E-7</v>
          </cell>
          <cell r="Y171">
            <v>9.4824427702417313E-7</v>
          </cell>
          <cell r="Z171">
            <v>9.4828447551293711E-7</v>
          </cell>
          <cell r="AA171">
            <v>9.4828447551293711E-7</v>
          </cell>
          <cell r="AB171">
            <v>9.4828447551293711E-7</v>
          </cell>
          <cell r="AC171">
            <v>9.4828447551293711E-7</v>
          </cell>
          <cell r="AD171">
            <v>9.4828447551293711E-7</v>
          </cell>
          <cell r="AE171">
            <v>9.4828447551293711E-7</v>
          </cell>
          <cell r="AF171">
            <v>9.4828447551293711E-7</v>
          </cell>
          <cell r="AG171">
            <v>9.4828447551293711E-7</v>
          </cell>
          <cell r="AH171">
            <v>9.4828447551293711E-7</v>
          </cell>
          <cell r="AI171">
            <v>9.4828447551293711E-7</v>
          </cell>
          <cell r="AJ171">
            <v>9.4828447551293711E-7</v>
          </cell>
          <cell r="AK171">
            <v>9.4828447551293711E-7</v>
          </cell>
          <cell r="AL171">
            <v>9.4828447551293711E-7</v>
          </cell>
          <cell r="AM171">
            <v>9.4828447551293711E-7</v>
          </cell>
          <cell r="AN171">
            <v>9.4828447551293711E-7</v>
          </cell>
          <cell r="AO171">
            <v>9.4828447551293711E-7</v>
          </cell>
          <cell r="AP171">
            <v>9.4828447551293711E-7</v>
          </cell>
          <cell r="AQ171">
            <v>9.4828447551293711E-7</v>
          </cell>
          <cell r="AR171">
            <v>9.4828447551293711E-7</v>
          </cell>
          <cell r="AS171">
            <v>9.4828447551293711E-7</v>
          </cell>
          <cell r="AT171">
            <v>9.4828447551293711E-7</v>
          </cell>
          <cell r="AU171">
            <v>9.4828447551293711E-7</v>
          </cell>
          <cell r="AV171">
            <v>9.4828447551293711E-7</v>
          </cell>
          <cell r="AW171">
            <v>9.4828447551293711E-7</v>
          </cell>
          <cell r="AX171">
            <v>9.4828447551293711E-7</v>
          </cell>
          <cell r="AY171">
            <v>9.4828447551293711E-7</v>
          </cell>
          <cell r="AZ171">
            <v>9.4828447551293711E-7</v>
          </cell>
          <cell r="BA171">
            <v>9.4828447551293711E-7</v>
          </cell>
          <cell r="BB171">
            <v>9.4828447551293711E-7</v>
          </cell>
          <cell r="BC171">
            <v>9.4828447551293711E-7</v>
          </cell>
          <cell r="BD171">
            <v>9.4828447551293711E-7</v>
          </cell>
          <cell r="BE171">
            <v>9.4828447551293711E-7</v>
          </cell>
          <cell r="BF171">
            <v>9.4828447551293711E-7</v>
          </cell>
          <cell r="BG171">
            <v>9.4828447551293711E-7</v>
          </cell>
          <cell r="BH171">
            <v>9.4828447551293711E-7</v>
          </cell>
          <cell r="BI171">
            <v>9.4828447551293711E-7</v>
          </cell>
          <cell r="BJ171">
            <v>9.4828447551293711E-7</v>
          </cell>
          <cell r="BK171">
            <v>9.4828447551293711E-7</v>
          </cell>
          <cell r="BL171">
            <v>9.4828447551293711E-7</v>
          </cell>
          <cell r="BM171">
            <v>9.4828447551293711E-7</v>
          </cell>
          <cell r="BN171">
            <v>9.4828447551293711E-7</v>
          </cell>
          <cell r="BO171">
            <v>9.4828447551293711E-7</v>
          </cell>
        </row>
        <row r="172">
          <cell r="G172">
            <v>9.3680709534368085E-7</v>
          </cell>
          <cell r="H172">
            <v>9.2682926829268296E-7</v>
          </cell>
          <cell r="I172">
            <v>9.1685144124168507E-7</v>
          </cell>
          <cell r="J172">
            <v>9.0687361419068718E-7</v>
          </cell>
          <cell r="K172">
            <v>8.9689578713968929E-7</v>
          </cell>
          <cell r="L172">
            <v>8.8691796008869141E-7</v>
          </cell>
          <cell r="M172">
            <v>8.8691796008869183E-7</v>
          </cell>
          <cell r="N172">
            <v>8.9246119733924611E-7</v>
          </cell>
          <cell r="O172">
            <v>8.7583148558758328E-7</v>
          </cell>
          <cell r="P172">
            <v>8.8691796008869183E-7</v>
          </cell>
          <cell r="Q172">
            <v>8.8968957871396907E-7</v>
          </cell>
          <cell r="R172">
            <v>9.0354767184035476E-7</v>
          </cell>
          <cell r="S172">
            <v>8.4534368070953444E-7</v>
          </cell>
          <cell r="T172">
            <v>8.5920177383592024E-7</v>
          </cell>
          <cell r="U172">
            <v>8.5920177383592024E-7</v>
          </cell>
          <cell r="V172">
            <v>8.5920177383592024E-7</v>
          </cell>
          <cell r="W172">
            <v>8.5920177383592024E-7</v>
          </cell>
          <cell r="X172">
            <v>8.5920177383592024E-7</v>
          </cell>
          <cell r="Y172">
            <v>8.5920177383592024E-7</v>
          </cell>
          <cell r="Z172">
            <v>8.5920177383592024E-7</v>
          </cell>
          <cell r="AA172">
            <v>8.5920177383592024E-7</v>
          </cell>
          <cell r="AB172">
            <v>8.5920177383592024E-7</v>
          </cell>
          <cell r="AC172">
            <v>8.5920177383592024E-7</v>
          </cell>
          <cell r="AD172">
            <v>8.5920177383592024E-7</v>
          </cell>
          <cell r="AE172">
            <v>8.5920177383592024E-7</v>
          </cell>
          <cell r="AF172">
            <v>8.5920177383592024E-7</v>
          </cell>
          <cell r="AG172">
            <v>8.5920177383592024E-7</v>
          </cell>
          <cell r="AH172">
            <v>8.5920177383592024E-7</v>
          </cell>
          <cell r="AI172">
            <v>8.5920177383592024E-7</v>
          </cell>
          <cell r="AJ172">
            <v>8.5920177383592024E-7</v>
          </cell>
          <cell r="AK172">
            <v>8.5920177383592024E-7</v>
          </cell>
          <cell r="AL172">
            <v>8.5920177383592024E-7</v>
          </cell>
          <cell r="AM172">
            <v>8.5920177383592024E-7</v>
          </cell>
          <cell r="AN172">
            <v>8.5920177383592024E-7</v>
          </cell>
          <cell r="AO172">
            <v>8.5920177383592024E-7</v>
          </cell>
          <cell r="AP172">
            <v>8.5920177383592024E-7</v>
          </cell>
          <cell r="AQ172">
            <v>8.5920177383592024E-7</v>
          </cell>
          <cell r="AR172">
            <v>8.5920177383592024E-7</v>
          </cell>
          <cell r="AS172">
            <v>8.5920177383592024E-7</v>
          </cell>
          <cell r="AT172">
            <v>8.5920177383592024E-7</v>
          </cell>
          <cell r="AU172">
            <v>8.5920177383592024E-7</v>
          </cell>
          <cell r="AV172">
            <v>8.5920177383592024E-7</v>
          </cell>
          <cell r="AW172">
            <v>8.5920177383592024E-7</v>
          </cell>
          <cell r="AX172">
            <v>8.5920177383592024E-7</v>
          </cell>
          <cell r="AY172">
            <v>8.5920177383592024E-7</v>
          </cell>
          <cell r="AZ172">
            <v>8.5920177383592024E-7</v>
          </cell>
          <cell r="BA172">
            <v>8.5920177383592024E-7</v>
          </cell>
          <cell r="BB172">
            <v>8.5920177383592024E-7</v>
          </cell>
          <cell r="BC172">
            <v>8.5920177383592024E-7</v>
          </cell>
          <cell r="BD172">
            <v>8.5920177383592024E-7</v>
          </cell>
          <cell r="BE172">
            <v>8.5920177383592024E-7</v>
          </cell>
          <cell r="BF172">
            <v>8.5920177383592024E-7</v>
          </cell>
          <cell r="BG172">
            <v>8.5920177383592024E-7</v>
          </cell>
          <cell r="BH172">
            <v>8.5920177383592024E-7</v>
          </cell>
          <cell r="BI172">
            <v>8.5920177383592024E-7</v>
          </cell>
          <cell r="BJ172">
            <v>8.5920177383592024E-7</v>
          </cell>
          <cell r="BK172">
            <v>8.5920177383592024E-7</v>
          </cell>
          <cell r="BL172">
            <v>8.5920177383592024E-7</v>
          </cell>
          <cell r="BM172">
            <v>8.5920177383592024E-7</v>
          </cell>
          <cell r="BN172">
            <v>8.5920177383592024E-7</v>
          </cell>
          <cell r="BO172">
            <v>8.5920177383592024E-7</v>
          </cell>
        </row>
        <row r="173">
          <cell r="G173">
            <v>4.8923679060665363E-6</v>
          </cell>
          <cell r="H173">
            <v>4.8923679060665363E-6</v>
          </cell>
          <cell r="I173">
            <v>4.8923679060665363E-6</v>
          </cell>
          <cell r="J173">
            <v>4.8923679060665363E-6</v>
          </cell>
          <cell r="K173">
            <v>4.8923679060665363E-6</v>
          </cell>
          <cell r="L173">
            <v>4.8923678596556005E-6</v>
          </cell>
          <cell r="M173">
            <v>4.8923678127073247E-6</v>
          </cell>
          <cell r="N173">
            <v>4.8923679833408253E-6</v>
          </cell>
          <cell r="O173">
            <v>4.8923680355792216E-6</v>
          </cell>
          <cell r="P173">
            <v>4.8923680207911309E-6</v>
          </cell>
          <cell r="Q173">
            <v>4.8923679872944769E-6</v>
          </cell>
          <cell r="R173">
            <v>4.8923679332824978E-6</v>
          </cell>
          <cell r="S173">
            <v>4.8923677375376746E-6</v>
          </cell>
          <cell r="T173">
            <v>4.8923677944607688E-6</v>
          </cell>
          <cell r="U173">
            <v>4.8923679883093842E-6</v>
          </cell>
          <cell r="V173">
            <v>4.8923679323432915E-6</v>
          </cell>
          <cell r="W173">
            <v>4.8923680505927815E-6</v>
          </cell>
          <cell r="X173">
            <v>4.8923676159539784E-6</v>
          </cell>
          <cell r="Y173">
            <v>4.8923680091380624E-6</v>
          </cell>
          <cell r="Z173">
            <v>4.8923675860138616E-6</v>
          </cell>
          <cell r="AA173">
            <v>4.8923688171506844E-6</v>
          </cell>
          <cell r="AB173">
            <v>4.8923688171506844E-6</v>
          </cell>
          <cell r="AC173">
            <v>4.8923688171506844E-6</v>
          </cell>
          <cell r="AD173">
            <v>4.8923688171506844E-6</v>
          </cell>
          <cell r="AE173">
            <v>4.8923688171506844E-6</v>
          </cell>
          <cell r="AF173">
            <v>4.8923688171506844E-6</v>
          </cell>
          <cell r="AG173">
            <v>4.8923688171506844E-6</v>
          </cell>
          <cell r="AH173">
            <v>4.8923688171506844E-6</v>
          </cell>
          <cell r="AI173">
            <v>4.8923688171506844E-6</v>
          </cell>
          <cell r="AJ173">
            <v>4.8923688171506844E-6</v>
          </cell>
          <cell r="AK173">
            <v>4.8923688171506844E-6</v>
          </cell>
          <cell r="AL173">
            <v>4.8923688171506844E-6</v>
          </cell>
          <cell r="AM173">
            <v>4.8923688171506844E-6</v>
          </cell>
          <cell r="AN173">
            <v>4.8923688171506844E-6</v>
          </cell>
          <cell r="AO173">
            <v>4.8923688171506844E-6</v>
          </cell>
          <cell r="AP173">
            <v>4.8923688171506844E-6</v>
          </cell>
          <cell r="AQ173">
            <v>4.8923688171506844E-6</v>
          </cell>
          <cell r="AR173">
            <v>4.8923688171506844E-6</v>
          </cell>
          <cell r="AS173">
            <v>4.8923688171506844E-6</v>
          </cell>
          <cell r="AT173">
            <v>4.8923688171506844E-6</v>
          </cell>
          <cell r="AU173">
            <v>4.8923688171506844E-6</v>
          </cell>
          <cell r="AV173">
            <v>4.8923688171506844E-6</v>
          </cell>
          <cell r="AW173">
            <v>4.8923688171506844E-6</v>
          </cell>
          <cell r="AX173">
            <v>4.8923688171506844E-6</v>
          </cell>
          <cell r="AY173">
            <v>4.8923688171506844E-6</v>
          </cell>
          <cell r="AZ173">
            <v>4.8923688171506844E-6</v>
          </cell>
          <cell r="BA173">
            <v>4.8923688171506844E-6</v>
          </cell>
          <cell r="BB173">
            <v>4.8923688171506844E-6</v>
          </cell>
          <cell r="BC173">
            <v>4.8923688171506844E-6</v>
          </cell>
          <cell r="BD173">
            <v>4.8923688171506844E-6</v>
          </cell>
          <cell r="BE173">
            <v>4.8923688171506844E-6</v>
          </cell>
          <cell r="BF173">
            <v>4.8923688171506844E-6</v>
          </cell>
          <cell r="BG173">
            <v>4.8923688171506844E-6</v>
          </cell>
          <cell r="BH173">
            <v>4.8923688171506844E-6</v>
          </cell>
          <cell r="BI173">
            <v>4.8923688171506844E-6</v>
          </cell>
          <cell r="BJ173">
            <v>4.8923688171506844E-6</v>
          </cell>
          <cell r="BK173">
            <v>4.8923688171506844E-6</v>
          </cell>
          <cell r="BL173">
            <v>4.8923688171506844E-6</v>
          </cell>
          <cell r="BM173">
            <v>4.8923688171506844E-6</v>
          </cell>
          <cell r="BN173">
            <v>4.8923688171506844E-6</v>
          </cell>
          <cell r="BO173">
            <v>4.8923688171506844E-6</v>
          </cell>
        </row>
        <row r="174"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  <cell r="AU174">
            <v>0</v>
          </cell>
          <cell r="AV174">
            <v>0</v>
          </cell>
          <cell r="AW174">
            <v>0</v>
          </cell>
          <cell r="AX174">
            <v>0</v>
          </cell>
          <cell r="AY174">
            <v>0</v>
          </cell>
          <cell r="AZ174">
            <v>0</v>
          </cell>
          <cell r="BA174">
            <v>0</v>
          </cell>
          <cell r="BB174">
            <v>0</v>
          </cell>
          <cell r="BC174">
            <v>0</v>
          </cell>
          <cell r="BD174">
            <v>0</v>
          </cell>
          <cell r="BE174">
            <v>0</v>
          </cell>
          <cell r="BF174">
            <v>0</v>
          </cell>
          <cell r="BG174">
            <v>0</v>
          </cell>
          <cell r="BH174">
            <v>0</v>
          </cell>
          <cell r="BI174">
            <v>0</v>
          </cell>
          <cell r="BJ174">
            <v>0</v>
          </cell>
          <cell r="BK174">
            <v>0</v>
          </cell>
          <cell r="BL174">
            <v>0</v>
          </cell>
          <cell r="BM174">
            <v>0</v>
          </cell>
          <cell r="BN174">
            <v>0</v>
          </cell>
          <cell r="BO174">
            <v>0</v>
          </cell>
        </row>
        <row r="175">
          <cell r="G175">
            <v>1.2591368443306713E-6</v>
          </cell>
          <cell r="H175">
            <v>1.2591368443306713E-6</v>
          </cell>
          <cell r="I175">
            <v>1.2591368443306713E-6</v>
          </cell>
          <cell r="J175">
            <v>1.2591368443306713E-6</v>
          </cell>
          <cell r="K175">
            <v>1.2591368443306713E-6</v>
          </cell>
          <cell r="L175">
            <v>1.2591368443306713E-6</v>
          </cell>
          <cell r="M175">
            <v>1.2591368443306713E-6</v>
          </cell>
          <cell r="N175">
            <v>1.2591368443306713E-6</v>
          </cell>
          <cell r="O175">
            <v>1.2591368443306713E-6</v>
          </cell>
          <cell r="P175">
            <v>1.2591368443306713E-6</v>
          </cell>
          <cell r="Q175">
            <v>1.2591368443306713E-6</v>
          </cell>
          <cell r="R175">
            <v>1.2591368443306713E-6</v>
          </cell>
          <cell r="S175">
            <v>1.1634409814267689E-6</v>
          </cell>
          <cell r="T175">
            <v>1.1944744337432164E-6</v>
          </cell>
          <cell r="U175">
            <v>1.5080846752455638E-6</v>
          </cell>
          <cell r="V175">
            <v>1.5933718953699915E-6</v>
          </cell>
          <cell r="W175">
            <v>1.5390049835512746E-6</v>
          </cell>
          <cell r="X175">
            <v>1.5796156703079691E-6</v>
          </cell>
          <cell r="Y175">
            <v>1.505325523768056E-6</v>
          </cell>
          <cell r="Z175">
            <v>1.6135252458587462E-6</v>
          </cell>
          <cell r="AA175">
            <v>1.6135252458587462E-6</v>
          </cell>
          <cell r="AB175">
            <v>1.6135252458587462E-6</v>
          </cell>
          <cell r="AC175">
            <v>1.6135252458587462E-6</v>
          </cell>
          <cell r="AD175">
            <v>1.6135252458587462E-6</v>
          </cell>
          <cell r="AE175">
            <v>1.6135252458587462E-6</v>
          </cell>
          <cell r="AF175">
            <v>1.6135252458587462E-6</v>
          </cell>
          <cell r="AG175">
            <v>1.6135252458587462E-6</v>
          </cell>
          <cell r="AH175">
            <v>1.6135252458587462E-6</v>
          </cell>
          <cell r="AI175">
            <v>1.6135252458587462E-6</v>
          </cell>
          <cell r="AJ175">
            <v>1.6135252458587462E-6</v>
          </cell>
          <cell r="AK175">
            <v>1.6135252458587462E-6</v>
          </cell>
          <cell r="AL175">
            <v>1.6135252458587462E-6</v>
          </cell>
          <cell r="AM175">
            <v>1.6135252458587462E-6</v>
          </cell>
          <cell r="AN175">
            <v>1.6135252458587462E-6</v>
          </cell>
          <cell r="AO175">
            <v>1.6135252458587462E-6</v>
          </cell>
          <cell r="AP175">
            <v>1.6135252458587462E-6</v>
          </cell>
          <cell r="AQ175">
            <v>1.6135252458587462E-6</v>
          </cell>
          <cell r="AR175">
            <v>1.6135252458587462E-6</v>
          </cell>
          <cell r="AS175">
            <v>1.6135252458587462E-6</v>
          </cell>
          <cell r="AT175">
            <v>1.6135252458587462E-6</v>
          </cell>
          <cell r="AU175">
            <v>1.6135252458587462E-6</v>
          </cell>
          <cell r="AV175">
            <v>1.6135252458587462E-6</v>
          </cell>
          <cell r="AW175">
            <v>1.6135252458587462E-6</v>
          </cell>
          <cell r="AX175">
            <v>1.6135252458587462E-6</v>
          </cell>
          <cell r="AY175">
            <v>1.6135252458587462E-6</v>
          </cell>
          <cell r="AZ175">
            <v>1.6135252458587462E-6</v>
          </cell>
          <cell r="BA175">
            <v>1.6135252458587462E-6</v>
          </cell>
          <cell r="BB175">
            <v>1.6135252458587462E-6</v>
          </cell>
          <cell r="BC175">
            <v>1.6135252458587462E-6</v>
          </cell>
          <cell r="BD175">
            <v>1.6135252458587462E-6</v>
          </cell>
          <cell r="BE175">
            <v>1.6135252458587462E-6</v>
          </cell>
          <cell r="BF175">
            <v>1.6135252458587462E-6</v>
          </cell>
          <cell r="BG175">
            <v>1.6135252458587462E-6</v>
          </cell>
          <cell r="BH175">
            <v>1.6135252458587462E-6</v>
          </cell>
          <cell r="BI175">
            <v>1.6135252458587462E-6</v>
          </cell>
          <cell r="BJ175">
            <v>1.6135252458587462E-6</v>
          </cell>
          <cell r="BK175">
            <v>1.6135252458587462E-6</v>
          </cell>
          <cell r="BL175">
            <v>1.6135252458587462E-6</v>
          </cell>
          <cell r="BM175">
            <v>1.6135252458587462E-6</v>
          </cell>
          <cell r="BN175">
            <v>1.6135252458587462E-6</v>
          </cell>
          <cell r="BO175">
            <v>1.6135252458587462E-6</v>
          </cell>
        </row>
        <row r="180">
          <cell r="G180">
            <v>1.2003940527372594E-5</v>
          </cell>
          <cell r="H180">
            <v>1.2003940527372594E-5</v>
          </cell>
          <cell r="I180">
            <v>1.2003940527372594E-5</v>
          </cell>
          <cell r="J180">
            <v>1.2003940527372594E-5</v>
          </cell>
          <cell r="K180">
            <v>1.2003940527372594E-5</v>
          </cell>
          <cell r="L180">
            <v>1.2003940527372594E-5</v>
          </cell>
          <cell r="M180">
            <v>1.2003940527372594E-5</v>
          </cell>
          <cell r="N180">
            <v>1.2003940527372594E-5</v>
          </cell>
          <cell r="O180">
            <v>1.2003940527372594E-5</v>
          </cell>
          <cell r="P180">
            <v>1.2003940527372594E-5</v>
          </cell>
          <cell r="Q180">
            <v>1.2003940527372594E-5</v>
          </cell>
          <cell r="R180">
            <v>1.2003940527372594E-5</v>
          </cell>
          <cell r="S180">
            <v>1.2003940527372594E-5</v>
          </cell>
          <cell r="T180">
            <v>1.2003940527372594E-5</v>
          </cell>
          <cell r="U180">
            <v>1.2003940527372594E-5</v>
          </cell>
          <cell r="V180">
            <v>1.2003940527372594E-5</v>
          </cell>
          <cell r="W180">
            <v>1.2003940527372594E-5</v>
          </cell>
          <cell r="X180">
            <v>1.2003940527372594E-5</v>
          </cell>
          <cell r="Y180">
            <v>1.2003940527372594E-5</v>
          </cell>
          <cell r="Z180">
            <v>1.2003940527372594E-5</v>
          </cell>
          <cell r="AA180">
            <v>1.2003940527372594E-5</v>
          </cell>
          <cell r="AB180">
            <v>1.2003940527372594E-5</v>
          </cell>
          <cell r="AC180">
            <v>1.2003940527372594E-5</v>
          </cell>
          <cell r="AD180">
            <v>1.2003940527372594E-5</v>
          </cell>
          <cell r="AE180">
            <v>1.2003940527372594E-5</v>
          </cell>
          <cell r="AF180">
            <v>1.2003940527372594E-5</v>
          </cell>
          <cell r="AG180">
            <v>1.2003940527372594E-5</v>
          </cell>
          <cell r="AH180">
            <v>1.2003940527372594E-5</v>
          </cell>
          <cell r="AI180">
            <v>1.2003940527372594E-5</v>
          </cell>
          <cell r="AJ180">
            <v>1.2003940527372594E-5</v>
          </cell>
          <cell r="AK180">
            <v>1.2003940527372594E-5</v>
          </cell>
          <cell r="AL180">
            <v>1.2003940527372594E-5</v>
          </cell>
          <cell r="AM180">
            <v>1.2003940527372594E-5</v>
          </cell>
          <cell r="AN180">
            <v>1.2003940527372594E-5</v>
          </cell>
          <cell r="AO180">
            <v>1.2003940527372594E-5</v>
          </cell>
          <cell r="AP180">
            <v>1.2003940527372594E-5</v>
          </cell>
          <cell r="AQ180">
            <v>1.2003940527372594E-5</v>
          </cell>
          <cell r="AR180">
            <v>1.2003940527372594E-5</v>
          </cell>
          <cell r="AS180">
            <v>1.2003940527372594E-5</v>
          </cell>
          <cell r="AT180">
            <v>1.2003940527372594E-5</v>
          </cell>
          <cell r="AU180">
            <v>1.2003940527372594E-5</v>
          </cell>
          <cell r="AV180">
            <v>1.2003940527372594E-5</v>
          </cell>
          <cell r="AW180">
            <v>1.2003940527372594E-5</v>
          </cell>
          <cell r="AX180">
            <v>1.2003940527372594E-5</v>
          </cell>
          <cell r="AY180">
            <v>1.2003940527372594E-5</v>
          </cell>
          <cell r="AZ180">
            <v>1.2003940527372594E-5</v>
          </cell>
          <cell r="BA180">
            <v>1.2003940527372594E-5</v>
          </cell>
          <cell r="BB180">
            <v>1.2003940527372594E-5</v>
          </cell>
          <cell r="BC180">
            <v>1.2003940527372594E-5</v>
          </cell>
          <cell r="BD180">
            <v>1.2003940527372594E-5</v>
          </cell>
          <cell r="BE180">
            <v>1.2003940527372594E-5</v>
          </cell>
          <cell r="BF180">
            <v>1.2003940527372594E-5</v>
          </cell>
          <cell r="BG180">
            <v>1.2003940527372594E-5</v>
          </cell>
          <cell r="BH180">
            <v>1.2003940527372594E-5</v>
          </cell>
          <cell r="BI180">
            <v>1.2003940527372594E-5</v>
          </cell>
          <cell r="BJ180">
            <v>1.2003940527372594E-5</v>
          </cell>
          <cell r="BK180">
            <v>1.2003940527372594E-5</v>
          </cell>
          <cell r="BL180">
            <v>1.2003940527372594E-5</v>
          </cell>
          <cell r="BM180">
            <v>1.2003940527372594E-5</v>
          </cell>
          <cell r="BN180">
            <v>1.2003940527372594E-5</v>
          </cell>
          <cell r="BO180">
            <v>1.2003940527372594E-5</v>
          </cell>
        </row>
        <row r="181">
          <cell r="G181">
            <v>8.6864964613033235E-7</v>
          </cell>
          <cell r="H181">
            <v>8.6636912421862735E-7</v>
          </cell>
          <cell r="I181">
            <v>8.6636912703112222E-7</v>
          </cell>
          <cell r="J181">
            <v>8.6387434554973826E-7</v>
          </cell>
          <cell r="K181">
            <v>8.6364825835014342E-7</v>
          </cell>
          <cell r="L181">
            <v>8.6251962620743449E-7</v>
          </cell>
          <cell r="M181">
            <v>8.625195986441362E-7</v>
          </cell>
          <cell r="N181">
            <v>8.6591444432511414E-7</v>
          </cell>
          <cell r="O181">
            <v>8.5915128630747526E-7</v>
          </cell>
          <cell r="P181">
            <v>8.5870411694394287E-7</v>
          </cell>
          <cell r="Q181">
            <v>8.5669782066027099E-7</v>
          </cell>
          <cell r="R181">
            <v>8.5580910447161907E-7</v>
          </cell>
          <cell r="S181">
            <v>8.5183270968083418E-7</v>
          </cell>
          <cell r="T181">
            <v>8.4942082806904052E-7</v>
          </cell>
          <cell r="U181">
            <v>8.4615386301208915E-7</v>
          </cell>
          <cell r="V181">
            <v>8.409786043214603E-7</v>
          </cell>
          <cell r="W181">
            <v>8.4550360942946101E-7</v>
          </cell>
          <cell r="X181">
            <v>8.4140762341343829E-7</v>
          </cell>
          <cell r="Y181">
            <v>8.4377395735710395E-7</v>
          </cell>
          <cell r="Z181">
            <v>8.401213317232594E-7</v>
          </cell>
          <cell r="AA181">
            <v>8.4012266021346199E-7</v>
          </cell>
          <cell r="AB181">
            <v>8.4012266021346199E-7</v>
          </cell>
          <cell r="AC181">
            <v>8.4012266021346199E-7</v>
          </cell>
          <cell r="AD181">
            <v>8.4012266021346199E-7</v>
          </cell>
          <cell r="AE181">
            <v>8.4012266021346199E-7</v>
          </cell>
          <cell r="AF181">
            <v>8.4012266021346199E-7</v>
          </cell>
          <cell r="AG181">
            <v>8.4012266021346199E-7</v>
          </cell>
          <cell r="AH181">
            <v>8.4012266021346199E-7</v>
          </cell>
          <cell r="AI181">
            <v>8.4012266021346199E-7</v>
          </cell>
          <cell r="AJ181">
            <v>8.4012266021346199E-7</v>
          </cell>
          <cell r="AK181">
            <v>8.4012266021346199E-7</v>
          </cell>
          <cell r="AL181">
            <v>8.4012266021346199E-7</v>
          </cell>
          <cell r="AM181">
            <v>8.4012266021346199E-7</v>
          </cell>
          <cell r="AN181">
            <v>8.4012266021346199E-7</v>
          </cell>
          <cell r="AO181">
            <v>8.4012266021346199E-7</v>
          </cell>
          <cell r="AP181">
            <v>8.4012266021346199E-7</v>
          </cell>
          <cell r="AQ181">
            <v>8.4012266021346199E-7</v>
          </cell>
          <cell r="AR181">
            <v>8.4012266021346199E-7</v>
          </cell>
          <cell r="AS181">
            <v>8.4012266021346199E-7</v>
          </cell>
          <cell r="AT181">
            <v>8.4012266021346199E-7</v>
          </cell>
          <cell r="AU181">
            <v>8.4012266021346199E-7</v>
          </cell>
          <cell r="AV181">
            <v>8.4012266021346199E-7</v>
          </cell>
          <cell r="AW181">
            <v>8.4012266021346199E-7</v>
          </cell>
          <cell r="AX181">
            <v>8.4012266021346199E-7</v>
          </cell>
          <cell r="AY181">
            <v>8.4012266021346199E-7</v>
          </cell>
          <cell r="AZ181">
            <v>8.4012266021346199E-7</v>
          </cell>
          <cell r="BA181">
            <v>8.4012266021346199E-7</v>
          </cell>
          <cell r="BB181">
            <v>8.4012266021346199E-7</v>
          </cell>
          <cell r="BC181">
            <v>8.4012266021346199E-7</v>
          </cell>
          <cell r="BD181">
            <v>8.4012266021346199E-7</v>
          </cell>
          <cell r="BE181">
            <v>8.4012266021346199E-7</v>
          </cell>
          <cell r="BF181">
            <v>8.4012266021346199E-7</v>
          </cell>
          <cell r="BG181">
            <v>8.4012266021346199E-7</v>
          </cell>
          <cell r="BH181">
            <v>8.4012266021346199E-7</v>
          </cell>
          <cell r="BI181">
            <v>8.4012266021346199E-7</v>
          </cell>
          <cell r="BJ181">
            <v>8.4012266021346199E-7</v>
          </cell>
          <cell r="BK181">
            <v>8.4012266021346199E-7</v>
          </cell>
          <cell r="BL181">
            <v>8.4012266021346199E-7</v>
          </cell>
          <cell r="BM181">
            <v>8.4012266021346199E-7</v>
          </cell>
          <cell r="BN181">
            <v>8.4012266021346199E-7</v>
          </cell>
          <cell r="BO181">
            <v>8.4012266021346199E-7</v>
          </cell>
        </row>
        <row r="182">
          <cell r="G182">
            <v>3.6496350364963505E-7</v>
          </cell>
          <cell r="H182">
            <v>3.6496350364963505E-7</v>
          </cell>
          <cell r="I182">
            <v>3.6496350364963505E-7</v>
          </cell>
          <cell r="J182">
            <v>3.6496350364963505E-7</v>
          </cell>
          <cell r="K182">
            <v>3.6496350364963505E-7</v>
          </cell>
          <cell r="L182">
            <v>3.6496350082599063E-7</v>
          </cell>
          <cell r="M182">
            <v>3.6496350870415477E-7</v>
          </cell>
          <cell r="N182">
            <v>3.6496351019325679E-7</v>
          </cell>
          <cell r="O182">
            <v>3.6496349374556377E-7</v>
          </cell>
          <cell r="P182">
            <v>3.6496349600901395E-7</v>
          </cell>
          <cell r="Q182">
            <v>3.6496351644816402E-7</v>
          </cell>
          <cell r="R182">
            <v>3.6496351470112294E-7</v>
          </cell>
          <cell r="S182">
            <v>3.6496350724388749E-7</v>
          </cell>
          <cell r="T182">
            <v>3.6496349429375195E-7</v>
          </cell>
          <cell r="U182">
            <v>3.649635054713712E-7</v>
          </cell>
          <cell r="V182">
            <v>3.6496349678923251E-7</v>
          </cell>
          <cell r="W182">
            <v>3.6496351276352496E-7</v>
          </cell>
          <cell r="X182">
            <v>3.6496349901335585E-7</v>
          </cell>
          <cell r="Y182">
            <v>3.6496349614527767E-7</v>
          </cell>
          <cell r="Z182">
            <v>3.649635021398408E-7</v>
          </cell>
          <cell r="AA182">
            <v>3.6496351481019606E-7</v>
          </cell>
          <cell r="AB182">
            <v>3.6496351481019606E-7</v>
          </cell>
          <cell r="AC182">
            <v>3.6496351481019606E-7</v>
          </cell>
          <cell r="AD182">
            <v>3.6496351481019606E-7</v>
          </cell>
          <cell r="AE182">
            <v>3.6496351481019606E-7</v>
          </cell>
          <cell r="AF182">
            <v>3.6496351481019606E-7</v>
          </cell>
          <cell r="AG182">
            <v>3.6496351481019606E-7</v>
          </cell>
          <cell r="AH182">
            <v>3.6496351481019606E-7</v>
          </cell>
          <cell r="AI182">
            <v>3.6496351481019606E-7</v>
          </cell>
          <cell r="AJ182">
            <v>3.6496351481019606E-7</v>
          </cell>
          <cell r="AK182">
            <v>3.6496351481019606E-7</v>
          </cell>
          <cell r="AL182">
            <v>3.6496351481019606E-7</v>
          </cell>
          <cell r="AM182">
            <v>3.6496351481019606E-7</v>
          </cell>
          <cell r="AN182">
            <v>3.6496351481019606E-7</v>
          </cell>
          <cell r="AO182">
            <v>3.6496351481019606E-7</v>
          </cell>
          <cell r="AP182">
            <v>3.6496351481019606E-7</v>
          </cell>
          <cell r="AQ182">
            <v>3.6496351481019606E-7</v>
          </cell>
          <cell r="AR182">
            <v>3.6496351481019606E-7</v>
          </cell>
          <cell r="AS182">
            <v>3.6496351481019606E-7</v>
          </cell>
          <cell r="AT182">
            <v>3.6496351481019606E-7</v>
          </cell>
          <cell r="AU182">
            <v>3.6496351481019606E-7</v>
          </cell>
          <cell r="AV182">
            <v>3.6496351481019606E-7</v>
          </cell>
          <cell r="AW182">
            <v>3.6496351481019606E-7</v>
          </cell>
          <cell r="AX182">
            <v>3.6496351481019606E-7</v>
          </cell>
          <cell r="AY182">
            <v>3.6496351481019606E-7</v>
          </cell>
          <cell r="AZ182">
            <v>3.6496351481019606E-7</v>
          </cell>
          <cell r="BA182">
            <v>3.6496351481019606E-7</v>
          </cell>
          <cell r="BB182">
            <v>3.6496351481019606E-7</v>
          </cell>
          <cell r="BC182">
            <v>3.6496351481019606E-7</v>
          </cell>
          <cell r="BD182">
            <v>3.6496351481019606E-7</v>
          </cell>
          <cell r="BE182">
            <v>3.6496351481019606E-7</v>
          </cell>
          <cell r="BF182">
            <v>3.6496351481019606E-7</v>
          </cell>
          <cell r="BG182">
            <v>3.6496351481019606E-7</v>
          </cell>
          <cell r="BH182">
            <v>3.6496351481019606E-7</v>
          </cell>
          <cell r="BI182">
            <v>3.6496351481019606E-7</v>
          </cell>
          <cell r="BJ182">
            <v>3.6496351481019606E-7</v>
          </cell>
          <cell r="BK182">
            <v>3.6496351481019606E-7</v>
          </cell>
          <cell r="BL182">
            <v>3.6496351481019606E-7</v>
          </cell>
          <cell r="BM182">
            <v>3.6496351481019606E-7</v>
          </cell>
          <cell r="BN182">
            <v>3.6496351481019606E-7</v>
          </cell>
          <cell r="BO182">
            <v>3.6496351481019606E-7</v>
          </cell>
        </row>
        <row r="183">
          <cell r="G183">
            <v>7.3310732850881664E-7</v>
          </cell>
          <cell r="H183">
            <v>7.3188969110854199E-7</v>
          </cell>
          <cell r="I183">
            <v>7.3343342040265568E-7</v>
          </cell>
          <cell r="J183">
            <v>7.5047929034934349E-7</v>
          </cell>
          <cell r="K183">
            <v>7.5652506142794078E-7</v>
          </cell>
          <cell r="L183">
            <v>7.6731233932175597E-7</v>
          </cell>
          <cell r="M183">
            <v>7.7037165682463259E-7</v>
          </cell>
          <cell r="N183">
            <v>7.833609596653838E-7</v>
          </cell>
          <cell r="O183">
            <v>7.7389878176226733E-7</v>
          </cell>
          <cell r="P183">
            <v>7.4646302542839876E-7</v>
          </cell>
          <cell r="Q183">
            <v>7.4664983137683352E-7</v>
          </cell>
          <cell r="R183">
            <v>7.6427364332403948E-7</v>
          </cell>
          <cell r="S183">
            <v>7.5018850380136923E-7</v>
          </cell>
          <cell r="T183">
            <v>7.4029545451387303E-7</v>
          </cell>
          <cell r="U183">
            <v>7.413600369152842E-7</v>
          </cell>
          <cell r="V183">
            <v>7.3928623532162953E-7</v>
          </cell>
          <cell r="W183">
            <v>7.3628588182443376E-7</v>
          </cell>
          <cell r="X183">
            <v>7.4723680869780409E-7</v>
          </cell>
          <cell r="Y183">
            <v>7.4172211985613242E-7</v>
          </cell>
          <cell r="Z183">
            <v>7.3614156232930918E-7</v>
          </cell>
          <cell r="AA183">
            <v>7.45259106162787E-7</v>
          </cell>
          <cell r="AB183">
            <v>7.45259106162787E-7</v>
          </cell>
          <cell r="AC183">
            <v>7.45259106162787E-7</v>
          </cell>
          <cell r="AD183">
            <v>7.45259106162787E-7</v>
          </cell>
          <cell r="AE183">
            <v>7.45259106162787E-7</v>
          </cell>
          <cell r="AF183">
            <v>7.45259106162787E-7</v>
          </cell>
          <cell r="AG183">
            <v>7.45259106162787E-7</v>
          </cell>
          <cell r="AH183">
            <v>7.45259106162787E-7</v>
          </cell>
          <cell r="AI183">
            <v>7.45259106162787E-7</v>
          </cell>
          <cell r="AJ183">
            <v>7.45259106162787E-7</v>
          </cell>
          <cell r="AK183">
            <v>7.45259106162787E-7</v>
          </cell>
          <cell r="AL183">
            <v>7.45259106162787E-7</v>
          </cell>
          <cell r="AM183">
            <v>7.45259106162787E-7</v>
          </cell>
          <cell r="AN183">
            <v>7.45259106162787E-7</v>
          </cell>
          <cell r="AO183">
            <v>7.45259106162787E-7</v>
          </cell>
          <cell r="AP183">
            <v>7.45259106162787E-7</v>
          </cell>
          <cell r="AQ183">
            <v>7.45259106162787E-7</v>
          </cell>
          <cell r="AR183">
            <v>7.45259106162787E-7</v>
          </cell>
          <cell r="AS183">
            <v>7.45259106162787E-7</v>
          </cell>
          <cell r="AT183">
            <v>7.45259106162787E-7</v>
          </cell>
          <cell r="AU183">
            <v>7.45259106162787E-7</v>
          </cell>
          <cell r="AV183">
            <v>7.45259106162787E-7</v>
          </cell>
          <cell r="AW183">
            <v>7.45259106162787E-7</v>
          </cell>
          <cell r="AX183">
            <v>7.45259106162787E-7</v>
          </cell>
          <cell r="AY183">
            <v>7.45259106162787E-7</v>
          </cell>
          <cell r="AZ183">
            <v>7.45259106162787E-7</v>
          </cell>
          <cell r="BA183">
            <v>7.45259106162787E-7</v>
          </cell>
          <cell r="BB183">
            <v>7.45259106162787E-7</v>
          </cell>
          <cell r="BC183">
            <v>7.45259106162787E-7</v>
          </cell>
          <cell r="BD183">
            <v>7.45259106162787E-7</v>
          </cell>
          <cell r="BE183">
            <v>7.45259106162787E-7</v>
          </cell>
          <cell r="BF183">
            <v>7.45259106162787E-7</v>
          </cell>
          <cell r="BG183">
            <v>7.45259106162787E-7</v>
          </cell>
          <cell r="BH183">
            <v>7.45259106162787E-7</v>
          </cell>
          <cell r="BI183">
            <v>7.45259106162787E-7</v>
          </cell>
          <cell r="BJ183">
            <v>7.45259106162787E-7</v>
          </cell>
          <cell r="BK183">
            <v>7.45259106162787E-7</v>
          </cell>
          <cell r="BL183">
            <v>7.45259106162787E-7</v>
          </cell>
          <cell r="BM183">
            <v>7.45259106162787E-7</v>
          </cell>
          <cell r="BN183">
            <v>7.45259106162787E-7</v>
          </cell>
          <cell r="BO183">
            <v>7.45259106162787E-7</v>
          </cell>
        </row>
        <row r="184">
          <cell r="G184">
            <v>6.9372181178296311E-7</v>
          </cell>
          <cell r="H184">
            <v>6.9372181863129416E-7</v>
          </cell>
          <cell r="I184">
            <v>6.9372181717938715E-7</v>
          </cell>
          <cell r="J184">
            <v>6.9372181882976234E-7</v>
          </cell>
          <cell r="K184">
            <v>6.9372181992821563E-7</v>
          </cell>
          <cell r="L184">
            <v>6.9372181605718157E-7</v>
          </cell>
          <cell r="M184">
            <v>6.9372189475908354E-7</v>
          </cell>
          <cell r="N184">
            <v>6.9372190663419027E-7</v>
          </cell>
          <cell r="O184">
            <v>6.9372186049530148E-7</v>
          </cell>
          <cell r="P184">
            <v>6.9372176760167111E-7</v>
          </cell>
          <cell r="Q184">
            <v>6.937219366364905E-7</v>
          </cell>
          <cell r="R184">
            <v>6.9372189564363666E-7</v>
          </cell>
          <cell r="S184">
            <v>6.9372183984494612E-7</v>
          </cell>
          <cell r="T184">
            <v>6.9372169435789911E-7</v>
          </cell>
          <cell r="U184">
            <v>6.9372175964281857E-7</v>
          </cell>
          <cell r="V184">
            <v>6.9372183831764121E-7</v>
          </cell>
          <cell r="W184">
            <v>6.9372170553213361E-7</v>
          </cell>
          <cell r="X184">
            <v>6.9372185338352264E-7</v>
          </cell>
          <cell r="Y184">
            <v>6.9372174417367513E-7</v>
          </cell>
          <cell r="Z184">
            <v>6.9372190116294622E-7</v>
          </cell>
          <cell r="AA184">
            <v>6.9372180355884812E-7</v>
          </cell>
          <cell r="AB184">
            <v>6.9372180355884812E-7</v>
          </cell>
          <cell r="AC184">
            <v>6.9372180355884812E-7</v>
          </cell>
          <cell r="AD184">
            <v>6.9372180355884812E-7</v>
          </cell>
          <cell r="AE184">
            <v>6.9372180355884812E-7</v>
          </cell>
          <cell r="AF184">
            <v>6.9372180355884812E-7</v>
          </cell>
          <cell r="AG184">
            <v>6.9372180355884812E-7</v>
          </cell>
          <cell r="AH184">
            <v>6.9372180355884812E-7</v>
          </cell>
          <cell r="AI184">
            <v>6.9372180355884812E-7</v>
          </cell>
          <cell r="AJ184">
            <v>6.9372180355884812E-7</v>
          </cell>
          <cell r="AK184">
            <v>6.9372180355884812E-7</v>
          </cell>
          <cell r="AL184">
            <v>6.9372180355884812E-7</v>
          </cell>
          <cell r="AM184">
            <v>6.9372180355884812E-7</v>
          </cell>
          <cell r="AN184">
            <v>6.9372180355884812E-7</v>
          </cell>
          <cell r="AO184">
            <v>6.9372180355884812E-7</v>
          </cell>
          <cell r="AP184">
            <v>6.9372180355884812E-7</v>
          </cell>
          <cell r="AQ184">
            <v>6.9372180355884812E-7</v>
          </cell>
          <cell r="AR184">
            <v>6.9372180355884812E-7</v>
          </cell>
          <cell r="AS184">
            <v>6.9372180355884812E-7</v>
          </cell>
          <cell r="AT184">
            <v>6.9372180355884812E-7</v>
          </cell>
          <cell r="AU184">
            <v>6.9372180355884812E-7</v>
          </cell>
          <cell r="AV184">
            <v>6.9372180355884812E-7</v>
          </cell>
          <cell r="AW184">
            <v>6.9372180355884812E-7</v>
          </cell>
          <cell r="AX184">
            <v>6.9372180355884812E-7</v>
          </cell>
          <cell r="AY184">
            <v>6.9372180355884812E-7</v>
          </cell>
          <cell r="AZ184">
            <v>6.9372180355884812E-7</v>
          </cell>
          <cell r="BA184">
            <v>6.9372180355884812E-7</v>
          </cell>
          <cell r="BB184">
            <v>6.9372180355884812E-7</v>
          </cell>
          <cell r="BC184">
            <v>6.9372180355884812E-7</v>
          </cell>
          <cell r="BD184">
            <v>6.9372180355884812E-7</v>
          </cell>
          <cell r="BE184">
            <v>6.9372180355884812E-7</v>
          </cell>
          <cell r="BF184">
            <v>6.9372180355884812E-7</v>
          </cell>
          <cell r="BG184">
            <v>6.9372180355884812E-7</v>
          </cell>
          <cell r="BH184">
            <v>6.9372180355884812E-7</v>
          </cell>
          <cell r="BI184">
            <v>6.9372180355884812E-7</v>
          </cell>
          <cell r="BJ184">
            <v>6.9372180355884812E-7</v>
          </cell>
          <cell r="BK184">
            <v>6.9372180355884812E-7</v>
          </cell>
          <cell r="BL184">
            <v>6.9372180355884812E-7</v>
          </cell>
          <cell r="BM184">
            <v>6.9372180355884812E-7</v>
          </cell>
          <cell r="BN184">
            <v>6.9372180355884812E-7</v>
          </cell>
          <cell r="BO184">
            <v>6.9372180355884812E-7</v>
          </cell>
        </row>
        <row r="185">
          <cell r="G185">
            <v>1.0341281568972375E-5</v>
          </cell>
          <cell r="H185">
            <v>1.0341244129338394E-5</v>
          </cell>
          <cell r="I185">
            <v>1.0443876317390763E-5</v>
          </cell>
          <cell r="J185">
            <v>1.0443858949120162E-5</v>
          </cell>
          <cell r="K185">
            <v>1.0443864666083176E-5</v>
          </cell>
          <cell r="L185">
            <v>1.0443882814936855E-5</v>
          </cell>
          <cell r="M185">
            <v>1.0443863606050895E-5</v>
          </cell>
          <cell r="N185">
            <v>1.044385808163145E-5</v>
          </cell>
          <cell r="O185">
            <v>1.0443882451752413E-5</v>
          </cell>
          <cell r="P185">
            <v>1.0443876119326972E-5</v>
          </cell>
          <cell r="Q185">
            <v>1.0443878051700994E-5</v>
          </cell>
          <cell r="R185">
            <v>1.0443856123747497E-5</v>
          </cell>
          <cell r="S185">
            <v>1.0443856643928068E-5</v>
          </cell>
          <cell r="T185">
            <v>1.0443876529542697E-5</v>
          </cell>
          <cell r="U185">
            <v>1.0443857329334026E-5</v>
          </cell>
          <cell r="V185">
            <v>1.0443877867263915E-5</v>
          </cell>
          <cell r="W185">
            <v>1.0443872816343238E-5</v>
          </cell>
          <cell r="X185">
            <v>1.0443853699682523E-5</v>
          </cell>
          <cell r="Y185">
            <v>1.0443873173849944E-5</v>
          </cell>
          <cell r="Z185">
            <v>1.0443873859372486E-5</v>
          </cell>
          <cell r="AA185">
            <v>1.0443883795456103E-5</v>
          </cell>
          <cell r="AB185">
            <v>1.0443883795456103E-5</v>
          </cell>
          <cell r="AC185">
            <v>1.0443883795456103E-5</v>
          </cell>
          <cell r="AD185">
            <v>1.0443883795456103E-5</v>
          </cell>
          <cell r="AE185">
            <v>1.0443883795456103E-5</v>
          </cell>
          <cell r="AF185">
            <v>1.0443883795456103E-5</v>
          </cell>
          <cell r="AG185">
            <v>1.0443883795456103E-5</v>
          </cell>
          <cell r="AH185">
            <v>1.0443883795456103E-5</v>
          </cell>
          <cell r="AI185">
            <v>1.0443883795456103E-5</v>
          </cell>
          <cell r="AJ185">
            <v>1.0443883795456103E-5</v>
          </cell>
          <cell r="AK185">
            <v>1.0443883795456103E-5</v>
          </cell>
          <cell r="AL185">
            <v>1.0443883795456103E-5</v>
          </cell>
          <cell r="AM185">
            <v>1.0443883795456103E-5</v>
          </cell>
          <cell r="AN185">
            <v>1.0443883795456103E-5</v>
          </cell>
          <cell r="AO185">
            <v>1.0443883795456103E-5</v>
          </cell>
          <cell r="AP185">
            <v>1.0443883795456103E-5</v>
          </cell>
          <cell r="AQ185">
            <v>1.0443883795456103E-5</v>
          </cell>
          <cell r="AR185">
            <v>1.0443883795456103E-5</v>
          </cell>
          <cell r="AS185">
            <v>1.0443883795456103E-5</v>
          </cell>
          <cell r="AT185">
            <v>1.0443883795456103E-5</v>
          </cell>
          <cell r="AU185">
            <v>1.0443883795456103E-5</v>
          </cell>
          <cell r="AV185">
            <v>1.0443883795456103E-5</v>
          </cell>
          <cell r="AW185">
            <v>1.0443883795456103E-5</v>
          </cell>
          <cell r="AX185">
            <v>1.0443883795456103E-5</v>
          </cell>
          <cell r="AY185">
            <v>1.0443883795456103E-5</v>
          </cell>
          <cell r="AZ185">
            <v>1.0443883795456103E-5</v>
          </cell>
          <cell r="BA185">
            <v>1.0443883795456103E-5</v>
          </cell>
          <cell r="BB185">
            <v>1.0443883795456103E-5</v>
          </cell>
          <cell r="BC185">
            <v>1.0443883795456103E-5</v>
          </cell>
          <cell r="BD185">
            <v>1.0443883795456103E-5</v>
          </cell>
          <cell r="BE185">
            <v>1.0443883795456103E-5</v>
          </cell>
          <cell r="BF185">
            <v>1.0443883795456103E-5</v>
          </cell>
          <cell r="BG185">
            <v>1.0443883795456103E-5</v>
          </cell>
          <cell r="BH185">
            <v>1.0443883795456103E-5</v>
          </cell>
          <cell r="BI185">
            <v>1.0443883795456103E-5</v>
          </cell>
          <cell r="BJ185">
            <v>1.0443883795456103E-5</v>
          </cell>
          <cell r="BK185">
            <v>1.0443883795456103E-5</v>
          </cell>
          <cell r="BL185">
            <v>1.0443883795456103E-5</v>
          </cell>
          <cell r="BM185">
            <v>1.0443883795456103E-5</v>
          </cell>
          <cell r="BN185">
            <v>1.0443883795456103E-5</v>
          </cell>
          <cell r="BO185">
            <v>1.0443883795456103E-5</v>
          </cell>
        </row>
        <row r="186"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J186">
            <v>0</v>
          </cell>
          <cell r="AK186">
            <v>0</v>
          </cell>
          <cell r="AL186">
            <v>0</v>
          </cell>
          <cell r="AM186">
            <v>0</v>
          </cell>
          <cell r="AN186">
            <v>0</v>
          </cell>
          <cell r="AO186">
            <v>0</v>
          </cell>
          <cell r="AP186">
            <v>0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  <cell r="AU186">
            <v>0</v>
          </cell>
          <cell r="AV186">
            <v>0</v>
          </cell>
          <cell r="AW186">
            <v>0</v>
          </cell>
          <cell r="AX186">
            <v>0</v>
          </cell>
          <cell r="AY186">
            <v>0</v>
          </cell>
          <cell r="AZ186">
            <v>0</v>
          </cell>
          <cell r="BA186">
            <v>0</v>
          </cell>
          <cell r="BB186">
            <v>0</v>
          </cell>
          <cell r="BC186">
            <v>0</v>
          </cell>
          <cell r="BD186">
            <v>0</v>
          </cell>
          <cell r="BE186">
            <v>0</v>
          </cell>
          <cell r="BF186">
            <v>0</v>
          </cell>
          <cell r="BG186">
            <v>0</v>
          </cell>
          <cell r="BH186">
            <v>0</v>
          </cell>
          <cell r="BI186">
            <v>0</v>
          </cell>
          <cell r="BJ186">
            <v>0</v>
          </cell>
          <cell r="BK186">
            <v>0</v>
          </cell>
          <cell r="BL186">
            <v>0</v>
          </cell>
          <cell r="BM186">
            <v>0</v>
          </cell>
          <cell r="BN186">
            <v>0</v>
          </cell>
          <cell r="BO186">
            <v>0</v>
          </cell>
        </row>
        <row r="187">
          <cell r="G187">
            <v>9.4004394736498995E-7</v>
          </cell>
          <cell r="H187">
            <v>9.4004394736498995E-7</v>
          </cell>
          <cell r="I187">
            <v>9.4004394736498995E-7</v>
          </cell>
          <cell r="J187">
            <v>9.4004394736498995E-7</v>
          </cell>
          <cell r="K187">
            <v>9.4004394736498995E-7</v>
          </cell>
          <cell r="L187">
            <v>9.4004394736498995E-7</v>
          </cell>
          <cell r="M187">
            <v>9.4004394736498995E-7</v>
          </cell>
          <cell r="N187">
            <v>9.4004394736498995E-7</v>
          </cell>
          <cell r="O187">
            <v>9.4004394736498995E-7</v>
          </cell>
          <cell r="P187">
            <v>9.4004394736498995E-7</v>
          </cell>
          <cell r="Q187">
            <v>9.4004394736498995E-7</v>
          </cell>
          <cell r="R187">
            <v>9.4004394736498995E-7</v>
          </cell>
          <cell r="S187">
            <v>9.4004394736498995E-7</v>
          </cell>
          <cell r="T187">
            <v>9.4004394736498995E-7</v>
          </cell>
          <cell r="U187">
            <v>9.4004394736498995E-7</v>
          </cell>
          <cell r="V187">
            <v>9.4004394736498995E-7</v>
          </cell>
          <cell r="W187">
            <v>9.4004394736498995E-7</v>
          </cell>
          <cell r="X187">
            <v>9.4004394736498995E-7</v>
          </cell>
          <cell r="Y187">
            <v>9.4004394736498995E-7</v>
          </cell>
          <cell r="Z187">
            <v>9.4004394736498995E-7</v>
          </cell>
          <cell r="AA187">
            <v>9.4004394736498995E-7</v>
          </cell>
          <cell r="AB187">
            <v>9.4004394736498995E-7</v>
          </cell>
          <cell r="AC187">
            <v>9.4004394736498995E-7</v>
          </cell>
          <cell r="AD187">
            <v>9.4004394736498995E-7</v>
          </cell>
          <cell r="AE187">
            <v>9.4004394736498995E-7</v>
          </cell>
          <cell r="AF187">
            <v>9.4004394736498995E-7</v>
          </cell>
          <cell r="AG187">
            <v>9.4004394736498995E-7</v>
          </cell>
          <cell r="AH187">
            <v>9.4004394736498995E-7</v>
          </cell>
          <cell r="AI187">
            <v>9.4004394736498995E-7</v>
          </cell>
          <cell r="AJ187">
            <v>9.4004394736498995E-7</v>
          </cell>
          <cell r="AK187">
            <v>9.4004394736498995E-7</v>
          </cell>
          <cell r="AL187">
            <v>9.4004394736498995E-7</v>
          </cell>
          <cell r="AM187">
            <v>9.4004394736498995E-7</v>
          </cell>
          <cell r="AN187">
            <v>9.4004394736498995E-7</v>
          </cell>
          <cell r="AO187">
            <v>9.4004394736498995E-7</v>
          </cell>
          <cell r="AP187">
            <v>9.4004394736498995E-7</v>
          </cell>
          <cell r="AQ187">
            <v>9.4004394736498995E-7</v>
          </cell>
          <cell r="AR187">
            <v>9.4004394736498995E-7</v>
          </cell>
          <cell r="AS187">
            <v>9.4004394736498995E-7</v>
          </cell>
          <cell r="AT187">
            <v>9.4004394736498995E-7</v>
          </cell>
          <cell r="AU187">
            <v>9.4004394736498995E-7</v>
          </cell>
          <cell r="AV187">
            <v>9.4004394736498995E-7</v>
          </cell>
          <cell r="AW187">
            <v>9.4004394736498995E-7</v>
          </cell>
          <cell r="AX187">
            <v>9.4004394736498995E-7</v>
          </cell>
          <cell r="AY187">
            <v>9.4004394736498995E-7</v>
          </cell>
          <cell r="AZ187">
            <v>9.4004394736498995E-7</v>
          </cell>
          <cell r="BA187">
            <v>9.4004394736498995E-7</v>
          </cell>
          <cell r="BB187">
            <v>9.4004394736498995E-7</v>
          </cell>
          <cell r="BC187">
            <v>9.4004394736498995E-7</v>
          </cell>
          <cell r="BD187">
            <v>9.4004394736498995E-7</v>
          </cell>
          <cell r="BE187">
            <v>9.4004394736498995E-7</v>
          </cell>
          <cell r="BF187">
            <v>9.4004394736498995E-7</v>
          </cell>
          <cell r="BG187">
            <v>9.4004394736498995E-7</v>
          </cell>
          <cell r="BH187">
            <v>9.4004394736498995E-7</v>
          </cell>
          <cell r="BI187">
            <v>9.4004394736498995E-7</v>
          </cell>
          <cell r="BJ187">
            <v>9.4004394736498995E-7</v>
          </cell>
          <cell r="BK187">
            <v>9.4004394736498995E-7</v>
          </cell>
          <cell r="BL187">
            <v>9.4004394736498995E-7</v>
          </cell>
          <cell r="BM187">
            <v>9.4004394736498995E-7</v>
          </cell>
          <cell r="BN187">
            <v>9.4004394736498995E-7</v>
          </cell>
          <cell r="BO187">
            <v>9.4004394736498995E-7</v>
          </cell>
        </row>
        <row r="188">
          <cell r="G188">
            <v>1.5058822934258332E-6</v>
          </cell>
          <cell r="H188">
            <v>1.5058823043125054E-6</v>
          </cell>
          <cell r="I188">
            <v>1.5058822872697887E-6</v>
          </cell>
          <cell r="J188">
            <v>1.5058823475124766E-6</v>
          </cell>
          <cell r="K188">
            <v>1.5058822978113285E-6</v>
          </cell>
          <cell r="L188">
            <v>1.5058825435120371E-6</v>
          </cell>
          <cell r="M188">
            <v>1.5058825939388451E-6</v>
          </cell>
          <cell r="N188">
            <v>1.5058820718075319E-6</v>
          </cell>
          <cell r="O188">
            <v>1.5058822146643708E-6</v>
          </cell>
          <cell r="P188">
            <v>1.5058821428984892E-6</v>
          </cell>
          <cell r="Q188">
            <v>1.5058824927839748E-6</v>
          </cell>
          <cell r="R188">
            <v>1.5058820665487164E-6</v>
          </cell>
          <cell r="S188">
            <v>1.5058814063292345E-6</v>
          </cell>
          <cell r="T188">
            <v>1.5058821564054852E-6</v>
          </cell>
          <cell r="U188">
            <v>1.5058821564054852E-6</v>
          </cell>
          <cell r="V188">
            <v>1.5058821564054852E-6</v>
          </cell>
          <cell r="W188">
            <v>1.5058815924993217E-6</v>
          </cell>
          <cell r="X188">
            <v>1.5058812759227748E-6</v>
          </cell>
          <cell r="Y188">
            <v>1.5058812759227748E-6</v>
          </cell>
          <cell r="Z188">
            <v>1.5058820764192869E-6</v>
          </cell>
          <cell r="AA188">
            <v>1.5058889821632295E-6</v>
          </cell>
          <cell r="AB188">
            <v>1.5058889821632295E-6</v>
          </cell>
          <cell r="AC188">
            <v>1.5058889821632295E-6</v>
          </cell>
          <cell r="AD188">
            <v>1.5058889821632295E-6</v>
          </cell>
          <cell r="AE188">
            <v>1.5058889821632295E-6</v>
          </cell>
          <cell r="AF188">
            <v>1.5058889821632295E-6</v>
          </cell>
          <cell r="AG188">
            <v>1.5058889821632295E-6</v>
          </cell>
          <cell r="AH188">
            <v>1.5058889821632295E-6</v>
          </cell>
          <cell r="AI188">
            <v>1.5058889821632295E-6</v>
          </cell>
          <cell r="AJ188">
            <v>1.5058889821632295E-6</v>
          </cell>
          <cell r="AK188">
            <v>1.5058889821632295E-6</v>
          </cell>
          <cell r="AL188">
            <v>1.5058889821632295E-6</v>
          </cell>
          <cell r="AM188">
            <v>1.5058889821632295E-6</v>
          </cell>
          <cell r="AN188">
            <v>1.5058889821632295E-6</v>
          </cell>
          <cell r="AO188">
            <v>1.5058889821632295E-6</v>
          </cell>
          <cell r="AP188">
            <v>1.5058889821632295E-6</v>
          </cell>
          <cell r="AQ188">
            <v>1.5058889821632295E-6</v>
          </cell>
          <cell r="AR188">
            <v>1.5058889821632295E-6</v>
          </cell>
          <cell r="AS188">
            <v>1.5058889821632295E-6</v>
          </cell>
          <cell r="AT188">
            <v>1.5058889821632295E-6</v>
          </cell>
          <cell r="AU188">
            <v>1.5058889821632295E-6</v>
          </cell>
          <cell r="AV188">
            <v>1.5058889821632295E-6</v>
          </cell>
          <cell r="AW188">
            <v>1.5058889821632295E-6</v>
          </cell>
          <cell r="AX188">
            <v>1.5058889821632295E-6</v>
          </cell>
          <cell r="AY188">
            <v>1.5058889821632295E-6</v>
          </cell>
          <cell r="AZ188">
            <v>1.5058889821632295E-6</v>
          </cell>
          <cell r="BA188">
            <v>1.5058889821632295E-6</v>
          </cell>
          <cell r="BB188">
            <v>1.5058889821632295E-6</v>
          </cell>
          <cell r="BC188">
            <v>1.5058889821632295E-6</v>
          </cell>
          <cell r="BD188">
            <v>1.5058889821632295E-6</v>
          </cell>
          <cell r="BE188">
            <v>1.5058889821632295E-6</v>
          </cell>
          <cell r="BF188">
            <v>1.5058889821632295E-6</v>
          </cell>
          <cell r="BG188">
            <v>1.5058889821632295E-6</v>
          </cell>
          <cell r="BH188">
            <v>1.5058889821632295E-6</v>
          </cell>
          <cell r="BI188">
            <v>1.5058889821632295E-6</v>
          </cell>
          <cell r="BJ188">
            <v>1.5058889821632295E-6</v>
          </cell>
          <cell r="BK188">
            <v>1.5058889821632295E-6</v>
          </cell>
          <cell r="BL188">
            <v>1.5058889821632295E-6</v>
          </cell>
          <cell r="BM188">
            <v>1.5058889821632295E-6</v>
          </cell>
          <cell r="BN188">
            <v>1.5058889821632295E-6</v>
          </cell>
          <cell r="BO188">
            <v>1.5058889821632295E-6</v>
          </cell>
        </row>
        <row r="189">
          <cell r="G189">
            <v>5.7703405885162051E-7</v>
          </cell>
          <cell r="H189">
            <v>5.770348352994741E-7</v>
          </cell>
          <cell r="I189">
            <v>5.7142939904497212E-7</v>
          </cell>
          <cell r="J189">
            <v>5.7142816417783874E-7</v>
          </cell>
          <cell r="K189">
            <v>5.7142857142857149E-7</v>
          </cell>
          <cell r="L189">
            <v>5.7142877133767288E-7</v>
          </cell>
          <cell r="M189">
            <v>5.7142857142857149E-7</v>
          </cell>
          <cell r="N189">
            <v>5.7142857142857149E-7</v>
          </cell>
          <cell r="O189">
            <v>5.7142837570583738E-7</v>
          </cell>
          <cell r="P189">
            <v>5.714289578994996E-7</v>
          </cell>
          <cell r="Q189">
            <v>5.7142819518946321E-7</v>
          </cell>
          <cell r="R189">
            <v>5.7142857142857149E-7</v>
          </cell>
          <cell r="S189">
            <v>5.7142876112510918E-7</v>
          </cell>
          <cell r="T189">
            <v>5.7142875688699868E-7</v>
          </cell>
          <cell r="U189">
            <v>5.7142893136113098E-7</v>
          </cell>
          <cell r="V189">
            <v>5.7142911645705326E-7</v>
          </cell>
          <cell r="W189">
            <v>5.7142839521401264E-7</v>
          </cell>
          <cell r="X189">
            <v>5.7142909559674289E-7</v>
          </cell>
          <cell r="Y189">
            <v>5.7142857142857149E-7</v>
          </cell>
          <cell r="Z189">
            <v>5.7142908502391088E-7</v>
          </cell>
          <cell r="AA189">
            <v>5.71429177469772E-7</v>
          </cell>
          <cell r="AB189">
            <v>5.71429177469772E-7</v>
          </cell>
          <cell r="AC189">
            <v>5.71429177469772E-7</v>
          </cell>
          <cell r="AD189">
            <v>5.71429177469772E-7</v>
          </cell>
          <cell r="AE189">
            <v>5.71429177469772E-7</v>
          </cell>
          <cell r="AF189">
            <v>5.71429177469772E-7</v>
          </cell>
          <cell r="AG189">
            <v>5.71429177469772E-7</v>
          </cell>
          <cell r="AH189">
            <v>5.71429177469772E-7</v>
          </cell>
          <cell r="AI189">
            <v>5.71429177469772E-7</v>
          </cell>
          <cell r="AJ189">
            <v>5.71429177469772E-7</v>
          </cell>
          <cell r="AK189">
            <v>5.71429177469772E-7</v>
          </cell>
          <cell r="AL189">
            <v>5.71429177469772E-7</v>
          </cell>
          <cell r="AM189">
            <v>5.71429177469772E-7</v>
          </cell>
          <cell r="AN189">
            <v>5.71429177469772E-7</v>
          </cell>
          <cell r="AO189">
            <v>5.71429177469772E-7</v>
          </cell>
          <cell r="AP189">
            <v>5.71429177469772E-7</v>
          </cell>
          <cell r="AQ189">
            <v>5.71429177469772E-7</v>
          </cell>
          <cell r="AR189">
            <v>5.71429177469772E-7</v>
          </cell>
          <cell r="AS189">
            <v>5.71429177469772E-7</v>
          </cell>
          <cell r="AT189">
            <v>5.71429177469772E-7</v>
          </cell>
          <cell r="AU189">
            <v>5.71429177469772E-7</v>
          </cell>
          <cell r="AV189">
            <v>5.71429177469772E-7</v>
          </cell>
          <cell r="AW189">
            <v>5.71429177469772E-7</v>
          </cell>
          <cell r="AX189">
            <v>5.71429177469772E-7</v>
          </cell>
          <cell r="AY189">
            <v>5.71429177469772E-7</v>
          </cell>
          <cell r="AZ189">
            <v>5.71429177469772E-7</v>
          </cell>
          <cell r="BA189">
            <v>5.71429177469772E-7</v>
          </cell>
          <cell r="BB189">
            <v>5.71429177469772E-7</v>
          </cell>
          <cell r="BC189">
            <v>5.71429177469772E-7</v>
          </cell>
          <cell r="BD189">
            <v>5.71429177469772E-7</v>
          </cell>
          <cell r="BE189">
            <v>5.71429177469772E-7</v>
          </cell>
          <cell r="BF189">
            <v>5.71429177469772E-7</v>
          </cell>
          <cell r="BG189">
            <v>5.71429177469772E-7</v>
          </cell>
          <cell r="BH189">
            <v>5.71429177469772E-7</v>
          </cell>
          <cell r="BI189">
            <v>5.71429177469772E-7</v>
          </cell>
          <cell r="BJ189">
            <v>5.71429177469772E-7</v>
          </cell>
          <cell r="BK189">
            <v>5.71429177469772E-7</v>
          </cell>
          <cell r="BL189">
            <v>5.71429177469772E-7</v>
          </cell>
          <cell r="BM189">
            <v>5.71429177469772E-7</v>
          </cell>
          <cell r="BN189">
            <v>5.71429177469772E-7</v>
          </cell>
          <cell r="BO189">
            <v>5.71429177469772E-7</v>
          </cell>
        </row>
        <row r="190"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  <cell r="AJ190">
            <v>0</v>
          </cell>
          <cell r="AK190">
            <v>0</v>
          </cell>
          <cell r="AL190">
            <v>0</v>
          </cell>
          <cell r="AM190">
            <v>0</v>
          </cell>
          <cell r="AN190">
            <v>0</v>
          </cell>
          <cell r="AO190">
            <v>0</v>
          </cell>
          <cell r="AP190">
            <v>0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  <cell r="AU190">
            <v>0</v>
          </cell>
          <cell r="AV190">
            <v>0</v>
          </cell>
          <cell r="AW190">
            <v>0</v>
          </cell>
          <cell r="AX190">
            <v>0</v>
          </cell>
          <cell r="AY190">
            <v>0</v>
          </cell>
          <cell r="AZ190">
            <v>0</v>
          </cell>
          <cell r="BA190">
            <v>0</v>
          </cell>
          <cell r="BB190">
            <v>0</v>
          </cell>
          <cell r="BC190">
            <v>0</v>
          </cell>
          <cell r="BD190">
            <v>0</v>
          </cell>
          <cell r="BE190">
            <v>0</v>
          </cell>
          <cell r="BF190">
            <v>0</v>
          </cell>
          <cell r="BG190">
            <v>0</v>
          </cell>
          <cell r="BH190">
            <v>0</v>
          </cell>
          <cell r="BI190">
            <v>0</v>
          </cell>
          <cell r="BJ190">
            <v>0</v>
          </cell>
          <cell r="BK190">
            <v>0</v>
          </cell>
          <cell r="BL190">
            <v>0</v>
          </cell>
          <cell r="BM190">
            <v>0</v>
          </cell>
          <cell r="BN190">
            <v>0</v>
          </cell>
          <cell r="BO190">
            <v>0</v>
          </cell>
        </row>
        <row r="191">
          <cell r="G191">
            <v>1.9521633512024873E-6</v>
          </cell>
          <cell r="H191">
            <v>1.9521578034934713E-6</v>
          </cell>
          <cell r="I191">
            <v>1.8983931862906604E-6</v>
          </cell>
          <cell r="J191">
            <v>1.8983923089715184E-6</v>
          </cell>
          <cell r="K191">
            <v>1.8983966657275909E-6</v>
          </cell>
          <cell r="L191">
            <v>1.8983863511713548E-6</v>
          </cell>
          <cell r="M191">
            <v>1.8983927090648671E-6</v>
          </cell>
          <cell r="N191">
            <v>1.898387714131717E-6</v>
          </cell>
          <cell r="O191">
            <v>1.8983936694859577E-6</v>
          </cell>
          <cell r="P191">
            <v>1.8983922565452912E-6</v>
          </cell>
          <cell r="Q191">
            <v>1.8983867141162517E-6</v>
          </cell>
          <cell r="R191">
            <v>1.8983835991858128E-6</v>
          </cell>
          <cell r="S191">
            <v>1.8983988426953363E-6</v>
          </cell>
          <cell r="T191">
            <v>1.8983875425774933E-6</v>
          </cell>
          <cell r="U191">
            <v>1.898391608662176E-6</v>
          </cell>
          <cell r="V191">
            <v>1.8983870323211118E-6</v>
          </cell>
          <cell r="W191">
            <v>1.898386421085518E-6</v>
          </cell>
          <cell r="X191">
            <v>1.8983887130801691E-6</v>
          </cell>
          <cell r="Y191">
            <v>1.8983937157651868E-6</v>
          </cell>
          <cell r="Z191">
            <v>1.8984020800282037E-6</v>
          </cell>
          <cell r="AA191">
            <v>1.8984063454215886E-6</v>
          </cell>
          <cell r="AB191">
            <v>1.8984063454215886E-6</v>
          </cell>
          <cell r="AC191">
            <v>1.8984063454215886E-6</v>
          </cell>
          <cell r="AD191">
            <v>1.8984063454215886E-6</v>
          </cell>
          <cell r="AE191">
            <v>1.8984063454215886E-6</v>
          </cell>
          <cell r="AF191">
            <v>1.8984063454215886E-6</v>
          </cell>
          <cell r="AG191">
            <v>1.8984063454215886E-6</v>
          </cell>
          <cell r="AH191">
            <v>1.8984063454215886E-6</v>
          </cell>
          <cell r="AI191">
            <v>1.8984063454215886E-6</v>
          </cell>
          <cell r="AJ191">
            <v>1.8984063454215886E-6</v>
          </cell>
          <cell r="AK191">
            <v>1.8984063454215886E-6</v>
          </cell>
          <cell r="AL191">
            <v>1.8984063454215886E-6</v>
          </cell>
          <cell r="AM191">
            <v>1.8984063454215886E-6</v>
          </cell>
          <cell r="AN191">
            <v>1.8984063454215886E-6</v>
          </cell>
          <cell r="AO191">
            <v>1.8984063454215886E-6</v>
          </cell>
          <cell r="AP191">
            <v>1.8984063454215886E-6</v>
          </cell>
          <cell r="AQ191">
            <v>1.8984063454215886E-6</v>
          </cell>
          <cell r="AR191">
            <v>1.8984063454215886E-6</v>
          </cell>
          <cell r="AS191">
            <v>1.8984063454215886E-6</v>
          </cell>
          <cell r="AT191">
            <v>1.8984063454215886E-6</v>
          </cell>
          <cell r="AU191">
            <v>1.8984063454215886E-6</v>
          </cell>
          <cell r="AV191">
            <v>1.8984063454215886E-6</v>
          </cell>
          <cell r="AW191">
            <v>1.8984063454215886E-6</v>
          </cell>
          <cell r="AX191">
            <v>1.8984063454215886E-6</v>
          </cell>
          <cell r="AY191">
            <v>1.8984063454215886E-6</v>
          </cell>
          <cell r="AZ191">
            <v>1.8984063454215886E-6</v>
          </cell>
          <cell r="BA191">
            <v>1.8984063454215886E-6</v>
          </cell>
          <cell r="BB191">
            <v>1.8984063454215886E-6</v>
          </cell>
          <cell r="BC191">
            <v>1.8984063454215886E-6</v>
          </cell>
          <cell r="BD191">
            <v>1.8984063454215886E-6</v>
          </cell>
          <cell r="BE191">
            <v>1.8984063454215886E-6</v>
          </cell>
          <cell r="BF191">
            <v>1.8984063454215886E-6</v>
          </cell>
          <cell r="BG191">
            <v>1.8984063454215886E-6</v>
          </cell>
          <cell r="BH191">
            <v>1.8984063454215886E-6</v>
          </cell>
          <cell r="BI191">
            <v>1.8984063454215886E-6</v>
          </cell>
          <cell r="BJ191">
            <v>1.8984063454215886E-6</v>
          </cell>
          <cell r="BK191">
            <v>1.8984063454215886E-6</v>
          </cell>
          <cell r="BL191">
            <v>1.8984063454215886E-6</v>
          </cell>
          <cell r="BM191">
            <v>1.8984063454215886E-6</v>
          </cell>
          <cell r="BN191">
            <v>1.8984063454215886E-6</v>
          </cell>
          <cell r="BO191">
            <v>1.8984063454215886E-6</v>
          </cell>
        </row>
        <row r="192">
          <cell r="G192">
            <v>4.0226294820717126E-6</v>
          </cell>
          <cell r="H192">
            <v>4.0226294820717126E-6</v>
          </cell>
          <cell r="I192">
            <v>4.0226294820717126E-6</v>
          </cell>
          <cell r="J192">
            <v>4.0298383243684784E-6</v>
          </cell>
          <cell r="K192">
            <v>4.0298662228765281E-6</v>
          </cell>
          <cell r="L192">
            <v>4.0298662228765281E-6</v>
          </cell>
          <cell r="M192">
            <v>4.0298662228765281E-6</v>
          </cell>
          <cell r="N192">
            <v>4.0298662228765281E-6</v>
          </cell>
          <cell r="O192">
            <v>4.0298662228765281E-6</v>
          </cell>
          <cell r="P192">
            <v>4.0298662228765281E-6</v>
          </cell>
          <cell r="Q192">
            <v>4.0298662228765281E-6</v>
          </cell>
          <cell r="R192">
            <v>4.0298662228765281E-6</v>
          </cell>
          <cell r="S192">
            <v>4.0298662228765281E-6</v>
          </cell>
          <cell r="T192">
            <v>4.0298662228765281E-6</v>
          </cell>
          <cell r="U192">
            <v>4.0298662228765281E-6</v>
          </cell>
          <cell r="V192">
            <v>4.0298662228765281E-6</v>
          </cell>
          <cell r="W192">
            <v>4.0298662228765281E-6</v>
          </cell>
          <cell r="X192">
            <v>4.0298662228765281E-6</v>
          </cell>
          <cell r="Y192">
            <v>4.0298662228765281E-6</v>
          </cell>
          <cell r="Z192">
            <v>4.0298662228765281E-6</v>
          </cell>
          <cell r="AA192">
            <v>4.0298662228765281E-6</v>
          </cell>
          <cell r="AB192">
            <v>4.0298662228765281E-6</v>
          </cell>
          <cell r="AC192">
            <v>4.0298662228765281E-6</v>
          </cell>
          <cell r="AD192">
            <v>4.0298662228765281E-6</v>
          </cell>
          <cell r="AE192">
            <v>4.0298662228765281E-6</v>
          </cell>
          <cell r="AF192">
            <v>4.0298662228765281E-6</v>
          </cell>
          <cell r="AG192">
            <v>4.0298662228765281E-6</v>
          </cell>
          <cell r="AH192">
            <v>4.0298662228765281E-6</v>
          </cell>
          <cell r="AI192">
            <v>4.0298662228765281E-6</v>
          </cell>
          <cell r="AJ192">
            <v>4.0298662228765281E-6</v>
          </cell>
          <cell r="AK192">
            <v>4.0298662228765281E-6</v>
          </cell>
          <cell r="AL192">
            <v>4.0298662228765281E-6</v>
          </cell>
          <cell r="AM192">
            <v>4.0298662228765281E-6</v>
          </cell>
          <cell r="AN192">
            <v>4.0298662228765281E-6</v>
          </cell>
          <cell r="AO192">
            <v>4.0298662228765281E-6</v>
          </cell>
          <cell r="AP192">
            <v>4.0298662228765281E-6</v>
          </cell>
          <cell r="AQ192">
            <v>4.0298662228765281E-6</v>
          </cell>
          <cell r="AR192">
            <v>4.0298662228765281E-6</v>
          </cell>
          <cell r="AS192">
            <v>4.0298662228765281E-6</v>
          </cell>
          <cell r="AT192">
            <v>4.0298662228765281E-6</v>
          </cell>
          <cell r="AU192">
            <v>4.0298662228765281E-6</v>
          </cell>
          <cell r="AV192">
            <v>4.0298662228765281E-6</v>
          </cell>
          <cell r="AW192">
            <v>4.0298662228765281E-6</v>
          </cell>
          <cell r="AX192">
            <v>4.0298662228765281E-6</v>
          </cell>
          <cell r="AY192">
            <v>4.0298662228765281E-6</v>
          </cell>
          <cell r="AZ192">
            <v>4.0298662228765281E-6</v>
          </cell>
          <cell r="BA192">
            <v>4.0298662228765281E-6</v>
          </cell>
          <cell r="BB192">
            <v>4.0298662228765281E-6</v>
          </cell>
          <cell r="BC192">
            <v>4.0298662228765281E-6</v>
          </cell>
          <cell r="BD192">
            <v>4.0298662228765281E-6</v>
          </cell>
          <cell r="BE192">
            <v>4.0298662228765281E-6</v>
          </cell>
          <cell r="BF192">
            <v>4.0298662228765281E-6</v>
          </cell>
          <cell r="BG192">
            <v>4.0298662228765281E-6</v>
          </cell>
          <cell r="BH192">
            <v>4.0298662228765281E-6</v>
          </cell>
          <cell r="BI192">
            <v>4.0298662228765281E-6</v>
          </cell>
          <cell r="BJ192">
            <v>4.0298662228765281E-6</v>
          </cell>
          <cell r="BK192">
            <v>4.0298662228765281E-6</v>
          </cell>
          <cell r="BL192">
            <v>4.0298662228765281E-6</v>
          </cell>
          <cell r="BM192">
            <v>4.0298662228765281E-6</v>
          </cell>
          <cell r="BN192">
            <v>4.0298662228765281E-6</v>
          </cell>
          <cell r="BO192">
            <v>4.0298662228765281E-6</v>
          </cell>
        </row>
        <row r="193">
          <cell r="G193">
            <v>8.6864964613033235E-7</v>
          </cell>
          <cell r="H193">
            <v>8.6636912421862735E-7</v>
          </cell>
          <cell r="I193">
            <v>8.6636912703112222E-7</v>
          </cell>
          <cell r="J193">
            <v>8.6387434554973826E-7</v>
          </cell>
          <cell r="K193">
            <v>8.6364825835014342E-7</v>
          </cell>
          <cell r="L193">
            <v>8.6251962620743449E-7</v>
          </cell>
          <cell r="M193">
            <v>8.625195986441362E-7</v>
          </cell>
          <cell r="N193">
            <v>8.6591444432511414E-7</v>
          </cell>
          <cell r="O193">
            <v>8.5915128630747526E-7</v>
          </cell>
          <cell r="P193">
            <v>8.5870411694394287E-7</v>
          </cell>
          <cell r="Q193">
            <v>8.5669782066027099E-7</v>
          </cell>
          <cell r="R193">
            <v>8.5580910447161907E-7</v>
          </cell>
          <cell r="S193">
            <v>8.5183270968083418E-7</v>
          </cell>
          <cell r="T193">
            <v>8.4942082806904052E-7</v>
          </cell>
          <cell r="U193">
            <v>8.4615386301208915E-7</v>
          </cell>
          <cell r="V193">
            <v>8.409786043214603E-7</v>
          </cell>
          <cell r="W193">
            <v>8.4550360942946101E-7</v>
          </cell>
          <cell r="X193">
            <v>8.4140762341343829E-7</v>
          </cell>
          <cell r="Y193">
            <v>8.4377395735710395E-7</v>
          </cell>
          <cell r="Z193">
            <v>8.401213317232594E-7</v>
          </cell>
          <cell r="AA193">
            <v>8.4012266021346199E-7</v>
          </cell>
          <cell r="AB193">
            <v>8.4012266021346199E-7</v>
          </cell>
          <cell r="AC193">
            <v>8.4012266021346199E-7</v>
          </cell>
          <cell r="AD193">
            <v>8.4012266021346199E-7</v>
          </cell>
          <cell r="AE193">
            <v>8.4012266021346199E-7</v>
          </cell>
          <cell r="AF193">
            <v>8.4012266021346199E-7</v>
          </cell>
          <cell r="AG193">
            <v>8.4012266021346199E-7</v>
          </cell>
          <cell r="AH193">
            <v>8.4012266021346199E-7</v>
          </cell>
          <cell r="AI193">
            <v>8.4012266021346199E-7</v>
          </cell>
          <cell r="AJ193">
            <v>8.4012266021346199E-7</v>
          </cell>
          <cell r="AK193">
            <v>8.4012266021346199E-7</v>
          </cell>
          <cell r="AL193">
            <v>8.4012266021346199E-7</v>
          </cell>
          <cell r="AM193">
            <v>8.4012266021346199E-7</v>
          </cell>
          <cell r="AN193">
            <v>8.4012266021346199E-7</v>
          </cell>
          <cell r="AO193">
            <v>8.4012266021346199E-7</v>
          </cell>
          <cell r="AP193">
            <v>8.4012266021346199E-7</v>
          </cell>
          <cell r="AQ193">
            <v>8.4012266021346199E-7</v>
          </cell>
          <cell r="AR193">
            <v>8.4012266021346199E-7</v>
          </cell>
          <cell r="AS193">
            <v>8.4012266021346199E-7</v>
          </cell>
          <cell r="AT193">
            <v>8.4012266021346199E-7</v>
          </cell>
          <cell r="AU193">
            <v>8.4012266021346199E-7</v>
          </cell>
          <cell r="AV193">
            <v>8.4012266021346199E-7</v>
          </cell>
          <cell r="AW193">
            <v>8.4012266021346199E-7</v>
          </cell>
          <cell r="AX193">
            <v>8.4012266021346199E-7</v>
          </cell>
          <cell r="AY193">
            <v>8.4012266021346199E-7</v>
          </cell>
          <cell r="AZ193">
            <v>8.4012266021346199E-7</v>
          </cell>
          <cell r="BA193">
            <v>8.4012266021346199E-7</v>
          </cell>
          <cell r="BB193">
            <v>8.4012266021346199E-7</v>
          </cell>
          <cell r="BC193">
            <v>8.4012266021346199E-7</v>
          </cell>
          <cell r="BD193">
            <v>8.4012266021346199E-7</v>
          </cell>
          <cell r="BE193">
            <v>8.4012266021346199E-7</v>
          </cell>
          <cell r="BF193">
            <v>8.4012266021346199E-7</v>
          </cell>
          <cell r="BG193">
            <v>8.4012266021346199E-7</v>
          </cell>
          <cell r="BH193">
            <v>8.4012266021346199E-7</v>
          </cell>
          <cell r="BI193">
            <v>8.4012266021346199E-7</v>
          </cell>
          <cell r="BJ193">
            <v>8.4012266021346199E-7</v>
          </cell>
          <cell r="BK193">
            <v>8.4012266021346199E-7</v>
          </cell>
          <cell r="BL193">
            <v>8.4012266021346199E-7</v>
          </cell>
          <cell r="BM193">
            <v>8.4012266021346199E-7</v>
          </cell>
          <cell r="BN193">
            <v>8.4012266021346199E-7</v>
          </cell>
          <cell r="BO193">
            <v>8.4012266021346199E-7</v>
          </cell>
        </row>
        <row r="194">
          <cell r="G194">
            <v>5.9546925324097432E-7</v>
          </cell>
          <cell r="H194">
            <v>5.9331175675543012E-7</v>
          </cell>
          <cell r="I194">
            <v>5.9331175460486715E-7</v>
          </cell>
          <cell r="J194">
            <v>5.9331175862550999E-7</v>
          </cell>
          <cell r="K194">
            <v>5.9331175588531965E-7</v>
          </cell>
          <cell r="L194">
            <v>5.9331175947375652E-7</v>
          </cell>
          <cell r="M194">
            <v>5.933118510316838E-7</v>
          </cell>
          <cell r="N194">
            <v>5.9331194290372498E-7</v>
          </cell>
          <cell r="O194">
            <v>5.9331187981131484E-7</v>
          </cell>
          <cell r="P194">
            <v>5.9331186291080176E-7</v>
          </cell>
          <cell r="Q194">
            <v>5.9331194187259091E-7</v>
          </cell>
          <cell r="R194">
            <v>5.9331179799381954E-7</v>
          </cell>
          <cell r="S194">
            <v>5.9331189095785941E-7</v>
          </cell>
          <cell r="T194">
            <v>5.9331161703418625E-7</v>
          </cell>
          <cell r="U194">
            <v>5.932740789591351E-7</v>
          </cell>
          <cell r="V194">
            <v>5.9327398031517265E-7</v>
          </cell>
          <cell r="W194">
            <v>5.9327417305870628E-7</v>
          </cell>
          <cell r="X194">
            <v>5.9327412436269363E-7</v>
          </cell>
          <cell r="Y194">
            <v>5.9327417814868417E-7</v>
          </cell>
          <cell r="Z194">
            <v>5.9327380316377959E-7</v>
          </cell>
          <cell r="AA194">
            <v>5.9327415360529985E-7</v>
          </cell>
          <cell r="AB194">
            <v>5.9327415360529985E-7</v>
          </cell>
          <cell r="AC194">
            <v>5.9327415360529985E-7</v>
          </cell>
          <cell r="AD194">
            <v>5.9327415360529985E-7</v>
          </cell>
          <cell r="AE194">
            <v>5.9327415360529985E-7</v>
          </cell>
          <cell r="AF194">
            <v>5.9327415360529985E-7</v>
          </cell>
          <cell r="AG194">
            <v>5.9327415360529985E-7</v>
          </cell>
          <cell r="AH194">
            <v>5.9327415360529985E-7</v>
          </cell>
          <cell r="AI194">
            <v>5.9327415360529985E-7</v>
          </cell>
          <cell r="AJ194">
            <v>5.9327415360529985E-7</v>
          </cell>
          <cell r="AK194">
            <v>5.9327415360529985E-7</v>
          </cell>
          <cell r="AL194">
            <v>5.9327415360529985E-7</v>
          </cell>
          <cell r="AM194">
            <v>5.9327415360529985E-7</v>
          </cell>
          <cell r="AN194">
            <v>5.9327415360529985E-7</v>
          </cell>
          <cell r="AO194">
            <v>5.9327415360529985E-7</v>
          </cell>
          <cell r="AP194">
            <v>5.9327415360529985E-7</v>
          </cell>
          <cell r="AQ194">
            <v>5.9327415360529985E-7</v>
          </cell>
          <cell r="AR194">
            <v>5.9327415360529985E-7</v>
          </cell>
          <cell r="AS194">
            <v>5.9327415360529985E-7</v>
          </cell>
          <cell r="AT194">
            <v>5.9327415360529985E-7</v>
          </cell>
          <cell r="AU194">
            <v>5.9327415360529985E-7</v>
          </cell>
          <cell r="AV194">
            <v>5.9327415360529985E-7</v>
          </cell>
          <cell r="AW194">
            <v>5.9327415360529985E-7</v>
          </cell>
          <cell r="AX194">
            <v>5.9327415360529985E-7</v>
          </cell>
          <cell r="AY194">
            <v>5.9327415360529985E-7</v>
          </cell>
          <cell r="AZ194">
            <v>5.9327415360529985E-7</v>
          </cell>
          <cell r="BA194">
            <v>5.9327415360529985E-7</v>
          </cell>
          <cell r="BB194">
            <v>5.9327415360529985E-7</v>
          </cell>
          <cell r="BC194">
            <v>5.9327415360529985E-7</v>
          </cell>
          <cell r="BD194">
            <v>5.9327415360529985E-7</v>
          </cell>
          <cell r="BE194">
            <v>5.9327415360529985E-7</v>
          </cell>
          <cell r="BF194">
            <v>5.9327415360529985E-7</v>
          </cell>
          <cell r="BG194">
            <v>5.9327415360529985E-7</v>
          </cell>
          <cell r="BH194">
            <v>5.9327415360529985E-7</v>
          </cell>
          <cell r="BI194">
            <v>5.9327415360529985E-7</v>
          </cell>
          <cell r="BJ194">
            <v>5.9327415360529985E-7</v>
          </cell>
          <cell r="BK194">
            <v>5.9327415360529985E-7</v>
          </cell>
          <cell r="BL194">
            <v>5.9327415360529985E-7</v>
          </cell>
          <cell r="BM194">
            <v>5.9327415360529985E-7</v>
          </cell>
          <cell r="BN194">
            <v>5.9327415360529985E-7</v>
          </cell>
          <cell r="BO194">
            <v>5.9327415360529985E-7</v>
          </cell>
        </row>
        <row r="195">
          <cell r="G195">
            <v>4.2670882976259764E-6</v>
          </cell>
          <cell r="H195">
            <v>4.2670879463157555E-6</v>
          </cell>
          <cell r="I195">
            <v>4.2670887489033433E-6</v>
          </cell>
          <cell r="J195">
            <v>4.2670879974365334E-6</v>
          </cell>
          <cell r="K195">
            <v>4.2670881526290587E-6</v>
          </cell>
          <cell r="L195">
            <v>4.2670873237001795E-6</v>
          </cell>
          <cell r="M195">
            <v>4.2670866006273497E-6</v>
          </cell>
          <cell r="N195">
            <v>4.2670940038238536E-6</v>
          </cell>
          <cell r="O195">
            <v>4.2670853931108063E-6</v>
          </cell>
          <cell r="P195">
            <v>4.2670956212976553E-6</v>
          </cell>
          <cell r="Q195">
            <v>4.2670914449775371E-6</v>
          </cell>
          <cell r="R195">
            <v>4.2670858015201517E-6</v>
          </cell>
          <cell r="S195">
            <v>4.2670916932833516E-6</v>
          </cell>
          <cell r="T195">
            <v>4.2670916932833516E-6</v>
          </cell>
          <cell r="U195">
            <v>4.2670916932833516E-6</v>
          </cell>
          <cell r="V195">
            <v>4.2670916932833516E-6</v>
          </cell>
          <cell r="W195">
            <v>4.2671182037880687E-6</v>
          </cell>
          <cell r="X195">
            <v>4.2671011523298475E-6</v>
          </cell>
          <cell r="Y195">
            <v>4.2670992466087789E-6</v>
          </cell>
          <cell r="Z195">
            <v>4.2672801398082167E-6</v>
          </cell>
          <cell r="AA195">
            <v>4.2672801398082167E-6</v>
          </cell>
          <cell r="AB195">
            <v>4.2672801398082167E-6</v>
          </cell>
          <cell r="AC195">
            <v>4.2672801398082167E-6</v>
          </cell>
          <cell r="AD195">
            <v>4.2672801398082167E-6</v>
          </cell>
          <cell r="AE195">
            <v>4.2672801398082167E-6</v>
          </cell>
          <cell r="AF195">
            <v>4.2672801398082167E-6</v>
          </cell>
          <cell r="AG195">
            <v>4.2672801398082167E-6</v>
          </cell>
          <cell r="AH195">
            <v>4.2672801398082167E-6</v>
          </cell>
          <cell r="AI195">
            <v>4.2672801398082167E-6</v>
          </cell>
          <cell r="AJ195">
            <v>4.2672801398082167E-6</v>
          </cell>
          <cell r="AK195">
            <v>4.2672801398082167E-6</v>
          </cell>
          <cell r="AL195">
            <v>4.2672801398082167E-6</v>
          </cell>
          <cell r="AM195">
            <v>4.2672801398082167E-6</v>
          </cell>
          <cell r="AN195">
            <v>4.2672801398082167E-6</v>
          </cell>
          <cell r="AO195">
            <v>4.2672801398082167E-6</v>
          </cell>
          <cell r="AP195">
            <v>4.2672801398082167E-6</v>
          </cell>
          <cell r="AQ195">
            <v>4.2672801398082167E-6</v>
          </cell>
          <cell r="AR195">
            <v>4.2672801398082167E-6</v>
          </cell>
          <cell r="AS195">
            <v>4.2672801398082167E-6</v>
          </cell>
          <cell r="AT195">
            <v>4.2672801398082167E-6</v>
          </cell>
          <cell r="AU195">
            <v>4.2672801398082167E-6</v>
          </cell>
          <cell r="AV195">
            <v>4.2672801398082167E-6</v>
          </cell>
          <cell r="AW195">
            <v>4.2672801398082167E-6</v>
          </cell>
          <cell r="AX195">
            <v>4.2672801398082167E-6</v>
          </cell>
          <cell r="AY195">
            <v>4.2672801398082167E-6</v>
          </cell>
          <cell r="AZ195">
            <v>4.2672801398082167E-6</v>
          </cell>
          <cell r="BA195">
            <v>4.2672801398082167E-6</v>
          </cell>
          <cell r="BB195">
            <v>4.2672801398082167E-6</v>
          </cell>
          <cell r="BC195">
            <v>4.2672801398082167E-6</v>
          </cell>
          <cell r="BD195">
            <v>4.2672801398082167E-6</v>
          </cell>
          <cell r="BE195">
            <v>4.2672801398082167E-6</v>
          </cell>
          <cell r="BF195">
            <v>4.2672801398082167E-6</v>
          </cell>
          <cell r="BG195">
            <v>4.2672801398082167E-6</v>
          </cell>
          <cell r="BH195">
            <v>4.2672801398082167E-6</v>
          </cell>
          <cell r="BI195">
            <v>4.2672801398082167E-6</v>
          </cell>
          <cell r="BJ195">
            <v>4.2672801398082167E-6</v>
          </cell>
          <cell r="BK195">
            <v>4.2672801398082167E-6</v>
          </cell>
          <cell r="BL195">
            <v>4.2672801398082167E-6</v>
          </cell>
          <cell r="BM195">
            <v>4.2672801398082167E-6</v>
          </cell>
          <cell r="BN195">
            <v>4.2672801398082167E-6</v>
          </cell>
          <cell r="BO195">
            <v>4.2672801398082167E-6</v>
          </cell>
        </row>
        <row r="196">
          <cell r="G196">
            <v>5.5432372505543243E-10</v>
          </cell>
          <cell r="H196">
            <v>5.5432372505543243E-10</v>
          </cell>
          <cell r="I196">
            <v>5.5432372505543243E-10</v>
          </cell>
          <cell r="J196">
            <v>5.5432372505543243E-10</v>
          </cell>
          <cell r="K196">
            <v>5.5432372505543243E-10</v>
          </cell>
          <cell r="L196">
            <v>5.5432372505543243E-10</v>
          </cell>
          <cell r="M196">
            <v>5.5432372505543243E-10</v>
          </cell>
          <cell r="N196">
            <v>5.5432372505543243E-10</v>
          </cell>
          <cell r="O196">
            <v>5.5432372505543243E-10</v>
          </cell>
          <cell r="P196">
            <v>5.5432372505543243E-10</v>
          </cell>
          <cell r="Q196">
            <v>5.5432372505543243E-10</v>
          </cell>
          <cell r="R196">
            <v>5.5432372505543243E-10</v>
          </cell>
          <cell r="S196">
            <v>5.5432372505543243E-10</v>
          </cell>
          <cell r="T196">
            <v>5.5432372505543243E-10</v>
          </cell>
          <cell r="U196">
            <v>5.5432372505543243E-10</v>
          </cell>
          <cell r="V196">
            <v>5.5432372505543243E-10</v>
          </cell>
          <cell r="W196">
            <v>5.5432372505543243E-10</v>
          </cell>
          <cell r="X196">
            <v>5.5432372505543243E-10</v>
          </cell>
          <cell r="Y196">
            <v>5.5432372505543243E-10</v>
          </cell>
          <cell r="Z196">
            <v>5.5432372505543243E-10</v>
          </cell>
          <cell r="AA196">
            <v>5.5432372505543243E-10</v>
          </cell>
          <cell r="AB196">
            <v>5.5432372505543243E-10</v>
          </cell>
          <cell r="AC196">
            <v>5.5432372505543243E-10</v>
          </cell>
          <cell r="AD196">
            <v>5.5432372505543243E-10</v>
          </cell>
          <cell r="AE196">
            <v>5.5432372505543243E-10</v>
          </cell>
          <cell r="AF196">
            <v>5.5432372505543243E-10</v>
          </cell>
          <cell r="AG196">
            <v>5.5432372505543243E-10</v>
          </cell>
          <cell r="AH196">
            <v>5.5432372505543243E-10</v>
          </cell>
          <cell r="AI196">
            <v>5.5432372505543243E-10</v>
          </cell>
          <cell r="AJ196">
            <v>5.5432372505543243E-10</v>
          </cell>
          <cell r="AK196">
            <v>5.5432372505543243E-10</v>
          </cell>
          <cell r="AL196">
            <v>5.5432372505543243E-10</v>
          </cell>
          <cell r="AM196">
            <v>5.5432372505543243E-10</v>
          </cell>
          <cell r="AN196">
            <v>5.5432372505543243E-10</v>
          </cell>
          <cell r="AO196">
            <v>5.5432372505543243E-10</v>
          </cell>
          <cell r="AP196">
            <v>5.5432372505543243E-10</v>
          </cell>
          <cell r="AQ196">
            <v>5.5432372505543243E-10</v>
          </cell>
          <cell r="AR196">
            <v>5.5432372505543243E-10</v>
          </cell>
          <cell r="AS196">
            <v>5.5432372505543243E-10</v>
          </cell>
          <cell r="AT196">
            <v>5.5432372505543243E-10</v>
          </cell>
          <cell r="AU196">
            <v>5.5432372505543243E-10</v>
          </cell>
          <cell r="AV196">
            <v>5.5432372505543243E-10</v>
          </cell>
          <cell r="AW196">
            <v>5.5432372505543243E-10</v>
          </cell>
          <cell r="AX196">
            <v>5.5432372505543243E-10</v>
          </cell>
          <cell r="AY196">
            <v>5.5432372505543243E-10</v>
          </cell>
          <cell r="AZ196">
            <v>5.5432372505543243E-10</v>
          </cell>
          <cell r="BA196">
            <v>5.5432372505543243E-10</v>
          </cell>
          <cell r="BB196">
            <v>5.5432372505543243E-10</v>
          </cell>
          <cell r="BC196">
            <v>5.5432372505543243E-10</v>
          </cell>
          <cell r="BD196">
            <v>5.5432372505543243E-10</v>
          </cell>
          <cell r="BE196">
            <v>5.5432372505543243E-10</v>
          </cell>
          <cell r="BF196">
            <v>5.5432372505543243E-10</v>
          </cell>
          <cell r="BG196">
            <v>5.5432372505543243E-10</v>
          </cell>
          <cell r="BH196">
            <v>5.5432372505543243E-10</v>
          </cell>
          <cell r="BI196">
            <v>5.5432372505543243E-10</v>
          </cell>
          <cell r="BJ196">
            <v>5.5432372505543243E-10</v>
          </cell>
          <cell r="BK196">
            <v>5.5432372505543243E-10</v>
          </cell>
          <cell r="BL196">
            <v>5.5432372505543243E-10</v>
          </cell>
          <cell r="BM196">
            <v>5.5432372505543243E-10</v>
          </cell>
          <cell r="BN196">
            <v>5.5432372505543243E-10</v>
          </cell>
          <cell r="BO196">
            <v>5.5432372505543243E-10</v>
          </cell>
        </row>
        <row r="197">
          <cell r="G197">
            <v>3.4246575342465754E-6</v>
          </cell>
          <cell r="H197">
            <v>3.4246575342465754E-6</v>
          </cell>
          <cell r="I197">
            <v>3.4246575342465754E-6</v>
          </cell>
          <cell r="J197">
            <v>3.4246575342465754E-6</v>
          </cell>
          <cell r="K197">
            <v>3.4246575342465754E-6</v>
          </cell>
          <cell r="L197">
            <v>3.4246575017589207E-6</v>
          </cell>
          <cell r="M197">
            <v>3.4246574688951274E-6</v>
          </cell>
          <cell r="N197">
            <v>3.4246575883385776E-6</v>
          </cell>
          <cell r="O197">
            <v>3.4246576249054554E-6</v>
          </cell>
          <cell r="P197">
            <v>3.4246576145537916E-6</v>
          </cell>
          <cell r="Q197">
            <v>3.4246575911061337E-6</v>
          </cell>
          <cell r="R197">
            <v>3.4246575532977483E-6</v>
          </cell>
          <cell r="S197">
            <v>3.4246574162763721E-6</v>
          </cell>
          <cell r="T197">
            <v>3.4246574561225384E-6</v>
          </cell>
          <cell r="U197">
            <v>3.424657591816569E-6</v>
          </cell>
          <cell r="V197">
            <v>3.4246575526403042E-6</v>
          </cell>
          <cell r="W197">
            <v>3.4246576354149472E-6</v>
          </cell>
          <cell r="X197">
            <v>3.4246573311677849E-6</v>
          </cell>
          <cell r="Y197">
            <v>3.4246576063966437E-6</v>
          </cell>
          <cell r="Z197">
            <v>3.4246573102097033E-6</v>
          </cell>
          <cell r="AA197">
            <v>3.4246581720054794E-6</v>
          </cell>
          <cell r="AB197">
            <v>3.4246581720054794E-6</v>
          </cell>
          <cell r="AC197">
            <v>3.4246581720054794E-6</v>
          </cell>
          <cell r="AD197">
            <v>3.4246581720054794E-6</v>
          </cell>
          <cell r="AE197">
            <v>3.4246581720054794E-6</v>
          </cell>
          <cell r="AF197">
            <v>3.4246581720054794E-6</v>
          </cell>
          <cell r="AG197">
            <v>3.4246581720054794E-6</v>
          </cell>
          <cell r="AH197">
            <v>3.4246581720054794E-6</v>
          </cell>
          <cell r="AI197">
            <v>3.4246581720054794E-6</v>
          </cell>
          <cell r="AJ197">
            <v>3.4246581720054794E-6</v>
          </cell>
          <cell r="AK197">
            <v>3.4246581720054794E-6</v>
          </cell>
          <cell r="AL197">
            <v>3.4246581720054794E-6</v>
          </cell>
          <cell r="AM197">
            <v>3.4246581720054794E-6</v>
          </cell>
          <cell r="AN197">
            <v>3.4246581720054794E-6</v>
          </cell>
          <cell r="AO197">
            <v>3.4246581720054794E-6</v>
          </cell>
          <cell r="AP197">
            <v>3.4246581720054794E-6</v>
          </cell>
          <cell r="AQ197">
            <v>3.4246581720054794E-6</v>
          </cell>
          <cell r="AR197">
            <v>3.4246581720054794E-6</v>
          </cell>
          <cell r="AS197">
            <v>3.4246581720054794E-6</v>
          </cell>
          <cell r="AT197">
            <v>3.4246581720054794E-6</v>
          </cell>
          <cell r="AU197">
            <v>3.4246581720054794E-6</v>
          </cell>
          <cell r="AV197">
            <v>3.4246581720054794E-6</v>
          </cell>
          <cell r="AW197">
            <v>3.4246581720054794E-6</v>
          </cell>
          <cell r="AX197">
            <v>3.4246581720054794E-6</v>
          </cell>
          <cell r="AY197">
            <v>3.4246581720054794E-6</v>
          </cell>
          <cell r="AZ197">
            <v>3.4246581720054794E-6</v>
          </cell>
          <cell r="BA197">
            <v>3.4246581720054794E-6</v>
          </cell>
          <cell r="BB197">
            <v>3.4246581720054794E-6</v>
          </cell>
          <cell r="BC197">
            <v>3.4246581720054794E-6</v>
          </cell>
          <cell r="BD197">
            <v>3.4246581720054794E-6</v>
          </cell>
          <cell r="BE197">
            <v>3.4246581720054794E-6</v>
          </cell>
          <cell r="BF197">
            <v>3.4246581720054794E-6</v>
          </cell>
          <cell r="BG197">
            <v>3.4246581720054794E-6</v>
          </cell>
          <cell r="BH197">
            <v>3.4246581720054794E-6</v>
          </cell>
          <cell r="BI197">
            <v>3.4246581720054794E-6</v>
          </cell>
          <cell r="BJ197">
            <v>3.4246581720054794E-6</v>
          </cell>
          <cell r="BK197">
            <v>3.4246581720054794E-6</v>
          </cell>
          <cell r="BL197">
            <v>3.4246581720054794E-6</v>
          </cell>
          <cell r="BM197">
            <v>3.4246581720054794E-6</v>
          </cell>
          <cell r="BN197">
            <v>3.4246581720054794E-6</v>
          </cell>
          <cell r="BO197">
            <v>3.4246581720054794E-6</v>
          </cell>
        </row>
        <row r="198"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J198">
            <v>0</v>
          </cell>
          <cell r="AK198">
            <v>0</v>
          </cell>
          <cell r="AL198">
            <v>0</v>
          </cell>
          <cell r="AM198">
            <v>0</v>
          </cell>
          <cell r="AN198">
            <v>0</v>
          </cell>
          <cell r="AO198">
            <v>0</v>
          </cell>
          <cell r="AP198">
            <v>0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  <cell r="AU198">
            <v>0</v>
          </cell>
          <cell r="AV198">
            <v>0</v>
          </cell>
          <cell r="AW198">
            <v>0</v>
          </cell>
          <cell r="AX198">
            <v>0</v>
          </cell>
          <cell r="AY198">
            <v>0</v>
          </cell>
          <cell r="AZ198">
            <v>0</v>
          </cell>
          <cell r="BA198">
            <v>0</v>
          </cell>
          <cell r="BB198">
            <v>0</v>
          </cell>
          <cell r="BC198">
            <v>0</v>
          </cell>
          <cell r="BD198">
            <v>0</v>
          </cell>
          <cell r="BE198">
            <v>0</v>
          </cell>
          <cell r="BF198">
            <v>0</v>
          </cell>
          <cell r="BG198">
            <v>0</v>
          </cell>
          <cell r="BH198">
            <v>0</v>
          </cell>
          <cell r="BI198">
            <v>0</v>
          </cell>
          <cell r="BJ198">
            <v>0</v>
          </cell>
          <cell r="BK198">
            <v>0</v>
          </cell>
          <cell r="BL198">
            <v>0</v>
          </cell>
          <cell r="BM198">
            <v>0</v>
          </cell>
          <cell r="BN198">
            <v>0</v>
          </cell>
          <cell r="BO198">
            <v>0</v>
          </cell>
        </row>
        <row r="199">
          <cell r="G199">
            <v>1.6788491257742283E-7</v>
          </cell>
          <cell r="H199">
            <v>1.6788491257742283E-7</v>
          </cell>
          <cell r="I199">
            <v>1.6788491257742283E-7</v>
          </cell>
          <cell r="J199">
            <v>1.6788491257742283E-7</v>
          </cell>
          <cell r="K199">
            <v>1.6788491257742283E-7</v>
          </cell>
          <cell r="L199">
            <v>1.6788491257742283E-7</v>
          </cell>
          <cell r="M199">
            <v>1.6788491257742283E-7</v>
          </cell>
          <cell r="N199">
            <v>1.6788491257742283E-7</v>
          </cell>
          <cell r="O199">
            <v>1.6788491257742283E-7</v>
          </cell>
          <cell r="P199">
            <v>1.6788491257742283E-7</v>
          </cell>
          <cell r="Q199">
            <v>1.6788491257742283E-7</v>
          </cell>
          <cell r="R199">
            <v>1.6788491257742283E-7</v>
          </cell>
          <cell r="S199">
            <v>1.5512546419023584E-7</v>
          </cell>
          <cell r="T199">
            <v>1.5926325783242885E-7</v>
          </cell>
          <cell r="U199">
            <v>2.0107795669940849E-7</v>
          </cell>
          <cell r="V199">
            <v>2.1244958604933219E-7</v>
          </cell>
          <cell r="W199">
            <v>2.0520066447350329E-7</v>
          </cell>
          <cell r="X199">
            <v>2.1061542270772917E-7</v>
          </cell>
          <cell r="Y199">
            <v>2.0071006983574079E-7</v>
          </cell>
          <cell r="Z199">
            <v>2.1513669944783283E-7</v>
          </cell>
          <cell r="AA199">
            <v>2.1513669944783283E-7</v>
          </cell>
          <cell r="AB199">
            <v>2.1513669944783283E-7</v>
          </cell>
          <cell r="AC199">
            <v>2.1513669944783283E-7</v>
          </cell>
          <cell r="AD199">
            <v>2.1513669944783283E-7</v>
          </cell>
          <cell r="AE199">
            <v>2.1513669944783283E-7</v>
          </cell>
          <cell r="AF199">
            <v>2.1513669944783283E-7</v>
          </cell>
          <cell r="AG199">
            <v>2.1513669944783283E-7</v>
          </cell>
          <cell r="AH199">
            <v>2.1513669944783283E-7</v>
          </cell>
          <cell r="AI199">
            <v>2.1513669944783283E-7</v>
          </cell>
          <cell r="AJ199">
            <v>2.1513669944783283E-7</v>
          </cell>
          <cell r="AK199">
            <v>2.1513669944783283E-7</v>
          </cell>
          <cell r="AL199">
            <v>2.1513669944783283E-7</v>
          </cell>
          <cell r="AM199">
            <v>2.1513669944783283E-7</v>
          </cell>
          <cell r="AN199">
            <v>2.1513669944783283E-7</v>
          </cell>
          <cell r="AO199">
            <v>2.1513669944783283E-7</v>
          </cell>
          <cell r="AP199">
            <v>2.1513669944783283E-7</v>
          </cell>
          <cell r="AQ199">
            <v>2.1513669944783283E-7</v>
          </cell>
          <cell r="AR199">
            <v>2.1513669944783283E-7</v>
          </cell>
          <cell r="AS199">
            <v>2.1513669944783283E-7</v>
          </cell>
          <cell r="AT199">
            <v>2.1513669944783283E-7</v>
          </cell>
          <cell r="AU199">
            <v>2.1513669944783283E-7</v>
          </cell>
          <cell r="AV199">
            <v>2.1513669944783283E-7</v>
          </cell>
          <cell r="AW199">
            <v>2.1513669944783283E-7</v>
          </cell>
          <cell r="AX199">
            <v>2.1513669944783283E-7</v>
          </cell>
          <cell r="AY199">
            <v>2.1513669944783283E-7</v>
          </cell>
          <cell r="AZ199">
            <v>2.1513669944783283E-7</v>
          </cell>
          <cell r="BA199">
            <v>2.1513669944783283E-7</v>
          </cell>
          <cell r="BB199">
            <v>2.1513669944783283E-7</v>
          </cell>
          <cell r="BC199">
            <v>2.1513669944783283E-7</v>
          </cell>
          <cell r="BD199">
            <v>2.1513669944783283E-7</v>
          </cell>
          <cell r="BE199">
            <v>2.1513669944783283E-7</v>
          </cell>
          <cell r="BF199">
            <v>2.1513669944783283E-7</v>
          </cell>
          <cell r="BG199">
            <v>2.1513669944783283E-7</v>
          </cell>
          <cell r="BH199">
            <v>2.1513669944783283E-7</v>
          </cell>
          <cell r="BI199">
            <v>2.1513669944783283E-7</v>
          </cell>
          <cell r="BJ199">
            <v>2.1513669944783283E-7</v>
          </cell>
          <cell r="BK199">
            <v>2.1513669944783283E-7</v>
          </cell>
          <cell r="BL199">
            <v>2.1513669944783283E-7</v>
          </cell>
          <cell r="BM199">
            <v>2.1513669944783283E-7</v>
          </cell>
          <cell r="BN199">
            <v>2.1513669944783283E-7</v>
          </cell>
          <cell r="BO199">
            <v>2.1513669944783283E-7</v>
          </cell>
        </row>
      </sheetData>
      <sheetData sheetId="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X150"/>
  <sheetViews>
    <sheetView tabSelected="1" workbookViewId="0">
      <selection activeCell="A1" sqref="A1:X150"/>
    </sheetView>
  </sheetViews>
  <sheetFormatPr baseColWidth="8" defaultRowHeight="14.4"/>
  <sheetData>
    <row r="1">
      <c r="B1" t="inlineStr">
        <is>
          <t>&lt;-- Navigate by typing to search</t>
        </is>
      </c>
    </row>
    <row r="2">
      <c r="A2" t="inlineStr">
        <is>
          <t>Branch</t>
        </is>
      </c>
      <c r="B2" t="inlineStr">
        <is>
          <t>Type</t>
        </is>
      </c>
      <c r="C2" t="inlineStr">
        <is>
          <t>Region</t>
        </is>
      </c>
      <c r="D2" t="inlineStr">
        <is>
          <t>Sector</t>
        </is>
      </c>
      <c r="E2" t="inlineStr">
        <is>
          <t>Service</t>
        </is>
      </c>
      <c r="F2" t="inlineStr">
        <is>
          <t>Technology</t>
        </is>
      </c>
      <c r="G2" t="inlineStr">
        <is>
          <t>Parameter</t>
        </is>
      </c>
      <c r="H2" t="inlineStr">
        <is>
          <t>Context</t>
        </is>
      </c>
      <c r="I2" t="inlineStr">
        <is>
          <t>Sub_Context</t>
        </is>
      </c>
      <c r="J2" t="inlineStr">
        <is>
          <t>Target</t>
        </is>
      </c>
      <c r="K2" t="inlineStr">
        <is>
          <t>Source</t>
        </is>
      </c>
      <c r="L2" t="inlineStr">
        <is>
          <t>Unit</t>
        </is>
      </c>
      <c r="M2" t="n">
        <v>2000</v>
      </c>
      <c r="N2" t="n">
        <v>2005</v>
      </c>
      <c r="O2" t="n">
        <v>2010</v>
      </c>
      <c r="P2" t="n">
        <v>2015</v>
      </c>
      <c r="Q2" t="n">
        <v>2020</v>
      </c>
      <c r="R2" t="n">
        <v>2025</v>
      </c>
      <c r="S2" t="n">
        <v>2030</v>
      </c>
      <c r="T2" t="n">
        <v>2035</v>
      </c>
      <c r="U2" t="n">
        <v>2040</v>
      </c>
      <c r="V2" t="n">
        <v>2045</v>
      </c>
      <c r="W2" t="n">
        <v>2050</v>
      </c>
      <c r="X2" t="inlineStr">
        <is>
          <t>Comments</t>
        </is>
      </c>
    </row>
    <row r="3">
      <c r="A3" t="inlineStr">
        <is>
          <t>CIMS.Generic Fuels</t>
        </is>
      </c>
      <c r="B3" t="inlineStr">
        <is>
          <t>Service</t>
        </is>
      </c>
      <c r="C3" t="inlineStr">
        <is>
          <t>CIMS</t>
        </is>
      </c>
      <c r="E3" t="inlineStr">
        <is>
          <t>Generic Fuels</t>
        </is>
      </c>
      <c r="G3" t="inlineStr">
        <is>
          <t>service_provide</t>
        </is>
      </c>
      <c r="L3" t="inlineStr">
        <is>
          <t>GJ</t>
        </is>
      </c>
    </row>
    <row r="4">
      <c r="A4" t="inlineStr">
        <is>
          <t>CIMS.Generic Fuels</t>
        </is>
      </c>
      <c r="B4" t="inlineStr">
        <is>
          <t>Service</t>
        </is>
      </c>
      <c r="C4" t="inlineStr">
        <is>
          <t>CIMS</t>
        </is>
      </c>
      <c r="E4" t="inlineStr">
        <is>
          <t>Generic Fuels</t>
        </is>
      </c>
      <c r="G4" t="inlineStr">
        <is>
          <t>competition</t>
        </is>
      </c>
      <c r="H4" t="inlineStr">
        <is>
          <t>Fixed Ratio</t>
        </is>
      </c>
    </row>
    <row r="5">
      <c r="A5" t="inlineStr">
        <is>
          <t>CIMS.Generic Fuels.Biogas</t>
        </is>
      </c>
      <c r="B5" t="inlineStr">
        <is>
          <t>Service</t>
        </is>
      </c>
      <c r="C5" t="inlineStr">
        <is>
          <t>CIMS</t>
        </is>
      </c>
      <c r="E5" t="inlineStr">
        <is>
          <t>Biogas</t>
        </is>
      </c>
      <c r="G5" t="inlineStr">
        <is>
          <t>service_provide</t>
        </is>
      </c>
      <c r="L5" t="inlineStr">
        <is>
          <t>GJ</t>
        </is>
      </c>
    </row>
    <row r="6">
      <c r="A6" t="inlineStr">
        <is>
          <t>CIMS.Generic Fuels.Biogas</t>
        </is>
      </c>
      <c r="B6" t="inlineStr">
        <is>
          <t>Service</t>
        </is>
      </c>
      <c r="C6" t="inlineStr">
        <is>
          <t>CIMS</t>
        </is>
      </c>
      <c r="E6" t="inlineStr">
        <is>
          <t>Biogas</t>
        </is>
      </c>
      <c r="G6" t="inlineStr">
        <is>
          <t>competition</t>
        </is>
      </c>
      <c r="H6" t="inlineStr">
        <is>
          <t>Supply - Fixed Price</t>
        </is>
      </c>
    </row>
    <row r="7">
      <c r="A7" t="inlineStr">
        <is>
          <t>CIMS.Generic Fuels.Biogas</t>
        </is>
      </c>
      <c r="B7" t="inlineStr">
        <is>
          <t>Service</t>
        </is>
      </c>
      <c r="C7" t="inlineStr">
        <is>
          <t>CIMS</t>
        </is>
      </c>
      <c r="E7" t="inlineStr">
        <is>
          <t>Biogas</t>
        </is>
      </c>
      <c r="G7" t="inlineStr">
        <is>
          <t>is_supply</t>
        </is>
      </c>
      <c r="H7" t="b">
        <v>1</v>
      </c>
    </row>
    <row r="8">
      <c r="A8" t="inlineStr">
        <is>
          <t>CIMS.Generic Fuels.Biogas</t>
        </is>
      </c>
      <c r="B8" t="inlineStr">
        <is>
          <t>Service</t>
        </is>
      </c>
      <c r="C8" t="inlineStr">
        <is>
          <t>CIMS</t>
        </is>
      </c>
      <c r="E8" t="inlineStr">
        <is>
          <t>Biogas</t>
        </is>
      </c>
      <c r="G8" t="inlineStr">
        <is>
          <t>lcc_financial</t>
        </is>
      </c>
      <c r="K8" t="inlineStr">
        <is>
          <t>JCIMS</t>
        </is>
      </c>
      <c r="L8" t="inlineStr">
        <is>
          <t>$/GJ</t>
        </is>
      </c>
      <c r="M8">
        <f>M81*1.5</f>
        <v/>
      </c>
      <c r="N8">
        <f>N81*1.5</f>
        <v/>
      </c>
      <c r="O8">
        <f>O81*1.5</f>
        <v/>
      </c>
      <c r="P8">
        <f>P81*1.5</f>
        <v/>
      </c>
      <c r="Q8">
        <f>Q81*1.5</f>
        <v/>
      </c>
      <c r="R8">
        <f>R81*1.5</f>
        <v/>
      </c>
      <c r="S8">
        <f>S81*1.5</f>
        <v/>
      </c>
      <c r="T8">
        <f>T81*1.5</f>
        <v/>
      </c>
      <c r="U8">
        <f>U81*1.5</f>
        <v/>
      </c>
      <c r="V8">
        <f>V81*1.5</f>
        <v/>
      </c>
      <c r="W8">
        <f>W81*1.5</f>
        <v/>
      </c>
      <c r="X8" t="inlineStr">
        <is>
          <t>Roughly based on FortisBC markup for RNG vs NG</t>
        </is>
      </c>
    </row>
    <row r="9">
      <c r="A9" t="inlineStr">
        <is>
          <t>CIMS.Generic Fuels.Biogas</t>
        </is>
      </c>
      <c r="B9" t="inlineStr">
        <is>
          <t>Service</t>
        </is>
      </c>
      <c r="C9" t="inlineStr">
        <is>
          <t>CIMS</t>
        </is>
      </c>
      <c r="E9" t="inlineStr">
        <is>
          <t>Biogas</t>
        </is>
      </c>
      <c r="G9" t="inlineStr">
        <is>
          <t>emissions_biomass</t>
        </is>
      </c>
      <c r="H9" t="inlineStr">
        <is>
          <t>CO2</t>
        </is>
      </c>
      <c r="I9" t="inlineStr">
        <is>
          <t>Combustion</t>
        </is>
      </c>
      <c r="K9" t="inlineStr">
        <is>
          <t>ECCC, NIR</t>
        </is>
      </c>
      <c r="L9" t="inlineStr">
        <is>
          <t>tCO2</t>
        </is>
      </c>
      <c r="M9">
        <f t="array" ref="M9">INDEX([1]Coefficients!$G$60:$BO$79,_xlfn.XMATCH($E9,[1]Coefficients!$B$60:$B$79),_xlfn.XMATCH(M$2,[1]Coefficients!$G$1:$BO$1))/INDEX([1]Coefficients!$G$29:$BO$48,_xlfn.XMATCH($E9,[1]Coefficients!$B$29:$B$48),_xlfn.XMATCH(M$2,[1]Coefficients!$G$1:$BO$1))</f>
        <v/>
      </c>
      <c r="N9">
        <f t="array" ref="N9">INDEX([1]Coefficients!$G$60:$BO$79,_xlfn.XMATCH($E9,[1]Coefficients!$B$60:$B$79),_xlfn.XMATCH(N$2,[1]Coefficients!$G$1:$BO$1))/INDEX([1]Coefficients!$G$29:$BO$48,_xlfn.XMATCH($E9,[1]Coefficients!$B$29:$B$48),_xlfn.XMATCH(N$2,[1]Coefficients!$G$1:$BO$1))</f>
        <v/>
      </c>
      <c r="O9">
        <f t="array" ref="O9">INDEX([1]Coefficients!$G$60:$BO$79,_xlfn.XMATCH($E9,[1]Coefficients!$B$60:$B$79),_xlfn.XMATCH(O$2,[1]Coefficients!$G$1:$BO$1))/INDEX([1]Coefficients!$G$29:$BO$48,_xlfn.XMATCH($E9,[1]Coefficients!$B$29:$B$48),_xlfn.XMATCH(O$2,[1]Coefficients!$G$1:$BO$1))</f>
        <v/>
      </c>
      <c r="P9">
        <f t="array" ref="P9">INDEX([1]Coefficients!$G$60:$BO$79,_xlfn.XMATCH($E9,[1]Coefficients!$B$60:$B$79),_xlfn.XMATCH(P$2,[1]Coefficients!$G$1:$BO$1))/INDEX([1]Coefficients!$G$29:$BO$48,_xlfn.XMATCH($E9,[1]Coefficients!$B$29:$B$48),_xlfn.XMATCH(P$2,[1]Coefficients!$G$1:$BO$1))</f>
        <v/>
      </c>
      <c r="Q9">
        <f t="array" ref="Q9">INDEX([1]Coefficients!$G$60:$BO$79,_xlfn.XMATCH($E9,[1]Coefficients!$B$60:$B$79),_xlfn.XMATCH(Q$2,[1]Coefficients!$G$1:$BO$1))/INDEX([1]Coefficients!$G$29:$BO$48,_xlfn.XMATCH($E9,[1]Coefficients!$B$29:$B$48),_xlfn.XMATCH(Q$2,[1]Coefficients!$G$1:$BO$1))</f>
        <v/>
      </c>
      <c r="R9">
        <f t="array" ref="R9">INDEX([1]Coefficients!$G$60:$BO$79,_xlfn.XMATCH($E9,[1]Coefficients!$B$60:$B$79),_xlfn.XMATCH(R$2,[1]Coefficients!$G$1:$BO$1))/INDEX([1]Coefficients!$G$29:$BO$48,_xlfn.XMATCH($E9,[1]Coefficients!$B$29:$B$48),_xlfn.XMATCH(R$2,[1]Coefficients!$G$1:$BO$1))</f>
        <v/>
      </c>
      <c r="S9">
        <f t="array" ref="S9">INDEX([1]Coefficients!$G$60:$BO$79,_xlfn.XMATCH($E9,[1]Coefficients!$B$60:$B$79),_xlfn.XMATCH(S$2,[1]Coefficients!$G$1:$BO$1))/INDEX([1]Coefficients!$G$29:$BO$48,_xlfn.XMATCH($E9,[1]Coefficients!$B$29:$B$48),_xlfn.XMATCH(S$2,[1]Coefficients!$G$1:$BO$1))</f>
        <v/>
      </c>
      <c r="T9">
        <f t="array" ref="T9">INDEX([1]Coefficients!$G$60:$BO$79,_xlfn.XMATCH($E9,[1]Coefficients!$B$60:$B$79),_xlfn.XMATCH(T$2,[1]Coefficients!$G$1:$BO$1))/INDEX([1]Coefficients!$G$29:$BO$48,_xlfn.XMATCH($E9,[1]Coefficients!$B$29:$B$48),_xlfn.XMATCH(T$2,[1]Coefficients!$G$1:$BO$1))</f>
        <v/>
      </c>
      <c r="U9">
        <f t="array" ref="U9">INDEX([1]Coefficients!$G$60:$BO$79,_xlfn.XMATCH($E9,[1]Coefficients!$B$60:$B$79),_xlfn.XMATCH(U$2,[1]Coefficients!$G$1:$BO$1))/INDEX([1]Coefficients!$G$29:$BO$48,_xlfn.XMATCH($E9,[1]Coefficients!$B$29:$B$48),_xlfn.XMATCH(U$2,[1]Coefficients!$G$1:$BO$1))</f>
        <v/>
      </c>
      <c r="V9">
        <f t="array" ref="V9">INDEX([1]Coefficients!$G$60:$BO$79,_xlfn.XMATCH($E9,[1]Coefficients!$B$60:$B$79),_xlfn.XMATCH(V$2,[1]Coefficients!$G$1:$BO$1))/INDEX([1]Coefficients!$G$29:$BO$48,_xlfn.XMATCH($E9,[1]Coefficients!$B$29:$B$48),_xlfn.XMATCH(V$2,[1]Coefficients!$G$1:$BO$1))</f>
        <v/>
      </c>
      <c r="W9">
        <f t="array" ref="W9">INDEX([1]Coefficients!$G$60:$BO$79,_xlfn.XMATCH($E9,[1]Coefficients!$B$60:$B$79),_xlfn.XMATCH(W$2,[1]Coefficients!$G$1:$BO$1))/INDEX([1]Coefficients!$G$29:$BO$48,_xlfn.XMATCH($E9,[1]Coefficients!$B$29:$B$48),_xlfn.XMATCH(W$2,[1]Coefficients!$G$1:$BO$1))</f>
        <v/>
      </c>
    </row>
    <row r="10">
      <c r="A10" t="inlineStr">
        <is>
          <t>CIMS.Generic Fuels.Biogas</t>
        </is>
      </c>
      <c r="B10" t="inlineStr">
        <is>
          <t>Service</t>
        </is>
      </c>
      <c r="C10" t="inlineStr">
        <is>
          <t>CIMS</t>
        </is>
      </c>
      <c r="E10" t="inlineStr">
        <is>
          <t>Biogas</t>
        </is>
      </c>
      <c r="G10" t="inlineStr">
        <is>
          <t>emissions</t>
        </is>
      </c>
      <c r="H10" t="inlineStr">
        <is>
          <t>CO2</t>
        </is>
      </c>
      <c r="I10" t="inlineStr">
        <is>
          <t>Combustion</t>
        </is>
      </c>
      <c r="K10" t="inlineStr">
        <is>
          <t>ECCC, NIR</t>
        </is>
      </c>
      <c r="L10" t="inlineStr">
        <is>
          <t>tCO2</t>
        </is>
      </c>
      <c r="M10">
        <f t="array" ref="M10">INDEX([1]Coefficients!$G$132:$BO$151,_xlfn.XMATCH($E10,[1]Coefficients!$B$132:$B$151),_xlfn.XMATCH(M$2,[1]Coefficients!$G$1:$BO$1))</f>
        <v/>
      </c>
      <c r="N10">
        <f t="array" ref="N10">INDEX([1]Coefficients!$G$132:$BO$151,_xlfn.XMATCH($E10,[1]Coefficients!$B$132:$B$151),_xlfn.XMATCH(N$2,[1]Coefficients!$G$1:$BO$1))</f>
        <v/>
      </c>
      <c r="O10">
        <f t="array" ref="O10">INDEX([1]Coefficients!$G$132:$BO$151,_xlfn.XMATCH($E10,[1]Coefficients!$B$132:$B$151),_xlfn.XMATCH(O$2,[1]Coefficients!$G$1:$BO$1))</f>
        <v/>
      </c>
      <c r="P10">
        <f t="array" ref="P10">INDEX([1]Coefficients!$G$132:$BO$151,_xlfn.XMATCH($E10,[1]Coefficients!$B$132:$B$151),_xlfn.XMATCH(P$2,[1]Coefficients!$G$1:$BO$1))</f>
        <v/>
      </c>
      <c r="Q10">
        <f t="array" ref="Q10">INDEX([1]Coefficients!$G$132:$BO$151,_xlfn.XMATCH($E10,[1]Coefficients!$B$132:$B$151),_xlfn.XMATCH(Q$2,[1]Coefficients!$G$1:$BO$1))</f>
        <v/>
      </c>
      <c r="R10">
        <f t="array" ref="R10">INDEX([1]Coefficients!$G$132:$BO$151,_xlfn.XMATCH($E10,[1]Coefficients!$B$132:$B$151),_xlfn.XMATCH(R$2,[1]Coefficients!$G$1:$BO$1))</f>
        <v/>
      </c>
      <c r="S10">
        <f t="array" ref="S10">INDEX([1]Coefficients!$G$132:$BO$151,_xlfn.XMATCH($E10,[1]Coefficients!$B$132:$B$151),_xlfn.XMATCH(S$2,[1]Coefficients!$G$1:$BO$1))</f>
        <v/>
      </c>
      <c r="T10">
        <f t="array" ref="T10">INDEX([1]Coefficients!$G$132:$BO$151,_xlfn.XMATCH($E10,[1]Coefficients!$B$132:$B$151),_xlfn.XMATCH(T$2,[1]Coefficients!$G$1:$BO$1))</f>
        <v/>
      </c>
      <c r="U10">
        <f t="array" ref="U10">INDEX([1]Coefficients!$G$132:$BO$151,_xlfn.XMATCH($E10,[1]Coefficients!$B$132:$B$151),_xlfn.XMATCH(U$2,[1]Coefficients!$G$1:$BO$1))</f>
        <v/>
      </c>
      <c r="V10">
        <f t="array" ref="V10">INDEX([1]Coefficients!$G$132:$BO$151,_xlfn.XMATCH($E10,[1]Coefficients!$B$132:$B$151),_xlfn.XMATCH(V$2,[1]Coefficients!$G$1:$BO$1))</f>
        <v/>
      </c>
      <c r="W10">
        <f t="array" ref="W10">INDEX([1]Coefficients!$G$132:$BO$151,_xlfn.XMATCH($E10,[1]Coefficients!$B$132:$B$151),_xlfn.XMATCH(W$2,[1]Coefficients!$G$1:$BO$1))</f>
        <v/>
      </c>
    </row>
    <row r="11">
      <c r="A11" t="inlineStr">
        <is>
          <t>CIMS.Generic Fuels.Biogas</t>
        </is>
      </c>
      <c r="B11" t="inlineStr">
        <is>
          <t>Service</t>
        </is>
      </c>
      <c r="C11" t="inlineStr">
        <is>
          <t>CIMS</t>
        </is>
      </c>
      <c r="E11" t="inlineStr">
        <is>
          <t>Biogas</t>
        </is>
      </c>
      <c r="G11" t="inlineStr">
        <is>
          <t>emissions</t>
        </is>
      </c>
      <c r="H11" t="inlineStr">
        <is>
          <t>CH4</t>
        </is>
      </c>
      <c r="I11" t="inlineStr">
        <is>
          <t>Combustion</t>
        </is>
      </c>
      <c r="K11" t="inlineStr">
        <is>
          <t>ECCC, NIR</t>
        </is>
      </c>
      <c r="L11" t="inlineStr">
        <is>
          <t>tCH4</t>
        </is>
      </c>
      <c r="M11">
        <f t="array" ref="M11">INDEX([1]Coefficients!$G$156:$BO$175,_xlfn.XMATCH($E11,[1]Coefficients!$B$132:$B$151),_xlfn.XMATCH(M$2,[1]Coefficients!$G$1:$BO$1))</f>
        <v/>
      </c>
      <c r="N11">
        <f t="array" ref="N11">INDEX([1]Coefficients!$G$156:$BO$175,_xlfn.XMATCH($E11,[1]Coefficients!$B$132:$B$151),_xlfn.XMATCH(N$2,[1]Coefficients!$G$1:$BO$1))</f>
        <v/>
      </c>
      <c r="O11">
        <f t="array" ref="O11">INDEX([1]Coefficients!$G$156:$BO$175,_xlfn.XMATCH($E11,[1]Coefficients!$B$132:$B$151),_xlfn.XMATCH(O$2,[1]Coefficients!$G$1:$BO$1))</f>
        <v/>
      </c>
      <c r="P11">
        <f t="array" ref="P11">INDEX([1]Coefficients!$G$156:$BO$175,_xlfn.XMATCH($E11,[1]Coefficients!$B$132:$B$151),_xlfn.XMATCH(P$2,[1]Coefficients!$G$1:$BO$1))</f>
        <v/>
      </c>
      <c r="Q11">
        <f t="array" ref="Q11">INDEX([1]Coefficients!$G$156:$BO$175,_xlfn.XMATCH($E11,[1]Coefficients!$B$132:$B$151),_xlfn.XMATCH(Q$2,[1]Coefficients!$G$1:$BO$1))</f>
        <v/>
      </c>
      <c r="R11">
        <f t="array" ref="R11">INDEX([1]Coefficients!$G$156:$BO$175,_xlfn.XMATCH($E11,[1]Coefficients!$B$132:$B$151),_xlfn.XMATCH(R$2,[1]Coefficients!$G$1:$BO$1))</f>
        <v/>
      </c>
      <c r="S11">
        <f t="array" ref="S11">INDEX([1]Coefficients!$G$156:$BO$175,_xlfn.XMATCH($E11,[1]Coefficients!$B$132:$B$151),_xlfn.XMATCH(S$2,[1]Coefficients!$G$1:$BO$1))</f>
        <v/>
      </c>
      <c r="T11">
        <f t="array" ref="T11">INDEX([1]Coefficients!$G$156:$BO$175,_xlfn.XMATCH($E11,[1]Coefficients!$B$132:$B$151),_xlfn.XMATCH(T$2,[1]Coefficients!$G$1:$BO$1))</f>
        <v/>
      </c>
      <c r="U11">
        <f t="array" ref="U11">INDEX([1]Coefficients!$G$156:$BO$175,_xlfn.XMATCH($E11,[1]Coefficients!$B$132:$B$151),_xlfn.XMATCH(U$2,[1]Coefficients!$G$1:$BO$1))</f>
        <v/>
      </c>
      <c r="V11">
        <f t="array" ref="V11">INDEX([1]Coefficients!$G$156:$BO$175,_xlfn.XMATCH($E11,[1]Coefficients!$B$132:$B$151),_xlfn.XMATCH(V$2,[1]Coefficients!$G$1:$BO$1))</f>
        <v/>
      </c>
      <c r="W11">
        <f t="array" ref="W11">INDEX([1]Coefficients!$G$156:$BO$175,_xlfn.XMATCH($E11,[1]Coefficients!$B$132:$B$151),_xlfn.XMATCH(W$2,[1]Coefficients!$G$1:$BO$1))</f>
        <v/>
      </c>
    </row>
    <row r="12">
      <c r="A12" t="inlineStr">
        <is>
          <t>CIMS.Generic Fuels.Biogas</t>
        </is>
      </c>
      <c r="B12" t="inlineStr">
        <is>
          <t>Service</t>
        </is>
      </c>
      <c r="C12" t="inlineStr">
        <is>
          <t>CIMS</t>
        </is>
      </c>
      <c r="E12" t="inlineStr">
        <is>
          <t>Biogas</t>
        </is>
      </c>
      <c r="G12" t="inlineStr">
        <is>
          <t>emissions</t>
        </is>
      </c>
      <c r="H12" t="inlineStr">
        <is>
          <t>N2O</t>
        </is>
      </c>
      <c r="I12" t="inlineStr">
        <is>
          <t>Combustion</t>
        </is>
      </c>
      <c r="K12" t="inlineStr">
        <is>
          <t>ECCC, NIR</t>
        </is>
      </c>
      <c r="L12" t="inlineStr">
        <is>
          <t>tN2O</t>
        </is>
      </c>
      <c r="M12">
        <f t="array" ref="M12">INDEX([1]Coefficients!$G$180:$BO$199,_xlfn.XMATCH($E12,[1]Coefficients!$B$132:$B$151),_xlfn.XMATCH(M$2,[1]Coefficients!$G$1:$BO$1))</f>
        <v/>
      </c>
      <c r="N12">
        <f t="array" ref="N12">INDEX([1]Coefficients!$G$180:$BO$199,_xlfn.XMATCH($E12,[1]Coefficients!$B$132:$B$151),_xlfn.XMATCH(N$2,[1]Coefficients!$G$1:$BO$1))</f>
        <v/>
      </c>
      <c r="O12">
        <f t="array" ref="O12">INDEX([1]Coefficients!$G$180:$BO$199,_xlfn.XMATCH($E12,[1]Coefficients!$B$132:$B$151),_xlfn.XMATCH(O$2,[1]Coefficients!$G$1:$BO$1))</f>
        <v/>
      </c>
      <c r="P12">
        <f t="array" ref="P12">INDEX([1]Coefficients!$G$180:$BO$199,_xlfn.XMATCH($E12,[1]Coefficients!$B$132:$B$151),_xlfn.XMATCH(P$2,[1]Coefficients!$G$1:$BO$1))</f>
        <v/>
      </c>
      <c r="Q12">
        <f t="array" ref="Q12">INDEX([1]Coefficients!$G$180:$BO$199,_xlfn.XMATCH($E12,[1]Coefficients!$B$132:$B$151),_xlfn.XMATCH(Q$2,[1]Coefficients!$G$1:$BO$1))</f>
        <v/>
      </c>
      <c r="R12">
        <f t="array" ref="R12">INDEX([1]Coefficients!$G$180:$BO$199,_xlfn.XMATCH($E12,[1]Coefficients!$B$132:$B$151),_xlfn.XMATCH(R$2,[1]Coefficients!$G$1:$BO$1))</f>
        <v/>
      </c>
      <c r="S12">
        <f t="array" ref="S12">INDEX([1]Coefficients!$G$180:$BO$199,_xlfn.XMATCH($E12,[1]Coefficients!$B$132:$B$151),_xlfn.XMATCH(S$2,[1]Coefficients!$G$1:$BO$1))</f>
        <v/>
      </c>
      <c r="T12">
        <f t="array" ref="T12">INDEX([1]Coefficients!$G$180:$BO$199,_xlfn.XMATCH($E12,[1]Coefficients!$B$132:$B$151),_xlfn.XMATCH(T$2,[1]Coefficients!$G$1:$BO$1))</f>
        <v/>
      </c>
      <c r="U12">
        <f t="array" ref="U12">INDEX([1]Coefficients!$G$180:$BO$199,_xlfn.XMATCH($E12,[1]Coefficients!$B$132:$B$151),_xlfn.XMATCH(U$2,[1]Coefficients!$G$1:$BO$1))</f>
        <v/>
      </c>
      <c r="V12">
        <f t="array" ref="V12">INDEX([1]Coefficients!$G$180:$BO$199,_xlfn.XMATCH($E12,[1]Coefficients!$B$132:$B$151),_xlfn.XMATCH(V$2,[1]Coefficients!$G$1:$BO$1))</f>
        <v/>
      </c>
      <c r="W12">
        <f t="array" ref="W12">INDEX([1]Coefficients!$G$180:$BO$199,_xlfn.XMATCH($E12,[1]Coefficients!$B$132:$B$151),_xlfn.XMATCH(W$2,[1]Coefficients!$G$1:$BO$1))</f>
        <v/>
      </c>
    </row>
    <row r="13">
      <c r="A13" t="inlineStr">
        <is>
          <t>CIMS.Generic Fuels.Black Liquor</t>
        </is>
      </c>
      <c r="B13" t="inlineStr">
        <is>
          <t>Service</t>
        </is>
      </c>
      <c r="C13" t="inlineStr">
        <is>
          <t>CIMS</t>
        </is>
      </c>
      <c r="E13" t="inlineStr">
        <is>
          <t>Black Liquor</t>
        </is>
      </c>
      <c r="G13" t="inlineStr">
        <is>
          <t>service_provide</t>
        </is>
      </c>
      <c r="L13" t="inlineStr">
        <is>
          <t>GJ</t>
        </is>
      </c>
    </row>
    <row r="14">
      <c r="A14" t="inlineStr">
        <is>
          <t>CIMS.Generic Fuels.Black Liquor</t>
        </is>
      </c>
      <c r="B14" t="inlineStr">
        <is>
          <t>Service</t>
        </is>
      </c>
      <c r="C14" t="inlineStr">
        <is>
          <t>CIMS</t>
        </is>
      </c>
      <c r="E14" t="inlineStr">
        <is>
          <t>Black Liquor</t>
        </is>
      </c>
      <c r="G14" t="inlineStr">
        <is>
          <t>competition</t>
        </is>
      </c>
      <c r="H14" t="inlineStr">
        <is>
          <t>Supply - Fixed Price</t>
        </is>
      </c>
    </row>
    <row r="15">
      <c r="A15" t="inlineStr">
        <is>
          <t>CIMS.Generic Fuels.Black Liquor</t>
        </is>
      </c>
      <c r="B15" t="inlineStr">
        <is>
          <t>Service</t>
        </is>
      </c>
      <c r="C15" t="inlineStr">
        <is>
          <t>CIMS</t>
        </is>
      </c>
      <c r="E15" t="inlineStr">
        <is>
          <t>Black Liquor</t>
        </is>
      </c>
      <c r="G15" t="inlineStr">
        <is>
          <t>is_supply</t>
        </is>
      </c>
      <c r="H15" t="b">
        <v>1</v>
      </c>
    </row>
    <row r="16">
      <c r="A16" t="inlineStr">
        <is>
          <t>CIMS.Generic Fuels.Black Liquor</t>
        </is>
      </c>
      <c r="B16" t="inlineStr">
        <is>
          <t>Service</t>
        </is>
      </c>
      <c r="C16" t="inlineStr">
        <is>
          <t>CIMS</t>
        </is>
      </c>
      <c r="E16" t="inlineStr">
        <is>
          <t>Black Liquor</t>
        </is>
      </c>
      <c r="G16" t="inlineStr">
        <is>
          <t>lcc_financial</t>
        </is>
      </c>
      <c r="K16" t="inlineStr">
        <is>
          <t>JCIMS</t>
        </is>
      </c>
      <c r="L16" t="inlineStr">
        <is>
          <t>$/GJ</t>
        </is>
      </c>
      <c r="M16" t="n">
        <v>0.0001</v>
      </c>
      <c r="N16" t="n">
        <v>0.0001</v>
      </c>
      <c r="O16" t="n">
        <v>0.0001</v>
      </c>
      <c r="P16" t="n">
        <v>0.0001</v>
      </c>
      <c r="Q16" t="n">
        <v>0.0001</v>
      </c>
      <c r="R16" t="n">
        <v>0.0001</v>
      </c>
      <c r="S16" t="n">
        <v>0.0001</v>
      </c>
      <c r="T16" t="n">
        <v>0.0001</v>
      </c>
      <c r="U16" t="n">
        <v>0.0001</v>
      </c>
      <c r="V16" t="n">
        <v>0.0001</v>
      </c>
      <c r="W16" t="n">
        <v>0.0001</v>
      </c>
      <c r="X16" t="inlineStr">
        <is>
          <t>Cost in pulp &amp; paper - BC (use $0.0001 instead of $0.00)</t>
        </is>
      </c>
    </row>
    <row r="17">
      <c r="A17" t="inlineStr">
        <is>
          <t>CIMS.Generic Fuels.Black Liquor</t>
        </is>
      </c>
      <c r="B17" t="inlineStr">
        <is>
          <t>Service</t>
        </is>
      </c>
      <c r="C17" t="inlineStr">
        <is>
          <t>CIMS</t>
        </is>
      </c>
      <c r="E17" t="inlineStr">
        <is>
          <t>Black Liquor</t>
        </is>
      </c>
      <c r="G17" t="inlineStr">
        <is>
          <t>emissions_biomass</t>
        </is>
      </c>
      <c r="H17" t="inlineStr">
        <is>
          <t>CO2</t>
        </is>
      </c>
      <c r="I17" t="inlineStr">
        <is>
          <t>Combustion</t>
        </is>
      </c>
      <c r="K17" t="inlineStr">
        <is>
          <t>ECCC, NIR</t>
        </is>
      </c>
      <c r="L17" t="inlineStr">
        <is>
          <t>tCO2</t>
        </is>
      </c>
      <c r="M17">
        <f t="array" ref="M17">INDEX([1]Coefficients!$G$60:$BO$79,_xlfn.XMATCH($E17,[1]Coefficients!$B$60:$B$79),_xlfn.XMATCH(M$2,[1]Coefficients!$G$1:$BO$1))/INDEX([1]Coefficients!$G$29:$BO$48,_xlfn.XMATCH($E17,[1]Coefficients!$B$29:$B$48),_xlfn.XMATCH(M$2,[1]Coefficients!$G$1:$BO$1))</f>
        <v/>
      </c>
      <c r="N17">
        <f t="array" ref="N17">INDEX([1]Coefficients!$G$60:$BO$79,_xlfn.XMATCH($E17,[1]Coefficients!$B$60:$B$79),_xlfn.XMATCH(N$2,[1]Coefficients!$G$1:$BO$1))/INDEX([1]Coefficients!$G$29:$BO$48,_xlfn.XMATCH($E17,[1]Coefficients!$B$29:$B$48),_xlfn.XMATCH(N$2,[1]Coefficients!$G$1:$BO$1))</f>
        <v/>
      </c>
      <c r="O17">
        <f t="array" ref="O17">INDEX([1]Coefficients!$G$60:$BO$79,_xlfn.XMATCH($E17,[1]Coefficients!$B$60:$B$79),_xlfn.XMATCH(O$2,[1]Coefficients!$G$1:$BO$1))/INDEX([1]Coefficients!$G$29:$BO$48,_xlfn.XMATCH($E17,[1]Coefficients!$B$29:$B$48),_xlfn.XMATCH(O$2,[1]Coefficients!$G$1:$BO$1))</f>
        <v/>
      </c>
      <c r="P17">
        <f t="array" ref="P17">INDEX([1]Coefficients!$G$60:$BO$79,_xlfn.XMATCH($E17,[1]Coefficients!$B$60:$B$79),_xlfn.XMATCH(P$2,[1]Coefficients!$G$1:$BO$1))/INDEX([1]Coefficients!$G$29:$BO$48,_xlfn.XMATCH($E17,[1]Coefficients!$B$29:$B$48),_xlfn.XMATCH(P$2,[1]Coefficients!$G$1:$BO$1))</f>
        <v/>
      </c>
      <c r="Q17">
        <f t="array" ref="Q17">INDEX([1]Coefficients!$G$60:$BO$79,_xlfn.XMATCH($E17,[1]Coefficients!$B$60:$B$79),_xlfn.XMATCH(Q$2,[1]Coefficients!$G$1:$BO$1))/INDEX([1]Coefficients!$G$29:$BO$48,_xlfn.XMATCH($E17,[1]Coefficients!$B$29:$B$48),_xlfn.XMATCH(Q$2,[1]Coefficients!$G$1:$BO$1))</f>
        <v/>
      </c>
      <c r="R17">
        <f t="array" ref="R17">INDEX([1]Coefficients!$G$60:$BO$79,_xlfn.XMATCH($E17,[1]Coefficients!$B$60:$B$79),_xlfn.XMATCH(R$2,[1]Coefficients!$G$1:$BO$1))/INDEX([1]Coefficients!$G$29:$BO$48,_xlfn.XMATCH($E17,[1]Coefficients!$B$29:$B$48),_xlfn.XMATCH(R$2,[1]Coefficients!$G$1:$BO$1))</f>
        <v/>
      </c>
      <c r="S17">
        <f t="array" ref="S17">INDEX([1]Coefficients!$G$60:$BO$79,_xlfn.XMATCH($E17,[1]Coefficients!$B$60:$B$79),_xlfn.XMATCH(S$2,[1]Coefficients!$G$1:$BO$1))/INDEX([1]Coefficients!$G$29:$BO$48,_xlfn.XMATCH($E17,[1]Coefficients!$B$29:$B$48),_xlfn.XMATCH(S$2,[1]Coefficients!$G$1:$BO$1))</f>
        <v/>
      </c>
      <c r="T17">
        <f t="array" ref="T17">INDEX([1]Coefficients!$G$60:$BO$79,_xlfn.XMATCH($E17,[1]Coefficients!$B$60:$B$79),_xlfn.XMATCH(T$2,[1]Coefficients!$G$1:$BO$1))/INDEX([1]Coefficients!$G$29:$BO$48,_xlfn.XMATCH($E17,[1]Coefficients!$B$29:$B$48),_xlfn.XMATCH(T$2,[1]Coefficients!$G$1:$BO$1))</f>
        <v/>
      </c>
      <c r="U17">
        <f t="array" ref="U17">INDEX([1]Coefficients!$G$60:$BO$79,_xlfn.XMATCH($E17,[1]Coefficients!$B$60:$B$79),_xlfn.XMATCH(U$2,[1]Coefficients!$G$1:$BO$1))/INDEX([1]Coefficients!$G$29:$BO$48,_xlfn.XMATCH($E17,[1]Coefficients!$B$29:$B$48),_xlfn.XMATCH(U$2,[1]Coefficients!$G$1:$BO$1))</f>
        <v/>
      </c>
      <c r="V17">
        <f t="array" ref="V17">INDEX([1]Coefficients!$G$60:$BO$79,_xlfn.XMATCH($E17,[1]Coefficients!$B$60:$B$79),_xlfn.XMATCH(V$2,[1]Coefficients!$G$1:$BO$1))/INDEX([1]Coefficients!$G$29:$BO$48,_xlfn.XMATCH($E17,[1]Coefficients!$B$29:$B$48),_xlfn.XMATCH(V$2,[1]Coefficients!$G$1:$BO$1))</f>
        <v/>
      </c>
      <c r="W17">
        <f t="array" ref="W17">INDEX([1]Coefficients!$G$60:$BO$79,_xlfn.XMATCH($E17,[1]Coefficients!$B$60:$B$79),_xlfn.XMATCH(W$2,[1]Coefficients!$G$1:$BO$1))/INDEX([1]Coefficients!$G$29:$BO$48,_xlfn.XMATCH($E17,[1]Coefficients!$B$29:$B$48),_xlfn.XMATCH(W$2,[1]Coefficients!$G$1:$BO$1))</f>
        <v/>
      </c>
    </row>
    <row r="18">
      <c r="A18" t="inlineStr">
        <is>
          <t>CIMS.Generic Fuels.Black Liquor</t>
        </is>
      </c>
      <c r="B18" t="inlineStr">
        <is>
          <t>Service</t>
        </is>
      </c>
      <c r="C18" t="inlineStr">
        <is>
          <t>CIMS</t>
        </is>
      </c>
      <c r="E18" t="inlineStr">
        <is>
          <t>Black Liquor</t>
        </is>
      </c>
      <c r="G18" t="inlineStr">
        <is>
          <t>emissions</t>
        </is>
      </c>
      <c r="H18" t="inlineStr">
        <is>
          <t>CO2</t>
        </is>
      </c>
      <c r="I18" t="inlineStr">
        <is>
          <t>Combustion</t>
        </is>
      </c>
      <c r="K18" t="inlineStr">
        <is>
          <t>ECCC, NIR</t>
        </is>
      </c>
      <c r="L18" t="inlineStr">
        <is>
          <t>tCO2</t>
        </is>
      </c>
      <c r="M18">
        <f t="array" ref="M18">INDEX([1]Coefficients!$G$132:$BO$151,_xlfn.XMATCH($E18,[1]Coefficients!$B$132:$B$151),_xlfn.XMATCH(M$2,[1]Coefficients!$G$1:$BO$1))</f>
        <v/>
      </c>
      <c r="N18">
        <f t="array" ref="N18">INDEX([1]Coefficients!$G$132:$BO$151,_xlfn.XMATCH($E18,[1]Coefficients!$B$132:$B$151),_xlfn.XMATCH(N$2,[1]Coefficients!$G$1:$BO$1))</f>
        <v/>
      </c>
      <c r="O18">
        <f t="array" ref="O18">INDEX([1]Coefficients!$G$132:$BO$151,_xlfn.XMATCH($E18,[1]Coefficients!$B$132:$B$151),_xlfn.XMATCH(O$2,[1]Coefficients!$G$1:$BO$1))</f>
        <v/>
      </c>
      <c r="P18">
        <f t="array" ref="P18">INDEX([1]Coefficients!$G$132:$BO$151,_xlfn.XMATCH($E18,[1]Coefficients!$B$132:$B$151),_xlfn.XMATCH(P$2,[1]Coefficients!$G$1:$BO$1))</f>
        <v/>
      </c>
      <c r="Q18">
        <f t="array" ref="Q18">INDEX([1]Coefficients!$G$132:$BO$151,_xlfn.XMATCH($E18,[1]Coefficients!$B$132:$B$151),_xlfn.XMATCH(Q$2,[1]Coefficients!$G$1:$BO$1))</f>
        <v/>
      </c>
      <c r="R18">
        <f t="array" ref="R18">INDEX([1]Coefficients!$G$132:$BO$151,_xlfn.XMATCH($E18,[1]Coefficients!$B$132:$B$151),_xlfn.XMATCH(R$2,[1]Coefficients!$G$1:$BO$1))</f>
        <v/>
      </c>
      <c r="S18">
        <f t="array" ref="S18">INDEX([1]Coefficients!$G$132:$BO$151,_xlfn.XMATCH($E18,[1]Coefficients!$B$132:$B$151),_xlfn.XMATCH(S$2,[1]Coefficients!$G$1:$BO$1))</f>
        <v/>
      </c>
      <c r="T18">
        <f t="array" ref="T18">INDEX([1]Coefficients!$G$132:$BO$151,_xlfn.XMATCH($E18,[1]Coefficients!$B$132:$B$151),_xlfn.XMATCH(T$2,[1]Coefficients!$G$1:$BO$1))</f>
        <v/>
      </c>
      <c r="U18">
        <f t="array" ref="U18">INDEX([1]Coefficients!$G$132:$BO$151,_xlfn.XMATCH($E18,[1]Coefficients!$B$132:$B$151),_xlfn.XMATCH(U$2,[1]Coefficients!$G$1:$BO$1))</f>
        <v/>
      </c>
      <c r="V18">
        <f t="array" ref="V18">INDEX([1]Coefficients!$G$132:$BO$151,_xlfn.XMATCH($E18,[1]Coefficients!$B$132:$B$151),_xlfn.XMATCH(V$2,[1]Coefficients!$G$1:$BO$1))</f>
        <v/>
      </c>
      <c r="W18">
        <f t="array" ref="W18">INDEX([1]Coefficients!$G$132:$BO$151,_xlfn.XMATCH($E18,[1]Coefficients!$B$132:$B$151),_xlfn.XMATCH(W$2,[1]Coefficients!$G$1:$BO$1))</f>
        <v/>
      </c>
    </row>
    <row r="19">
      <c r="A19" t="inlineStr">
        <is>
          <t>CIMS.Generic Fuels.Black Liquor</t>
        </is>
      </c>
      <c r="B19" t="inlineStr">
        <is>
          <t>Service</t>
        </is>
      </c>
      <c r="C19" t="inlineStr">
        <is>
          <t>CIMS</t>
        </is>
      </c>
      <c r="E19" t="inlineStr">
        <is>
          <t>Black Liquor</t>
        </is>
      </c>
      <c r="G19" t="inlineStr">
        <is>
          <t>emissions</t>
        </is>
      </c>
      <c r="H19" t="inlineStr">
        <is>
          <t>CH4</t>
        </is>
      </c>
      <c r="I19" t="inlineStr">
        <is>
          <t>Combustion</t>
        </is>
      </c>
      <c r="K19" t="inlineStr">
        <is>
          <t>ECCC, NIR</t>
        </is>
      </c>
      <c r="L19" t="inlineStr">
        <is>
          <t>tCH4</t>
        </is>
      </c>
      <c r="M19">
        <f t="array" ref="M19">INDEX([1]Coefficients!$G$156:$BO$175,_xlfn.XMATCH($E19,[1]Coefficients!$B$132:$B$151),_xlfn.XMATCH(M$2,[1]Coefficients!$G$1:$BO$1))</f>
        <v/>
      </c>
      <c r="N19">
        <f t="array" ref="N19">INDEX([1]Coefficients!$G$156:$BO$175,_xlfn.XMATCH($E19,[1]Coefficients!$B$132:$B$151),_xlfn.XMATCH(N$2,[1]Coefficients!$G$1:$BO$1))</f>
        <v/>
      </c>
      <c r="O19">
        <f t="array" ref="O19">INDEX([1]Coefficients!$G$156:$BO$175,_xlfn.XMATCH($E19,[1]Coefficients!$B$132:$B$151),_xlfn.XMATCH(O$2,[1]Coefficients!$G$1:$BO$1))</f>
        <v/>
      </c>
      <c r="P19">
        <f t="array" ref="P19">INDEX([1]Coefficients!$G$156:$BO$175,_xlfn.XMATCH($E19,[1]Coefficients!$B$132:$B$151),_xlfn.XMATCH(P$2,[1]Coefficients!$G$1:$BO$1))</f>
        <v/>
      </c>
      <c r="Q19">
        <f t="array" ref="Q19">INDEX([1]Coefficients!$G$156:$BO$175,_xlfn.XMATCH($E19,[1]Coefficients!$B$132:$B$151),_xlfn.XMATCH(Q$2,[1]Coefficients!$G$1:$BO$1))</f>
        <v/>
      </c>
      <c r="R19">
        <f t="array" ref="R19">INDEX([1]Coefficients!$G$156:$BO$175,_xlfn.XMATCH($E19,[1]Coefficients!$B$132:$B$151),_xlfn.XMATCH(R$2,[1]Coefficients!$G$1:$BO$1))</f>
        <v/>
      </c>
      <c r="S19">
        <f t="array" ref="S19">INDEX([1]Coefficients!$G$156:$BO$175,_xlfn.XMATCH($E19,[1]Coefficients!$B$132:$B$151),_xlfn.XMATCH(S$2,[1]Coefficients!$G$1:$BO$1))</f>
        <v/>
      </c>
      <c r="T19">
        <f t="array" ref="T19">INDEX([1]Coefficients!$G$156:$BO$175,_xlfn.XMATCH($E19,[1]Coefficients!$B$132:$B$151),_xlfn.XMATCH(T$2,[1]Coefficients!$G$1:$BO$1))</f>
        <v/>
      </c>
      <c r="U19">
        <f t="array" ref="U19">INDEX([1]Coefficients!$G$156:$BO$175,_xlfn.XMATCH($E19,[1]Coefficients!$B$132:$B$151),_xlfn.XMATCH(U$2,[1]Coefficients!$G$1:$BO$1))</f>
        <v/>
      </c>
      <c r="V19">
        <f t="array" ref="V19">INDEX([1]Coefficients!$G$156:$BO$175,_xlfn.XMATCH($E19,[1]Coefficients!$B$132:$B$151),_xlfn.XMATCH(V$2,[1]Coefficients!$G$1:$BO$1))</f>
        <v/>
      </c>
      <c r="W19">
        <f t="array" ref="W19">INDEX([1]Coefficients!$G$156:$BO$175,_xlfn.XMATCH($E19,[1]Coefficients!$B$132:$B$151),_xlfn.XMATCH(W$2,[1]Coefficients!$G$1:$BO$1))</f>
        <v/>
      </c>
    </row>
    <row r="20">
      <c r="A20" t="inlineStr">
        <is>
          <t>CIMS.Generic Fuels.Black Liquor</t>
        </is>
      </c>
      <c r="B20" t="inlineStr">
        <is>
          <t>Service</t>
        </is>
      </c>
      <c r="C20" t="inlineStr">
        <is>
          <t>CIMS</t>
        </is>
      </c>
      <c r="E20" t="inlineStr">
        <is>
          <t>Black Liquor</t>
        </is>
      </c>
      <c r="G20" t="inlineStr">
        <is>
          <t>emissions</t>
        </is>
      </c>
      <c r="H20" t="inlineStr">
        <is>
          <t>N2O</t>
        </is>
      </c>
      <c r="I20" t="inlineStr">
        <is>
          <t>Combustion</t>
        </is>
      </c>
      <c r="K20" t="inlineStr">
        <is>
          <t>ECCC, NIR</t>
        </is>
      </c>
      <c r="L20" t="inlineStr">
        <is>
          <t>tN2O</t>
        </is>
      </c>
      <c r="M20">
        <f t="array" ref="M20">INDEX([1]Coefficients!$G$180:$BO$199,_xlfn.XMATCH($E20,[1]Coefficients!$B$132:$B$151),_xlfn.XMATCH(M$2,[1]Coefficients!$G$1:$BO$1))</f>
        <v/>
      </c>
      <c r="N20">
        <f t="array" ref="N20">INDEX([1]Coefficients!$G$180:$BO$199,_xlfn.XMATCH($E20,[1]Coefficients!$B$132:$B$151),_xlfn.XMATCH(N$2,[1]Coefficients!$G$1:$BO$1))</f>
        <v/>
      </c>
      <c r="O20">
        <f t="array" ref="O20">INDEX([1]Coefficients!$G$180:$BO$199,_xlfn.XMATCH($E20,[1]Coefficients!$B$132:$B$151),_xlfn.XMATCH(O$2,[1]Coefficients!$G$1:$BO$1))</f>
        <v/>
      </c>
      <c r="P20">
        <f t="array" ref="P20">INDEX([1]Coefficients!$G$180:$BO$199,_xlfn.XMATCH($E20,[1]Coefficients!$B$132:$B$151),_xlfn.XMATCH(P$2,[1]Coefficients!$G$1:$BO$1))</f>
        <v/>
      </c>
      <c r="Q20">
        <f t="array" ref="Q20">INDEX([1]Coefficients!$G$180:$BO$199,_xlfn.XMATCH($E20,[1]Coefficients!$B$132:$B$151),_xlfn.XMATCH(Q$2,[1]Coefficients!$G$1:$BO$1))</f>
        <v/>
      </c>
      <c r="R20">
        <f t="array" ref="R20">INDEX([1]Coefficients!$G$180:$BO$199,_xlfn.XMATCH($E20,[1]Coefficients!$B$132:$B$151),_xlfn.XMATCH(R$2,[1]Coefficients!$G$1:$BO$1))</f>
        <v/>
      </c>
      <c r="S20">
        <f t="array" ref="S20">INDEX([1]Coefficients!$G$180:$BO$199,_xlfn.XMATCH($E20,[1]Coefficients!$B$132:$B$151),_xlfn.XMATCH(S$2,[1]Coefficients!$G$1:$BO$1))</f>
        <v/>
      </c>
      <c r="T20">
        <f t="array" ref="T20">INDEX([1]Coefficients!$G$180:$BO$199,_xlfn.XMATCH($E20,[1]Coefficients!$B$132:$B$151),_xlfn.XMATCH(T$2,[1]Coefficients!$G$1:$BO$1))</f>
        <v/>
      </c>
      <c r="U20">
        <f t="array" ref="U20">INDEX([1]Coefficients!$G$180:$BO$199,_xlfn.XMATCH($E20,[1]Coefficients!$B$132:$B$151),_xlfn.XMATCH(U$2,[1]Coefficients!$G$1:$BO$1))</f>
        <v/>
      </c>
      <c r="V20">
        <f t="array" ref="V20">INDEX([1]Coefficients!$G$180:$BO$199,_xlfn.XMATCH($E20,[1]Coefficients!$B$132:$B$151),_xlfn.XMATCH(V$2,[1]Coefficients!$G$1:$BO$1))</f>
        <v/>
      </c>
      <c r="W20">
        <f t="array" ref="W20">INDEX([1]Coefficients!$G$180:$BO$199,_xlfn.XMATCH($E20,[1]Coefficients!$B$132:$B$151),_xlfn.XMATCH(W$2,[1]Coefficients!$G$1:$BO$1))</f>
        <v/>
      </c>
    </row>
    <row r="21">
      <c r="A21" t="inlineStr">
        <is>
          <t>CIMS.Generic Fuels.Coal</t>
        </is>
      </c>
      <c r="B21" t="inlineStr">
        <is>
          <t>Service</t>
        </is>
      </c>
      <c r="C21" t="inlineStr">
        <is>
          <t>CIMS</t>
        </is>
      </c>
      <c r="E21" t="inlineStr">
        <is>
          <t>Coal</t>
        </is>
      </c>
      <c r="G21" t="inlineStr">
        <is>
          <t>service_provide</t>
        </is>
      </c>
      <c r="L21" t="inlineStr">
        <is>
          <t>GJ</t>
        </is>
      </c>
    </row>
    <row r="22">
      <c r="A22" t="inlineStr">
        <is>
          <t>CIMS.Generic Fuels.Coal</t>
        </is>
      </c>
      <c r="B22" t="inlineStr">
        <is>
          <t>Service</t>
        </is>
      </c>
      <c r="C22" t="inlineStr">
        <is>
          <t>CIMS</t>
        </is>
      </c>
      <c r="E22" t="inlineStr">
        <is>
          <t>Coal</t>
        </is>
      </c>
      <c r="G22" t="inlineStr">
        <is>
          <t>competition</t>
        </is>
      </c>
      <c r="H22" t="inlineStr">
        <is>
          <t>Supply - Fixed Price</t>
        </is>
      </c>
    </row>
    <row r="23">
      <c r="A23" t="inlineStr">
        <is>
          <t>CIMS.Generic Fuels.Coal</t>
        </is>
      </c>
      <c r="B23" t="inlineStr">
        <is>
          <t>Service</t>
        </is>
      </c>
      <c r="C23" t="inlineStr">
        <is>
          <t>CIMS</t>
        </is>
      </c>
      <c r="E23" t="inlineStr">
        <is>
          <t>Coal</t>
        </is>
      </c>
      <c r="G23" t="inlineStr">
        <is>
          <t>is_supply</t>
        </is>
      </c>
      <c r="H23" t="b">
        <v>1</v>
      </c>
    </row>
    <row r="24">
      <c r="A24" t="inlineStr">
        <is>
          <t>CIMS.Generic Fuels.Coal</t>
        </is>
      </c>
      <c r="B24" t="inlineStr">
        <is>
          <t>Service</t>
        </is>
      </c>
      <c r="C24" t="inlineStr">
        <is>
          <t>CIMS</t>
        </is>
      </c>
      <c r="E24" t="inlineStr">
        <is>
          <t>Coal</t>
        </is>
      </c>
      <c r="G24" t="inlineStr">
        <is>
          <t>lcc_financial</t>
        </is>
      </c>
      <c r="K24" t="inlineStr">
        <is>
          <t>JCIMS</t>
        </is>
      </c>
      <c r="L24" t="inlineStr">
        <is>
          <t>$/GJ</t>
        </is>
      </c>
      <c r="M24">
        <f t="array" ref="M24">INDEX([1]!JCIMS_prices,_xlfn.XMATCH($E24,[1]!JCIMS_prices_index),_xlfn.XMATCH(M$2,[1]!CER_year))*[1]!JCIMS_price_inflator</f>
        <v/>
      </c>
      <c r="N24">
        <f t="array" ref="N24">INDEX([1]!JCIMS_prices,_xlfn.XMATCH($E24,[1]!JCIMS_prices_index),_xlfn.XMATCH(N$2,[1]!CER_year))*[1]!JCIMS_price_inflator</f>
        <v/>
      </c>
      <c r="O24">
        <f t="array" ref="O24">INDEX([1]!JCIMS_prices,_xlfn.XMATCH($E24,[1]!JCIMS_prices_index),_xlfn.XMATCH(O$2,[1]!CER_year))*[1]!JCIMS_price_inflator</f>
        <v/>
      </c>
      <c r="P24">
        <f t="array" ref="P24">INDEX([1]!JCIMS_prices,_xlfn.XMATCH($E24,[1]!JCIMS_prices_index),_xlfn.XMATCH(P$2,[1]!CER_year))*[1]!JCIMS_price_inflator</f>
        <v/>
      </c>
      <c r="Q24">
        <f t="array" ref="Q24">INDEX([1]!JCIMS_prices,_xlfn.XMATCH($E24,[1]!JCIMS_prices_index),_xlfn.XMATCH(Q$2,[1]!CER_year))*[1]!JCIMS_price_inflator</f>
        <v/>
      </c>
      <c r="R24">
        <f t="array" ref="R24">INDEX([1]!JCIMS_prices,_xlfn.XMATCH($E24,[1]!JCIMS_prices_index),_xlfn.XMATCH(R$2,[1]!CER_year))*[1]!JCIMS_price_inflator</f>
        <v/>
      </c>
      <c r="S24">
        <f t="array" ref="S24">INDEX([1]!JCIMS_prices,_xlfn.XMATCH($E24,[1]!JCIMS_prices_index),_xlfn.XMATCH(S$2,[1]!CER_year))*[1]!JCIMS_price_inflator</f>
        <v/>
      </c>
      <c r="T24">
        <f t="array" ref="T24">INDEX([1]!JCIMS_prices,_xlfn.XMATCH($E24,[1]!JCIMS_prices_index),_xlfn.XMATCH(T$2,[1]!CER_year))*[1]!JCIMS_price_inflator</f>
        <v/>
      </c>
      <c r="U24">
        <f t="array" ref="U24">INDEX([1]!JCIMS_prices,_xlfn.XMATCH($E24,[1]!JCIMS_prices_index),_xlfn.XMATCH(U$2,[1]!CER_year))*[1]!JCIMS_price_inflator</f>
        <v/>
      </c>
      <c r="V24">
        <f t="array" ref="V24">INDEX([1]!JCIMS_prices,_xlfn.XMATCH($E24,[1]!JCIMS_prices_index),_xlfn.XMATCH(V$2,[1]!CER_year))*[1]!JCIMS_price_inflator</f>
        <v/>
      </c>
      <c r="W24">
        <f t="array" ref="W24">INDEX([1]!JCIMS_prices,_xlfn.XMATCH($E24,[1]!JCIMS_prices_index),_xlfn.XMATCH(W$2,[1]!CER_year))*[1]!JCIMS_price_inflator</f>
        <v/>
      </c>
      <c r="X24" t="inlineStr">
        <is>
          <t>Average cost to electricity generators based on JCIMS coal varieties - ON</t>
        </is>
      </c>
    </row>
    <row r="25">
      <c r="A25" t="inlineStr">
        <is>
          <t>CIMS.Generic Fuels.Coal</t>
        </is>
      </c>
      <c r="B25" t="inlineStr">
        <is>
          <t>Service</t>
        </is>
      </c>
      <c r="C25" t="inlineStr">
        <is>
          <t>CIMS</t>
        </is>
      </c>
      <c r="E25" t="inlineStr">
        <is>
          <t>Coal</t>
        </is>
      </c>
      <c r="G25" t="inlineStr">
        <is>
          <t>emissions</t>
        </is>
      </c>
      <c r="H25" t="inlineStr">
        <is>
          <t>CO2</t>
        </is>
      </c>
      <c r="I25" t="inlineStr">
        <is>
          <t>Combustion</t>
        </is>
      </c>
      <c r="K25" t="inlineStr">
        <is>
          <t>ECCC, NIR</t>
        </is>
      </c>
      <c r="L25" t="inlineStr">
        <is>
          <t>tCO2</t>
        </is>
      </c>
      <c r="M25">
        <f t="array" ref="M25">INDEX([1]Coefficients!$G$132:$BO$151,_xlfn.XMATCH($E25,[1]Coefficients!$B$132:$B$151),_xlfn.XMATCH(M$2,[1]Coefficients!$G$1:$BO$1))</f>
        <v/>
      </c>
      <c r="N25">
        <f t="array" ref="N25">INDEX([1]Coefficients!$G$132:$BO$151,_xlfn.XMATCH($E25,[1]Coefficients!$B$132:$B$151),_xlfn.XMATCH(N$2,[1]Coefficients!$G$1:$BO$1))</f>
        <v/>
      </c>
      <c r="O25">
        <f t="array" ref="O25">INDEX([1]Coefficients!$G$132:$BO$151,_xlfn.XMATCH($E25,[1]Coefficients!$B$132:$B$151),_xlfn.XMATCH(O$2,[1]Coefficients!$G$1:$BO$1))</f>
        <v/>
      </c>
      <c r="P25">
        <f t="array" ref="P25">INDEX([1]Coefficients!$G$132:$BO$151,_xlfn.XMATCH($E25,[1]Coefficients!$B$132:$B$151),_xlfn.XMATCH(P$2,[1]Coefficients!$G$1:$BO$1))</f>
        <v/>
      </c>
      <c r="Q25">
        <f t="array" ref="Q25">INDEX([1]Coefficients!$G$132:$BO$151,_xlfn.XMATCH($E25,[1]Coefficients!$B$132:$B$151),_xlfn.XMATCH(Q$2,[1]Coefficients!$G$1:$BO$1))</f>
        <v/>
      </c>
      <c r="R25">
        <f t="array" ref="R25">INDEX([1]Coefficients!$G$132:$BO$151,_xlfn.XMATCH($E25,[1]Coefficients!$B$132:$B$151),_xlfn.XMATCH(R$2,[1]Coefficients!$G$1:$BO$1))</f>
        <v/>
      </c>
      <c r="S25">
        <f t="array" ref="S25">INDEX([1]Coefficients!$G$132:$BO$151,_xlfn.XMATCH($E25,[1]Coefficients!$B$132:$B$151),_xlfn.XMATCH(S$2,[1]Coefficients!$G$1:$BO$1))</f>
        <v/>
      </c>
      <c r="T25">
        <f t="array" ref="T25">INDEX([1]Coefficients!$G$132:$BO$151,_xlfn.XMATCH($E25,[1]Coefficients!$B$132:$B$151),_xlfn.XMATCH(T$2,[1]Coefficients!$G$1:$BO$1))</f>
        <v/>
      </c>
      <c r="U25">
        <f t="array" ref="U25">INDEX([1]Coefficients!$G$132:$BO$151,_xlfn.XMATCH($E25,[1]Coefficients!$B$132:$B$151),_xlfn.XMATCH(U$2,[1]Coefficients!$G$1:$BO$1))</f>
        <v/>
      </c>
      <c r="V25">
        <f t="array" ref="V25">INDEX([1]Coefficients!$G$132:$BO$151,_xlfn.XMATCH($E25,[1]Coefficients!$B$132:$B$151),_xlfn.XMATCH(V$2,[1]Coefficients!$G$1:$BO$1))</f>
        <v/>
      </c>
      <c r="W25">
        <f t="array" ref="W25">INDEX([1]Coefficients!$G$132:$BO$151,_xlfn.XMATCH($E25,[1]Coefficients!$B$132:$B$151),_xlfn.XMATCH(W$2,[1]Coefficients!$G$1:$BO$1))</f>
        <v/>
      </c>
    </row>
    <row r="26">
      <c r="A26" t="inlineStr">
        <is>
          <t>CIMS.Generic Fuels.Coal</t>
        </is>
      </c>
      <c r="B26" t="inlineStr">
        <is>
          <t>Service</t>
        </is>
      </c>
      <c r="C26" t="inlineStr">
        <is>
          <t>CIMS</t>
        </is>
      </c>
      <c r="E26" t="inlineStr">
        <is>
          <t>Coal</t>
        </is>
      </c>
      <c r="G26" t="inlineStr">
        <is>
          <t>emissions</t>
        </is>
      </c>
      <c r="H26" t="inlineStr">
        <is>
          <t>CH4</t>
        </is>
      </c>
      <c r="I26" t="inlineStr">
        <is>
          <t>Combustion</t>
        </is>
      </c>
      <c r="K26" t="inlineStr">
        <is>
          <t>ECCC, NIR</t>
        </is>
      </c>
      <c r="L26" t="inlineStr">
        <is>
          <t>tCH4</t>
        </is>
      </c>
      <c r="M26">
        <f t="array" ref="M26">INDEX([1]Coefficients!$G$156:$BO$175,_xlfn.XMATCH($E26,[1]Coefficients!$B$132:$B$151),_xlfn.XMATCH(M$2,[1]Coefficients!$G$1:$BO$1))</f>
        <v/>
      </c>
      <c r="N26">
        <f t="array" ref="N26">INDEX([1]Coefficients!$G$156:$BO$175,_xlfn.XMATCH($E26,[1]Coefficients!$B$132:$B$151),_xlfn.XMATCH(N$2,[1]Coefficients!$G$1:$BO$1))</f>
        <v/>
      </c>
      <c r="O26">
        <f t="array" ref="O26">INDEX([1]Coefficients!$G$156:$BO$175,_xlfn.XMATCH($E26,[1]Coefficients!$B$132:$B$151),_xlfn.XMATCH(O$2,[1]Coefficients!$G$1:$BO$1))</f>
        <v/>
      </c>
      <c r="P26">
        <f t="array" ref="P26">INDEX([1]Coefficients!$G$156:$BO$175,_xlfn.XMATCH($E26,[1]Coefficients!$B$132:$B$151),_xlfn.XMATCH(P$2,[1]Coefficients!$G$1:$BO$1))</f>
        <v/>
      </c>
      <c r="Q26">
        <f t="array" ref="Q26">INDEX([1]Coefficients!$G$156:$BO$175,_xlfn.XMATCH($E26,[1]Coefficients!$B$132:$B$151),_xlfn.XMATCH(Q$2,[1]Coefficients!$G$1:$BO$1))</f>
        <v/>
      </c>
      <c r="R26">
        <f t="array" ref="R26">INDEX([1]Coefficients!$G$156:$BO$175,_xlfn.XMATCH($E26,[1]Coefficients!$B$132:$B$151),_xlfn.XMATCH(R$2,[1]Coefficients!$G$1:$BO$1))</f>
        <v/>
      </c>
      <c r="S26">
        <f t="array" ref="S26">INDEX([1]Coefficients!$G$156:$BO$175,_xlfn.XMATCH($E26,[1]Coefficients!$B$132:$B$151),_xlfn.XMATCH(S$2,[1]Coefficients!$G$1:$BO$1))</f>
        <v/>
      </c>
      <c r="T26">
        <f t="array" ref="T26">INDEX([1]Coefficients!$G$156:$BO$175,_xlfn.XMATCH($E26,[1]Coefficients!$B$132:$B$151),_xlfn.XMATCH(T$2,[1]Coefficients!$G$1:$BO$1))</f>
        <v/>
      </c>
      <c r="U26">
        <f t="array" ref="U26">INDEX([1]Coefficients!$G$156:$BO$175,_xlfn.XMATCH($E26,[1]Coefficients!$B$132:$B$151),_xlfn.XMATCH(U$2,[1]Coefficients!$G$1:$BO$1))</f>
        <v/>
      </c>
      <c r="V26">
        <f t="array" ref="V26">INDEX([1]Coefficients!$G$156:$BO$175,_xlfn.XMATCH($E26,[1]Coefficients!$B$132:$B$151),_xlfn.XMATCH(V$2,[1]Coefficients!$G$1:$BO$1))</f>
        <v/>
      </c>
      <c r="W26">
        <f t="array" ref="W26">INDEX([1]Coefficients!$G$156:$BO$175,_xlfn.XMATCH($E26,[1]Coefficients!$B$132:$B$151),_xlfn.XMATCH(W$2,[1]Coefficients!$G$1:$BO$1))</f>
        <v/>
      </c>
    </row>
    <row r="27">
      <c r="A27" t="inlineStr">
        <is>
          <t>CIMS.Generic Fuels.Coal</t>
        </is>
      </c>
      <c r="B27" t="inlineStr">
        <is>
          <t>Service</t>
        </is>
      </c>
      <c r="C27" t="inlineStr">
        <is>
          <t>CIMS</t>
        </is>
      </c>
      <c r="E27" t="inlineStr">
        <is>
          <t>Coal</t>
        </is>
      </c>
      <c r="G27" t="inlineStr">
        <is>
          <t>emissions</t>
        </is>
      </c>
      <c r="H27" t="inlineStr">
        <is>
          <t>N2O</t>
        </is>
      </c>
      <c r="I27" t="inlineStr">
        <is>
          <t>Combustion</t>
        </is>
      </c>
      <c r="K27" t="inlineStr">
        <is>
          <t>ECCC, NIR</t>
        </is>
      </c>
      <c r="L27" t="inlineStr">
        <is>
          <t>tN2O</t>
        </is>
      </c>
      <c r="M27">
        <f t="array" ref="M27">INDEX([1]Coefficients!$G$180:$BO$199,_xlfn.XMATCH($E27,[1]Coefficients!$B$132:$B$151),_xlfn.XMATCH(M$2,[1]Coefficients!$G$1:$BO$1))</f>
        <v/>
      </c>
      <c r="N27">
        <f t="array" ref="N27">INDEX([1]Coefficients!$G$180:$BO$199,_xlfn.XMATCH($E27,[1]Coefficients!$B$132:$B$151),_xlfn.XMATCH(N$2,[1]Coefficients!$G$1:$BO$1))</f>
        <v/>
      </c>
      <c r="O27">
        <f t="array" ref="O27">INDEX([1]Coefficients!$G$180:$BO$199,_xlfn.XMATCH($E27,[1]Coefficients!$B$132:$B$151),_xlfn.XMATCH(O$2,[1]Coefficients!$G$1:$BO$1))</f>
        <v/>
      </c>
      <c r="P27">
        <f t="array" ref="P27">INDEX([1]Coefficients!$G$180:$BO$199,_xlfn.XMATCH($E27,[1]Coefficients!$B$132:$B$151),_xlfn.XMATCH(P$2,[1]Coefficients!$G$1:$BO$1))</f>
        <v/>
      </c>
      <c r="Q27">
        <f t="array" ref="Q27">INDEX([1]Coefficients!$G$180:$BO$199,_xlfn.XMATCH($E27,[1]Coefficients!$B$132:$B$151),_xlfn.XMATCH(Q$2,[1]Coefficients!$G$1:$BO$1))</f>
        <v/>
      </c>
      <c r="R27">
        <f t="array" ref="R27">INDEX([1]Coefficients!$G$180:$BO$199,_xlfn.XMATCH($E27,[1]Coefficients!$B$132:$B$151),_xlfn.XMATCH(R$2,[1]Coefficients!$G$1:$BO$1))</f>
        <v/>
      </c>
      <c r="S27">
        <f t="array" ref="S27">INDEX([1]Coefficients!$G$180:$BO$199,_xlfn.XMATCH($E27,[1]Coefficients!$B$132:$B$151),_xlfn.XMATCH(S$2,[1]Coefficients!$G$1:$BO$1))</f>
        <v/>
      </c>
      <c r="T27">
        <f t="array" ref="T27">INDEX([1]Coefficients!$G$180:$BO$199,_xlfn.XMATCH($E27,[1]Coefficients!$B$132:$B$151),_xlfn.XMATCH(T$2,[1]Coefficients!$G$1:$BO$1))</f>
        <v/>
      </c>
      <c r="U27">
        <f t="array" ref="U27">INDEX([1]Coefficients!$G$180:$BO$199,_xlfn.XMATCH($E27,[1]Coefficients!$B$132:$B$151),_xlfn.XMATCH(U$2,[1]Coefficients!$G$1:$BO$1))</f>
        <v/>
      </c>
      <c r="V27">
        <f t="array" ref="V27">INDEX([1]Coefficients!$G$180:$BO$199,_xlfn.XMATCH($E27,[1]Coefficients!$B$132:$B$151),_xlfn.XMATCH(V$2,[1]Coefficients!$G$1:$BO$1))</f>
        <v/>
      </c>
      <c r="W27">
        <f t="array" ref="W27">INDEX([1]Coefficients!$G$180:$BO$199,_xlfn.XMATCH($E27,[1]Coefficients!$B$132:$B$151),_xlfn.XMATCH(W$2,[1]Coefficients!$G$1:$BO$1))</f>
        <v/>
      </c>
    </row>
    <row r="28">
      <c r="A28" t="inlineStr">
        <is>
          <t>CIMS.Generic Fuels.Metallurgical Coal</t>
        </is>
      </c>
      <c r="B28" t="inlineStr">
        <is>
          <t>Service</t>
        </is>
      </c>
      <c r="C28" t="inlineStr">
        <is>
          <t>CIMS</t>
        </is>
      </c>
      <c r="E28" t="inlineStr">
        <is>
          <t>Metallurgical Coal</t>
        </is>
      </c>
      <c r="G28" t="inlineStr">
        <is>
          <t>service_provide</t>
        </is>
      </c>
      <c r="L28" t="inlineStr">
        <is>
          <t>GJ</t>
        </is>
      </c>
    </row>
    <row r="29">
      <c r="A29" t="inlineStr">
        <is>
          <t>CIMS.Generic Fuels.Metallurgical Coal</t>
        </is>
      </c>
      <c r="B29" t="inlineStr">
        <is>
          <t>Service</t>
        </is>
      </c>
      <c r="C29" t="inlineStr">
        <is>
          <t>CIMS</t>
        </is>
      </c>
      <c r="E29" t="inlineStr">
        <is>
          <t>Metallurgical Coal</t>
        </is>
      </c>
      <c r="G29" t="inlineStr">
        <is>
          <t>competition</t>
        </is>
      </c>
      <c r="H29" t="inlineStr">
        <is>
          <t>Supply - Fixed Price</t>
        </is>
      </c>
    </row>
    <row r="30">
      <c r="A30" t="inlineStr">
        <is>
          <t>CIMS.Generic Fuels.Metallurgical Coal</t>
        </is>
      </c>
      <c r="B30" t="inlineStr">
        <is>
          <t>Service</t>
        </is>
      </c>
      <c r="C30" t="inlineStr">
        <is>
          <t>CIMS</t>
        </is>
      </c>
      <c r="E30" t="inlineStr">
        <is>
          <t>Metallurgical Coal</t>
        </is>
      </c>
      <c r="G30" t="inlineStr">
        <is>
          <t>is_supply</t>
        </is>
      </c>
      <c r="H30" t="b">
        <v>1</v>
      </c>
    </row>
    <row r="31">
      <c r="A31" t="inlineStr">
        <is>
          <t>CIMS.Generic Fuels.Metallurgical Coal</t>
        </is>
      </c>
      <c r="B31" t="inlineStr">
        <is>
          <t>Service</t>
        </is>
      </c>
      <c r="C31" t="inlineStr">
        <is>
          <t>CIMS</t>
        </is>
      </c>
      <c r="E31" t="inlineStr">
        <is>
          <t>Metallurgical Coal</t>
        </is>
      </c>
      <c r="G31" t="inlineStr">
        <is>
          <t>lcc_financial</t>
        </is>
      </c>
      <c r="K31" t="inlineStr">
        <is>
          <t>JCIMS</t>
        </is>
      </c>
      <c r="L31" t="inlineStr">
        <is>
          <t>$/GJ</t>
        </is>
      </c>
      <c r="M31">
        <f>M24</f>
        <v/>
      </c>
      <c r="N31">
        <f>N24</f>
        <v/>
      </c>
      <c r="O31">
        <f>O24</f>
        <v/>
      </c>
      <c r="P31">
        <f>P24</f>
        <v/>
      </c>
      <c r="Q31">
        <f>Q24</f>
        <v/>
      </c>
      <c r="R31">
        <f>R24</f>
        <v/>
      </c>
      <c r="S31">
        <f>S24</f>
        <v/>
      </c>
      <c r="T31">
        <f>T24</f>
        <v/>
      </c>
      <c r="U31">
        <f>U24</f>
        <v/>
      </c>
      <c r="V31">
        <f>V24</f>
        <v/>
      </c>
      <c r="W31">
        <f>W24</f>
        <v/>
      </c>
      <c r="X31" t="inlineStr">
        <is>
          <t>Average cost to electricity generators based on JCIMS coal varieties - ON</t>
        </is>
      </c>
    </row>
    <row r="32">
      <c r="A32" t="inlineStr">
        <is>
          <t>CIMS.Generic Fuels.Metallurgical Coal</t>
        </is>
      </c>
      <c r="B32" t="inlineStr">
        <is>
          <t>Service</t>
        </is>
      </c>
      <c r="C32" t="inlineStr">
        <is>
          <t>CIMS</t>
        </is>
      </c>
      <c r="E32" t="inlineStr">
        <is>
          <t>Metallurgical Coal</t>
        </is>
      </c>
      <c r="G32" t="inlineStr">
        <is>
          <t>emissions</t>
        </is>
      </c>
      <c r="H32" t="inlineStr">
        <is>
          <t>CO2</t>
        </is>
      </c>
      <c r="I32" t="inlineStr">
        <is>
          <t>Process</t>
        </is>
      </c>
      <c r="K32" t="inlineStr">
        <is>
          <t>ECCC, NIR</t>
        </is>
      </c>
      <c r="L32" t="inlineStr">
        <is>
          <t>tCO2</t>
        </is>
      </c>
      <c r="M32">
        <f>M25*0.75</f>
        <v/>
      </c>
      <c r="N32">
        <f>N25*0.75</f>
        <v/>
      </c>
      <c r="O32">
        <f>O25*0.75</f>
        <v/>
      </c>
      <c r="P32">
        <f>P25*0.75</f>
        <v/>
      </c>
      <c r="Q32">
        <f>Q25*0.75</f>
        <v/>
      </c>
      <c r="R32">
        <f>R25*0.75</f>
        <v/>
      </c>
      <c r="S32">
        <f>S25*0.75</f>
        <v/>
      </c>
      <c r="T32">
        <f>T25*0.75</f>
        <v/>
      </c>
      <c r="U32">
        <f>U25*0.75</f>
        <v/>
      </c>
      <c r="V32">
        <f>V25*0.75</f>
        <v/>
      </c>
      <c r="W32">
        <f>W25*0.75</f>
        <v/>
      </c>
    </row>
    <row r="33">
      <c r="A33" t="inlineStr">
        <is>
          <t>CIMS.Generic Fuels.Metallurgical Coal</t>
        </is>
      </c>
      <c r="B33" t="inlineStr">
        <is>
          <t>Service</t>
        </is>
      </c>
      <c r="C33" t="inlineStr">
        <is>
          <t>CIMS</t>
        </is>
      </c>
      <c r="E33" t="inlineStr">
        <is>
          <t>Metallurgical Coal</t>
        </is>
      </c>
      <c r="G33" t="inlineStr">
        <is>
          <t>emissions</t>
        </is>
      </c>
      <c r="H33" t="inlineStr">
        <is>
          <t>CO2</t>
        </is>
      </c>
      <c r="I33" t="inlineStr">
        <is>
          <t>Combustion</t>
        </is>
      </c>
      <c r="K33" t="inlineStr">
        <is>
          <t>ECCC, NIR</t>
        </is>
      </c>
      <c r="L33" t="inlineStr">
        <is>
          <t>tCO2</t>
        </is>
      </c>
      <c r="M33">
        <f>M25*0.25</f>
        <v/>
      </c>
      <c r="N33">
        <f>N25*0.25</f>
        <v/>
      </c>
      <c r="O33">
        <f>O25*0.25</f>
        <v/>
      </c>
      <c r="P33">
        <f>P25*0.25</f>
        <v/>
      </c>
      <c r="Q33">
        <f>Q25*0.25</f>
        <v/>
      </c>
      <c r="R33">
        <f>R25*0.25</f>
        <v/>
      </c>
      <c r="S33">
        <f>S25*0.25</f>
        <v/>
      </c>
      <c r="T33">
        <f>T25*0.25</f>
        <v/>
      </c>
      <c r="U33">
        <f>U25*0.25</f>
        <v/>
      </c>
      <c r="V33">
        <f>V25*0.25</f>
        <v/>
      </c>
      <c r="W33">
        <f>W25*0.25</f>
        <v/>
      </c>
    </row>
    <row r="34">
      <c r="A34" t="inlineStr">
        <is>
          <t>CIMS.Generic Fuels.Metallurgical Coal</t>
        </is>
      </c>
      <c r="B34" t="inlineStr">
        <is>
          <t>Service</t>
        </is>
      </c>
      <c r="C34" t="inlineStr">
        <is>
          <t>CIMS</t>
        </is>
      </c>
      <c r="E34" t="inlineStr">
        <is>
          <t>Metallurgical Coal</t>
        </is>
      </c>
      <c r="G34" t="inlineStr">
        <is>
          <t>emissions</t>
        </is>
      </c>
      <c r="H34" t="inlineStr">
        <is>
          <t>CH4</t>
        </is>
      </c>
      <c r="I34" t="inlineStr">
        <is>
          <t>Combustion</t>
        </is>
      </c>
      <c r="K34" t="inlineStr">
        <is>
          <t>ECCC, NIR</t>
        </is>
      </c>
      <c r="L34" t="inlineStr">
        <is>
          <t>tCH4</t>
        </is>
      </c>
      <c r="M34">
        <f>M26</f>
        <v/>
      </c>
      <c r="N34">
        <f>N26</f>
        <v/>
      </c>
      <c r="O34">
        <f>O26</f>
        <v/>
      </c>
      <c r="P34">
        <f>P26</f>
        <v/>
      </c>
      <c r="Q34">
        <f>Q26</f>
        <v/>
      </c>
      <c r="R34">
        <f>R26</f>
        <v/>
      </c>
      <c r="S34">
        <f>S26</f>
        <v/>
      </c>
      <c r="T34">
        <f>T26</f>
        <v/>
      </c>
      <c r="U34">
        <f>U26</f>
        <v/>
      </c>
      <c r="V34">
        <f>V26</f>
        <v/>
      </c>
      <c r="W34">
        <f>W26</f>
        <v/>
      </c>
    </row>
    <row r="35">
      <c r="A35" t="inlineStr">
        <is>
          <t>CIMS.Generic Fuels.Metallurgical Coal</t>
        </is>
      </c>
      <c r="B35" t="inlineStr">
        <is>
          <t>Service</t>
        </is>
      </c>
      <c r="C35" t="inlineStr">
        <is>
          <t>CIMS</t>
        </is>
      </c>
      <c r="E35" t="inlineStr">
        <is>
          <t>Metallurgical Coal</t>
        </is>
      </c>
      <c r="G35" t="inlineStr">
        <is>
          <t>emissions</t>
        </is>
      </c>
      <c r="H35" t="inlineStr">
        <is>
          <t>N2O</t>
        </is>
      </c>
      <c r="I35" t="inlineStr">
        <is>
          <t>Combustion</t>
        </is>
      </c>
      <c r="K35" t="inlineStr">
        <is>
          <t>ECCC, NIR</t>
        </is>
      </c>
      <c r="L35" t="inlineStr">
        <is>
          <t>tN2O</t>
        </is>
      </c>
      <c r="M35">
        <f>M27</f>
        <v/>
      </c>
      <c r="N35">
        <f>N27</f>
        <v/>
      </c>
      <c r="O35">
        <f>O27</f>
        <v/>
      </c>
      <c r="P35">
        <f>P27</f>
        <v/>
      </c>
      <c r="Q35">
        <f>Q27</f>
        <v/>
      </c>
      <c r="R35">
        <f>R27</f>
        <v/>
      </c>
      <c r="S35">
        <f>S27</f>
        <v/>
      </c>
      <c r="T35">
        <f>T27</f>
        <v/>
      </c>
      <c r="U35">
        <f>U27</f>
        <v/>
      </c>
      <c r="V35">
        <f>V27</f>
        <v/>
      </c>
      <c r="W35">
        <f>W27</f>
        <v/>
      </c>
    </row>
    <row r="36">
      <c r="A36" t="inlineStr">
        <is>
          <t>CIMS.Generic Fuels.Coke</t>
        </is>
      </c>
      <c r="B36" t="inlineStr">
        <is>
          <t>Service</t>
        </is>
      </c>
      <c r="C36" t="inlineStr">
        <is>
          <t>CIMS</t>
        </is>
      </c>
      <c r="E36" t="inlineStr">
        <is>
          <t>Coke</t>
        </is>
      </c>
      <c r="G36" t="inlineStr">
        <is>
          <t>service_provide</t>
        </is>
      </c>
      <c r="L36" t="inlineStr">
        <is>
          <t>GJ</t>
        </is>
      </c>
    </row>
    <row r="37">
      <c r="A37" t="inlineStr">
        <is>
          <t>CIMS.Generic Fuels.Coke</t>
        </is>
      </c>
      <c r="B37" t="inlineStr">
        <is>
          <t>Service</t>
        </is>
      </c>
      <c r="C37" t="inlineStr">
        <is>
          <t>CIMS</t>
        </is>
      </c>
      <c r="E37" t="inlineStr">
        <is>
          <t>Coke</t>
        </is>
      </c>
      <c r="G37" t="inlineStr">
        <is>
          <t>competition</t>
        </is>
      </c>
      <c r="H37" t="inlineStr">
        <is>
          <t>Supply - Fixed Price</t>
        </is>
      </c>
    </row>
    <row r="38">
      <c r="A38" t="inlineStr">
        <is>
          <t>CIMS.Generic Fuels.Coke</t>
        </is>
      </c>
      <c r="B38" t="inlineStr">
        <is>
          <t>Service</t>
        </is>
      </c>
      <c r="C38" t="inlineStr">
        <is>
          <t>CIMS</t>
        </is>
      </c>
      <c r="E38" t="inlineStr">
        <is>
          <t>Coke</t>
        </is>
      </c>
      <c r="G38" t="inlineStr">
        <is>
          <t>is_supply</t>
        </is>
      </c>
      <c r="H38" t="b">
        <v>1</v>
      </c>
    </row>
    <row r="39">
      <c r="A39" t="inlineStr">
        <is>
          <t>CIMS.Generic Fuels.Coke</t>
        </is>
      </c>
      <c r="B39" t="inlineStr">
        <is>
          <t>Service</t>
        </is>
      </c>
      <c r="C39" t="inlineStr">
        <is>
          <t>CIMS</t>
        </is>
      </c>
      <c r="E39" t="inlineStr">
        <is>
          <t>Coke</t>
        </is>
      </c>
      <c r="G39" t="inlineStr">
        <is>
          <t>lcc_financial</t>
        </is>
      </c>
      <c r="K39" t="inlineStr">
        <is>
          <t>JCIMS</t>
        </is>
      </c>
      <c r="L39" t="inlineStr">
        <is>
          <t>$/GJ</t>
        </is>
      </c>
      <c r="M39">
        <f t="array" ref="M39">INDEX([1]!JCIMS_prices,_xlfn.XMATCH($E39,[1]!JCIMS_prices_index),_xlfn.XMATCH(M$2,[1]!CER_year))*[1]!JCIMS_price_inflator</f>
        <v/>
      </c>
      <c r="N39">
        <f t="array" ref="N39">INDEX([1]!JCIMS_prices,_xlfn.XMATCH($E39,[1]!JCIMS_prices_index),_xlfn.XMATCH(N$2,[1]!CER_year))*[1]!JCIMS_price_inflator</f>
        <v/>
      </c>
      <c r="O39">
        <f t="array" ref="O39">INDEX([1]!JCIMS_prices,_xlfn.XMATCH($E39,[1]!JCIMS_prices_index),_xlfn.XMATCH(O$2,[1]!CER_year))*[1]!JCIMS_price_inflator</f>
        <v/>
      </c>
      <c r="P39">
        <f t="array" ref="P39">INDEX([1]!JCIMS_prices,_xlfn.XMATCH($E39,[1]!JCIMS_prices_index),_xlfn.XMATCH(P$2,[1]!CER_year))*[1]!JCIMS_price_inflator</f>
        <v/>
      </c>
      <c r="Q39">
        <f t="array" ref="Q39">INDEX([1]!JCIMS_prices,_xlfn.XMATCH($E39,[1]!JCIMS_prices_index),_xlfn.XMATCH(Q$2,[1]!CER_year))*[1]!JCIMS_price_inflator</f>
        <v/>
      </c>
      <c r="R39">
        <f t="array" ref="R39">INDEX([1]!JCIMS_prices,_xlfn.XMATCH($E39,[1]!JCIMS_prices_index),_xlfn.XMATCH(R$2,[1]!CER_year))*[1]!JCIMS_price_inflator</f>
        <v/>
      </c>
      <c r="S39">
        <f t="array" ref="S39">INDEX([1]!JCIMS_prices,_xlfn.XMATCH($E39,[1]!JCIMS_prices_index),_xlfn.XMATCH(S$2,[1]!CER_year))*[1]!JCIMS_price_inflator</f>
        <v/>
      </c>
      <c r="T39">
        <f t="array" ref="T39">INDEX([1]!JCIMS_prices,_xlfn.XMATCH($E39,[1]!JCIMS_prices_index),_xlfn.XMATCH(T$2,[1]!CER_year))*[1]!JCIMS_price_inflator</f>
        <v/>
      </c>
      <c r="U39">
        <f t="array" ref="U39">INDEX([1]!JCIMS_prices,_xlfn.XMATCH($E39,[1]!JCIMS_prices_index),_xlfn.XMATCH(U$2,[1]!CER_year))*[1]!JCIMS_price_inflator</f>
        <v/>
      </c>
      <c r="V39">
        <f t="array" ref="V39">INDEX([1]!JCIMS_prices,_xlfn.XMATCH($E39,[1]!JCIMS_prices_index),_xlfn.XMATCH(V$2,[1]!CER_year))*[1]!JCIMS_price_inflator</f>
        <v/>
      </c>
      <c r="W39">
        <f t="array" ref="W39">INDEX([1]!JCIMS_prices,_xlfn.XMATCH($E39,[1]!JCIMS_prices_index),_xlfn.XMATCH(W$2,[1]!CER_year))*[1]!JCIMS_price_inflator</f>
        <v/>
      </c>
      <c r="X39" t="inlineStr">
        <is>
          <t>Cost in iron &amp; steel - ON</t>
        </is>
      </c>
    </row>
    <row r="40">
      <c r="A40" t="inlineStr">
        <is>
          <t>CIMS.Generic Fuels.Coke</t>
        </is>
      </c>
      <c r="B40" t="inlineStr">
        <is>
          <t>Service</t>
        </is>
      </c>
      <c r="C40" t="inlineStr">
        <is>
          <t>CIMS</t>
        </is>
      </c>
      <c r="E40" t="inlineStr">
        <is>
          <t>Coke</t>
        </is>
      </c>
      <c r="G40" t="inlineStr">
        <is>
          <t>emissions</t>
        </is>
      </c>
      <c r="H40" t="inlineStr">
        <is>
          <t>CO2</t>
        </is>
      </c>
      <c r="I40" t="inlineStr">
        <is>
          <t>Combustion</t>
        </is>
      </c>
      <c r="K40" t="inlineStr">
        <is>
          <t>ECCC, NIR</t>
        </is>
      </c>
      <c r="L40" t="inlineStr">
        <is>
          <t>tCO2</t>
        </is>
      </c>
      <c r="M40">
        <f t="array" ref="M40">INDEX([1]Coefficients!$G$132:$BO$151,_xlfn.XMATCH($E40,[1]Coefficients!$B$132:$B$151),_xlfn.XMATCH(M$2,[1]Coefficients!$G$1:$BO$1))</f>
        <v/>
      </c>
      <c r="N40">
        <f t="array" ref="N40">INDEX([1]Coefficients!$G$132:$BO$151,_xlfn.XMATCH($E40,[1]Coefficients!$B$132:$B$151),_xlfn.XMATCH(N$2,[1]Coefficients!$G$1:$BO$1))</f>
        <v/>
      </c>
      <c r="O40">
        <f t="array" ref="O40">INDEX([1]Coefficients!$G$132:$BO$151,_xlfn.XMATCH($E40,[1]Coefficients!$B$132:$B$151),_xlfn.XMATCH(O$2,[1]Coefficients!$G$1:$BO$1))</f>
        <v/>
      </c>
      <c r="P40">
        <f t="array" ref="P40">INDEX([1]Coefficients!$G$132:$BO$151,_xlfn.XMATCH($E40,[1]Coefficients!$B$132:$B$151),_xlfn.XMATCH(P$2,[1]Coefficients!$G$1:$BO$1))</f>
        <v/>
      </c>
      <c r="Q40">
        <f t="array" ref="Q40">INDEX([1]Coefficients!$G$132:$BO$151,_xlfn.XMATCH($E40,[1]Coefficients!$B$132:$B$151),_xlfn.XMATCH(Q$2,[1]Coefficients!$G$1:$BO$1))</f>
        <v/>
      </c>
      <c r="R40">
        <f t="array" ref="R40">INDEX([1]Coefficients!$G$132:$BO$151,_xlfn.XMATCH($E40,[1]Coefficients!$B$132:$B$151),_xlfn.XMATCH(R$2,[1]Coefficients!$G$1:$BO$1))</f>
        <v/>
      </c>
      <c r="S40">
        <f t="array" ref="S40">INDEX([1]Coefficients!$G$132:$BO$151,_xlfn.XMATCH($E40,[1]Coefficients!$B$132:$B$151),_xlfn.XMATCH(S$2,[1]Coefficients!$G$1:$BO$1))</f>
        <v/>
      </c>
      <c r="T40">
        <f t="array" ref="T40">INDEX([1]Coefficients!$G$132:$BO$151,_xlfn.XMATCH($E40,[1]Coefficients!$B$132:$B$151),_xlfn.XMATCH(T$2,[1]Coefficients!$G$1:$BO$1))</f>
        <v/>
      </c>
      <c r="U40">
        <f t="array" ref="U40">INDEX([1]Coefficients!$G$132:$BO$151,_xlfn.XMATCH($E40,[1]Coefficients!$B$132:$B$151),_xlfn.XMATCH(U$2,[1]Coefficients!$G$1:$BO$1))</f>
        <v/>
      </c>
      <c r="V40">
        <f t="array" ref="V40">INDEX([1]Coefficients!$G$132:$BO$151,_xlfn.XMATCH($E40,[1]Coefficients!$B$132:$B$151),_xlfn.XMATCH(V$2,[1]Coefficients!$G$1:$BO$1))</f>
        <v/>
      </c>
      <c r="W40">
        <f t="array" ref="W40">INDEX([1]Coefficients!$G$132:$BO$151,_xlfn.XMATCH($E40,[1]Coefficients!$B$132:$B$151),_xlfn.XMATCH(W$2,[1]Coefficients!$G$1:$BO$1))</f>
        <v/>
      </c>
    </row>
    <row r="41">
      <c r="A41" t="inlineStr">
        <is>
          <t>CIMS.Generic Fuels.Coke</t>
        </is>
      </c>
      <c r="B41" t="inlineStr">
        <is>
          <t>Service</t>
        </is>
      </c>
      <c r="C41" t="inlineStr">
        <is>
          <t>CIMS</t>
        </is>
      </c>
      <c r="E41" t="inlineStr">
        <is>
          <t>Coke</t>
        </is>
      </c>
      <c r="G41" t="inlineStr">
        <is>
          <t>emissions</t>
        </is>
      </c>
      <c r="H41" t="inlineStr">
        <is>
          <t>CH4</t>
        </is>
      </c>
      <c r="I41" t="inlineStr">
        <is>
          <t>Combustion</t>
        </is>
      </c>
      <c r="K41" t="inlineStr">
        <is>
          <t>ECCC, NIR</t>
        </is>
      </c>
      <c r="L41" t="inlineStr">
        <is>
          <t>tCH4</t>
        </is>
      </c>
      <c r="M41">
        <f t="array" ref="M41">INDEX([1]Coefficients!$G$156:$BO$175,_xlfn.XMATCH($E41,[1]Coefficients!$B$132:$B$151),_xlfn.XMATCH(M$2,[1]Coefficients!$G$1:$BO$1))</f>
        <v/>
      </c>
      <c r="N41">
        <f t="array" ref="N41">INDEX([1]Coefficients!$G$156:$BO$175,_xlfn.XMATCH($E41,[1]Coefficients!$B$132:$B$151),_xlfn.XMATCH(N$2,[1]Coefficients!$G$1:$BO$1))</f>
        <v/>
      </c>
      <c r="O41">
        <f t="array" ref="O41">INDEX([1]Coefficients!$G$156:$BO$175,_xlfn.XMATCH($E41,[1]Coefficients!$B$132:$B$151),_xlfn.XMATCH(O$2,[1]Coefficients!$G$1:$BO$1))</f>
        <v/>
      </c>
      <c r="P41">
        <f t="array" ref="P41">INDEX([1]Coefficients!$G$156:$BO$175,_xlfn.XMATCH($E41,[1]Coefficients!$B$132:$B$151),_xlfn.XMATCH(P$2,[1]Coefficients!$G$1:$BO$1))</f>
        <v/>
      </c>
      <c r="Q41">
        <f t="array" ref="Q41">INDEX([1]Coefficients!$G$156:$BO$175,_xlfn.XMATCH($E41,[1]Coefficients!$B$132:$B$151),_xlfn.XMATCH(Q$2,[1]Coefficients!$G$1:$BO$1))</f>
        <v/>
      </c>
      <c r="R41">
        <f t="array" ref="R41">INDEX([1]Coefficients!$G$156:$BO$175,_xlfn.XMATCH($E41,[1]Coefficients!$B$132:$B$151),_xlfn.XMATCH(R$2,[1]Coefficients!$G$1:$BO$1))</f>
        <v/>
      </c>
      <c r="S41">
        <f t="array" ref="S41">INDEX([1]Coefficients!$G$156:$BO$175,_xlfn.XMATCH($E41,[1]Coefficients!$B$132:$B$151),_xlfn.XMATCH(S$2,[1]Coefficients!$G$1:$BO$1))</f>
        <v/>
      </c>
      <c r="T41">
        <f t="array" ref="T41">INDEX([1]Coefficients!$G$156:$BO$175,_xlfn.XMATCH($E41,[1]Coefficients!$B$132:$B$151),_xlfn.XMATCH(T$2,[1]Coefficients!$G$1:$BO$1))</f>
        <v/>
      </c>
      <c r="U41">
        <f t="array" ref="U41">INDEX([1]Coefficients!$G$156:$BO$175,_xlfn.XMATCH($E41,[1]Coefficients!$B$132:$B$151),_xlfn.XMATCH(U$2,[1]Coefficients!$G$1:$BO$1))</f>
        <v/>
      </c>
      <c r="V41">
        <f t="array" ref="V41">INDEX([1]Coefficients!$G$156:$BO$175,_xlfn.XMATCH($E41,[1]Coefficients!$B$132:$B$151),_xlfn.XMATCH(V$2,[1]Coefficients!$G$1:$BO$1))</f>
        <v/>
      </c>
      <c r="W41">
        <f t="array" ref="W41">INDEX([1]Coefficients!$G$156:$BO$175,_xlfn.XMATCH($E41,[1]Coefficients!$B$132:$B$151),_xlfn.XMATCH(W$2,[1]Coefficients!$G$1:$BO$1))</f>
        <v/>
      </c>
    </row>
    <row r="42">
      <c r="A42" t="inlineStr">
        <is>
          <t>CIMS.Generic Fuels.Coke</t>
        </is>
      </c>
      <c r="B42" t="inlineStr">
        <is>
          <t>Service</t>
        </is>
      </c>
      <c r="C42" t="inlineStr">
        <is>
          <t>CIMS</t>
        </is>
      </c>
      <c r="E42" t="inlineStr">
        <is>
          <t>Coke</t>
        </is>
      </c>
      <c r="G42" t="inlineStr">
        <is>
          <t>emissions</t>
        </is>
      </c>
      <c r="H42" t="inlineStr">
        <is>
          <t>N2O</t>
        </is>
      </c>
      <c r="I42" t="inlineStr">
        <is>
          <t>Combustion</t>
        </is>
      </c>
      <c r="K42" t="inlineStr">
        <is>
          <t>ECCC, NIR</t>
        </is>
      </c>
      <c r="L42" t="inlineStr">
        <is>
          <t>tN2O</t>
        </is>
      </c>
      <c r="M42">
        <f t="array" ref="M42">INDEX([1]Coefficients!$G$180:$BO$199,_xlfn.XMATCH($E42,[1]Coefficients!$B$132:$B$151),_xlfn.XMATCH(M$2,[1]Coefficients!$G$1:$BO$1))</f>
        <v/>
      </c>
      <c r="N42">
        <f t="array" ref="N42">INDEX([1]Coefficients!$G$180:$BO$199,_xlfn.XMATCH($E42,[1]Coefficients!$B$132:$B$151),_xlfn.XMATCH(N$2,[1]Coefficients!$G$1:$BO$1))</f>
        <v/>
      </c>
      <c r="O42">
        <f t="array" ref="O42">INDEX([1]Coefficients!$G$180:$BO$199,_xlfn.XMATCH($E42,[1]Coefficients!$B$132:$B$151),_xlfn.XMATCH(O$2,[1]Coefficients!$G$1:$BO$1))</f>
        <v/>
      </c>
      <c r="P42">
        <f t="array" ref="P42">INDEX([1]Coefficients!$G$180:$BO$199,_xlfn.XMATCH($E42,[1]Coefficients!$B$132:$B$151),_xlfn.XMATCH(P$2,[1]Coefficients!$G$1:$BO$1))</f>
        <v/>
      </c>
      <c r="Q42">
        <f t="array" ref="Q42">INDEX([1]Coefficients!$G$180:$BO$199,_xlfn.XMATCH($E42,[1]Coefficients!$B$132:$B$151),_xlfn.XMATCH(Q$2,[1]Coefficients!$G$1:$BO$1))</f>
        <v/>
      </c>
      <c r="R42">
        <f t="array" ref="R42">INDEX([1]Coefficients!$G$180:$BO$199,_xlfn.XMATCH($E42,[1]Coefficients!$B$132:$B$151),_xlfn.XMATCH(R$2,[1]Coefficients!$G$1:$BO$1))</f>
        <v/>
      </c>
      <c r="S42">
        <f t="array" ref="S42">INDEX([1]Coefficients!$G$180:$BO$199,_xlfn.XMATCH($E42,[1]Coefficients!$B$132:$B$151),_xlfn.XMATCH(S$2,[1]Coefficients!$G$1:$BO$1))</f>
        <v/>
      </c>
      <c r="T42">
        <f t="array" ref="T42">INDEX([1]Coefficients!$G$180:$BO$199,_xlfn.XMATCH($E42,[1]Coefficients!$B$132:$B$151),_xlfn.XMATCH(T$2,[1]Coefficients!$G$1:$BO$1))</f>
        <v/>
      </c>
      <c r="U42">
        <f t="array" ref="U42">INDEX([1]Coefficients!$G$180:$BO$199,_xlfn.XMATCH($E42,[1]Coefficients!$B$132:$B$151),_xlfn.XMATCH(U$2,[1]Coefficients!$G$1:$BO$1))</f>
        <v/>
      </c>
      <c r="V42">
        <f t="array" ref="V42">INDEX([1]Coefficients!$G$180:$BO$199,_xlfn.XMATCH($E42,[1]Coefficients!$B$132:$B$151),_xlfn.XMATCH(V$2,[1]Coefficients!$G$1:$BO$1))</f>
        <v/>
      </c>
      <c r="W42">
        <f t="array" ref="W42">INDEX([1]Coefficients!$G$180:$BO$199,_xlfn.XMATCH($E42,[1]Coefficients!$B$132:$B$151),_xlfn.XMATCH(W$2,[1]Coefficients!$G$1:$BO$1))</f>
        <v/>
      </c>
    </row>
    <row r="43">
      <c r="A43" t="inlineStr">
        <is>
          <t>CIMS.Generic Fuels.Diesel</t>
        </is>
      </c>
      <c r="B43" t="inlineStr">
        <is>
          <t>Service</t>
        </is>
      </c>
      <c r="C43" t="inlineStr">
        <is>
          <t>CIMS</t>
        </is>
      </c>
      <c r="E43" t="inlineStr">
        <is>
          <t>Diesel</t>
        </is>
      </c>
      <c r="G43" t="inlineStr">
        <is>
          <t>service_provide</t>
        </is>
      </c>
      <c r="L43" t="inlineStr">
        <is>
          <t>GJ</t>
        </is>
      </c>
    </row>
    <row r="44">
      <c r="A44" t="inlineStr">
        <is>
          <t>CIMS.Generic Fuels.Diesel</t>
        </is>
      </c>
      <c r="B44" t="inlineStr">
        <is>
          <t>Service</t>
        </is>
      </c>
      <c r="C44" t="inlineStr">
        <is>
          <t>CIMS</t>
        </is>
      </c>
      <c r="E44" t="inlineStr">
        <is>
          <t>Diesel</t>
        </is>
      </c>
      <c r="G44" t="inlineStr">
        <is>
          <t>competition</t>
        </is>
      </c>
      <c r="H44" t="inlineStr">
        <is>
          <t>Supply - Fixed Price</t>
        </is>
      </c>
    </row>
    <row r="45">
      <c r="A45" t="inlineStr">
        <is>
          <t>CIMS.Generic Fuels.Diesel</t>
        </is>
      </c>
      <c r="B45" t="inlineStr">
        <is>
          <t>Service</t>
        </is>
      </c>
      <c r="C45" t="inlineStr">
        <is>
          <t>CIMS</t>
        </is>
      </c>
      <c r="E45" t="inlineStr">
        <is>
          <t>Diesel</t>
        </is>
      </c>
      <c r="G45" t="inlineStr">
        <is>
          <t>is_supply</t>
        </is>
      </c>
      <c r="H45" t="b">
        <v>1</v>
      </c>
    </row>
    <row r="46">
      <c r="A46" t="inlineStr">
        <is>
          <t>CIMS.Generic Fuels.Diesel</t>
        </is>
      </c>
      <c r="B46" t="inlineStr">
        <is>
          <t>Service</t>
        </is>
      </c>
      <c r="C46" t="inlineStr">
        <is>
          <t>CIMS</t>
        </is>
      </c>
      <c r="E46" t="inlineStr">
        <is>
          <t>Diesel</t>
        </is>
      </c>
      <c r="G46" t="inlineStr">
        <is>
          <t>lcc_financial</t>
        </is>
      </c>
      <c r="K46" t="inlineStr">
        <is>
          <t>CER</t>
        </is>
      </c>
      <c r="L46" t="inlineStr">
        <is>
          <t>$/GJ</t>
        </is>
      </c>
      <c r="M46">
        <f t="array" ref="M46">ROUND(INDEX([1]!CER_prices,_xlfn.XMATCH("CAN"&amp;"Transportation"&amp;$A46,[1]!CER_prices_index),_xlfn.XMATCH(M$2,[1]!CER_year)),2)</f>
        <v/>
      </c>
      <c r="N46">
        <f t="array" ref="N46">ROUND(INDEX([1]!CER_prices,_xlfn.XMATCH("CAN"&amp;"Transportation"&amp;$A46,[1]!CER_prices_index),_xlfn.XMATCH(N$2,[1]!CER_year)),2)</f>
        <v/>
      </c>
      <c r="O46">
        <f t="array" ref="O46">ROUND(INDEX([1]!CER_prices,_xlfn.XMATCH("CAN"&amp;"Transportation"&amp;$A46,[1]!CER_prices_index),_xlfn.XMATCH(O$2,[1]!CER_year)),2)</f>
        <v/>
      </c>
      <c r="P46">
        <f t="array" ref="P46">ROUND(INDEX([1]!CER_prices,_xlfn.XMATCH("CAN"&amp;"Transportation"&amp;$A46,[1]!CER_prices_index),_xlfn.XMATCH(P$2,[1]!CER_year)),2)</f>
        <v/>
      </c>
      <c r="Q46">
        <f t="array" ref="Q46">ROUND(INDEX([1]!CER_prices,_xlfn.XMATCH("CAN"&amp;"Transportation"&amp;$A46,[1]!CER_prices_index),_xlfn.XMATCH(Q$2,[1]!CER_year)),2)</f>
        <v/>
      </c>
      <c r="R46">
        <f t="array" ref="R46">ROUND(INDEX([1]!CER_prices,_xlfn.XMATCH("CAN"&amp;"Transportation"&amp;$A46,[1]!CER_prices_index),_xlfn.XMATCH(R$2,[1]!CER_year)),2)</f>
        <v/>
      </c>
      <c r="S46">
        <f t="array" ref="S46">ROUND(INDEX([1]!CER_prices,_xlfn.XMATCH("CAN"&amp;"Transportation"&amp;$A46,[1]!CER_prices_index),_xlfn.XMATCH(S$2,[1]!CER_year)),2)</f>
        <v/>
      </c>
      <c r="T46">
        <f t="array" ref="T46">ROUND(INDEX([1]!CER_prices,_xlfn.XMATCH("CAN"&amp;"Transportation"&amp;$A46,[1]!CER_prices_index),_xlfn.XMATCH(T$2,[1]!CER_year)),2)</f>
        <v/>
      </c>
      <c r="U46">
        <f t="array" ref="U46">ROUND(INDEX([1]!CER_prices,_xlfn.XMATCH("CAN"&amp;"Transportation"&amp;$A46,[1]!CER_prices_index),_xlfn.XMATCH(U$2,[1]!CER_year)),2)</f>
        <v/>
      </c>
      <c r="V46">
        <f t="array" ref="V46">ROUND(INDEX([1]!CER_prices,_xlfn.XMATCH("CAN"&amp;"Transportation"&amp;$A46,[1]!CER_prices_index),_xlfn.XMATCH(V$2,[1]!CER_year)),2)</f>
        <v/>
      </c>
      <c r="W46">
        <f t="array" ref="W46">ROUND(INDEX([1]!CER_prices,_xlfn.XMATCH("CAN"&amp;"Transportation"&amp;$A46,[1]!CER_prices_index),_xlfn.XMATCH(W$2,[1]!CER_year)),2)</f>
        <v/>
      </c>
      <c r="X46" t="inlineStr">
        <is>
          <t>CER forecast - CAN transportation</t>
        </is>
      </c>
    </row>
    <row r="47">
      <c r="A47" t="inlineStr">
        <is>
          <t>CIMS.Generic Fuels.Diesel</t>
        </is>
      </c>
      <c r="B47" t="inlineStr">
        <is>
          <t>Service</t>
        </is>
      </c>
      <c r="C47" t="inlineStr">
        <is>
          <t>CIMS</t>
        </is>
      </c>
      <c r="E47" t="inlineStr">
        <is>
          <t>Diesel</t>
        </is>
      </c>
      <c r="G47" t="inlineStr">
        <is>
          <t>emissions</t>
        </is>
      </c>
      <c r="H47" t="inlineStr">
        <is>
          <t>CO2</t>
        </is>
      </c>
      <c r="I47" t="inlineStr">
        <is>
          <t>Combustion</t>
        </is>
      </c>
      <c r="K47" t="inlineStr">
        <is>
          <t>ECCC, NIR</t>
        </is>
      </c>
      <c r="L47" t="inlineStr">
        <is>
          <t>tCO2</t>
        </is>
      </c>
      <c r="M47">
        <f t="array" ref="M47">INDEX([1]Coefficients!$G$132:$BO$151,_xlfn.XMATCH($E47,[1]Coefficients!$B$132:$B$151),_xlfn.XMATCH(M$2,[1]Coefficients!$G$1:$BO$1))</f>
        <v/>
      </c>
      <c r="N47">
        <f t="array" ref="N47">INDEX([1]Coefficients!$G$132:$BO$151,_xlfn.XMATCH($E47,[1]Coefficients!$B$132:$B$151),_xlfn.XMATCH(N$2,[1]Coefficients!$G$1:$BO$1))</f>
        <v/>
      </c>
      <c r="O47">
        <f t="array" ref="O47">INDEX([1]Coefficients!$G$132:$BO$151,_xlfn.XMATCH($E47,[1]Coefficients!$B$132:$B$151),_xlfn.XMATCH(O$2,[1]Coefficients!$G$1:$BO$1))</f>
        <v/>
      </c>
      <c r="P47">
        <f t="array" ref="P47">INDEX([1]Coefficients!$G$132:$BO$151,_xlfn.XMATCH($E47,[1]Coefficients!$B$132:$B$151),_xlfn.XMATCH(P$2,[1]Coefficients!$G$1:$BO$1))</f>
        <v/>
      </c>
      <c r="Q47">
        <f t="array" ref="Q47">INDEX([1]Coefficients!$G$132:$BO$151,_xlfn.XMATCH($E47,[1]Coefficients!$B$132:$B$151),_xlfn.XMATCH(Q$2,[1]Coefficients!$G$1:$BO$1))</f>
        <v/>
      </c>
      <c r="R47">
        <f t="array" ref="R47">INDEX([1]Coefficients!$G$132:$BO$151,_xlfn.XMATCH($E47,[1]Coefficients!$B$132:$B$151),_xlfn.XMATCH(R$2,[1]Coefficients!$G$1:$BO$1))</f>
        <v/>
      </c>
      <c r="S47">
        <f t="array" ref="S47">INDEX([1]Coefficients!$G$132:$BO$151,_xlfn.XMATCH($E47,[1]Coefficients!$B$132:$B$151),_xlfn.XMATCH(S$2,[1]Coefficients!$G$1:$BO$1))</f>
        <v/>
      </c>
      <c r="T47">
        <f t="array" ref="T47">INDEX([1]Coefficients!$G$132:$BO$151,_xlfn.XMATCH($E47,[1]Coefficients!$B$132:$B$151),_xlfn.XMATCH(T$2,[1]Coefficients!$G$1:$BO$1))</f>
        <v/>
      </c>
      <c r="U47">
        <f t="array" ref="U47">INDEX([1]Coefficients!$G$132:$BO$151,_xlfn.XMATCH($E47,[1]Coefficients!$B$132:$B$151),_xlfn.XMATCH(U$2,[1]Coefficients!$G$1:$BO$1))</f>
        <v/>
      </c>
      <c r="V47">
        <f t="array" ref="V47">INDEX([1]Coefficients!$G$132:$BO$151,_xlfn.XMATCH($E47,[1]Coefficients!$B$132:$B$151),_xlfn.XMATCH(V$2,[1]Coefficients!$G$1:$BO$1))</f>
        <v/>
      </c>
      <c r="W47">
        <f t="array" ref="W47">INDEX([1]Coefficients!$G$132:$BO$151,_xlfn.XMATCH($E47,[1]Coefficients!$B$132:$B$151),_xlfn.XMATCH(W$2,[1]Coefficients!$G$1:$BO$1))</f>
        <v/>
      </c>
    </row>
    <row r="48">
      <c r="A48" t="inlineStr">
        <is>
          <t>CIMS.Generic Fuels.Diesel</t>
        </is>
      </c>
      <c r="B48" t="inlineStr">
        <is>
          <t>Service</t>
        </is>
      </c>
      <c r="C48" t="inlineStr">
        <is>
          <t>CIMS</t>
        </is>
      </c>
      <c r="E48" t="inlineStr">
        <is>
          <t>Diesel</t>
        </is>
      </c>
      <c r="G48" t="inlineStr">
        <is>
          <t>emissions</t>
        </is>
      </c>
      <c r="H48" t="inlineStr">
        <is>
          <t>CH4</t>
        </is>
      </c>
      <c r="I48" t="inlineStr">
        <is>
          <t>Combustion</t>
        </is>
      </c>
      <c r="K48" t="inlineStr">
        <is>
          <t>ECCC, NIR</t>
        </is>
      </c>
      <c r="L48" t="inlineStr">
        <is>
          <t>tCH4</t>
        </is>
      </c>
      <c r="M48">
        <f t="array" ref="M48">INDEX([1]Coefficients!$G$156:$BO$175,_xlfn.XMATCH($E48,[1]Coefficients!$B$132:$B$151),_xlfn.XMATCH(M$2,[1]Coefficients!$G$1:$BO$1))</f>
        <v/>
      </c>
      <c r="N48">
        <f t="array" ref="N48">INDEX([1]Coefficients!$G$156:$BO$175,_xlfn.XMATCH($E48,[1]Coefficients!$B$132:$B$151),_xlfn.XMATCH(N$2,[1]Coefficients!$G$1:$BO$1))</f>
        <v/>
      </c>
      <c r="O48">
        <f t="array" ref="O48">INDEX([1]Coefficients!$G$156:$BO$175,_xlfn.XMATCH($E48,[1]Coefficients!$B$132:$B$151),_xlfn.XMATCH(O$2,[1]Coefficients!$G$1:$BO$1))</f>
        <v/>
      </c>
      <c r="P48">
        <f t="array" ref="P48">INDEX([1]Coefficients!$G$156:$BO$175,_xlfn.XMATCH($E48,[1]Coefficients!$B$132:$B$151),_xlfn.XMATCH(P$2,[1]Coefficients!$G$1:$BO$1))</f>
        <v/>
      </c>
      <c r="Q48">
        <f t="array" ref="Q48">INDEX([1]Coefficients!$G$156:$BO$175,_xlfn.XMATCH($E48,[1]Coefficients!$B$132:$B$151),_xlfn.XMATCH(Q$2,[1]Coefficients!$G$1:$BO$1))</f>
        <v/>
      </c>
      <c r="R48">
        <f t="array" ref="R48">INDEX([1]Coefficients!$G$156:$BO$175,_xlfn.XMATCH($E48,[1]Coefficients!$B$132:$B$151),_xlfn.XMATCH(R$2,[1]Coefficients!$G$1:$BO$1))</f>
        <v/>
      </c>
      <c r="S48">
        <f t="array" ref="S48">INDEX([1]Coefficients!$G$156:$BO$175,_xlfn.XMATCH($E48,[1]Coefficients!$B$132:$B$151),_xlfn.XMATCH(S$2,[1]Coefficients!$G$1:$BO$1))</f>
        <v/>
      </c>
      <c r="T48">
        <f t="array" ref="T48">INDEX([1]Coefficients!$G$156:$BO$175,_xlfn.XMATCH($E48,[1]Coefficients!$B$132:$B$151),_xlfn.XMATCH(T$2,[1]Coefficients!$G$1:$BO$1))</f>
        <v/>
      </c>
      <c r="U48">
        <f t="array" ref="U48">INDEX([1]Coefficients!$G$156:$BO$175,_xlfn.XMATCH($E48,[1]Coefficients!$B$132:$B$151),_xlfn.XMATCH(U$2,[1]Coefficients!$G$1:$BO$1))</f>
        <v/>
      </c>
      <c r="V48">
        <f t="array" ref="V48">INDEX([1]Coefficients!$G$156:$BO$175,_xlfn.XMATCH($E48,[1]Coefficients!$B$132:$B$151),_xlfn.XMATCH(V$2,[1]Coefficients!$G$1:$BO$1))</f>
        <v/>
      </c>
      <c r="W48">
        <f t="array" ref="W48">INDEX([1]Coefficients!$G$156:$BO$175,_xlfn.XMATCH($E48,[1]Coefficients!$B$132:$B$151),_xlfn.XMATCH(W$2,[1]Coefficients!$G$1:$BO$1))</f>
        <v/>
      </c>
    </row>
    <row r="49">
      <c r="A49" t="inlineStr">
        <is>
          <t>CIMS.Generic Fuels.Diesel</t>
        </is>
      </c>
      <c r="B49" t="inlineStr">
        <is>
          <t>Service</t>
        </is>
      </c>
      <c r="C49" t="inlineStr">
        <is>
          <t>CIMS</t>
        </is>
      </c>
      <c r="E49" t="inlineStr">
        <is>
          <t>Diesel</t>
        </is>
      </c>
      <c r="G49" t="inlineStr">
        <is>
          <t>emissions</t>
        </is>
      </c>
      <c r="H49" t="inlineStr">
        <is>
          <t>N2O</t>
        </is>
      </c>
      <c r="I49" t="inlineStr">
        <is>
          <t>Combustion</t>
        </is>
      </c>
      <c r="K49" t="inlineStr">
        <is>
          <t>ECCC, NIR</t>
        </is>
      </c>
      <c r="L49" t="inlineStr">
        <is>
          <t>tN2O</t>
        </is>
      </c>
      <c r="M49">
        <f t="array" ref="M49">INDEX([1]Coefficients!$G$180:$BO$199,_xlfn.XMATCH($E49,[1]Coefficients!$B$132:$B$151),_xlfn.XMATCH(M$2,[1]Coefficients!$G$1:$BO$1))</f>
        <v/>
      </c>
      <c r="N49">
        <f t="array" ref="N49">INDEX([1]Coefficients!$G$180:$BO$199,_xlfn.XMATCH($E49,[1]Coefficients!$B$132:$B$151),_xlfn.XMATCH(N$2,[1]Coefficients!$G$1:$BO$1))</f>
        <v/>
      </c>
      <c r="O49">
        <f t="array" ref="O49">INDEX([1]Coefficients!$G$180:$BO$199,_xlfn.XMATCH($E49,[1]Coefficients!$B$132:$B$151),_xlfn.XMATCH(O$2,[1]Coefficients!$G$1:$BO$1))</f>
        <v/>
      </c>
      <c r="P49">
        <f t="array" ref="P49">INDEX([1]Coefficients!$G$180:$BO$199,_xlfn.XMATCH($E49,[1]Coefficients!$B$132:$B$151),_xlfn.XMATCH(P$2,[1]Coefficients!$G$1:$BO$1))</f>
        <v/>
      </c>
      <c r="Q49">
        <f t="array" ref="Q49">INDEX([1]Coefficients!$G$180:$BO$199,_xlfn.XMATCH($E49,[1]Coefficients!$B$132:$B$151),_xlfn.XMATCH(Q$2,[1]Coefficients!$G$1:$BO$1))</f>
        <v/>
      </c>
      <c r="R49">
        <f t="array" ref="R49">INDEX([1]Coefficients!$G$180:$BO$199,_xlfn.XMATCH($E49,[1]Coefficients!$B$132:$B$151),_xlfn.XMATCH(R$2,[1]Coefficients!$G$1:$BO$1))</f>
        <v/>
      </c>
      <c r="S49">
        <f t="array" ref="S49">INDEX([1]Coefficients!$G$180:$BO$199,_xlfn.XMATCH($E49,[1]Coefficients!$B$132:$B$151),_xlfn.XMATCH(S$2,[1]Coefficients!$G$1:$BO$1))</f>
        <v/>
      </c>
      <c r="T49">
        <f t="array" ref="T49">INDEX([1]Coefficients!$G$180:$BO$199,_xlfn.XMATCH($E49,[1]Coefficients!$B$132:$B$151),_xlfn.XMATCH(T$2,[1]Coefficients!$G$1:$BO$1))</f>
        <v/>
      </c>
      <c r="U49">
        <f t="array" ref="U49">INDEX([1]Coefficients!$G$180:$BO$199,_xlfn.XMATCH($E49,[1]Coefficients!$B$132:$B$151),_xlfn.XMATCH(U$2,[1]Coefficients!$G$1:$BO$1))</f>
        <v/>
      </c>
      <c r="V49">
        <f t="array" ref="V49">INDEX([1]Coefficients!$G$180:$BO$199,_xlfn.XMATCH($E49,[1]Coefficients!$B$132:$B$151),_xlfn.XMATCH(V$2,[1]Coefficients!$G$1:$BO$1))</f>
        <v/>
      </c>
      <c r="W49">
        <f t="array" ref="W49">INDEX([1]Coefficients!$G$180:$BO$199,_xlfn.XMATCH($E49,[1]Coefficients!$B$132:$B$151),_xlfn.XMATCH(W$2,[1]Coefficients!$G$1:$BO$1))</f>
        <v/>
      </c>
    </row>
    <row r="50">
      <c r="A50" t="inlineStr">
        <is>
          <t>CIMS.Generic Fuels.Fuel Oil</t>
        </is>
      </c>
      <c r="B50" t="inlineStr">
        <is>
          <t>Service</t>
        </is>
      </c>
      <c r="C50" t="inlineStr">
        <is>
          <t>CIMS</t>
        </is>
      </c>
      <c r="E50" t="inlineStr">
        <is>
          <t>Fuel Oil</t>
        </is>
      </c>
      <c r="G50" t="inlineStr">
        <is>
          <t>service_provide</t>
        </is>
      </c>
      <c r="L50" t="inlineStr">
        <is>
          <t>GJ</t>
        </is>
      </c>
    </row>
    <row r="51">
      <c r="A51" t="inlineStr">
        <is>
          <t>CIMS.Generic Fuels.Fuel Oil</t>
        </is>
      </c>
      <c r="B51" t="inlineStr">
        <is>
          <t>Service</t>
        </is>
      </c>
      <c r="C51" t="inlineStr">
        <is>
          <t>CIMS</t>
        </is>
      </c>
      <c r="E51" t="inlineStr">
        <is>
          <t>Fuel Oil</t>
        </is>
      </c>
      <c r="G51" t="inlineStr">
        <is>
          <t>competition</t>
        </is>
      </c>
      <c r="H51" t="inlineStr">
        <is>
          <t>Supply - Fixed Price</t>
        </is>
      </c>
    </row>
    <row r="52">
      <c r="A52" t="inlineStr">
        <is>
          <t>CIMS.Generic Fuels.Fuel Oil</t>
        </is>
      </c>
      <c r="B52" t="inlineStr">
        <is>
          <t>Service</t>
        </is>
      </c>
      <c r="C52" t="inlineStr">
        <is>
          <t>CIMS</t>
        </is>
      </c>
      <c r="E52" t="inlineStr">
        <is>
          <t>Fuel Oil</t>
        </is>
      </c>
      <c r="G52" t="inlineStr">
        <is>
          <t>is_supply</t>
        </is>
      </c>
      <c r="H52" t="b">
        <v>1</v>
      </c>
    </row>
    <row r="53">
      <c r="A53" t="inlineStr">
        <is>
          <t>CIMS.Generic Fuels.Fuel Oil</t>
        </is>
      </c>
      <c r="B53" t="inlineStr">
        <is>
          <t>Service</t>
        </is>
      </c>
      <c r="C53" t="inlineStr">
        <is>
          <t>CIMS</t>
        </is>
      </c>
      <c r="E53" t="inlineStr">
        <is>
          <t>Fuel Oil</t>
        </is>
      </c>
      <c r="G53" t="inlineStr">
        <is>
          <t>lcc_financial</t>
        </is>
      </c>
      <c r="K53" t="inlineStr">
        <is>
          <t>CER</t>
        </is>
      </c>
      <c r="L53" t="inlineStr">
        <is>
          <t>$/GJ</t>
        </is>
      </c>
      <c r="M53">
        <f t="array" ref="M53">ROUND(INDEX([1]!CER_prices,_xlfn.XMATCH("CAN"&amp;"Industrial"&amp;$A53,[1]!CER_prices_index),_xlfn.XMATCH(M$2,[1]!CER_year)),2)</f>
        <v/>
      </c>
      <c r="N53">
        <f t="array" ref="N53">ROUND(INDEX([1]!CER_prices,_xlfn.XMATCH("CAN"&amp;"Industrial"&amp;$A53,[1]!CER_prices_index),_xlfn.XMATCH(N$2,[1]!CER_year)),2)</f>
        <v/>
      </c>
      <c r="O53">
        <f t="array" ref="O53">ROUND(INDEX([1]!CER_prices,_xlfn.XMATCH("CAN"&amp;"Industrial"&amp;$A53,[1]!CER_prices_index),_xlfn.XMATCH(O$2,[1]!CER_year)),2)</f>
        <v/>
      </c>
      <c r="P53">
        <f t="array" ref="P53">ROUND(INDEX([1]!CER_prices,_xlfn.XMATCH("CAN"&amp;"Industrial"&amp;$A53,[1]!CER_prices_index),_xlfn.XMATCH(P$2,[1]!CER_year)),2)</f>
        <v/>
      </c>
      <c r="Q53">
        <f t="array" ref="Q53">ROUND(INDEX([1]!CER_prices,_xlfn.XMATCH("CAN"&amp;"Industrial"&amp;$A53,[1]!CER_prices_index),_xlfn.XMATCH(Q$2,[1]!CER_year)),2)</f>
        <v/>
      </c>
      <c r="R53">
        <f t="array" ref="R53">ROUND(INDEX([1]!CER_prices,_xlfn.XMATCH("CAN"&amp;"Industrial"&amp;$A53,[1]!CER_prices_index),_xlfn.XMATCH(R$2,[1]!CER_year)),2)</f>
        <v/>
      </c>
      <c r="S53">
        <f t="array" ref="S53">ROUND(INDEX([1]!CER_prices,_xlfn.XMATCH("CAN"&amp;"Industrial"&amp;$A53,[1]!CER_prices_index),_xlfn.XMATCH(S$2,[1]!CER_year)),2)</f>
        <v/>
      </c>
      <c r="T53">
        <f t="array" ref="T53">ROUND(INDEX([1]!CER_prices,_xlfn.XMATCH("CAN"&amp;"Industrial"&amp;$A53,[1]!CER_prices_index),_xlfn.XMATCH(T$2,[1]!CER_year)),2)</f>
        <v/>
      </c>
      <c r="U53">
        <f t="array" ref="U53">ROUND(INDEX([1]!CER_prices,_xlfn.XMATCH("CAN"&amp;"Industrial"&amp;$A53,[1]!CER_prices_index),_xlfn.XMATCH(U$2,[1]!CER_year)),2)</f>
        <v/>
      </c>
      <c r="V53">
        <f t="array" ref="V53">ROUND(INDEX([1]!CER_prices,_xlfn.XMATCH("CAN"&amp;"Industrial"&amp;$A53,[1]!CER_prices_index),_xlfn.XMATCH(V$2,[1]!CER_year)),2)</f>
        <v/>
      </c>
      <c r="W53">
        <f t="array" ref="W53">ROUND(INDEX([1]!CER_prices,_xlfn.XMATCH("CAN"&amp;"Industrial"&amp;$A53,[1]!CER_prices_index),_xlfn.XMATCH(W$2,[1]!CER_year)),2)</f>
        <v/>
      </c>
      <c r="X53" t="inlineStr">
        <is>
          <t>CER forecast - CAN industrial</t>
        </is>
      </c>
    </row>
    <row r="54">
      <c r="A54" t="inlineStr">
        <is>
          <t>CIMS.Generic Fuels.Fuel Oil</t>
        </is>
      </c>
      <c r="B54" t="inlineStr">
        <is>
          <t>Service</t>
        </is>
      </c>
      <c r="C54" t="inlineStr">
        <is>
          <t>CIMS</t>
        </is>
      </c>
      <c r="E54" t="inlineStr">
        <is>
          <t>Fuel Oil</t>
        </is>
      </c>
      <c r="G54" t="inlineStr">
        <is>
          <t>emissions</t>
        </is>
      </c>
      <c r="H54" t="inlineStr">
        <is>
          <t>CO2</t>
        </is>
      </c>
      <c r="I54" t="inlineStr">
        <is>
          <t>Combustion</t>
        </is>
      </c>
      <c r="K54" t="inlineStr">
        <is>
          <t>ECCC, NIR</t>
        </is>
      </c>
      <c r="L54" t="inlineStr">
        <is>
          <t>tCO2</t>
        </is>
      </c>
      <c r="M54">
        <f t="array" ref="M54">INDEX([1]Coefficients!$G$132:$BO$151,_xlfn.XMATCH($E54,[1]Coefficients!$B$132:$B$151),_xlfn.XMATCH(M$2,[1]Coefficients!$G$1:$BO$1))</f>
        <v/>
      </c>
      <c r="N54">
        <f t="array" ref="N54">INDEX([1]Coefficients!$G$132:$BO$151,_xlfn.XMATCH($E54,[1]Coefficients!$B$132:$B$151),_xlfn.XMATCH(N$2,[1]Coefficients!$G$1:$BO$1))</f>
        <v/>
      </c>
      <c r="O54">
        <f t="array" ref="O54">INDEX([1]Coefficients!$G$132:$BO$151,_xlfn.XMATCH($E54,[1]Coefficients!$B$132:$B$151),_xlfn.XMATCH(O$2,[1]Coefficients!$G$1:$BO$1))</f>
        <v/>
      </c>
      <c r="P54">
        <f t="array" ref="P54">INDEX([1]Coefficients!$G$132:$BO$151,_xlfn.XMATCH($E54,[1]Coefficients!$B$132:$B$151),_xlfn.XMATCH(P$2,[1]Coefficients!$G$1:$BO$1))</f>
        <v/>
      </c>
      <c r="Q54">
        <f t="array" ref="Q54">INDEX([1]Coefficients!$G$132:$BO$151,_xlfn.XMATCH($E54,[1]Coefficients!$B$132:$B$151),_xlfn.XMATCH(Q$2,[1]Coefficients!$G$1:$BO$1))</f>
        <v/>
      </c>
      <c r="R54">
        <f t="array" ref="R54">INDEX([1]Coefficients!$G$132:$BO$151,_xlfn.XMATCH($E54,[1]Coefficients!$B$132:$B$151),_xlfn.XMATCH(R$2,[1]Coefficients!$G$1:$BO$1))</f>
        <v/>
      </c>
      <c r="S54">
        <f t="array" ref="S54">INDEX([1]Coefficients!$G$132:$BO$151,_xlfn.XMATCH($E54,[1]Coefficients!$B$132:$B$151),_xlfn.XMATCH(S$2,[1]Coefficients!$G$1:$BO$1))</f>
        <v/>
      </c>
      <c r="T54">
        <f t="array" ref="T54">INDEX([1]Coefficients!$G$132:$BO$151,_xlfn.XMATCH($E54,[1]Coefficients!$B$132:$B$151),_xlfn.XMATCH(T$2,[1]Coefficients!$G$1:$BO$1))</f>
        <v/>
      </c>
      <c r="U54">
        <f t="array" ref="U54">INDEX([1]Coefficients!$G$132:$BO$151,_xlfn.XMATCH($E54,[1]Coefficients!$B$132:$B$151),_xlfn.XMATCH(U$2,[1]Coefficients!$G$1:$BO$1))</f>
        <v/>
      </c>
      <c r="V54">
        <f t="array" ref="V54">INDEX([1]Coefficients!$G$132:$BO$151,_xlfn.XMATCH($E54,[1]Coefficients!$B$132:$B$151),_xlfn.XMATCH(V$2,[1]Coefficients!$G$1:$BO$1))</f>
        <v/>
      </c>
      <c r="W54">
        <f t="array" ref="W54">INDEX([1]Coefficients!$G$132:$BO$151,_xlfn.XMATCH($E54,[1]Coefficients!$B$132:$B$151),_xlfn.XMATCH(W$2,[1]Coefficients!$G$1:$BO$1))</f>
        <v/>
      </c>
    </row>
    <row r="55">
      <c r="A55" t="inlineStr">
        <is>
          <t>CIMS.Generic Fuels.Fuel Oil</t>
        </is>
      </c>
      <c r="B55" t="inlineStr">
        <is>
          <t>Service</t>
        </is>
      </c>
      <c r="C55" t="inlineStr">
        <is>
          <t>CIMS</t>
        </is>
      </c>
      <c r="E55" t="inlineStr">
        <is>
          <t>Fuel Oil</t>
        </is>
      </c>
      <c r="G55" t="inlineStr">
        <is>
          <t>emissions</t>
        </is>
      </c>
      <c r="H55" t="inlineStr">
        <is>
          <t>CH4</t>
        </is>
      </c>
      <c r="I55" t="inlineStr">
        <is>
          <t>Combustion</t>
        </is>
      </c>
      <c r="K55" t="inlineStr">
        <is>
          <t>ECCC, NIR</t>
        </is>
      </c>
      <c r="L55" t="inlineStr">
        <is>
          <t>tCH4</t>
        </is>
      </c>
      <c r="M55">
        <f t="array" ref="M55">INDEX([1]Coefficients!$G$156:$BO$175,_xlfn.XMATCH($E55,[1]Coefficients!$B$132:$B$151),_xlfn.XMATCH(M$2,[1]Coefficients!$G$1:$BO$1))</f>
        <v/>
      </c>
      <c r="N55">
        <f t="array" ref="N55">INDEX([1]Coefficients!$G$156:$BO$175,_xlfn.XMATCH($E55,[1]Coefficients!$B$132:$B$151),_xlfn.XMATCH(N$2,[1]Coefficients!$G$1:$BO$1))</f>
        <v/>
      </c>
      <c r="O55">
        <f t="array" ref="O55">INDEX([1]Coefficients!$G$156:$BO$175,_xlfn.XMATCH($E55,[1]Coefficients!$B$132:$B$151),_xlfn.XMATCH(O$2,[1]Coefficients!$G$1:$BO$1))</f>
        <v/>
      </c>
      <c r="P55">
        <f t="array" ref="P55">INDEX([1]Coefficients!$G$156:$BO$175,_xlfn.XMATCH($E55,[1]Coefficients!$B$132:$B$151),_xlfn.XMATCH(P$2,[1]Coefficients!$G$1:$BO$1))</f>
        <v/>
      </c>
      <c r="Q55">
        <f t="array" ref="Q55">INDEX([1]Coefficients!$G$156:$BO$175,_xlfn.XMATCH($E55,[1]Coefficients!$B$132:$B$151),_xlfn.XMATCH(Q$2,[1]Coefficients!$G$1:$BO$1))</f>
        <v/>
      </c>
      <c r="R55">
        <f t="array" ref="R55">INDEX([1]Coefficients!$G$156:$BO$175,_xlfn.XMATCH($E55,[1]Coefficients!$B$132:$B$151),_xlfn.XMATCH(R$2,[1]Coefficients!$G$1:$BO$1))</f>
        <v/>
      </c>
      <c r="S55">
        <f t="array" ref="S55">INDEX([1]Coefficients!$G$156:$BO$175,_xlfn.XMATCH($E55,[1]Coefficients!$B$132:$B$151),_xlfn.XMATCH(S$2,[1]Coefficients!$G$1:$BO$1))</f>
        <v/>
      </c>
      <c r="T55">
        <f t="array" ref="T55">INDEX([1]Coefficients!$G$156:$BO$175,_xlfn.XMATCH($E55,[1]Coefficients!$B$132:$B$151),_xlfn.XMATCH(T$2,[1]Coefficients!$G$1:$BO$1))</f>
        <v/>
      </c>
      <c r="U55">
        <f t="array" ref="U55">INDEX([1]Coefficients!$G$156:$BO$175,_xlfn.XMATCH($E55,[1]Coefficients!$B$132:$B$151),_xlfn.XMATCH(U$2,[1]Coefficients!$G$1:$BO$1))</f>
        <v/>
      </c>
      <c r="V55">
        <f t="array" ref="V55">INDEX([1]Coefficients!$G$156:$BO$175,_xlfn.XMATCH($E55,[1]Coefficients!$B$132:$B$151),_xlfn.XMATCH(V$2,[1]Coefficients!$G$1:$BO$1))</f>
        <v/>
      </c>
      <c r="W55">
        <f t="array" ref="W55">INDEX([1]Coefficients!$G$156:$BO$175,_xlfn.XMATCH($E55,[1]Coefficients!$B$132:$B$151),_xlfn.XMATCH(W$2,[1]Coefficients!$G$1:$BO$1))</f>
        <v/>
      </c>
    </row>
    <row r="56">
      <c r="A56" t="inlineStr">
        <is>
          <t>CIMS.Generic Fuels.Fuel Oil</t>
        </is>
      </c>
      <c r="B56" t="inlineStr">
        <is>
          <t>Service</t>
        </is>
      </c>
      <c r="C56" t="inlineStr">
        <is>
          <t>CIMS</t>
        </is>
      </c>
      <c r="E56" t="inlineStr">
        <is>
          <t>Fuel Oil</t>
        </is>
      </c>
      <c r="G56" t="inlineStr">
        <is>
          <t>emissions</t>
        </is>
      </c>
      <c r="H56" t="inlineStr">
        <is>
          <t>N2O</t>
        </is>
      </c>
      <c r="I56" t="inlineStr">
        <is>
          <t>Combustion</t>
        </is>
      </c>
      <c r="K56" t="inlineStr">
        <is>
          <t>ECCC, NIR</t>
        </is>
      </c>
      <c r="L56" t="inlineStr">
        <is>
          <t>tN2O</t>
        </is>
      </c>
      <c r="M56">
        <f t="array" ref="M56">INDEX([1]Coefficients!$G$180:$BO$199,_xlfn.XMATCH($E56,[1]Coefficients!$B$132:$B$151),_xlfn.XMATCH(M$2,[1]Coefficients!$G$1:$BO$1))</f>
        <v/>
      </c>
      <c r="N56">
        <f t="array" ref="N56">INDEX([1]Coefficients!$G$180:$BO$199,_xlfn.XMATCH($E56,[1]Coefficients!$B$132:$B$151),_xlfn.XMATCH(N$2,[1]Coefficients!$G$1:$BO$1))</f>
        <v/>
      </c>
      <c r="O56">
        <f t="array" ref="O56">INDEX([1]Coefficients!$G$180:$BO$199,_xlfn.XMATCH($E56,[1]Coefficients!$B$132:$B$151),_xlfn.XMATCH(O$2,[1]Coefficients!$G$1:$BO$1))</f>
        <v/>
      </c>
      <c r="P56">
        <f t="array" ref="P56">INDEX([1]Coefficients!$G$180:$BO$199,_xlfn.XMATCH($E56,[1]Coefficients!$B$132:$B$151),_xlfn.XMATCH(P$2,[1]Coefficients!$G$1:$BO$1))</f>
        <v/>
      </c>
      <c r="Q56">
        <f t="array" ref="Q56">INDEX([1]Coefficients!$G$180:$BO$199,_xlfn.XMATCH($E56,[1]Coefficients!$B$132:$B$151),_xlfn.XMATCH(Q$2,[1]Coefficients!$G$1:$BO$1))</f>
        <v/>
      </c>
      <c r="R56">
        <f t="array" ref="R56">INDEX([1]Coefficients!$G$180:$BO$199,_xlfn.XMATCH($E56,[1]Coefficients!$B$132:$B$151),_xlfn.XMATCH(R$2,[1]Coefficients!$G$1:$BO$1))</f>
        <v/>
      </c>
      <c r="S56">
        <f t="array" ref="S56">INDEX([1]Coefficients!$G$180:$BO$199,_xlfn.XMATCH($E56,[1]Coefficients!$B$132:$B$151),_xlfn.XMATCH(S$2,[1]Coefficients!$G$1:$BO$1))</f>
        <v/>
      </c>
      <c r="T56">
        <f t="array" ref="T56">INDEX([1]Coefficients!$G$180:$BO$199,_xlfn.XMATCH($E56,[1]Coefficients!$B$132:$B$151),_xlfn.XMATCH(T$2,[1]Coefficients!$G$1:$BO$1))</f>
        <v/>
      </c>
      <c r="U56">
        <f t="array" ref="U56">INDEX([1]Coefficients!$G$180:$BO$199,_xlfn.XMATCH($E56,[1]Coefficients!$B$132:$B$151),_xlfn.XMATCH(U$2,[1]Coefficients!$G$1:$BO$1))</f>
        <v/>
      </c>
      <c r="V56">
        <f t="array" ref="V56">INDEX([1]Coefficients!$G$180:$BO$199,_xlfn.XMATCH($E56,[1]Coefficients!$B$132:$B$151),_xlfn.XMATCH(V$2,[1]Coefficients!$G$1:$BO$1))</f>
        <v/>
      </c>
      <c r="W56">
        <f t="array" ref="W56">INDEX([1]Coefficients!$G$180:$BO$199,_xlfn.XMATCH($E56,[1]Coefficients!$B$132:$B$151),_xlfn.XMATCH(W$2,[1]Coefficients!$G$1:$BO$1))</f>
        <v/>
      </c>
    </row>
    <row r="57">
      <c r="A57" t="inlineStr">
        <is>
          <t>CIMS.Generic Fuels.Gasoline</t>
        </is>
      </c>
      <c r="B57" t="inlineStr">
        <is>
          <t>Service</t>
        </is>
      </c>
      <c r="C57" t="inlineStr">
        <is>
          <t>CIMS</t>
        </is>
      </c>
      <c r="E57" t="inlineStr">
        <is>
          <t>Gasoline</t>
        </is>
      </c>
      <c r="G57" t="inlineStr">
        <is>
          <t>service_provide</t>
        </is>
      </c>
      <c r="L57" t="inlineStr">
        <is>
          <t>GJ</t>
        </is>
      </c>
    </row>
    <row r="58">
      <c r="A58" t="inlineStr">
        <is>
          <t>CIMS.Generic Fuels.Gasoline</t>
        </is>
      </c>
      <c r="B58" t="inlineStr">
        <is>
          <t>Service</t>
        </is>
      </c>
      <c r="C58" t="inlineStr">
        <is>
          <t>CIMS</t>
        </is>
      </c>
      <c r="E58" t="inlineStr">
        <is>
          <t>Gasoline</t>
        </is>
      </c>
      <c r="G58" t="inlineStr">
        <is>
          <t>competition</t>
        </is>
      </c>
      <c r="H58" t="inlineStr">
        <is>
          <t>Supply - Fixed Price</t>
        </is>
      </c>
    </row>
    <row r="59">
      <c r="A59" t="inlineStr">
        <is>
          <t>CIMS.Generic Fuels.Gasoline</t>
        </is>
      </c>
      <c r="B59" t="inlineStr">
        <is>
          <t>Service</t>
        </is>
      </c>
      <c r="C59" t="inlineStr">
        <is>
          <t>CIMS</t>
        </is>
      </c>
      <c r="E59" t="inlineStr">
        <is>
          <t>Gasoline</t>
        </is>
      </c>
      <c r="G59" t="inlineStr">
        <is>
          <t>is_supply</t>
        </is>
      </c>
      <c r="H59" t="b">
        <v>1</v>
      </c>
    </row>
    <row r="60">
      <c r="A60" t="inlineStr">
        <is>
          <t>CIMS.Generic Fuels.Gasoline</t>
        </is>
      </c>
      <c r="B60" t="inlineStr">
        <is>
          <t>Service</t>
        </is>
      </c>
      <c r="C60" t="inlineStr">
        <is>
          <t>CIMS</t>
        </is>
      </c>
      <c r="E60" t="inlineStr">
        <is>
          <t>Gasoline</t>
        </is>
      </c>
      <c r="G60" t="inlineStr">
        <is>
          <t>lcc_financial</t>
        </is>
      </c>
      <c r="K60" t="inlineStr">
        <is>
          <t>CER</t>
        </is>
      </c>
      <c r="L60" t="inlineStr">
        <is>
          <t>$/GJ</t>
        </is>
      </c>
      <c r="M60">
        <f t="array" ref="M60">ROUND(INDEX([1]!CER_prices,_xlfn.XMATCH("CAN"&amp;"Transportation"&amp;$A60,[1]!CER_prices_index),_xlfn.XMATCH(M$2,[1]!CER_year)),2)</f>
        <v/>
      </c>
      <c r="N60">
        <f t="array" ref="N60">ROUND(INDEX([1]!CER_prices,_xlfn.XMATCH("CAN"&amp;"Transportation"&amp;$A60,[1]!CER_prices_index),_xlfn.XMATCH(N$2,[1]!CER_year)),2)</f>
        <v/>
      </c>
      <c r="O60">
        <f t="array" ref="O60">ROUND(INDEX([1]!CER_prices,_xlfn.XMATCH("CAN"&amp;"Transportation"&amp;$A60,[1]!CER_prices_index),_xlfn.XMATCH(O$2,[1]!CER_year)),2)</f>
        <v/>
      </c>
      <c r="P60">
        <f t="array" ref="P60">ROUND(INDEX([1]!CER_prices,_xlfn.XMATCH("CAN"&amp;"Transportation"&amp;$A60,[1]!CER_prices_index),_xlfn.XMATCH(P$2,[1]!CER_year)),2)</f>
        <v/>
      </c>
      <c r="Q60">
        <f t="array" ref="Q60">ROUND(INDEX([1]!CER_prices,_xlfn.XMATCH("CAN"&amp;"Transportation"&amp;$A60,[1]!CER_prices_index),_xlfn.XMATCH(Q$2,[1]!CER_year)),2)</f>
        <v/>
      </c>
      <c r="R60">
        <f t="array" ref="R60">ROUND(INDEX([1]!CER_prices,_xlfn.XMATCH("CAN"&amp;"Transportation"&amp;$A60,[1]!CER_prices_index),_xlfn.XMATCH(R$2,[1]!CER_year)),2)</f>
        <v/>
      </c>
      <c r="S60">
        <f t="array" ref="S60">ROUND(INDEX([1]!CER_prices,_xlfn.XMATCH("CAN"&amp;"Transportation"&amp;$A60,[1]!CER_prices_index),_xlfn.XMATCH(S$2,[1]!CER_year)),2)</f>
        <v/>
      </c>
      <c r="T60">
        <f t="array" ref="T60">ROUND(INDEX([1]!CER_prices,_xlfn.XMATCH("CAN"&amp;"Transportation"&amp;$A60,[1]!CER_prices_index),_xlfn.XMATCH(T$2,[1]!CER_year)),2)</f>
        <v/>
      </c>
      <c r="U60">
        <f t="array" ref="U60">ROUND(INDEX([1]!CER_prices,_xlfn.XMATCH("CAN"&amp;"Transportation"&amp;$A60,[1]!CER_prices_index),_xlfn.XMATCH(U$2,[1]!CER_year)),2)</f>
        <v/>
      </c>
      <c r="V60">
        <f t="array" ref="V60">ROUND(INDEX([1]!CER_prices,_xlfn.XMATCH("CAN"&amp;"Transportation"&amp;$A60,[1]!CER_prices_index),_xlfn.XMATCH(V$2,[1]!CER_year)),2)</f>
        <v/>
      </c>
      <c r="W60">
        <f t="array" ref="W60">ROUND(INDEX([1]!CER_prices,_xlfn.XMATCH("CAN"&amp;"Transportation"&amp;$A60,[1]!CER_prices_index),_xlfn.XMATCH(W$2,[1]!CER_year)),2)</f>
        <v/>
      </c>
      <c r="X60" t="inlineStr">
        <is>
          <t>CER forecast - CAN transportation</t>
        </is>
      </c>
    </row>
    <row r="61">
      <c r="A61" t="inlineStr">
        <is>
          <t>CIMS.Generic Fuels.Gasoline</t>
        </is>
      </c>
      <c r="B61" t="inlineStr">
        <is>
          <t>Service</t>
        </is>
      </c>
      <c r="C61" t="inlineStr">
        <is>
          <t>CIMS</t>
        </is>
      </c>
      <c r="E61" t="inlineStr">
        <is>
          <t>Gasoline</t>
        </is>
      </c>
      <c r="G61" t="inlineStr">
        <is>
          <t>emissions</t>
        </is>
      </c>
      <c r="H61" t="inlineStr">
        <is>
          <t>CO2</t>
        </is>
      </c>
      <c r="I61" t="inlineStr">
        <is>
          <t>Combustion</t>
        </is>
      </c>
      <c r="K61" t="inlineStr">
        <is>
          <t>ECCC, NIR</t>
        </is>
      </c>
      <c r="L61" t="inlineStr">
        <is>
          <t>tCO2</t>
        </is>
      </c>
      <c r="M61">
        <f t="array" ref="M61">INDEX([1]Coefficients!$G$132:$BO$151,_xlfn.XMATCH($E61,[1]Coefficients!$B$132:$B$151),_xlfn.XMATCH(M$2,[1]Coefficients!$G$1:$BO$1))</f>
        <v/>
      </c>
      <c r="N61">
        <f t="array" ref="N61">INDEX([1]Coefficients!$G$132:$BO$151,_xlfn.XMATCH($E61,[1]Coefficients!$B$132:$B$151),_xlfn.XMATCH(N$2,[1]Coefficients!$G$1:$BO$1))</f>
        <v/>
      </c>
      <c r="O61">
        <f t="array" ref="O61">INDEX([1]Coefficients!$G$132:$BO$151,_xlfn.XMATCH($E61,[1]Coefficients!$B$132:$B$151),_xlfn.XMATCH(O$2,[1]Coefficients!$G$1:$BO$1))</f>
        <v/>
      </c>
      <c r="P61">
        <f t="array" ref="P61">INDEX([1]Coefficients!$G$132:$BO$151,_xlfn.XMATCH($E61,[1]Coefficients!$B$132:$B$151),_xlfn.XMATCH(P$2,[1]Coefficients!$G$1:$BO$1))</f>
        <v/>
      </c>
      <c r="Q61">
        <f t="array" ref="Q61">INDEX([1]Coefficients!$G$132:$BO$151,_xlfn.XMATCH($E61,[1]Coefficients!$B$132:$B$151),_xlfn.XMATCH(Q$2,[1]Coefficients!$G$1:$BO$1))</f>
        <v/>
      </c>
      <c r="R61">
        <f t="array" ref="R61">INDEX([1]Coefficients!$G$132:$BO$151,_xlfn.XMATCH($E61,[1]Coefficients!$B$132:$B$151),_xlfn.XMATCH(R$2,[1]Coefficients!$G$1:$BO$1))</f>
        <v/>
      </c>
      <c r="S61">
        <f t="array" ref="S61">INDEX([1]Coefficients!$G$132:$BO$151,_xlfn.XMATCH($E61,[1]Coefficients!$B$132:$B$151),_xlfn.XMATCH(S$2,[1]Coefficients!$G$1:$BO$1))</f>
        <v/>
      </c>
      <c r="T61">
        <f t="array" ref="T61">INDEX([1]Coefficients!$G$132:$BO$151,_xlfn.XMATCH($E61,[1]Coefficients!$B$132:$B$151),_xlfn.XMATCH(T$2,[1]Coefficients!$G$1:$BO$1))</f>
        <v/>
      </c>
      <c r="U61">
        <f t="array" ref="U61">INDEX([1]Coefficients!$G$132:$BO$151,_xlfn.XMATCH($E61,[1]Coefficients!$B$132:$B$151),_xlfn.XMATCH(U$2,[1]Coefficients!$G$1:$BO$1))</f>
        <v/>
      </c>
      <c r="V61">
        <f t="array" ref="V61">INDEX([1]Coefficients!$G$132:$BO$151,_xlfn.XMATCH($E61,[1]Coefficients!$B$132:$B$151),_xlfn.XMATCH(V$2,[1]Coefficients!$G$1:$BO$1))</f>
        <v/>
      </c>
      <c r="W61">
        <f t="array" ref="W61">INDEX([1]Coefficients!$G$132:$BO$151,_xlfn.XMATCH($E61,[1]Coefficients!$B$132:$B$151),_xlfn.XMATCH(W$2,[1]Coefficients!$G$1:$BO$1))</f>
        <v/>
      </c>
    </row>
    <row r="62">
      <c r="A62" t="inlineStr">
        <is>
          <t>CIMS.Generic Fuels.Gasoline</t>
        </is>
      </c>
      <c r="B62" t="inlineStr">
        <is>
          <t>Service</t>
        </is>
      </c>
      <c r="C62" t="inlineStr">
        <is>
          <t>CIMS</t>
        </is>
      </c>
      <c r="E62" t="inlineStr">
        <is>
          <t>Gasoline</t>
        </is>
      </c>
      <c r="G62" t="inlineStr">
        <is>
          <t>emissions</t>
        </is>
      </c>
      <c r="H62" t="inlineStr">
        <is>
          <t>CH4</t>
        </is>
      </c>
      <c r="I62" t="inlineStr">
        <is>
          <t>Combustion</t>
        </is>
      </c>
      <c r="K62" t="inlineStr">
        <is>
          <t>ECCC, NIR</t>
        </is>
      </c>
      <c r="L62" t="inlineStr">
        <is>
          <t>tCH4</t>
        </is>
      </c>
      <c r="M62">
        <f t="array" ref="M62">INDEX([1]Coefficients!$G$156:$BO$175,_xlfn.XMATCH($E62,[1]Coefficients!$B$132:$B$151),_xlfn.XMATCH(M$2,[1]Coefficients!$G$1:$BO$1))</f>
        <v/>
      </c>
      <c r="N62">
        <f t="array" ref="N62">INDEX([1]Coefficients!$G$156:$BO$175,_xlfn.XMATCH($E62,[1]Coefficients!$B$132:$B$151),_xlfn.XMATCH(N$2,[1]Coefficients!$G$1:$BO$1))</f>
        <v/>
      </c>
      <c r="O62">
        <f t="array" ref="O62">INDEX([1]Coefficients!$G$156:$BO$175,_xlfn.XMATCH($E62,[1]Coefficients!$B$132:$B$151),_xlfn.XMATCH(O$2,[1]Coefficients!$G$1:$BO$1))</f>
        <v/>
      </c>
      <c r="P62">
        <f t="array" ref="P62">INDEX([1]Coefficients!$G$156:$BO$175,_xlfn.XMATCH($E62,[1]Coefficients!$B$132:$B$151),_xlfn.XMATCH(P$2,[1]Coefficients!$G$1:$BO$1))</f>
        <v/>
      </c>
      <c r="Q62">
        <f t="array" ref="Q62">INDEX([1]Coefficients!$G$156:$BO$175,_xlfn.XMATCH($E62,[1]Coefficients!$B$132:$B$151),_xlfn.XMATCH(Q$2,[1]Coefficients!$G$1:$BO$1))</f>
        <v/>
      </c>
      <c r="R62">
        <f t="array" ref="R62">INDEX([1]Coefficients!$G$156:$BO$175,_xlfn.XMATCH($E62,[1]Coefficients!$B$132:$B$151),_xlfn.XMATCH(R$2,[1]Coefficients!$G$1:$BO$1))</f>
        <v/>
      </c>
      <c r="S62">
        <f t="array" ref="S62">INDEX([1]Coefficients!$G$156:$BO$175,_xlfn.XMATCH($E62,[1]Coefficients!$B$132:$B$151),_xlfn.XMATCH(S$2,[1]Coefficients!$G$1:$BO$1))</f>
        <v/>
      </c>
      <c r="T62">
        <f t="array" ref="T62">INDEX([1]Coefficients!$G$156:$BO$175,_xlfn.XMATCH($E62,[1]Coefficients!$B$132:$B$151),_xlfn.XMATCH(T$2,[1]Coefficients!$G$1:$BO$1))</f>
        <v/>
      </c>
      <c r="U62">
        <f t="array" ref="U62">INDEX([1]Coefficients!$G$156:$BO$175,_xlfn.XMATCH($E62,[1]Coefficients!$B$132:$B$151),_xlfn.XMATCH(U$2,[1]Coefficients!$G$1:$BO$1))</f>
        <v/>
      </c>
      <c r="V62">
        <f t="array" ref="V62">INDEX([1]Coefficients!$G$156:$BO$175,_xlfn.XMATCH($E62,[1]Coefficients!$B$132:$B$151),_xlfn.XMATCH(V$2,[1]Coefficients!$G$1:$BO$1))</f>
        <v/>
      </c>
      <c r="W62">
        <f t="array" ref="W62">INDEX([1]Coefficients!$G$156:$BO$175,_xlfn.XMATCH($E62,[1]Coefficients!$B$132:$B$151),_xlfn.XMATCH(W$2,[1]Coefficients!$G$1:$BO$1))</f>
        <v/>
      </c>
    </row>
    <row r="63">
      <c r="A63" t="inlineStr">
        <is>
          <t>CIMS.Generic Fuels.Gasoline</t>
        </is>
      </c>
      <c r="B63" t="inlineStr">
        <is>
          <t>Service</t>
        </is>
      </c>
      <c r="C63" t="inlineStr">
        <is>
          <t>CIMS</t>
        </is>
      </c>
      <c r="E63" t="inlineStr">
        <is>
          <t>Gasoline</t>
        </is>
      </c>
      <c r="G63" t="inlineStr">
        <is>
          <t>emissions</t>
        </is>
      </c>
      <c r="H63" t="inlineStr">
        <is>
          <t>N2O</t>
        </is>
      </c>
      <c r="I63" t="inlineStr">
        <is>
          <t>Combustion</t>
        </is>
      </c>
      <c r="K63" t="inlineStr">
        <is>
          <t>ECCC, NIR</t>
        </is>
      </c>
      <c r="L63" t="inlineStr">
        <is>
          <t>tN2O</t>
        </is>
      </c>
      <c r="M63">
        <f t="array" ref="M63">INDEX([1]Coefficients!$G$180:$BO$199,_xlfn.XMATCH($E63,[1]Coefficients!$B$132:$B$151),_xlfn.XMATCH(M$2,[1]Coefficients!$G$1:$BO$1))</f>
        <v/>
      </c>
      <c r="N63">
        <f t="array" ref="N63">INDEX([1]Coefficients!$G$180:$BO$199,_xlfn.XMATCH($E63,[1]Coefficients!$B$132:$B$151),_xlfn.XMATCH(N$2,[1]Coefficients!$G$1:$BO$1))</f>
        <v/>
      </c>
      <c r="O63">
        <f t="array" ref="O63">INDEX([1]Coefficients!$G$180:$BO$199,_xlfn.XMATCH($E63,[1]Coefficients!$B$132:$B$151),_xlfn.XMATCH(O$2,[1]Coefficients!$G$1:$BO$1))</f>
        <v/>
      </c>
      <c r="P63">
        <f t="array" ref="P63">INDEX([1]Coefficients!$G$180:$BO$199,_xlfn.XMATCH($E63,[1]Coefficients!$B$132:$B$151),_xlfn.XMATCH(P$2,[1]Coefficients!$G$1:$BO$1))</f>
        <v/>
      </c>
      <c r="Q63">
        <f t="array" ref="Q63">INDEX([1]Coefficients!$G$180:$BO$199,_xlfn.XMATCH($E63,[1]Coefficients!$B$132:$B$151),_xlfn.XMATCH(Q$2,[1]Coefficients!$G$1:$BO$1))</f>
        <v/>
      </c>
      <c r="R63">
        <f t="array" ref="R63">INDEX([1]Coefficients!$G$180:$BO$199,_xlfn.XMATCH($E63,[1]Coefficients!$B$132:$B$151),_xlfn.XMATCH(R$2,[1]Coefficients!$G$1:$BO$1))</f>
        <v/>
      </c>
      <c r="S63">
        <f t="array" ref="S63">INDEX([1]Coefficients!$G$180:$BO$199,_xlfn.XMATCH($E63,[1]Coefficients!$B$132:$B$151),_xlfn.XMATCH(S$2,[1]Coefficients!$G$1:$BO$1))</f>
        <v/>
      </c>
      <c r="T63">
        <f t="array" ref="T63">INDEX([1]Coefficients!$G$180:$BO$199,_xlfn.XMATCH($E63,[1]Coefficients!$B$132:$B$151),_xlfn.XMATCH(T$2,[1]Coefficients!$G$1:$BO$1))</f>
        <v/>
      </c>
      <c r="U63">
        <f t="array" ref="U63">INDEX([1]Coefficients!$G$180:$BO$199,_xlfn.XMATCH($E63,[1]Coefficients!$B$132:$B$151),_xlfn.XMATCH(U$2,[1]Coefficients!$G$1:$BO$1))</f>
        <v/>
      </c>
      <c r="V63">
        <f t="array" ref="V63">INDEX([1]Coefficients!$G$180:$BO$199,_xlfn.XMATCH($E63,[1]Coefficients!$B$132:$B$151),_xlfn.XMATCH(V$2,[1]Coefficients!$G$1:$BO$1))</f>
        <v/>
      </c>
      <c r="W63">
        <f t="array" ref="W63">INDEX([1]Coefficients!$G$180:$BO$199,_xlfn.XMATCH($E63,[1]Coefficients!$B$132:$B$151),_xlfn.XMATCH(W$2,[1]Coefficients!$G$1:$BO$1))</f>
        <v/>
      </c>
    </row>
    <row r="64">
      <c r="A64" t="inlineStr">
        <is>
          <t>CIMS.Generic Fuels.Jet Fuel</t>
        </is>
      </c>
      <c r="B64" t="inlineStr">
        <is>
          <t>Service</t>
        </is>
      </c>
      <c r="C64" t="inlineStr">
        <is>
          <t>CIMS</t>
        </is>
      </c>
      <c r="E64" t="inlineStr">
        <is>
          <t>Jet Fuel</t>
        </is>
      </c>
      <c r="G64" t="inlineStr">
        <is>
          <t>service_provide</t>
        </is>
      </c>
      <c r="L64" t="inlineStr">
        <is>
          <t>GJ</t>
        </is>
      </c>
    </row>
    <row r="65">
      <c r="A65" t="inlineStr">
        <is>
          <t>CIMS.Generic Fuels.Jet Fuel</t>
        </is>
      </c>
      <c r="B65" t="inlineStr">
        <is>
          <t>Service</t>
        </is>
      </c>
      <c r="C65" t="inlineStr">
        <is>
          <t>CIMS</t>
        </is>
      </c>
      <c r="E65" t="inlineStr">
        <is>
          <t>Jet Fuel</t>
        </is>
      </c>
      <c r="G65" t="inlineStr">
        <is>
          <t>competition</t>
        </is>
      </c>
      <c r="H65" t="inlineStr">
        <is>
          <t>Supply - Fixed Price</t>
        </is>
      </c>
    </row>
    <row r="66">
      <c r="A66" t="inlineStr">
        <is>
          <t>CIMS.Generic Fuels.Jet Fuel</t>
        </is>
      </c>
      <c r="B66" t="inlineStr">
        <is>
          <t>Service</t>
        </is>
      </c>
      <c r="C66" t="inlineStr">
        <is>
          <t>CIMS</t>
        </is>
      </c>
      <c r="E66" t="inlineStr">
        <is>
          <t>Jet Fuel</t>
        </is>
      </c>
      <c r="G66" t="inlineStr">
        <is>
          <t>is_supply</t>
        </is>
      </c>
      <c r="H66" t="b">
        <v>1</v>
      </c>
    </row>
    <row r="67">
      <c r="A67" t="inlineStr">
        <is>
          <t>CIMS.Generic Fuels.Jet Fuel</t>
        </is>
      </c>
      <c r="B67" t="inlineStr">
        <is>
          <t>Service</t>
        </is>
      </c>
      <c r="C67" t="inlineStr">
        <is>
          <t>CIMS</t>
        </is>
      </c>
      <c r="E67" t="inlineStr">
        <is>
          <t>Jet Fuel</t>
        </is>
      </c>
      <c r="G67" t="inlineStr">
        <is>
          <t>lcc_financial</t>
        </is>
      </c>
      <c r="K67" t="inlineStr">
        <is>
          <t>JCIMS</t>
        </is>
      </c>
      <c r="L67" t="inlineStr">
        <is>
          <t>$/GJ</t>
        </is>
      </c>
      <c r="M67">
        <f t="array" ref="M67">INDEX([1]!JCIMS_prices,_xlfn.XMATCH($E67,[1]!JCIMS_prices_index),_xlfn.XMATCH(M$2,[1]!CER_year))*[1]!JCIMS_price_inflator</f>
        <v/>
      </c>
      <c r="N67">
        <f t="array" ref="N67">INDEX([1]!JCIMS_prices,_xlfn.XMATCH($E67,[1]!JCIMS_prices_index),_xlfn.XMATCH(N$2,[1]!CER_year))*[1]!JCIMS_price_inflator</f>
        <v/>
      </c>
      <c r="O67">
        <f t="array" ref="O67">INDEX([1]!JCIMS_prices,_xlfn.XMATCH($E67,[1]!JCIMS_prices_index),_xlfn.XMATCH(O$2,[1]!CER_year))*[1]!JCIMS_price_inflator</f>
        <v/>
      </c>
      <c r="P67">
        <f t="array" ref="P67">INDEX([1]!JCIMS_prices,_xlfn.XMATCH($E67,[1]!JCIMS_prices_index),_xlfn.XMATCH(P$2,[1]!CER_year))*[1]!JCIMS_price_inflator</f>
        <v/>
      </c>
      <c r="Q67">
        <f t="array" ref="Q67">INDEX([1]!JCIMS_prices,_xlfn.XMATCH($E67,[1]!JCIMS_prices_index),_xlfn.XMATCH(Q$2,[1]!CER_year))*[1]!JCIMS_price_inflator</f>
        <v/>
      </c>
      <c r="R67">
        <f t="array" ref="R67">INDEX([1]!JCIMS_prices,_xlfn.XMATCH($E67,[1]!JCIMS_prices_index),_xlfn.XMATCH(R$2,[1]!CER_year))*[1]!JCIMS_price_inflator</f>
        <v/>
      </c>
      <c r="S67">
        <f t="array" ref="S67">INDEX([1]!JCIMS_prices,_xlfn.XMATCH($E67,[1]!JCIMS_prices_index),_xlfn.XMATCH(S$2,[1]!CER_year))*[1]!JCIMS_price_inflator</f>
        <v/>
      </c>
      <c r="T67">
        <f t="array" ref="T67">INDEX([1]!JCIMS_prices,_xlfn.XMATCH($E67,[1]!JCIMS_prices_index),_xlfn.XMATCH(T$2,[1]!CER_year))*[1]!JCIMS_price_inflator</f>
        <v/>
      </c>
      <c r="U67">
        <f t="array" ref="U67">INDEX([1]!JCIMS_prices,_xlfn.XMATCH($E67,[1]!JCIMS_prices_index),_xlfn.XMATCH(U$2,[1]!CER_year))*[1]!JCIMS_price_inflator</f>
        <v/>
      </c>
      <c r="V67">
        <f t="array" ref="V67">INDEX([1]!JCIMS_prices,_xlfn.XMATCH($E67,[1]!JCIMS_prices_index),_xlfn.XMATCH(V$2,[1]!CER_year))*[1]!JCIMS_price_inflator</f>
        <v/>
      </c>
      <c r="W67">
        <f t="array" ref="W67">INDEX([1]!JCIMS_prices,_xlfn.XMATCH($E67,[1]!JCIMS_prices_index),_xlfn.XMATCH(W$2,[1]!CER_year))*[1]!JCIMS_price_inflator</f>
        <v/>
      </c>
      <c r="X67" t="inlineStr">
        <is>
          <t>Cost in transportation freight - ON</t>
        </is>
      </c>
    </row>
    <row r="68">
      <c r="A68" t="inlineStr">
        <is>
          <t>CIMS.Generic Fuels.Jet Fuel</t>
        </is>
      </c>
      <c r="B68" t="inlineStr">
        <is>
          <t>Service</t>
        </is>
      </c>
      <c r="C68" t="inlineStr">
        <is>
          <t>CIMS</t>
        </is>
      </c>
      <c r="E68" t="inlineStr">
        <is>
          <t>Jet Fuel</t>
        </is>
      </c>
      <c r="G68" t="inlineStr">
        <is>
          <t>emissions</t>
        </is>
      </c>
      <c r="H68" t="inlineStr">
        <is>
          <t>CO2</t>
        </is>
      </c>
      <c r="I68" t="inlineStr">
        <is>
          <t>Combustion</t>
        </is>
      </c>
      <c r="K68" t="inlineStr">
        <is>
          <t>ECCC, NIR</t>
        </is>
      </c>
      <c r="L68" t="inlineStr">
        <is>
          <t>tCO2</t>
        </is>
      </c>
      <c r="M68">
        <f t="array" ref="M68">INDEX([1]Coefficients!$G$132:$BO$151,_xlfn.XMATCH($E68,[1]Coefficients!$B$132:$B$151),_xlfn.XMATCH(M$2,[1]Coefficients!$G$1:$BO$1))</f>
        <v/>
      </c>
      <c r="N68">
        <f t="array" ref="N68">INDEX([1]Coefficients!$G$132:$BO$151,_xlfn.XMATCH($E68,[1]Coefficients!$B$132:$B$151),_xlfn.XMATCH(N$2,[1]Coefficients!$G$1:$BO$1))</f>
        <v/>
      </c>
      <c r="O68">
        <f t="array" ref="O68">INDEX([1]Coefficients!$G$132:$BO$151,_xlfn.XMATCH($E68,[1]Coefficients!$B$132:$B$151),_xlfn.XMATCH(O$2,[1]Coefficients!$G$1:$BO$1))</f>
        <v/>
      </c>
      <c r="P68">
        <f t="array" ref="P68">INDEX([1]Coefficients!$G$132:$BO$151,_xlfn.XMATCH($E68,[1]Coefficients!$B$132:$B$151),_xlfn.XMATCH(P$2,[1]Coefficients!$G$1:$BO$1))</f>
        <v/>
      </c>
      <c r="Q68">
        <f t="array" ref="Q68">INDEX([1]Coefficients!$G$132:$BO$151,_xlfn.XMATCH($E68,[1]Coefficients!$B$132:$B$151),_xlfn.XMATCH(Q$2,[1]Coefficients!$G$1:$BO$1))</f>
        <v/>
      </c>
      <c r="R68">
        <f t="array" ref="R68">INDEX([1]Coefficients!$G$132:$BO$151,_xlfn.XMATCH($E68,[1]Coefficients!$B$132:$B$151),_xlfn.XMATCH(R$2,[1]Coefficients!$G$1:$BO$1))</f>
        <v/>
      </c>
      <c r="S68">
        <f t="array" ref="S68">INDEX([1]Coefficients!$G$132:$BO$151,_xlfn.XMATCH($E68,[1]Coefficients!$B$132:$B$151),_xlfn.XMATCH(S$2,[1]Coefficients!$G$1:$BO$1))</f>
        <v/>
      </c>
      <c r="T68">
        <f t="array" ref="T68">INDEX([1]Coefficients!$G$132:$BO$151,_xlfn.XMATCH($E68,[1]Coefficients!$B$132:$B$151),_xlfn.XMATCH(T$2,[1]Coefficients!$G$1:$BO$1))</f>
        <v/>
      </c>
      <c r="U68">
        <f t="array" ref="U68">INDEX([1]Coefficients!$G$132:$BO$151,_xlfn.XMATCH($E68,[1]Coefficients!$B$132:$B$151),_xlfn.XMATCH(U$2,[1]Coefficients!$G$1:$BO$1))</f>
        <v/>
      </c>
      <c r="V68">
        <f t="array" ref="V68">INDEX([1]Coefficients!$G$132:$BO$151,_xlfn.XMATCH($E68,[1]Coefficients!$B$132:$B$151),_xlfn.XMATCH(V$2,[1]Coefficients!$G$1:$BO$1))</f>
        <v/>
      </c>
      <c r="W68">
        <f t="array" ref="W68">INDEX([1]Coefficients!$G$132:$BO$151,_xlfn.XMATCH($E68,[1]Coefficients!$B$132:$B$151),_xlfn.XMATCH(W$2,[1]Coefficients!$G$1:$BO$1))</f>
        <v/>
      </c>
    </row>
    <row r="69">
      <c r="A69" t="inlineStr">
        <is>
          <t>CIMS.Generic Fuels.Jet Fuel</t>
        </is>
      </c>
      <c r="B69" t="inlineStr">
        <is>
          <t>Service</t>
        </is>
      </c>
      <c r="C69" t="inlineStr">
        <is>
          <t>CIMS</t>
        </is>
      </c>
      <c r="E69" t="inlineStr">
        <is>
          <t>Jet Fuel</t>
        </is>
      </c>
      <c r="G69" t="inlineStr">
        <is>
          <t>emissions</t>
        </is>
      </c>
      <c r="H69" t="inlineStr">
        <is>
          <t>CH4</t>
        </is>
      </c>
      <c r="I69" t="inlineStr">
        <is>
          <t>Combustion</t>
        </is>
      </c>
      <c r="K69" t="inlineStr">
        <is>
          <t>ECCC, NIR</t>
        </is>
      </c>
      <c r="L69" t="inlineStr">
        <is>
          <t>tCH4</t>
        </is>
      </c>
      <c r="M69">
        <f t="array" ref="M69">INDEX([1]Coefficients!$G$156:$BO$175,_xlfn.XMATCH($E69,[1]Coefficients!$B$132:$B$151),_xlfn.XMATCH(M$2,[1]Coefficients!$G$1:$BO$1))</f>
        <v/>
      </c>
      <c r="N69">
        <f t="array" ref="N69">INDEX([1]Coefficients!$G$156:$BO$175,_xlfn.XMATCH($E69,[1]Coefficients!$B$132:$B$151),_xlfn.XMATCH(N$2,[1]Coefficients!$G$1:$BO$1))</f>
        <v/>
      </c>
      <c r="O69">
        <f t="array" ref="O69">INDEX([1]Coefficients!$G$156:$BO$175,_xlfn.XMATCH($E69,[1]Coefficients!$B$132:$B$151),_xlfn.XMATCH(O$2,[1]Coefficients!$G$1:$BO$1))</f>
        <v/>
      </c>
      <c r="P69">
        <f t="array" ref="P69">INDEX([1]Coefficients!$G$156:$BO$175,_xlfn.XMATCH($E69,[1]Coefficients!$B$132:$B$151),_xlfn.XMATCH(P$2,[1]Coefficients!$G$1:$BO$1))</f>
        <v/>
      </c>
      <c r="Q69">
        <f t="array" ref="Q69">INDEX([1]Coefficients!$G$156:$BO$175,_xlfn.XMATCH($E69,[1]Coefficients!$B$132:$B$151),_xlfn.XMATCH(Q$2,[1]Coefficients!$G$1:$BO$1))</f>
        <v/>
      </c>
      <c r="R69">
        <f t="array" ref="R69">INDEX([1]Coefficients!$G$156:$BO$175,_xlfn.XMATCH($E69,[1]Coefficients!$B$132:$B$151),_xlfn.XMATCH(R$2,[1]Coefficients!$G$1:$BO$1))</f>
        <v/>
      </c>
      <c r="S69">
        <f t="array" ref="S69">INDEX([1]Coefficients!$G$156:$BO$175,_xlfn.XMATCH($E69,[1]Coefficients!$B$132:$B$151),_xlfn.XMATCH(S$2,[1]Coefficients!$G$1:$BO$1))</f>
        <v/>
      </c>
      <c r="T69">
        <f t="array" ref="T69">INDEX([1]Coefficients!$G$156:$BO$175,_xlfn.XMATCH($E69,[1]Coefficients!$B$132:$B$151),_xlfn.XMATCH(T$2,[1]Coefficients!$G$1:$BO$1))</f>
        <v/>
      </c>
      <c r="U69">
        <f t="array" ref="U69">INDEX([1]Coefficients!$G$156:$BO$175,_xlfn.XMATCH($E69,[1]Coefficients!$B$132:$B$151),_xlfn.XMATCH(U$2,[1]Coefficients!$G$1:$BO$1))</f>
        <v/>
      </c>
      <c r="V69">
        <f t="array" ref="V69">INDEX([1]Coefficients!$G$156:$BO$175,_xlfn.XMATCH($E69,[1]Coefficients!$B$132:$B$151),_xlfn.XMATCH(V$2,[1]Coefficients!$G$1:$BO$1))</f>
        <v/>
      </c>
      <c r="W69">
        <f t="array" ref="W69">INDEX([1]Coefficients!$G$156:$BO$175,_xlfn.XMATCH($E69,[1]Coefficients!$B$132:$B$151),_xlfn.XMATCH(W$2,[1]Coefficients!$G$1:$BO$1))</f>
        <v/>
      </c>
    </row>
    <row r="70">
      <c r="A70" t="inlineStr">
        <is>
          <t>CIMS.Generic Fuels.Jet Fuel</t>
        </is>
      </c>
      <c r="B70" t="inlineStr">
        <is>
          <t>Service</t>
        </is>
      </c>
      <c r="C70" t="inlineStr">
        <is>
          <t>CIMS</t>
        </is>
      </c>
      <c r="E70" t="inlineStr">
        <is>
          <t>Jet Fuel</t>
        </is>
      </c>
      <c r="G70" t="inlineStr">
        <is>
          <t>emissions</t>
        </is>
      </c>
      <c r="H70" t="inlineStr">
        <is>
          <t>N2O</t>
        </is>
      </c>
      <c r="I70" t="inlineStr">
        <is>
          <t>Combustion</t>
        </is>
      </c>
      <c r="K70" t="inlineStr">
        <is>
          <t>ECCC, NIR</t>
        </is>
      </c>
      <c r="L70" t="inlineStr">
        <is>
          <t>tN2O</t>
        </is>
      </c>
      <c r="M70">
        <f t="array" ref="M70">INDEX([1]Coefficients!$G$180:$BO$199,_xlfn.XMATCH($E70,[1]Coefficients!$B$132:$B$151),_xlfn.XMATCH(M$2,[1]Coefficients!$G$1:$BO$1))</f>
        <v/>
      </c>
      <c r="N70">
        <f t="array" ref="N70">INDEX([1]Coefficients!$G$180:$BO$199,_xlfn.XMATCH($E70,[1]Coefficients!$B$132:$B$151),_xlfn.XMATCH(N$2,[1]Coefficients!$G$1:$BO$1))</f>
        <v/>
      </c>
      <c r="O70">
        <f t="array" ref="O70">INDEX([1]Coefficients!$G$180:$BO$199,_xlfn.XMATCH($E70,[1]Coefficients!$B$132:$B$151),_xlfn.XMATCH(O$2,[1]Coefficients!$G$1:$BO$1))</f>
        <v/>
      </c>
      <c r="P70">
        <f t="array" ref="P70">INDEX([1]Coefficients!$G$180:$BO$199,_xlfn.XMATCH($E70,[1]Coefficients!$B$132:$B$151),_xlfn.XMATCH(P$2,[1]Coefficients!$G$1:$BO$1))</f>
        <v/>
      </c>
      <c r="Q70">
        <f t="array" ref="Q70">INDEX([1]Coefficients!$G$180:$BO$199,_xlfn.XMATCH($E70,[1]Coefficients!$B$132:$B$151),_xlfn.XMATCH(Q$2,[1]Coefficients!$G$1:$BO$1))</f>
        <v/>
      </c>
      <c r="R70">
        <f t="array" ref="R70">INDEX([1]Coefficients!$G$180:$BO$199,_xlfn.XMATCH($E70,[1]Coefficients!$B$132:$B$151),_xlfn.XMATCH(R$2,[1]Coefficients!$G$1:$BO$1))</f>
        <v/>
      </c>
      <c r="S70">
        <f t="array" ref="S70">INDEX([1]Coefficients!$G$180:$BO$199,_xlfn.XMATCH($E70,[1]Coefficients!$B$132:$B$151),_xlfn.XMATCH(S$2,[1]Coefficients!$G$1:$BO$1))</f>
        <v/>
      </c>
      <c r="T70">
        <f t="array" ref="T70">INDEX([1]Coefficients!$G$180:$BO$199,_xlfn.XMATCH($E70,[1]Coefficients!$B$132:$B$151),_xlfn.XMATCH(T$2,[1]Coefficients!$G$1:$BO$1))</f>
        <v/>
      </c>
      <c r="U70">
        <f t="array" ref="U70">INDEX([1]Coefficients!$G$180:$BO$199,_xlfn.XMATCH($E70,[1]Coefficients!$B$132:$B$151),_xlfn.XMATCH(U$2,[1]Coefficients!$G$1:$BO$1))</f>
        <v/>
      </c>
      <c r="V70">
        <f t="array" ref="V70">INDEX([1]Coefficients!$G$180:$BO$199,_xlfn.XMATCH($E70,[1]Coefficients!$B$132:$B$151),_xlfn.XMATCH(V$2,[1]Coefficients!$G$1:$BO$1))</f>
        <v/>
      </c>
      <c r="W70">
        <f t="array" ref="W70">INDEX([1]Coefficients!$G$180:$BO$199,_xlfn.XMATCH($E70,[1]Coefficients!$B$132:$B$151),_xlfn.XMATCH(W$2,[1]Coefficients!$G$1:$BO$1))</f>
        <v/>
      </c>
    </row>
    <row r="71">
      <c r="A71" t="inlineStr">
        <is>
          <t>CIMS.Generic Fuels.LPG</t>
        </is>
      </c>
      <c r="B71" t="inlineStr">
        <is>
          <t>Service</t>
        </is>
      </c>
      <c r="C71" t="inlineStr">
        <is>
          <t>CIMS</t>
        </is>
      </c>
      <c r="E71" t="inlineStr">
        <is>
          <t>LPG</t>
        </is>
      </c>
      <c r="G71" t="inlineStr">
        <is>
          <t>service_provide</t>
        </is>
      </c>
      <c r="L71" t="inlineStr">
        <is>
          <t>GJ</t>
        </is>
      </c>
    </row>
    <row r="72">
      <c r="A72" t="inlineStr">
        <is>
          <t>CIMS.Generic Fuels.LPG</t>
        </is>
      </c>
      <c r="B72" t="inlineStr">
        <is>
          <t>Service</t>
        </is>
      </c>
      <c r="C72" t="inlineStr">
        <is>
          <t>CIMS</t>
        </is>
      </c>
      <c r="E72" t="inlineStr">
        <is>
          <t>LPG</t>
        </is>
      </c>
      <c r="G72" t="inlineStr">
        <is>
          <t>competition</t>
        </is>
      </c>
      <c r="H72" t="inlineStr">
        <is>
          <t>Supply - Fixed Price</t>
        </is>
      </c>
    </row>
    <row r="73">
      <c r="A73" t="inlineStr">
        <is>
          <t>CIMS.Generic Fuels.LPG</t>
        </is>
      </c>
      <c r="B73" t="inlineStr">
        <is>
          <t>Service</t>
        </is>
      </c>
      <c r="C73" t="inlineStr">
        <is>
          <t>CIMS</t>
        </is>
      </c>
      <c r="E73" t="inlineStr">
        <is>
          <t>LPG</t>
        </is>
      </c>
      <c r="G73" t="inlineStr">
        <is>
          <t>is_supply</t>
        </is>
      </c>
      <c r="H73" t="b">
        <v>1</v>
      </c>
    </row>
    <row r="74">
      <c r="A74" t="inlineStr">
        <is>
          <t>CIMS.Generic Fuels.LPG</t>
        </is>
      </c>
      <c r="B74" t="inlineStr">
        <is>
          <t>Service</t>
        </is>
      </c>
      <c r="C74" t="inlineStr">
        <is>
          <t>CIMS</t>
        </is>
      </c>
      <c r="E74" t="inlineStr">
        <is>
          <t>LPG</t>
        </is>
      </c>
      <c r="G74" t="inlineStr">
        <is>
          <t>lcc_financial</t>
        </is>
      </c>
      <c r="K74" t="inlineStr">
        <is>
          <t>JCIMS</t>
        </is>
      </c>
      <c r="L74" t="inlineStr">
        <is>
          <t>$/GJ</t>
        </is>
      </c>
      <c r="M74">
        <f t="array" ref="M74">INDEX([1]!JCIMS_prices,_xlfn.XMATCH($E74,[1]!JCIMS_prices_index),_xlfn.XMATCH(M$2,[1]!CER_year))*[1]!JCIMS_price_inflator</f>
        <v/>
      </c>
      <c r="N74">
        <f t="array" ref="N74">INDEX([1]!JCIMS_prices,_xlfn.XMATCH($E74,[1]!JCIMS_prices_index),_xlfn.XMATCH(N$2,[1]!CER_year))*[1]!JCIMS_price_inflator</f>
        <v/>
      </c>
      <c r="O74">
        <f t="array" ref="O74">INDEX([1]!JCIMS_prices,_xlfn.XMATCH($E74,[1]!JCIMS_prices_index),_xlfn.XMATCH(O$2,[1]!CER_year))*[1]!JCIMS_price_inflator</f>
        <v/>
      </c>
      <c r="P74">
        <f t="array" ref="P74">INDEX([1]!JCIMS_prices,_xlfn.XMATCH($E74,[1]!JCIMS_prices_index),_xlfn.XMATCH(P$2,[1]!CER_year))*[1]!JCIMS_price_inflator</f>
        <v/>
      </c>
      <c r="Q74">
        <f t="array" ref="Q74">INDEX([1]!JCIMS_prices,_xlfn.XMATCH($E74,[1]!JCIMS_prices_index),_xlfn.XMATCH(Q$2,[1]!CER_year))*[1]!JCIMS_price_inflator</f>
        <v/>
      </c>
      <c r="R74">
        <f t="array" ref="R74">INDEX([1]!JCIMS_prices,_xlfn.XMATCH($E74,[1]!JCIMS_prices_index),_xlfn.XMATCH(R$2,[1]!CER_year))*[1]!JCIMS_price_inflator</f>
        <v/>
      </c>
      <c r="S74">
        <f t="array" ref="S74">INDEX([1]!JCIMS_prices,_xlfn.XMATCH($E74,[1]!JCIMS_prices_index),_xlfn.XMATCH(S$2,[1]!CER_year))*[1]!JCIMS_price_inflator</f>
        <v/>
      </c>
      <c r="T74">
        <f t="array" ref="T74">INDEX([1]!JCIMS_prices,_xlfn.XMATCH($E74,[1]!JCIMS_prices_index),_xlfn.XMATCH(T$2,[1]!CER_year))*[1]!JCIMS_price_inflator</f>
        <v/>
      </c>
      <c r="U74">
        <f t="array" ref="U74">INDEX([1]!JCIMS_prices,_xlfn.XMATCH($E74,[1]!JCIMS_prices_index),_xlfn.XMATCH(U$2,[1]!CER_year))*[1]!JCIMS_price_inflator</f>
        <v/>
      </c>
      <c r="V74">
        <f t="array" ref="V74">INDEX([1]!JCIMS_prices,_xlfn.XMATCH($E74,[1]!JCIMS_prices_index),_xlfn.XMATCH(V$2,[1]!CER_year))*[1]!JCIMS_price_inflator</f>
        <v/>
      </c>
      <c r="W74">
        <f t="array" ref="W74">INDEX([1]!JCIMS_prices,_xlfn.XMATCH($E74,[1]!JCIMS_prices_index),_xlfn.XMATCH(W$2,[1]!CER_year))*[1]!JCIMS_price_inflator</f>
        <v/>
      </c>
      <c r="X74" t="inlineStr">
        <is>
          <t>Cost in mining - ON</t>
        </is>
      </c>
    </row>
    <row r="75">
      <c r="A75" t="inlineStr">
        <is>
          <t>CIMS.Generic Fuels.LPG</t>
        </is>
      </c>
      <c r="B75" t="inlineStr">
        <is>
          <t>Service</t>
        </is>
      </c>
      <c r="C75" t="inlineStr">
        <is>
          <t>CIMS</t>
        </is>
      </c>
      <c r="E75" t="inlineStr">
        <is>
          <t>LPG</t>
        </is>
      </c>
      <c r="G75" t="inlineStr">
        <is>
          <t>emissions</t>
        </is>
      </c>
      <c r="H75" t="inlineStr">
        <is>
          <t>CO2</t>
        </is>
      </c>
      <c r="I75" t="inlineStr">
        <is>
          <t>Combustion</t>
        </is>
      </c>
      <c r="K75" t="inlineStr">
        <is>
          <t>ECCC, NIR</t>
        </is>
      </c>
      <c r="L75" t="inlineStr">
        <is>
          <t>tCO2</t>
        </is>
      </c>
      <c r="M75">
        <f t="array" ref="M75">INDEX([1]Coefficients!$G$132:$BO$151,_xlfn.XMATCH($E75,[1]Coefficients!$B$132:$B$151),_xlfn.XMATCH(M$2,[1]Coefficients!$G$1:$BO$1))</f>
        <v/>
      </c>
      <c r="N75">
        <f t="array" ref="N75">INDEX([1]Coefficients!$G$132:$BO$151,_xlfn.XMATCH($E75,[1]Coefficients!$B$132:$B$151),_xlfn.XMATCH(N$2,[1]Coefficients!$G$1:$BO$1))</f>
        <v/>
      </c>
      <c r="O75">
        <f t="array" ref="O75">INDEX([1]Coefficients!$G$132:$BO$151,_xlfn.XMATCH($E75,[1]Coefficients!$B$132:$B$151),_xlfn.XMATCH(O$2,[1]Coefficients!$G$1:$BO$1))</f>
        <v/>
      </c>
      <c r="P75">
        <f t="array" ref="P75">INDEX([1]Coefficients!$G$132:$BO$151,_xlfn.XMATCH($E75,[1]Coefficients!$B$132:$B$151),_xlfn.XMATCH(P$2,[1]Coefficients!$G$1:$BO$1))</f>
        <v/>
      </c>
      <c r="Q75">
        <f t="array" ref="Q75">INDEX([1]Coefficients!$G$132:$BO$151,_xlfn.XMATCH($E75,[1]Coefficients!$B$132:$B$151),_xlfn.XMATCH(Q$2,[1]Coefficients!$G$1:$BO$1))</f>
        <v/>
      </c>
      <c r="R75">
        <f t="array" ref="R75">INDEX([1]Coefficients!$G$132:$BO$151,_xlfn.XMATCH($E75,[1]Coefficients!$B$132:$B$151),_xlfn.XMATCH(R$2,[1]Coefficients!$G$1:$BO$1))</f>
        <v/>
      </c>
      <c r="S75">
        <f t="array" ref="S75">INDEX([1]Coefficients!$G$132:$BO$151,_xlfn.XMATCH($E75,[1]Coefficients!$B$132:$B$151),_xlfn.XMATCH(S$2,[1]Coefficients!$G$1:$BO$1))</f>
        <v/>
      </c>
      <c r="T75">
        <f t="array" ref="T75">INDEX([1]Coefficients!$G$132:$BO$151,_xlfn.XMATCH($E75,[1]Coefficients!$B$132:$B$151),_xlfn.XMATCH(T$2,[1]Coefficients!$G$1:$BO$1))</f>
        <v/>
      </c>
      <c r="U75">
        <f t="array" ref="U75">INDEX([1]Coefficients!$G$132:$BO$151,_xlfn.XMATCH($E75,[1]Coefficients!$B$132:$B$151),_xlfn.XMATCH(U$2,[1]Coefficients!$G$1:$BO$1))</f>
        <v/>
      </c>
      <c r="V75">
        <f t="array" ref="V75">INDEX([1]Coefficients!$G$132:$BO$151,_xlfn.XMATCH($E75,[1]Coefficients!$B$132:$B$151),_xlfn.XMATCH(V$2,[1]Coefficients!$G$1:$BO$1))</f>
        <v/>
      </c>
      <c r="W75">
        <f t="array" ref="W75">INDEX([1]Coefficients!$G$132:$BO$151,_xlfn.XMATCH($E75,[1]Coefficients!$B$132:$B$151),_xlfn.XMATCH(W$2,[1]Coefficients!$G$1:$BO$1))</f>
        <v/>
      </c>
    </row>
    <row r="76">
      <c r="A76" t="inlineStr">
        <is>
          <t>CIMS.Generic Fuels.LPG</t>
        </is>
      </c>
      <c r="B76" t="inlineStr">
        <is>
          <t>Service</t>
        </is>
      </c>
      <c r="C76" t="inlineStr">
        <is>
          <t>CIMS</t>
        </is>
      </c>
      <c r="E76" t="inlineStr">
        <is>
          <t>LPG</t>
        </is>
      </c>
      <c r="G76" t="inlineStr">
        <is>
          <t>emissions</t>
        </is>
      </c>
      <c r="H76" t="inlineStr">
        <is>
          <t>CH4</t>
        </is>
      </c>
      <c r="I76" t="inlineStr">
        <is>
          <t>Combustion</t>
        </is>
      </c>
      <c r="K76" t="inlineStr">
        <is>
          <t>ECCC, NIR</t>
        </is>
      </c>
      <c r="L76" t="inlineStr">
        <is>
          <t>tCH4</t>
        </is>
      </c>
      <c r="M76">
        <f t="array" ref="M76">INDEX([1]Coefficients!$G$156:$BO$175,_xlfn.XMATCH($E76,[1]Coefficients!$B$132:$B$151),_xlfn.XMATCH(M$2,[1]Coefficients!$G$1:$BO$1))</f>
        <v/>
      </c>
      <c r="N76">
        <f t="array" ref="N76">INDEX([1]Coefficients!$G$156:$BO$175,_xlfn.XMATCH($E76,[1]Coefficients!$B$132:$B$151),_xlfn.XMATCH(N$2,[1]Coefficients!$G$1:$BO$1))</f>
        <v/>
      </c>
      <c r="O76">
        <f t="array" ref="O76">INDEX([1]Coefficients!$G$156:$BO$175,_xlfn.XMATCH($E76,[1]Coefficients!$B$132:$B$151),_xlfn.XMATCH(O$2,[1]Coefficients!$G$1:$BO$1))</f>
        <v/>
      </c>
      <c r="P76">
        <f t="array" ref="P76">INDEX([1]Coefficients!$G$156:$BO$175,_xlfn.XMATCH($E76,[1]Coefficients!$B$132:$B$151),_xlfn.XMATCH(P$2,[1]Coefficients!$G$1:$BO$1))</f>
        <v/>
      </c>
      <c r="Q76">
        <f t="array" ref="Q76">INDEX([1]Coefficients!$G$156:$BO$175,_xlfn.XMATCH($E76,[1]Coefficients!$B$132:$B$151),_xlfn.XMATCH(Q$2,[1]Coefficients!$G$1:$BO$1))</f>
        <v/>
      </c>
      <c r="R76">
        <f t="array" ref="R76">INDEX([1]Coefficients!$G$156:$BO$175,_xlfn.XMATCH($E76,[1]Coefficients!$B$132:$B$151),_xlfn.XMATCH(R$2,[1]Coefficients!$G$1:$BO$1))</f>
        <v/>
      </c>
      <c r="S76">
        <f t="array" ref="S76">INDEX([1]Coefficients!$G$156:$BO$175,_xlfn.XMATCH($E76,[1]Coefficients!$B$132:$B$151),_xlfn.XMATCH(S$2,[1]Coefficients!$G$1:$BO$1))</f>
        <v/>
      </c>
      <c r="T76">
        <f t="array" ref="T76">INDEX([1]Coefficients!$G$156:$BO$175,_xlfn.XMATCH($E76,[1]Coefficients!$B$132:$B$151),_xlfn.XMATCH(T$2,[1]Coefficients!$G$1:$BO$1))</f>
        <v/>
      </c>
      <c r="U76">
        <f t="array" ref="U76">INDEX([1]Coefficients!$G$156:$BO$175,_xlfn.XMATCH($E76,[1]Coefficients!$B$132:$B$151),_xlfn.XMATCH(U$2,[1]Coefficients!$G$1:$BO$1))</f>
        <v/>
      </c>
      <c r="V76">
        <f t="array" ref="V76">INDEX([1]Coefficients!$G$156:$BO$175,_xlfn.XMATCH($E76,[1]Coefficients!$B$132:$B$151),_xlfn.XMATCH(V$2,[1]Coefficients!$G$1:$BO$1))</f>
        <v/>
      </c>
      <c r="W76">
        <f t="array" ref="W76">INDEX([1]Coefficients!$G$156:$BO$175,_xlfn.XMATCH($E76,[1]Coefficients!$B$132:$B$151),_xlfn.XMATCH(W$2,[1]Coefficients!$G$1:$BO$1))</f>
        <v/>
      </c>
    </row>
    <row r="77">
      <c r="A77" t="inlineStr">
        <is>
          <t>CIMS.Generic Fuels.LPG</t>
        </is>
      </c>
      <c r="B77" t="inlineStr">
        <is>
          <t>Service</t>
        </is>
      </c>
      <c r="C77" t="inlineStr">
        <is>
          <t>CIMS</t>
        </is>
      </c>
      <c r="E77" t="inlineStr">
        <is>
          <t>LPG</t>
        </is>
      </c>
      <c r="G77" t="inlineStr">
        <is>
          <t>emissions</t>
        </is>
      </c>
      <c r="H77" t="inlineStr">
        <is>
          <t>N2O</t>
        </is>
      </c>
      <c r="I77" t="inlineStr">
        <is>
          <t>Combustion</t>
        </is>
      </c>
      <c r="K77" t="inlineStr">
        <is>
          <t>ECCC, NIR</t>
        </is>
      </c>
      <c r="L77" t="inlineStr">
        <is>
          <t>tN2O</t>
        </is>
      </c>
      <c r="M77">
        <f t="array" ref="M77">INDEX([1]Coefficients!$G$180:$BO$199,_xlfn.XMATCH($E77,[1]Coefficients!$B$132:$B$151),_xlfn.XMATCH(M$2,[1]Coefficients!$G$1:$BO$1))</f>
        <v/>
      </c>
      <c r="N77">
        <f t="array" ref="N77">INDEX([1]Coefficients!$G$180:$BO$199,_xlfn.XMATCH($E77,[1]Coefficients!$B$132:$B$151),_xlfn.XMATCH(N$2,[1]Coefficients!$G$1:$BO$1))</f>
        <v/>
      </c>
      <c r="O77">
        <f t="array" ref="O77">INDEX([1]Coefficients!$G$180:$BO$199,_xlfn.XMATCH($E77,[1]Coefficients!$B$132:$B$151),_xlfn.XMATCH(O$2,[1]Coefficients!$G$1:$BO$1))</f>
        <v/>
      </c>
      <c r="P77">
        <f t="array" ref="P77">INDEX([1]Coefficients!$G$180:$BO$199,_xlfn.XMATCH($E77,[1]Coefficients!$B$132:$B$151),_xlfn.XMATCH(P$2,[1]Coefficients!$G$1:$BO$1))</f>
        <v/>
      </c>
      <c r="Q77">
        <f t="array" ref="Q77">INDEX([1]Coefficients!$G$180:$BO$199,_xlfn.XMATCH($E77,[1]Coefficients!$B$132:$B$151),_xlfn.XMATCH(Q$2,[1]Coefficients!$G$1:$BO$1))</f>
        <v/>
      </c>
      <c r="R77">
        <f t="array" ref="R77">INDEX([1]Coefficients!$G$180:$BO$199,_xlfn.XMATCH($E77,[1]Coefficients!$B$132:$B$151),_xlfn.XMATCH(R$2,[1]Coefficients!$G$1:$BO$1))</f>
        <v/>
      </c>
      <c r="S77">
        <f t="array" ref="S77">INDEX([1]Coefficients!$G$180:$BO$199,_xlfn.XMATCH($E77,[1]Coefficients!$B$132:$B$151),_xlfn.XMATCH(S$2,[1]Coefficients!$G$1:$BO$1))</f>
        <v/>
      </c>
      <c r="T77">
        <f t="array" ref="T77">INDEX([1]Coefficients!$G$180:$BO$199,_xlfn.XMATCH($E77,[1]Coefficients!$B$132:$B$151),_xlfn.XMATCH(T$2,[1]Coefficients!$G$1:$BO$1))</f>
        <v/>
      </c>
      <c r="U77">
        <f t="array" ref="U77">INDEX([1]Coefficients!$G$180:$BO$199,_xlfn.XMATCH($E77,[1]Coefficients!$B$132:$B$151),_xlfn.XMATCH(U$2,[1]Coefficients!$G$1:$BO$1))</f>
        <v/>
      </c>
      <c r="V77">
        <f t="array" ref="V77">INDEX([1]Coefficients!$G$180:$BO$199,_xlfn.XMATCH($E77,[1]Coefficients!$B$132:$B$151),_xlfn.XMATCH(V$2,[1]Coefficients!$G$1:$BO$1))</f>
        <v/>
      </c>
      <c r="W77">
        <f t="array" ref="W77">INDEX([1]Coefficients!$G$180:$BO$199,_xlfn.XMATCH($E77,[1]Coefficients!$B$132:$B$151),_xlfn.XMATCH(W$2,[1]Coefficients!$G$1:$BO$1))</f>
        <v/>
      </c>
    </row>
    <row r="78">
      <c r="A78" t="inlineStr">
        <is>
          <t>CIMS.Generic Fuels.Natural Gas</t>
        </is>
      </c>
      <c r="B78" t="inlineStr">
        <is>
          <t>Service</t>
        </is>
      </c>
      <c r="C78" t="inlineStr">
        <is>
          <t>CIMS</t>
        </is>
      </c>
      <c r="E78" t="inlineStr">
        <is>
          <t>Natural Gas</t>
        </is>
      </c>
      <c r="G78" t="inlineStr">
        <is>
          <t>service_provide</t>
        </is>
      </c>
      <c r="L78" t="inlineStr">
        <is>
          <t>GJ</t>
        </is>
      </c>
    </row>
    <row r="79">
      <c r="A79" t="inlineStr">
        <is>
          <t>CIMS.Generic Fuels.Natural Gas</t>
        </is>
      </c>
      <c r="B79" t="inlineStr">
        <is>
          <t>Service</t>
        </is>
      </c>
      <c r="C79" t="inlineStr">
        <is>
          <t>CIMS</t>
        </is>
      </c>
      <c r="E79" t="inlineStr">
        <is>
          <t>Natural Gas</t>
        </is>
      </c>
      <c r="G79" t="inlineStr">
        <is>
          <t>competition</t>
        </is>
      </c>
      <c r="H79" t="inlineStr">
        <is>
          <t>Supply - Fixed Price</t>
        </is>
      </c>
    </row>
    <row r="80">
      <c r="A80" t="inlineStr">
        <is>
          <t>CIMS.Generic Fuels.Natural Gas</t>
        </is>
      </c>
      <c r="B80" t="inlineStr">
        <is>
          <t>Service</t>
        </is>
      </c>
      <c r="C80" t="inlineStr">
        <is>
          <t>CIMS</t>
        </is>
      </c>
      <c r="E80" t="inlineStr">
        <is>
          <t>Natural Gas</t>
        </is>
      </c>
      <c r="G80" t="inlineStr">
        <is>
          <t>is_supply</t>
        </is>
      </c>
      <c r="H80" t="b">
        <v>1</v>
      </c>
    </row>
    <row r="81">
      <c r="A81" t="inlineStr">
        <is>
          <t>CIMS.Generic Fuels.Natural Gas</t>
        </is>
      </c>
      <c r="B81" t="inlineStr">
        <is>
          <t>Service</t>
        </is>
      </c>
      <c r="C81" t="inlineStr">
        <is>
          <t>CIMS</t>
        </is>
      </c>
      <c r="E81" t="inlineStr">
        <is>
          <t>Natural Gas</t>
        </is>
      </c>
      <c r="G81" t="inlineStr">
        <is>
          <t>lcc_financial</t>
        </is>
      </c>
      <c r="K81" t="inlineStr">
        <is>
          <t>CER</t>
        </is>
      </c>
      <c r="L81" t="inlineStr">
        <is>
          <t>$/GJ</t>
        </is>
      </c>
      <c r="M81">
        <f t="array" ref="M81">ROUND(INDEX([1]!CER_prod_cost,_xlfn.XMATCH("CAN"&amp;"Production cost"&amp;$A81,[1]!CER_prod_cost_index),_xlfn.XMATCH(M$2,[1]!CER_year)),2)</f>
        <v/>
      </c>
      <c r="N81">
        <f t="array" ref="N81">ROUND(INDEX([1]!CER_prod_cost,_xlfn.XMATCH("CAN"&amp;"Production cost"&amp;$A81,[1]!CER_prod_cost_index),_xlfn.XMATCH(N$2,[1]!CER_year)),2)</f>
        <v/>
      </c>
      <c r="O81">
        <f t="array" ref="O81">ROUND(INDEX([1]!CER_prod_cost,_xlfn.XMATCH("CAN"&amp;"Production cost"&amp;$A81,[1]!CER_prod_cost_index),_xlfn.XMATCH(O$2,[1]!CER_year)),2)</f>
        <v/>
      </c>
      <c r="P81">
        <f t="array" ref="P81">ROUND(INDEX([1]!CER_prod_cost,_xlfn.XMATCH("CAN"&amp;"Production cost"&amp;$A81,[1]!CER_prod_cost_index),_xlfn.XMATCH(P$2,[1]!CER_year)),2)</f>
        <v/>
      </c>
      <c r="Q81">
        <f t="array" ref="Q81">ROUND(INDEX([1]!CER_prod_cost,_xlfn.XMATCH("CAN"&amp;"Production cost"&amp;$A81,[1]!CER_prod_cost_index),_xlfn.XMATCH(Q$2,[1]!CER_year)),2)</f>
        <v/>
      </c>
      <c r="R81">
        <f t="array" ref="R81">ROUND(INDEX([1]!CER_prod_cost,_xlfn.XMATCH("CAN"&amp;"Production cost"&amp;$A81,[1]!CER_prod_cost_index),_xlfn.XMATCH(R$2,[1]!CER_year)),2)</f>
        <v/>
      </c>
      <c r="S81">
        <f t="array" ref="S81">ROUND(INDEX([1]!CER_prod_cost,_xlfn.XMATCH("CAN"&amp;"Production cost"&amp;$A81,[1]!CER_prod_cost_index),_xlfn.XMATCH(S$2,[1]!CER_year)),2)</f>
        <v/>
      </c>
      <c r="T81">
        <f t="array" ref="T81">ROUND(INDEX([1]!CER_prod_cost,_xlfn.XMATCH("CAN"&amp;"Production cost"&amp;$A81,[1]!CER_prod_cost_index),_xlfn.XMATCH(T$2,[1]!CER_year)),2)</f>
        <v/>
      </c>
      <c r="U81">
        <f t="array" ref="U81">ROUND(INDEX([1]!CER_prod_cost,_xlfn.XMATCH("CAN"&amp;"Production cost"&amp;$A81,[1]!CER_prod_cost_index),_xlfn.XMATCH(U$2,[1]!CER_year)),2)</f>
        <v/>
      </c>
      <c r="V81">
        <f t="array" ref="V81">ROUND(INDEX([1]!CER_prod_cost,_xlfn.XMATCH("CAN"&amp;"Production cost"&amp;$A81,[1]!CER_prod_cost_index),_xlfn.XMATCH(V$2,[1]!CER_year)),2)</f>
        <v/>
      </c>
      <c r="W81">
        <f t="array" ref="W81">ROUND(INDEX([1]!CER_prod_cost,_xlfn.XMATCH("CAN"&amp;"Production cost"&amp;$A81,[1]!CER_prod_cost_index),_xlfn.XMATCH(W$2,[1]!CER_year)),2)</f>
        <v/>
      </c>
      <c r="X81" t="inlineStr">
        <is>
          <t>CER forecast - CAN transportation</t>
        </is>
      </c>
    </row>
    <row r="82">
      <c r="A82" t="inlineStr">
        <is>
          <t>CIMS.Generic Fuels.Natural Gas</t>
        </is>
      </c>
      <c r="B82" t="inlineStr">
        <is>
          <t>Service</t>
        </is>
      </c>
      <c r="C82" t="inlineStr">
        <is>
          <t>CIMS</t>
        </is>
      </c>
      <c r="E82" t="inlineStr">
        <is>
          <t>Natural Gas</t>
        </is>
      </c>
      <c r="G82" t="inlineStr">
        <is>
          <t>emissions</t>
        </is>
      </c>
      <c r="H82" t="inlineStr">
        <is>
          <t>CO2</t>
        </is>
      </c>
      <c r="I82" t="inlineStr">
        <is>
          <t>Combustion</t>
        </is>
      </c>
      <c r="K82" t="inlineStr">
        <is>
          <t>ECCC, NIR</t>
        </is>
      </c>
      <c r="L82" t="inlineStr">
        <is>
          <t>tCO2</t>
        </is>
      </c>
      <c r="M82">
        <f t="array" ref="M82">INDEX([1]Coefficients!$G$132:$BO$151,_xlfn.XMATCH($E82,[1]Coefficients!$B$132:$B$151),_xlfn.XMATCH(M$2,[1]Coefficients!$G$1:$BO$1))</f>
        <v/>
      </c>
      <c r="N82">
        <f t="array" ref="N82">INDEX([1]Coefficients!$G$132:$BO$151,_xlfn.XMATCH($E82,[1]Coefficients!$B$132:$B$151),_xlfn.XMATCH(N$2,[1]Coefficients!$G$1:$BO$1))</f>
        <v/>
      </c>
      <c r="O82">
        <f t="array" ref="O82">INDEX([1]Coefficients!$G$132:$BO$151,_xlfn.XMATCH($E82,[1]Coefficients!$B$132:$B$151),_xlfn.XMATCH(O$2,[1]Coefficients!$G$1:$BO$1))</f>
        <v/>
      </c>
      <c r="P82">
        <f t="array" ref="P82">INDEX([1]Coefficients!$G$132:$BO$151,_xlfn.XMATCH($E82,[1]Coefficients!$B$132:$B$151),_xlfn.XMATCH(P$2,[1]Coefficients!$G$1:$BO$1))</f>
        <v/>
      </c>
      <c r="Q82">
        <f t="array" ref="Q82">INDEX([1]Coefficients!$G$132:$BO$151,_xlfn.XMATCH($E82,[1]Coefficients!$B$132:$B$151),_xlfn.XMATCH(Q$2,[1]Coefficients!$G$1:$BO$1))</f>
        <v/>
      </c>
      <c r="R82">
        <f t="array" ref="R82">INDEX([1]Coefficients!$G$132:$BO$151,_xlfn.XMATCH($E82,[1]Coefficients!$B$132:$B$151),_xlfn.XMATCH(R$2,[1]Coefficients!$G$1:$BO$1))</f>
        <v/>
      </c>
      <c r="S82">
        <f t="array" ref="S82">INDEX([1]Coefficients!$G$132:$BO$151,_xlfn.XMATCH($E82,[1]Coefficients!$B$132:$B$151),_xlfn.XMATCH(S$2,[1]Coefficients!$G$1:$BO$1))</f>
        <v/>
      </c>
      <c r="T82">
        <f t="array" ref="T82">INDEX([1]Coefficients!$G$132:$BO$151,_xlfn.XMATCH($E82,[1]Coefficients!$B$132:$B$151),_xlfn.XMATCH(T$2,[1]Coefficients!$G$1:$BO$1))</f>
        <v/>
      </c>
      <c r="U82">
        <f t="array" ref="U82">INDEX([1]Coefficients!$G$132:$BO$151,_xlfn.XMATCH($E82,[1]Coefficients!$B$132:$B$151),_xlfn.XMATCH(U$2,[1]Coefficients!$G$1:$BO$1))</f>
        <v/>
      </c>
      <c r="V82">
        <f t="array" ref="V82">INDEX([1]Coefficients!$G$132:$BO$151,_xlfn.XMATCH($E82,[1]Coefficients!$B$132:$B$151),_xlfn.XMATCH(V$2,[1]Coefficients!$G$1:$BO$1))</f>
        <v/>
      </c>
      <c r="W82">
        <f t="array" ref="W82">INDEX([1]Coefficients!$G$132:$BO$151,_xlfn.XMATCH($E82,[1]Coefficients!$B$132:$B$151),_xlfn.XMATCH(W$2,[1]Coefficients!$G$1:$BO$1))</f>
        <v/>
      </c>
    </row>
    <row r="83">
      <c r="A83" t="inlineStr">
        <is>
          <t>CIMS.Generic Fuels.Natural Gas</t>
        </is>
      </c>
      <c r="B83" t="inlineStr">
        <is>
          <t>Service</t>
        </is>
      </c>
      <c r="C83" t="inlineStr">
        <is>
          <t>CIMS</t>
        </is>
      </c>
      <c r="E83" t="inlineStr">
        <is>
          <t>Natural Gas</t>
        </is>
      </c>
      <c r="G83" t="inlineStr">
        <is>
          <t>emissions</t>
        </is>
      </c>
      <c r="H83" t="inlineStr">
        <is>
          <t>CH4</t>
        </is>
      </c>
      <c r="I83" t="inlineStr">
        <is>
          <t>Combustion</t>
        </is>
      </c>
      <c r="K83" t="inlineStr">
        <is>
          <t>ECCC, NIR</t>
        </is>
      </c>
      <c r="L83" t="inlineStr">
        <is>
          <t>tCH4</t>
        </is>
      </c>
      <c r="M83">
        <f t="array" ref="M83">INDEX([1]Coefficients!$G$156:$BO$175,_xlfn.XMATCH($E83,[1]Coefficients!$B$132:$B$151),_xlfn.XMATCH(M$2,[1]Coefficients!$G$1:$BO$1))</f>
        <v/>
      </c>
      <c r="N83">
        <f t="array" ref="N83">INDEX([1]Coefficients!$G$156:$BO$175,_xlfn.XMATCH($E83,[1]Coefficients!$B$132:$B$151),_xlfn.XMATCH(N$2,[1]Coefficients!$G$1:$BO$1))</f>
        <v/>
      </c>
      <c r="O83">
        <f t="array" ref="O83">INDEX([1]Coefficients!$G$156:$BO$175,_xlfn.XMATCH($E83,[1]Coefficients!$B$132:$B$151),_xlfn.XMATCH(O$2,[1]Coefficients!$G$1:$BO$1))</f>
        <v/>
      </c>
      <c r="P83">
        <f t="array" ref="P83">INDEX([1]Coefficients!$G$156:$BO$175,_xlfn.XMATCH($E83,[1]Coefficients!$B$132:$B$151),_xlfn.XMATCH(P$2,[1]Coefficients!$G$1:$BO$1))</f>
        <v/>
      </c>
      <c r="Q83">
        <f t="array" ref="Q83">INDEX([1]Coefficients!$G$156:$BO$175,_xlfn.XMATCH($E83,[1]Coefficients!$B$132:$B$151),_xlfn.XMATCH(Q$2,[1]Coefficients!$G$1:$BO$1))</f>
        <v/>
      </c>
      <c r="R83">
        <f t="array" ref="R83">INDEX([1]Coefficients!$G$156:$BO$175,_xlfn.XMATCH($E83,[1]Coefficients!$B$132:$B$151),_xlfn.XMATCH(R$2,[1]Coefficients!$G$1:$BO$1))</f>
        <v/>
      </c>
      <c r="S83">
        <f t="array" ref="S83">INDEX([1]Coefficients!$G$156:$BO$175,_xlfn.XMATCH($E83,[1]Coefficients!$B$132:$B$151),_xlfn.XMATCH(S$2,[1]Coefficients!$G$1:$BO$1))</f>
        <v/>
      </c>
      <c r="T83">
        <f t="array" ref="T83">INDEX([1]Coefficients!$G$156:$BO$175,_xlfn.XMATCH($E83,[1]Coefficients!$B$132:$B$151),_xlfn.XMATCH(T$2,[1]Coefficients!$G$1:$BO$1))</f>
        <v/>
      </c>
      <c r="U83">
        <f t="array" ref="U83">INDEX([1]Coefficients!$G$156:$BO$175,_xlfn.XMATCH($E83,[1]Coefficients!$B$132:$B$151),_xlfn.XMATCH(U$2,[1]Coefficients!$G$1:$BO$1))</f>
        <v/>
      </c>
      <c r="V83">
        <f t="array" ref="V83">INDEX([1]Coefficients!$G$156:$BO$175,_xlfn.XMATCH($E83,[1]Coefficients!$B$132:$B$151),_xlfn.XMATCH(V$2,[1]Coefficients!$G$1:$BO$1))</f>
        <v/>
      </c>
      <c r="W83">
        <f t="array" ref="W83">INDEX([1]Coefficients!$G$156:$BO$175,_xlfn.XMATCH($E83,[1]Coefficients!$B$132:$B$151),_xlfn.XMATCH(W$2,[1]Coefficients!$G$1:$BO$1))</f>
        <v/>
      </c>
    </row>
    <row r="84">
      <c r="A84" t="inlineStr">
        <is>
          <t>CIMS.Generic Fuels.Natural Gas</t>
        </is>
      </c>
      <c r="B84" t="inlineStr">
        <is>
          <t>Service</t>
        </is>
      </c>
      <c r="C84" t="inlineStr">
        <is>
          <t>CIMS</t>
        </is>
      </c>
      <c r="E84" t="inlineStr">
        <is>
          <t>Natural Gas</t>
        </is>
      </c>
      <c r="G84" t="inlineStr">
        <is>
          <t>emissions</t>
        </is>
      </c>
      <c r="H84" t="inlineStr">
        <is>
          <t>N2O</t>
        </is>
      </c>
      <c r="I84" t="inlineStr">
        <is>
          <t>Combustion</t>
        </is>
      </c>
      <c r="K84" t="inlineStr">
        <is>
          <t>ECCC, NIR</t>
        </is>
      </c>
      <c r="L84" t="inlineStr">
        <is>
          <t>tN2O</t>
        </is>
      </c>
      <c r="M84">
        <f t="array" ref="M84">INDEX([1]Coefficients!$G$180:$BO$199,_xlfn.XMATCH($E84,[1]Coefficients!$B$132:$B$151),_xlfn.XMATCH(M$2,[1]Coefficients!$G$1:$BO$1))</f>
        <v/>
      </c>
      <c r="N84">
        <f t="array" ref="N84">INDEX([1]Coefficients!$G$180:$BO$199,_xlfn.XMATCH($E84,[1]Coefficients!$B$132:$B$151),_xlfn.XMATCH(N$2,[1]Coefficients!$G$1:$BO$1))</f>
        <v/>
      </c>
      <c r="O84">
        <f t="array" ref="O84">INDEX([1]Coefficients!$G$180:$BO$199,_xlfn.XMATCH($E84,[1]Coefficients!$B$132:$B$151),_xlfn.XMATCH(O$2,[1]Coefficients!$G$1:$BO$1))</f>
        <v/>
      </c>
      <c r="P84">
        <f t="array" ref="P84">INDEX([1]Coefficients!$G$180:$BO$199,_xlfn.XMATCH($E84,[1]Coefficients!$B$132:$B$151),_xlfn.XMATCH(P$2,[1]Coefficients!$G$1:$BO$1))</f>
        <v/>
      </c>
      <c r="Q84">
        <f t="array" ref="Q84">INDEX([1]Coefficients!$G$180:$BO$199,_xlfn.XMATCH($E84,[1]Coefficients!$B$132:$B$151),_xlfn.XMATCH(Q$2,[1]Coefficients!$G$1:$BO$1))</f>
        <v/>
      </c>
      <c r="R84">
        <f t="array" ref="R84">INDEX([1]Coefficients!$G$180:$BO$199,_xlfn.XMATCH($E84,[1]Coefficients!$B$132:$B$151),_xlfn.XMATCH(R$2,[1]Coefficients!$G$1:$BO$1))</f>
        <v/>
      </c>
      <c r="S84">
        <f t="array" ref="S84">INDEX([1]Coefficients!$G$180:$BO$199,_xlfn.XMATCH($E84,[1]Coefficients!$B$132:$B$151),_xlfn.XMATCH(S$2,[1]Coefficients!$G$1:$BO$1))</f>
        <v/>
      </c>
      <c r="T84">
        <f t="array" ref="T84">INDEX([1]Coefficients!$G$180:$BO$199,_xlfn.XMATCH($E84,[1]Coefficients!$B$132:$B$151),_xlfn.XMATCH(T$2,[1]Coefficients!$G$1:$BO$1))</f>
        <v/>
      </c>
      <c r="U84">
        <f t="array" ref="U84">INDEX([1]Coefficients!$G$180:$BO$199,_xlfn.XMATCH($E84,[1]Coefficients!$B$132:$B$151),_xlfn.XMATCH(U$2,[1]Coefficients!$G$1:$BO$1))</f>
        <v/>
      </c>
      <c r="V84">
        <f t="array" ref="V84">INDEX([1]Coefficients!$G$180:$BO$199,_xlfn.XMATCH($E84,[1]Coefficients!$B$132:$B$151),_xlfn.XMATCH(V$2,[1]Coefficients!$G$1:$BO$1))</f>
        <v/>
      </c>
      <c r="W84">
        <f t="array" ref="W84">INDEX([1]Coefficients!$G$180:$BO$199,_xlfn.XMATCH($E84,[1]Coefficients!$B$132:$B$151),_xlfn.XMATCH(W$2,[1]Coefficients!$G$1:$BO$1))</f>
        <v/>
      </c>
    </row>
    <row r="85">
      <c r="A85" t="inlineStr">
        <is>
          <t>CIMS.Generic Fuels.Natural Gas Feedstock</t>
        </is>
      </c>
      <c r="B85" t="inlineStr">
        <is>
          <t>Service</t>
        </is>
      </c>
      <c r="C85" t="inlineStr">
        <is>
          <t>CIMS</t>
        </is>
      </c>
      <c r="E85" t="inlineStr">
        <is>
          <t>Natural Gas Feedstock</t>
        </is>
      </c>
      <c r="G85" t="inlineStr">
        <is>
          <t>service_provide</t>
        </is>
      </c>
      <c r="L85" t="inlineStr">
        <is>
          <t>GJ</t>
        </is>
      </c>
    </row>
    <row r="86">
      <c r="A86" t="inlineStr">
        <is>
          <t>CIMS.Generic Fuels.Natural Gas Feedstock</t>
        </is>
      </c>
      <c r="B86" t="inlineStr">
        <is>
          <t>Service</t>
        </is>
      </c>
      <c r="C86" t="inlineStr">
        <is>
          <t>CIMS</t>
        </is>
      </c>
      <c r="E86" t="inlineStr">
        <is>
          <t>Natural Gas Feedstock</t>
        </is>
      </c>
      <c r="G86" t="inlineStr">
        <is>
          <t>competition</t>
        </is>
      </c>
      <c r="H86" t="inlineStr">
        <is>
          <t>Supply - Fixed Price</t>
        </is>
      </c>
    </row>
    <row r="87">
      <c r="A87" t="inlineStr">
        <is>
          <t>CIMS.Generic Fuels.Natural Gas Feedstock</t>
        </is>
      </c>
      <c r="B87" t="inlineStr">
        <is>
          <t>Service</t>
        </is>
      </c>
      <c r="C87" t="inlineStr">
        <is>
          <t>CIMS</t>
        </is>
      </c>
      <c r="E87" t="inlineStr">
        <is>
          <t>Natural Gas Feedstock</t>
        </is>
      </c>
      <c r="G87" t="inlineStr">
        <is>
          <t>is_supply</t>
        </is>
      </c>
      <c r="H87" t="b">
        <v>1</v>
      </c>
    </row>
    <row r="88">
      <c r="A88" t="inlineStr">
        <is>
          <t>CIMS.Generic Fuels.Natural Gas Feedstock</t>
        </is>
      </c>
      <c r="B88" t="inlineStr">
        <is>
          <t>Service</t>
        </is>
      </c>
      <c r="C88" t="inlineStr">
        <is>
          <t>CIMS</t>
        </is>
      </c>
      <c r="E88" t="inlineStr">
        <is>
          <t>Natural Gas Feedstock</t>
        </is>
      </c>
      <c r="G88" t="inlineStr">
        <is>
          <t>lcc_financial</t>
        </is>
      </c>
      <c r="K88" t="inlineStr">
        <is>
          <t>CER</t>
        </is>
      </c>
      <c r="L88" t="inlineStr">
        <is>
          <t>$/GJ</t>
        </is>
      </c>
      <c r="M88">
        <f>M81</f>
        <v/>
      </c>
      <c r="N88">
        <f>N81</f>
        <v/>
      </c>
      <c r="O88">
        <f>O81</f>
        <v/>
      </c>
      <c r="P88">
        <f>P81</f>
        <v/>
      </c>
      <c r="Q88">
        <f>Q81</f>
        <v/>
      </c>
      <c r="R88">
        <f>R81</f>
        <v/>
      </c>
      <c r="S88">
        <f>S81</f>
        <v/>
      </c>
      <c r="T88">
        <f>T81</f>
        <v/>
      </c>
      <c r="U88">
        <f>U81</f>
        <v/>
      </c>
      <c r="V88">
        <f>V81</f>
        <v/>
      </c>
      <c r="W88">
        <f>W81</f>
        <v/>
      </c>
    </row>
    <row r="89">
      <c r="A89" t="inlineStr">
        <is>
          <t>CIMS.Generic Fuels.Petroleum Coke</t>
        </is>
      </c>
      <c r="B89" t="inlineStr">
        <is>
          <t>Service</t>
        </is>
      </c>
      <c r="C89" t="inlineStr">
        <is>
          <t>CIMS</t>
        </is>
      </c>
      <c r="E89" t="inlineStr">
        <is>
          <t>Petroleum Coke</t>
        </is>
      </c>
      <c r="G89" t="inlineStr">
        <is>
          <t>service_provide</t>
        </is>
      </c>
      <c r="L89" t="inlineStr">
        <is>
          <t>GJ</t>
        </is>
      </c>
    </row>
    <row r="90">
      <c r="A90" t="inlineStr">
        <is>
          <t>CIMS.Generic Fuels.Petroleum Coke</t>
        </is>
      </c>
      <c r="B90" t="inlineStr">
        <is>
          <t>Service</t>
        </is>
      </c>
      <c r="C90" t="inlineStr">
        <is>
          <t>CIMS</t>
        </is>
      </c>
      <c r="E90" t="inlineStr">
        <is>
          <t>Petroleum Coke</t>
        </is>
      </c>
      <c r="G90" t="inlineStr">
        <is>
          <t>competition</t>
        </is>
      </c>
      <c r="H90" t="inlineStr">
        <is>
          <t>Supply - Fixed Price</t>
        </is>
      </c>
    </row>
    <row r="91">
      <c r="A91" t="inlineStr">
        <is>
          <t>CIMS.Generic Fuels.Petroleum Coke</t>
        </is>
      </c>
      <c r="B91" t="inlineStr">
        <is>
          <t>Service</t>
        </is>
      </c>
      <c r="C91" t="inlineStr">
        <is>
          <t>CIMS</t>
        </is>
      </c>
      <c r="E91" t="inlineStr">
        <is>
          <t>Petroleum Coke</t>
        </is>
      </c>
      <c r="G91" t="inlineStr">
        <is>
          <t>is_supply</t>
        </is>
      </c>
      <c r="H91" t="b">
        <v>1</v>
      </c>
    </row>
    <row r="92">
      <c r="A92" t="inlineStr">
        <is>
          <t>CIMS.Generic Fuels.Petroleum Coke</t>
        </is>
      </c>
      <c r="B92" t="inlineStr">
        <is>
          <t>Service</t>
        </is>
      </c>
      <c r="C92" t="inlineStr">
        <is>
          <t>CIMS</t>
        </is>
      </c>
      <c r="E92" t="inlineStr">
        <is>
          <t>Petroleum Coke</t>
        </is>
      </c>
      <c r="G92" t="inlineStr">
        <is>
          <t>lcc_financial</t>
        </is>
      </c>
      <c r="K92" t="inlineStr">
        <is>
          <t>JCIMS</t>
        </is>
      </c>
      <c r="L92" t="inlineStr">
        <is>
          <t>$/GJ</t>
        </is>
      </c>
      <c r="M92">
        <f t="array" ref="M92">INDEX([1]!JCIMS_prices,_xlfn.XMATCH($E92,[1]!JCIMS_prices_index),_xlfn.XMATCH(M$2,[1]!CER_year))*[1]!JCIMS_price_inflator</f>
        <v/>
      </c>
      <c r="N92">
        <f t="array" ref="N92">INDEX([1]!JCIMS_prices,_xlfn.XMATCH($E92,[1]!JCIMS_prices_index),_xlfn.XMATCH(N$2,[1]!CER_year))*[1]!JCIMS_price_inflator</f>
        <v/>
      </c>
      <c r="O92">
        <f t="array" ref="O92">INDEX([1]!JCIMS_prices,_xlfn.XMATCH($E92,[1]!JCIMS_prices_index),_xlfn.XMATCH(O$2,[1]!CER_year))*[1]!JCIMS_price_inflator</f>
        <v/>
      </c>
      <c r="P92">
        <f t="array" ref="P92">INDEX([1]!JCIMS_prices,_xlfn.XMATCH($E92,[1]!JCIMS_prices_index),_xlfn.XMATCH(P$2,[1]!CER_year))*[1]!JCIMS_price_inflator</f>
        <v/>
      </c>
      <c r="Q92">
        <f t="array" ref="Q92">INDEX([1]!JCIMS_prices,_xlfn.XMATCH($E92,[1]!JCIMS_prices_index),_xlfn.XMATCH(Q$2,[1]!CER_year))*[1]!JCIMS_price_inflator</f>
        <v/>
      </c>
      <c r="R92">
        <f t="array" ref="R92">INDEX([1]!JCIMS_prices,_xlfn.XMATCH($E92,[1]!JCIMS_prices_index),_xlfn.XMATCH(R$2,[1]!CER_year))*[1]!JCIMS_price_inflator</f>
        <v/>
      </c>
      <c r="S92">
        <f t="array" ref="S92">INDEX([1]!JCIMS_prices,_xlfn.XMATCH($E92,[1]!JCIMS_prices_index),_xlfn.XMATCH(S$2,[1]!CER_year))*[1]!JCIMS_price_inflator</f>
        <v/>
      </c>
      <c r="T92">
        <f t="array" ref="T92">INDEX([1]!JCIMS_prices,_xlfn.XMATCH($E92,[1]!JCIMS_prices_index),_xlfn.XMATCH(T$2,[1]!CER_year))*[1]!JCIMS_price_inflator</f>
        <v/>
      </c>
      <c r="U92">
        <f t="array" ref="U92">INDEX([1]!JCIMS_prices,_xlfn.XMATCH($E92,[1]!JCIMS_prices_index),_xlfn.XMATCH(U$2,[1]!CER_year))*[1]!JCIMS_price_inflator</f>
        <v/>
      </c>
      <c r="V92">
        <f t="array" ref="V92">INDEX([1]!JCIMS_prices,_xlfn.XMATCH($E92,[1]!JCIMS_prices_index),_xlfn.XMATCH(V$2,[1]!CER_year))*[1]!JCIMS_price_inflator</f>
        <v/>
      </c>
      <c r="W92">
        <f t="array" ref="W92">INDEX([1]!JCIMS_prices,_xlfn.XMATCH($E92,[1]!JCIMS_prices_index),_xlfn.XMATCH(W$2,[1]!CER_year))*[1]!JCIMS_price_inflator</f>
        <v/>
      </c>
      <c r="X92" t="inlineStr">
        <is>
          <t>Cost in petroleum refining - AB</t>
        </is>
      </c>
    </row>
    <row r="93">
      <c r="A93" t="inlineStr">
        <is>
          <t>CIMS.Generic Fuels.Petroleum Coke</t>
        </is>
      </c>
      <c r="B93" t="inlineStr">
        <is>
          <t>Service</t>
        </is>
      </c>
      <c r="C93" t="inlineStr">
        <is>
          <t>CIMS</t>
        </is>
      </c>
      <c r="E93" t="inlineStr">
        <is>
          <t>Petroleum Coke</t>
        </is>
      </c>
      <c r="G93" t="inlineStr">
        <is>
          <t>emissions</t>
        </is>
      </c>
      <c r="H93" t="inlineStr">
        <is>
          <t>CO2</t>
        </is>
      </c>
      <c r="I93" t="inlineStr">
        <is>
          <t>Combustion</t>
        </is>
      </c>
      <c r="K93" t="inlineStr">
        <is>
          <t>ECCC, NIR</t>
        </is>
      </c>
      <c r="L93" t="inlineStr">
        <is>
          <t>tCO2</t>
        </is>
      </c>
      <c r="M93">
        <f t="array" ref="M93">INDEX([1]Coefficients!$G$132:$BO$151,_xlfn.XMATCH($E93,[1]Coefficients!$B$132:$B$151),_xlfn.XMATCH(M$2,[1]Coefficients!$G$1:$BO$1))</f>
        <v/>
      </c>
      <c r="N93">
        <f t="array" ref="N93">INDEX([1]Coefficients!$G$132:$BO$151,_xlfn.XMATCH($E93,[1]Coefficients!$B$132:$B$151),_xlfn.XMATCH(N$2,[1]Coefficients!$G$1:$BO$1))</f>
        <v/>
      </c>
      <c r="O93">
        <f t="array" ref="O93">INDEX([1]Coefficients!$G$132:$BO$151,_xlfn.XMATCH($E93,[1]Coefficients!$B$132:$B$151),_xlfn.XMATCH(O$2,[1]Coefficients!$G$1:$BO$1))</f>
        <v/>
      </c>
      <c r="P93">
        <f t="array" ref="P93">INDEX([1]Coefficients!$G$132:$BO$151,_xlfn.XMATCH($E93,[1]Coefficients!$B$132:$B$151),_xlfn.XMATCH(P$2,[1]Coefficients!$G$1:$BO$1))</f>
        <v/>
      </c>
      <c r="Q93">
        <f t="array" ref="Q93">INDEX([1]Coefficients!$G$132:$BO$151,_xlfn.XMATCH($E93,[1]Coefficients!$B$132:$B$151),_xlfn.XMATCH(Q$2,[1]Coefficients!$G$1:$BO$1))</f>
        <v/>
      </c>
      <c r="R93">
        <f t="array" ref="R93">INDEX([1]Coefficients!$G$132:$BO$151,_xlfn.XMATCH($E93,[1]Coefficients!$B$132:$B$151),_xlfn.XMATCH(R$2,[1]Coefficients!$G$1:$BO$1))</f>
        <v/>
      </c>
      <c r="S93">
        <f t="array" ref="S93">INDEX([1]Coefficients!$G$132:$BO$151,_xlfn.XMATCH($E93,[1]Coefficients!$B$132:$B$151),_xlfn.XMATCH(S$2,[1]Coefficients!$G$1:$BO$1))</f>
        <v/>
      </c>
      <c r="T93">
        <f t="array" ref="T93">INDEX([1]Coefficients!$G$132:$BO$151,_xlfn.XMATCH($E93,[1]Coefficients!$B$132:$B$151),_xlfn.XMATCH(T$2,[1]Coefficients!$G$1:$BO$1))</f>
        <v/>
      </c>
      <c r="U93">
        <f t="array" ref="U93">INDEX([1]Coefficients!$G$132:$BO$151,_xlfn.XMATCH($E93,[1]Coefficients!$B$132:$B$151),_xlfn.XMATCH(U$2,[1]Coefficients!$G$1:$BO$1))</f>
        <v/>
      </c>
      <c r="V93">
        <f t="array" ref="V93">INDEX([1]Coefficients!$G$132:$BO$151,_xlfn.XMATCH($E93,[1]Coefficients!$B$132:$B$151),_xlfn.XMATCH(V$2,[1]Coefficients!$G$1:$BO$1))</f>
        <v/>
      </c>
      <c r="W93">
        <f t="array" ref="W93">INDEX([1]Coefficients!$G$132:$BO$151,_xlfn.XMATCH($E93,[1]Coefficients!$B$132:$B$151),_xlfn.XMATCH(W$2,[1]Coefficients!$G$1:$BO$1))</f>
        <v/>
      </c>
    </row>
    <row r="94">
      <c r="A94" t="inlineStr">
        <is>
          <t>CIMS.Generic Fuels.Petroleum Coke</t>
        </is>
      </c>
      <c r="B94" t="inlineStr">
        <is>
          <t>Service</t>
        </is>
      </c>
      <c r="C94" t="inlineStr">
        <is>
          <t>CIMS</t>
        </is>
      </c>
      <c r="E94" t="inlineStr">
        <is>
          <t>Petroleum Coke</t>
        </is>
      </c>
      <c r="G94" t="inlineStr">
        <is>
          <t>emissions</t>
        </is>
      </c>
      <c r="H94" t="inlineStr">
        <is>
          <t>CH4</t>
        </is>
      </c>
      <c r="I94" t="inlineStr">
        <is>
          <t>Combustion</t>
        </is>
      </c>
      <c r="K94" t="inlineStr">
        <is>
          <t>ECCC, NIR</t>
        </is>
      </c>
      <c r="L94" t="inlineStr">
        <is>
          <t>tCH4</t>
        </is>
      </c>
      <c r="M94">
        <f t="array" ref="M94">INDEX([1]Coefficients!$G$156:$BO$175,_xlfn.XMATCH($E94,[1]Coefficients!$B$132:$B$151),_xlfn.XMATCH(M$2,[1]Coefficients!$G$1:$BO$1))</f>
        <v/>
      </c>
      <c r="N94">
        <f t="array" ref="N94">INDEX([1]Coefficients!$G$156:$BO$175,_xlfn.XMATCH($E94,[1]Coefficients!$B$132:$B$151),_xlfn.XMATCH(N$2,[1]Coefficients!$G$1:$BO$1))</f>
        <v/>
      </c>
      <c r="O94">
        <f t="array" ref="O94">INDEX([1]Coefficients!$G$156:$BO$175,_xlfn.XMATCH($E94,[1]Coefficients!$B$132:$B$151),_xlfn.XMATCH(O$2,[1]Coefficients!$G$1:$BO$1))</f>
        <v/>
      </c>
      <c r="P94">
        <f t="array" ref="P94">INDEX([1]Coefficients!$G$156:$BO$175,_xlfn.XMATCH($E94,[1]Coefficients!$B$132:$B$151),_xlfn.XMATCH(P$2,[1]Coefficients!$G$1:$BO$1))</f>
        <v/>
      </c>
      <c r="Q94">
        <f t="array" ref="Q94">INDEX([1]Coefficients!$G$156:$BO$175,_xlfn.XMATCH($E94,[1]Coefficients!$B$132:$B$151),_xlfn.XMATCH(Q$2,[1]Coefficients!$G$1:$BO$1))</f>
        <v/>
      </c>
      <c r="R94">
        <f t="array" ref="R94">INDEX([1]Coefficients!$G$156:$BO$175,_xlfn.XMATCH($E94,[1]Coefficients!$B$132:$B$151),_xlfn.XMATCH(R$2,[1]Coefficients!$G$1:$BO$1))</f>
        <v/>
      </c>
      <c r="S94">
        <f t="array" ref="S94">INDEX([1]Coefficients!$G$156:$BO$175,_xlfn.XMATCH($E94,[1]Coefficients!$B$132:$B$151),_xlfn.XMATCH(S$2,[1]Coefficients!$G$1:$BO$1))</f>
        <v/>
      </c>
      <c r="T94">
        <f t="array" ref="T94">INDEX([1]Coefficients!$G$156:$BO$175,_xlfn.XMATCH($E94,[1]Coefficients!$B$132:$B$151),_xlfn.XMATCH(T$2,[1]Coefficients!$G$1:$BO$1))</f>
        <v/>
      </c>
      <c r="U94">
        <f t="array" ref="U94">INDEX([1]Coefficients!$G$156:$BO$175,_xlfn.XMATCH($E94,[1]Coefficients!$B$132:$B$151),_xlfn.XMATCH(U$2,[1]Coefficients!$G$1:$BO$1))</f>
        <v/>
      </c>
      <c r="V94">
        <f t="array" ref="V94">INDEX([1]Coefficients!$G$156:$BO$175,_xlfn.XMATCH($E94,[1]Coefficients!$B$132:$B$151),_xlfn.XMATCH(V$2,[1]Coefficients!$G$1:$BO$1))</f>
        <v/>
      </c>
      <c r="W94">
        <f t="array" ref="W94">INDEX([1]Coefficients!$G$156:$BO$175,_xlfn.XMATCH($E94,[1]Coefficients!$B$132:$B$151),_xlfn.XMATCH(W$2,[1]Coefficients!$G$1:$BO$1))</f>
        <v/>
      </c>
    </row>
    <row r="95">
      <c r="A95" t="inlineStr">
        <is>
          <t>CIMS.Generic Fuels.Petroleum Coke</t>
        </is>
      </c>
      <c r="B95" t="inlineStr">
        <is>
          <t>Service</t>
        </is>
      </c>
      <c r="C95" t="inlineStr">
        <is>
          <t>CIMS</t>
        </is>
      </c>
      <c r="E95" t="inlineStr">
        <is>
          <t>Petroleum Coke</t>
        </is>
      </c>
      <c r="G95" t="inlineStr">
        <is>
          <t>emissions</t>
        </is>
      </c>
      <c r="H95" t="inlineStr">
        <is>
          <t>N2O</t>
        </is>
      </c>
      <c r="I95" t="inlineStr">
        <is>
          <t>Combustion</t>
        </is>
      </c>
      <c r="K95" t="inlineStr">
        <is>
          <t>ECCC, NIR</t>
        </is>
      </c>
      <c r="L95" t="inlineStr">
        <is>
          <t>tN2O</t>
        </is>
      </c>
      <c r="M95">
        <f t="array" ref="M95">INDEX([1]Coefficients!$G$180:$BO$199,_xlfn.XMATCH($E95,[1]Coefficients!$B$132:$B$151),_xlfn.XMATCH(M$2,[1]Coefficients!$G$1:$BO$1))</f>
        <v/>
      </c>
      <c r="N95">
        <f t="array" ref="N95">INDEX([1]Coefficients!$G$180:$BO$199,_xlfn.XMATCH($E95,[1]Coefficients!$B$132:$B$151),_xlfn.XMATCH(N$2,[1]Coefficients!$G$1:$BO$1))</f>
        <v/>
      </c>
      <c r="O95">
        <f t="array" ref="O95">INDEX([1]Coefficients!$G$180:$BO$199,_xlfn.XMATCH($E95,[1]Coefficients!$B$132:$B$151),_xlfn.XMATCH(O$2,[1]Coefficients!$G$1:$BO$1))</f>
        <v/>
      </c>
      <c r="P95">
        <f t="array" ref="P95">INDEX([1]Coefficients!$G$180:$BO$199,_xlfn.XMATCH($E95,[1]Coefficients!$B$132:$B$151),_xlfn.XMATCH(P$2,[1]Coefficients!$G$1:$BO$1))</f>
        <v/>
      </c>
      <c r="Q95">
        <f t="array" ref="Q95">INDEX([1]Coefficients!$G$180:$BO$199,_xlfn.XMATCH($E95,[1]Coefficients!$B$132:$B$151),_xlfn.XMATCH(Q$2,[1]Coefficients!$G$1:$BO$1))</f>
        <v/>
      </c>
      <c r="R95">
        <f t="array" ref="R95">INDEX([1]Coefficients!$G$180:$BO$199,_xlfn.XMATCH($E95,[1]Coefficients!$B$132:$B$151),_xlfn.XMATCH(R$2,[1]Coefficients!$G$1:$BO$1))</f>
        <v/>
      </c>
      <c r="S95">
        <f t="array" ref="S95">INDEX([1]Coefficients!$G$180:$BO$199,_xlfn.XMATCH($E95,[1]Coefficients!$B$132:$B$151),_xlfn.XMATCH(S$2,[1]Coefficients!$G$1:$BO$1))</f>
        <v/>
      </c>
      <c r="T95">
        <f t="array" ref="T95">INDEX([1]Coefficients!$G$180:$BO$199,_xlfn.XMATCH($E95,[1]Coefficients!$B$132:$B$151),_xlfn.XMATCH(T$2,[1]Coefficients!$G$1:$BO$1))</f>
        <v/>
      </c>
      <c r="U95">
        <f t="array" ref="U95">INDEX([1]Coefficients!$G$180:$BO$199,_xlfn.XMATCH($E95,[1]Coefficients!$B$132:$B$151),_xlfn.XMATCH(U$2,[1]Coefficients!$G$1:$BO$1))</f>
        <v/>
      </c>
      <c r="V95">
        <f t="array" ref="V95">INDEX([1]Coefficients!$G$180:$BO$199,_xlfn.XMATCH($E95,[1]Coefficients!$B$132:$B$151),_xlfn.XMATCH(V$2,[1]Coefficients!$G$1:$BO$1))</f>
        <v/>
      </c>
      <c r="W95">
        <f t="array" ref="W95">INDEX([1]Coefficients!$G$180:$BO$199,_xlfn.XMATCH($E95,[1]Coefficients!$B$132:$B$151),_xlfn.XMATCH(W$2,[1]Coefficients!$G$1:$BO$1))</f>
        <v/>
      </c>
    </row>
    <row r="96">
      <c r="A96" t="inlineStr">
        <is>
          <t>CIMS.Generic Fuels.Propane</t>
        </is>
      </c>
      <c r="B96" t="inlineStr">
        <is>
          <t>Service</t>
        </is>
      </c>
      <c r="C96" t="inlineStr">
        <is>
          <t>CIMS</t>
        </is>
      </c>
      <c r="E96" t="inlineStr">
        <is>
          <t>Propane</t>
        </is>
      </c>
      <c r="G96" t="inlineStr">
        <is>
          <t>service_provide</t>
        </is>
      </c>
      <c r="L96" t="inlineStr">
        <is>
          <t>GJ</t>
        </is>
      </c>
    </row>
    <row r="97">
      <c r="A97" t="inlineStr">
        <is>
          <t>CIMS.Generic Fuels.Propane</t>
        </is>
      </c>
      <c r="B97" t="inlineStr">
        <is>
          <t>Service</t>
        </is>
      </c>
      <c r="C97" t="inlineStr">
        <is>
          <t>CIMS</t>
        </is>
      </c>
      <c r="E97" t="inlineStr">
        <is>
          <t>Propane</t>
        </is>
      </c>
      <c r="G97" t="inlineStr">
        <is>
          <t>competition</t>
        </is>
      </c>
      <c r="H97" t="inlineStr">
        <is>
          <t>Supply - Fixed Price</t>
        </is>
      </c>
    </row>
    <row r="98">
      <c r="A98" t="inlineStr">
        <is>
          <t>CIMS.Generic Fuels.Propane</t>
        </is>
      </c>
      <c r="B98" t="inlineStr">
        <is>
          <t>Service</t>
        </is>
      </c>
      <c r="C98" t="inlineStr">
        <is>
          <t>CIMS</t>
        </is>
      </c>
      <c r="E98" t="inlineStr">
        <is>
          <t>Propane</t>
        </is>
      </c>
      <c r="G98" t="inlineStr">
        <is>
          <t>is_supply</t>
        </is>
      </c>
      <c r="H98" t="b">
        <v>1</v>
      </c>
    </row>
    <row r="99">
      <c r="A99" t="inlineStr">
        <is>
          <t>CIMS.Generic Fuels.Propane</t>
        </is>
      </c>
      <c r="B99" t="inlineStr">
        <is>
          <t>Service</t>
        </is>
      </c>
      <c r="C99" t="inlineStr">
        <is>
          <t>CIMS</t>
        </is>
      </c>
      <c r="E99" t="inlineStr">
        <is>
          <t>Propane</t>
        </is>
      </c>
      <c r="G99" t="inlineStr">
        <is>
          <t>lcc_financial</t>
        </is>
      </c>
      <c r="K99" t="inlineStr">
        <is>
          <t>JCIMS</t>
        </is>
      </c>
      <c r="L99" t="inlineStr">
        <is>
          <t>$/GJ</t>
        </is>
      </c>
      <c r="M99">
        <f t="array" ref="M99">INDEX([1]!JCIMS_prices,_xlfn.XMATCH($E99,[1]!JCIMS_prices_index),_xlfn.XMATCH(M$2,[1]!CER_year))*[1]!JCIMS_price_inflator</f>
        <v/>
      </c>
      <c r="N99">
        <f>M99</f>
        <v/>
      </c>
      <c r="O99">
        <f>N99</f>
        <v/>
      </c>
      <c r="P99">
        <f>O99</f>
        <v/>
      </c>
      <c r="Q99">
        <f>P99</f>
        <v/>
      </c>
      <c r="R99">
        <f>Q99</f>
        <v/>
      </c>
      <c r="S99">
        <f>R99</f>
        <v/>
      </c>
      <c r="T99">
        <f>S99</f>
        <v/>
      </c>
      <c r="U99">
        <f>T99</f>
        <v/>
      </c>
      <c r="V99">
        <f>U99</f>
        <v/>
      </c>
      <c r="W99">
        <f>V99</f>
        <v/>
      </c>
      <c r="X99" t="inlineStr">
        <is>
          <t>Cost in commercial - ON</t>
        </is>
      </c>
    </row>
    <row r="100">
      <c r="A100" t="inlineStr">
        <is>
          <t>CIMS.Generic Fuels.Propane</t>
        </is>
      </c>
      <c r="B100" t="inlineStr">
        <is>
          <t>Service</t>
        </is>
      </c>
      <c r="C100" t="inlineStr">
        <is>
          <t>CIMS</t>
        </is>
      </c>
      <c r="E100" t="inlineStr">
        <is>
          <t>Propane</t>
        </is>
      </c>
      <c r="G100" t="inlineStr">
        <is>
          <t>emissions</t>
        </is>
      </c>
      <c r="H100" t="inlineStr">
        <is>
          <t>CO2</t>
        </is>
      </c>
      <c r="I100" t="inlineStr">
        <is>
          <t>Combustion</t>
        </is>
      </c>
      <c r="K100" t="inlineStr">
        <is>
          <t>ECCC, NIR</t>
        </is>
      </c>
      <c r="L100" t="inlineStr">
        <is>
          <t>tCO2</t>
        </is>
      </c>
      <c r="M100">
        <f t="array" ref="M100">INDEX([1]Coefficients!$G$132:$BO$151,_xlfn.XMATCH($E100,[1]Coefficients!$B$132:$B$151),_xlfn.XMATCH(M$2,[1]Coefficients!$G$1:$BO$1))</f>
        <v/>
      </c>
      <c r="N100">
        <f t="array" ref="N100">INDEX([1]Coefficients!$G$132:$BO$151,_xlfn.XMATCH($E100,[1]Coefficients!$B$132:$B$151),_xlfn.XMATCH(N$2,[1]Coefficients!$G$1:$BO$1))</f>
        <v/>
      </c>
      <c r="O100">
        <f t="array" ref="O100">INDEX([1]Coefficients!$G$132:$BO$151,_xlfn.XMATCH($E100,[1]Coefficients!$B$132:$B$151),_xlfn.XMATCH(O$2,[1]Coefficients!$G$1:$BO$1))</f>
        <v/>
      </c>
      <c r="P100">
        <f t="array" ref="P100">INDEX([1]Coefficients!$G$132:$BO$151,_xlfn.XMATCH($E100,[1]Coefficients!$B$132:$B$151),_xlfn.XMATCH(P$2,[1]Coefficients!$G$1:$BO$1))</f>
        <v/>
      </c>
      <c r="Q100">
        <f t="array" ref="Q100">INDEX([1]Coefficients!$G$132:$BO$151,_xlfn.XMATCH($E100,[1]Coefficients!$B$132:$B$151),_xlfn.XMATCH(Q$2,[1]Coefficients!$G$1:$BO$1))</f>
        <v/>
      </c>
      <c r="R100">
        <f t="array" ref="R100">INDEX([1]Coefficients!$G$132:$BO$151,_xlfn.XMATCH($E100,[1]Coefficients!$B$132:$B$151),_xlfn.XMATCH(R$2,[1]Coefficients!$G$1:$BO$1))</f>
        <v/>
      </c>
      <c r="S100">
        <f t="array" ref="S100">INDEX([1]Coefficients!$G$132:$BO$151,_xlfn.XMATCH($E100,[1]Coefficients!$B$132:$B$151),_xlfn.XMATCH(S$2,[1]Coefficients!$G$1:$BO$1))</f>
        <v/>
      </c>
      <c r="T100">
        <f t="array" ref="T100">INDEX([1]Coefficients!$G$132:$BO$151,_xlfn.XMATCH($E100,[1]Coefficients!$B$132:$B$151),_xlfn.XMATCH(T$2,[1]Coefficients!$G$1:$BO$1))</f>
        <v/>
      </c>
      <c r="U100">
        <f t="array" ref="U100">INDEX([1]Coefficients!$G$132:$BO$151,_xlfn.XMATCH($E100,[1]Coefficients!$B$132:$B$151),_xlfn.XMATCH(U$2,[1]Coefficients!$G$1:$BO$1))</f>
        <v/>
      </c>
      <c r="V100">
        <f t="array" ref="V100">INDEX([1]Coefficients!$G$132:$BO$151,_xlfn.XMATCH($E100,[1]Coefficients!$B$132:$B$151),_xlfn.XMATCH(V$2,[1]Coefficients!$G$1:$BO$1))</f>
        <v/>
      </c>
      <c r="W100">
        <f t="array" ref="W100">INDEX([1]Coefficients!$G$132:$BO$151,_xlfn.XMATCH($E100,[1]Coefficients!$B$132:$B$151),_xlfn.XMATCH(W$2,[1]Coefficients!$G$1:$BO$1))</f>
        <v/>
      </c>
    </row>
    <row r="101">
      <c r="A101" t="inlineStr">
        <is>
          <t>CIMS.Generic Fuels.Propane</t>
        </is>
      </c>
      <c r="B101" t="inlineStr">
        <is>
          <t>Service</t>
        </is>
      </c>
      <c r="C101" t="inlineStr">
        <is>
          <t>CIMS</t>
        </is>
      </c>
      <c r="E101" t="inlineStr">
        <is>
          <t>Propane</t>
        </is>
      </c>
      <c r="G101" t="inlineStr">
        <is>
          <t>emissions</t>
        </is>
      </c>
      <c r="H101" t="inlineStr">
        <is>
          <t>CH4</t>
        </is>
      </c>
      <c r="I101" t="inlineStr">
        <is>
          <t>Combustion</t>
        </is>
      </c>
      <c r="K101" t="inlineStr">
        <is>
          <t>ECCC, NIR</t>
        </is>
      </c>
      <c r="L101" t="inlineStr">
        <is>
          <t>tCH4</t>
        </is>
      </c>
      <c r="M101">
        <f t="array" ref="M101">INDEX([1]Coefficients!$G$156:$BO$175,_xlfn.XMATCH($E101,[1]Coefficients!$B$132:$B$151),_xlfn.XMATCH(M$2,[1]Coefficients!$G$1:$BO$1))</f>
        <v/>
      </c>
      <c r="N101">
        <f t="array" ref="N101">INDEX([1]Coefficients!$G$156:$BO$175,_xlfn.XMATCH($E101,[1]Coefficients!$B$132:$B$151),_xlfn.XMATCH(N$2,[1]Coefficients!$G$1:$BO$1))</f>
        <v/>
      </c>
      <c r="O101">
        <f t="array" ref="O101">INDEX([1]Coefficients!$G$156:$BO$175,_xlfn.XMATCH($E101,[1]Coefficients!$B$132:$B$151),_xlfn.XMATCH(O$2,[1]Coefficients!$G$1:$BO$1))</f>
        <v/>
      </c>
      <c r="P101">
        <f t="array" ref="P101">INDEX([1]Coefficients!$G$156:$BO$175,_xlfn.XMATCH($E101,[1]Coefficients!$B$132:$B$151),_xlfn.XMATCH(P$2,[1]Coefficients!$G$1:$BO$1))</f>
        <v/>
      </c>
      <c r="Q101">
        <f t="array" ref="Q101">INDEX([1]Coefficients!$G$156:$BO$175,_xlfn.XMATCH($E101,[1]Coefficients!$B$132:$B$151),_xlfn.XMATCH(Q$2,[1]Coefficients!$G$1:$BO$1))</f>
        <v/>
      </c>
      <c r="R101">
        <f t="array" ref="R101">INDEX([1]Coefficients!$G$156:$BO$175,_xlfn.XMATCH($E101,[1]Coefficients!$B$132:$B$151),_xlfn.XMATCH(R$2,[1]Coefficients!$G$1:$BO$1))</f>
        <v/>
      </c>
      <c r="S101">
        <f t="array" ref="S101">INDEX([1]Coefficients!$G$156:$BO$175,_xlfn.XMATCH($E101,[1]Coefficients!$B$132:$B$151),_xlfn.XMATCH(S$2,[1]Coefficients!$G$1:$BO$1))</f>
        <v/>
      </c>
      <c r="T101">
        <f t="array" ref="T101">INDEX([1]Coefficients!$G$156:$BO$175,_xlfn.XMATCH($E101,[1]Coefficients!$B$132:$B$151),_xlfn.XMATCH(T$2,[1]Coefficients!$G$1:$BO$1))</f>
        <v/>
      </c>
      <c r="U101">
        <f t="array" ref="U101">INDEX([1]Coefficients!$G$156:$BO$175,_xlfn.XMATCH($E101,[1]Coefficients!$B$132:$B$151),_xlfn.XMATCH(U$2,[1]Coefficients!$G$1:$BO$1))</f>
        <v/>
      </c>
      <c r="V101">
        <f t="array" ref="V101">INDEX([1]Coefficients!$G$156:$BO$175,_xlfn.XMATCH($E101,[1]Coefficients!$B$132:$B$151),_xlfn.XMATCH(V$2,[1]Coefficients!$G$1:$BO$1))</f>
        <v/>
      </c>
      <c r="W101">
        <f t="array" ref="W101">INDEX([1]Coefficients!$G$156:$BO$175,_xlfn.XMATCH($E101,[1]Coefficients!$B$132:$B$151),_xlfn.XMATCH(W$2,[1]Coefficients!$G$1:$BO$1))</f>
        <v/>
      </c>
    </row>
    <row r="102">
      <c r="A102" t="inlineStr">
        <is>
          <t>CIMS.Generic Fuels.Propane</t>
        </is>
      </c>
      <c r="B102" t="inlineStr">
        <is>
          <t>Service</t>
        </is>
      </c>
      <c r="C102" t="inlineStr">
        <is>
          <t>CIMS</t>
        </is>
      </c>
      <c r="E102" t="inlineStr">
        <is>
          <t>Propane</t>
        </is>
      </c>
      <c r="G102" t="inlineStr">
        <is>
          <t>emissions</t>
        </is>
      </c>
      <c r="H102" t="inlineStr">
        <is>
          <t>N2O</t>
        </is>
      </c>
      <c r="I102" t="inlineStr">
        <is>
          <t>Combustion</t>
        </is>
      </c>
      <c r="K102" t="inlineStr">
        <is>
          <t>ECCC, NIR</t>
        </is>
      </c>
      <c r="L102" t="inlineStr">
        <is>
          <t>tN2O</t>
        </is>
      </c>
      <c r="M102">
        <f t="array" ref="M102">INDEX([1]Coefficients!$G$180:$BO$199,_xlfn.XMATCH($E102,[1]Coefficients!$B$132:$B$151),_xlfn.XMATCH(M$2,[1]Coefficients!$G$1:$BO$1))</f>
        <v/>
      </c>
      <c r="N102">
        <f t="array" ref="N102">INDEX([1]Coefficients!$G$180:$BO$199,_xlfn.XMATCH($E102,[1]Coefficients!$B$132:$B$151),_xlfn.XMATCH(N$2,[1]Coefficients!$G$1:$BO$1))</f>
        <v/>
      </c>
      <c r="O102">
        <f t="array" ref="O102">INDEX([1]Coefficients!$G$180:$BO$199,_xlfn.XMATCH($E102,[1]Coefficients!$B$132:$B$151),_xlfn.XMATCH(O$2,[1]Coefficients!$G$1:$BO$1))</f>
        <v/>
      </c>
      <c r="P102">
        <f t="array" ref="P102">INDEX([1]Coefficients!$G$180:$BO$199,_xlfn.XMATCH($E102,[1]Coefficients!$B$132:$B$151),_xlfn.XMATCH(P$2,[1]Coefficients!$G$1:$BO$1))</f>
        <v/>
      </c>
      <c r="Q102">
        <f t="array" ref="Q102">INDEX([1]Coefficients!$G$180:$BO$199,_xlfn.XMATCH($E102,[1]Coefficients!$B$132:$B$151),_xlfn.XMATCH(Q$2,[1]Coefficients!$G$1:$BO$1))</f>
        <v/>
      </c>
      <c r="R102">
        <f t="array" ref="R102">INDEX([1]Coefficients!$G$180:$BO$199,_xlfn.XMATCH($E102,[1]Coefficients!$B$132:$B$151),_xlfn.XMATCH(R$2,[1]Coefficients!$G$1:$BO$1))</f>
        <v/>
      </c>
      <c r="S102">
        <f t="array" ref="S102">INDEX([1]Coefficients!$G$180:$BO$199,_xlfn.XMATCH($E102,[1]Coefficients!$B$132:$B$151),_xlfn.XMATCH(S$2,[1]Coefficients!$G$1:$BO$1))</f>
        <v/>
      </c>
      <c r="T102">
        <f t="array" ref="T102">INDEX([1]Coefficients!$G$180:$BO$199,_xlfn.XMATCH($E102,[1]Coefficients!$B$132:$B$151),_xlfn.XMATCH(T$2,[1]Coefficients!$G$1:$BO$1))</f>
        <v/>
      </c>
      <c r="U102">
        <f t="array" ref="U102">INDEX([1]Coefficients!$G$180:$BO$199,_xlfn.XMATCH($E102,[1]Coefficients!$B$132:$B$151),_xlfn.XMATCH(U$2,[1]Coefficients!$G$1:$BO$1))</f>
        <v/>
      </c>
      <c r="V102">
        <f t="array" ref="V102">INDEX([1]Coefficients!$G$180:$BO$199,_xlfn.XMATCH($E102,[1]Coefficients!$B$132:$B$151),_xlfn.XMATCH(V$2,[1]Coefficients!$G$1:$BO$1))</f>
        <v/>
      </c>
      <c r="W102">
        <f t="array" ref="W102">INDEX([1]Coefficients!$G$180:$BO$199,_xlfn.XMATCH($E102,[1]Coefficients!$B$132:$B$151),_xlfn.XMATCH(W$2,[1]Coefficients!$G$1:$BO$1))</f>
        <v/>
      </c>
    </row>
    <row r="103">
      <c r="A103" t="inlineStr">
        <is>
          <t>CIMS.Generic Fuels.Refinery Fuel Gas</t>
        </is>
      </c>
      <c r="B103" t="inlineStr">
        <is>
          <t>Service</t>
        </is>
      </c>
      <c r="C103" t="inlineStr">
        <is>
          <t>CIMS</t>
        </is>
      </c>
      <c r="E103" t="inlineStr">
        <is>
          <t>Refinery Fuel Gas</t>
        </is>
      </c>
      <c r="G103" t="inlineStr">
        <is>
          <t>service_provide</t>
        </is>
      </c>
      <c r="L103" t="inlineStr">
        <is>
          <t>GJ</t>
        </is>
      </c>
    </row>
    <row r="104">
      <c r="A104" t="inlineStr">
        <is>
          <t>CIMS.Generic Fuels.Refinery Fuel Gas</t>
        </is>
      </c>
      <c r="B104" t="inlineStr">
        <is>
          <t>Service</t>
        </is>
      </c>
      <c r="C104" t="inlineStr">
        <is>
          <t>CIMS</t>
        </is>
      </c>
      <c r="E104" t="inlineStr">
        <is>
          <t>Refinery Fuel Gas</t>
        </is>
      </c>
      <c r="G104" t="inlineStr">
        <is>
          <t>competition</t>
        </is>
      </c>
      <c r="H104" t="inlineStr">
        <is>
          <t>Supply - Fixed Price</t>
        </is>
      </c>
    </row>
    <row r="105">
      <c r="A105" t="inlineStr">
        <is>
          <t>CIMS.Generic Fuels.Refinery Fuel Gas</t>
        </is>
      </c>
      <c r="B105" t="inlineStr">
        <is>
          <t>Service</t>
        </is>
      </c>
      <c r="C105" t="inlineStr">
        <is>
          <t>CIMS</t>
        </is>
      </c>
      <c r="E105" t="inlineStr">
        <is>
          <t>Refinery Fuel Gas</t>
        </is>
      </c>
      <c r="G105" t="inlineStr">
        <is>
          <t>is_supply</t>
        </is>
      </c>
      <c r="H105" t="b">
        <v>1</v>
      </c>
    </row>
    <row r="106">
      <c r="A106" t="inlineStr">
        <is>
          <t>CIMS.Generic Fuels.Refinery Fuel Gas</t>
        </is>
      </c>
      <c r="B106" t="inlineStr">
        <is>
          <t>Service</t>
        </is>
      </c>
      <c r="C106" t="inlineStr">
        <is>
          <t>CIMS</t>
        </is>
      </c>
      <c r="E106" t="inlineStr">
        <is>
          <t>Refinery Fuel Gas</t>
        </is>
      </c>
      <c r="G106" t="inlineStr">
        <is>
          <t>lcc_financial</t>
        </is>
      </c>
      <c r="K106" t="inlineStr">
        <is>
          <t>JCIMS</t>
        </is>
      </c>
      <c r="L106" t="inlineStr">
        <is>
          <t>$/GJ</t>
        </is>
      </c>
      <c r="M106">
        <f t="array" ref="M106">INDEX([1]!JCIMS_prices,_xlfn.XMATCH($E106,[1]!JCIMS_prices_index),_xlfn.XMATCH(M$2,[1]!CER_year))*[1]!JCIMS_price_inflator</f>
        <v/>
      </c>
      <c r="N106">
        <f t="array" ref="N106">INDEX([1]!JCIMS_prices,_xlfn.XMATCH($E106,[1]!JCIMS_prices_index),_xlfn.XMATCH(N$2,[1]!CER_year))*[1]!JCIMS_price_inflator</f>
        <v/>
      </c>
      <c r="O106">
        <f t="array" ref="O106">INDEX([1]!JCIMS_prices,_xlfn.XMATCH($E106,[1]!JCIMS_prices_index),_xlfn.XMATCH(O$2,[1]!CER_year))*[1]!JCIMS_price_inflator</f>
        <v/>
      </c>
      <c r="P106">
        <f t="array" ref="P106">INDEX([1]!JCIMS_prices,_xlfn.XMATCH($E106,[1]!JCIMS_prices_index),_xlfn.XMATCH(P$2,[1]!CER_year))*[1]!JCIMS_price_inflator</f>
        <v/>
      </c>
      <c r="Q106">
        <f t="array" ref="Q106">INDEX([1]!JCIMS_prices,_xlfn.XMATCH($E106,[1]!JCIMS_prices_index),_xlfn.XMATCH(Q$2,[1]!CER_year))*[1]!JCIMS_price_inflator</f>
        <v/>
      </c>
      <c r="R106">
        <f t="array" ref="R106">INDEX([1]!JCIMS_prices,_xlfn.XMATCH($E106,[1]!JCIMS_prices_index),_xlfn.XMATCH(R$2,[1]!CER_year))*[1]!JCIMS_price_inflator</f>
        <v/>
      </c>
      <c r="S106">
        <f t="array" ref="S106">INDEX([1]!JCIMS_prices,_xlfn.XMATCH($E106,[1]!JCIMS_prices_index),_xlfn.XMATCH(S$2,[1]!CER_year))*[1]!JCIMS_price_inflator</f>
        <v/>
      </c>
      <c r="T106">
        <f t="array" ref="T106">INDEX([1]!JCIMS_prices,_xlfn.XMATCH($E106,[1]!JCIMS_prices_index),_xlfn.XMATCH(T$2,[1]!CER_year))*[1]!JCIMS_price_inflator</f>
        <v/>
      </c>
      <c r="U106">
        <f t="array" ref="U106">INDEX([1]!JCIMS_prices,_xlfn.XMATCH($E106,[1]!JCIMS_prices_index),_xlfn.XMATCH(U$2,[1]!CER_year))*[1]!JCIMS_price_inflator</f>
        <v/>
      </c>
      <c r="V106">
        <f t="array" ref="V106">INDEX([1]!JCIMS_prices,_xlfn.XMATCH($E106,[1]!JCIMS_prices_index),_xlfn.XMATCH(V$2,[1]!CER_year))*[1]!JCIMS_price_inflator</f>
        <v/>
      </c>
      <c r="W106">
        <f t="array" ref="W106">INDEX([1]!JCIMS_prices,_xlfn.XMATCH($E106,[1]!JCIMS_prices_index),_xlfn.XMATCH(W$2,[1]!CER_year))*[1]!JCIMS_price_inflator</f>
        <v/>
      </c>
      <c r="X106" t="inlineStr">
        <is>
          <t>Cost in petroleum refining - AB (use $0.0001 instead of $0.00)</t>
        </is>
      </c>
    </row>
    <row r="107">
      <c r="A107" t="inlineStr">
        <is>
          <t>CIMS.Generic Fuels.Refinery Fuel Gas</t>
        </is>
      </c>
      <c r="B107" t="inlineStr">
        <is>
          <t>Service</t>
        </is>
      </c>
      <c r="C107" t="inlineStr">
        <is>
          <t>CIMS</t>
        </is>
      </c>
      <c r="E107" t="inlineStr">
        <is>
          <t>Refinery Fuel Gas</t>
        </is>
      </c>
      <c r="G107" t="inlineStr">
        <is>
          <t>emissions</t>
        </is>
      </c>
      <c r="H107" t="inlineStr">
        <is>
          <t>CO2</t>
        </is>
      </c>
      <c r="I107" t="inlineStr">
        <is>
          <t>Combustion</t>
        </is>
      </c>
      <c r="K107" t="inlineStr">
        <is>
          <t>ECCC, NIR</t>
        </is>
      </c>
      <c r="L107" t="inlineStr">
        <is>
          <t>tCO2</t>
        </is>
      </c>
      <c r="M107">
        <f t="array" ref="M107">INDEX([1]Coefficients!$G$132:$BO$151,_xlfn.XMATCH($E107,[1]Coefficients!$B$132:$B$151),_xlfn.XMATCH(M$2,[1]Coefficients!$G$1:$BO$1))</f>
        <v/>
      </c>
      <c r="N107">
        <f t="array" ref="N107">INDEX([1]Coefficients!$G$132:$BO$151,_xlfn.XMATCH($E107,[1]Coefficients!$B$132:$B$151),_xlfn.XMATCH(N$2,[1]Coefficients!$G$1:$BO$1))</f>
        <v/>
      </c>
      <c r="O107">
        <f t="array" ref="O107">INDEX([1]Coefficients!$G$132:$BO$151,_xlfn.XMATCH($E107,[1]Coefficients!$B$132:$B$151),_xlfn.XMATCH(O$2,[1]Coefficients!$G$1:$BO$1))</f>
        <v/>
      </c>
      <c r="P107">
        <f t="array" ref="P107">INDEX([1]Coefficients!$G$132:$BO$151,_xlfn.XMATCH($E107,[1]Coefficients!$B$132:$B$151),_xlfn.XMATCH(P$2,[1]Coefficients!$G$1:$BO$1))</f>
        <v/>
      </c>
      <c r="Q107">
        <f t="array" ref="Q107">INDEX([1]Coefficients!$G$132:$BO$151,_xlfn.XMATCH($E107,[1]Coefficients!$B$132:$B$151),_xlfn.XMATCH(Q$2,[1]Coefficients!$G$1:$BO$1))</f>
        <v/>
      </c>
      <c r="R107">
        <f t="array" ref="R107">INDEX([1]Coefficients!$G$132:$BO$151,_xlfn.XMATCH($E107,[1]Coefficients!$B$132:$B$151),_xlfn.XMATCH(R$2,[1]Coefficients!$G$1:$BO$1))</f>
        <v/>
      </c>
      <c r="S107">
        <f t="array" ref="S107">INDEX([1]Coefficients!$G$132:$BO$151,_xlfn.XMATCH($E107,[1]Coefficients!$B$132:$B$151),_xlfn.XMATCH(S$2,[1]Coefficients!$G$1:$BO$1))</f>
        <v/>
      </c>
      <c r="T107">
        <f t="array" ref="T107">INDEX([1]Coefficients!$G$132:$BO$151,_xlfn.XMATCH($E107,[1]Coefficients!$B$132:$B$151),_xlfn.XMATCH(T$2,[1]Coefficients!$G$1:$BO$1))</f>
        <v/>
      </c>
      <c r="U107">
        <f t="array" ref="U107">INDEX([1]Coefficients!$G$132:$BO$151,_xlfn.XMATCH($E107,[1]Coefficients!$B$132:$B$151),_xlfn.XMATCH(U$2,[1]Coefficients!$G$1:$BO$1))</f>
        <v/>
      </c>
      <c r="V107">
        <f t="array" ref="V107">INDEX([1]Coefficients!$G$132:$BO$151,_xlfn.XMATCH($E107,[1]Coefficients!$B$132:$B$151),_xlfn.XMATCH(V$2,[1]Coefficients!$G$1:$BO$1))</f>
        <v/>
      </c>
      <c r="W107">
        <f t="array" ref="W107">INDEX([1]Coefficients!$G$132:$BO$151,_xlfn.XMATCH($E107,[1]Coefficients!$B$132:$B$151),_xlfn.XMATCH(W$2,[1]Coefficients!$G$1:$BO$1))</f>
        <v/>
      </c>
    </row>
    <row r="108">
      <c r="A108" t="inlineStr">
        <is>
          <t>CIMS.Generic Fuels.Refinery Fuel Gas</t>
        </is>
      </c>
      <c r="B108" t="inlineStr">
        <is>
          <t>Service</t>
        </is>
      </c>
      <c r="C108" t="inlineStr">
        <is>
          <t>CIMS</t>
        </is>
      </c>
      <c r="E108" t="inlineStr">
        <is>
          <t>Refinery Fuel Gas</t>
        </is>
      </c>
      <c r="G108" t="inlineStr">
        <is>
          <t>emissions</t>
        </is>
      </c>
      <c r="H108" t="inlineStr">
        <is>
          <t>CH4</t>
        </is>
      </c>
      <c r="I108" t="inlineStr">
        <is>
          <t>Combustion</t>
        </is>
      </c>
      <c r="K108" t="inlineStr">
        <is>
          <t>ECCC, NIR</t>
        </is>
      </c>
      <c r="L108" t="inlineStr">
        <is>
          <t>tCH4</t>
        </is>
      </c>
      <c r="M108">
        <f t="array" ref="M108">INDEX([1]Coefficients!$G$156:$BO$175,_xlfn.XMATCH($E108,[1]Coefficients!$B$132:$B$151),_xlfn.XMATCH(M$2,[1]Coefficients!$G$1:$BO$1))</f>
        <v/>
      </c>
      <c r="N108">
        <f t="array" ref="N108">INDEX([1]Coefficients!$G$156:$BO$175,_xlfn.XMATCH($E108,[1]Coefficients!$B$132:$B$151),_xlfn.XMATCH(N$2,[1]Coefficients!$G$1:$BO$1))</f>
        <v/>
      </c>
      <c r="O108">
        <f t="array" ref="O108">INDEX([1]Coefficients!$G$156:$BO$175,_xlfn.XMATCH($E108,[1]Coefficients!$B$132:$B$151),_xlfn.XMATCH(O$2,[1]Coefficients!$G$1:$BO$1))</f>
        <v/>
      </c>
      <c r="P108">
        <f t="array" ref="P108">INDEX([1]Coefficients!$G$156:$BO$175,_xlfn.XMATCH($E108,[1]Coefficients!$B$132:$B$151),_xlfn.XMATCH(P$2,[1]Coefficients!$G$1:$BO$1))</f>
        <v/>
      </c>
      <c r="Q108">
        <f t="array" ref="Q108">INDEX([1]Coefficients!$G$156:$BO$175,_xlfn.XMATCH($E108,[1]Coefficients!$B$132:$B$151),_xlfn.XMATCH(Q$2,[1]Coefficients!$G$1:$BO$1))</f>
        <v/>
      </c>
      <c r="R108">
        <f t="array" ref="R108">INDEX([1]Coefficients!$G$156:$BO$175,_xlfn.XMATCH($E108,[1]Coefficients!$B$132:$B$151),_xlfn.XMATCH(R$2,[1]Coefficients!$G$1:$BO$1))</f>
        <v/>
      </c>
      <c r="S108">
        <f t="array" ref="S108">INDEX([1]Coefficients!$G$156:$BO$175,_xlfn.XMATCH($E108,[1]Coefficients!$B$132:$B$151),_xlfn.XMATCH(S$2,[1]Coefficients!$G$1:$BO$1))</f>
        <v/>
      </c>
      <c r="T108">
        <f t="array" ref="T108">INDEX([1]Coefficients!$G$156:$BO$175,_xlfn.XMATCH($E108,[1]Coefficients!$B$132:$B$151),_xlfn.XMATCH(T$2,[1]Coefficients!$G$1:$BO$1))</f>
        <v/>
      </c>
      <c r="U108">
        <f t="array" ref="U108">INDEX([1]Coefficients!$G$156:$BO$175,_xlfn.XMATCH($E108,[1]Coefficients!$B$132:$B$151),_xlfn.XMATCH(U$2,[1]Coefficients!$G$1:$BO$1))</f>
        <v/>
      </c>
      <c r="V108">
        <f t="array" ref="V108">INDEX([1]Coefficients!$G$156:$BO$175,_xlfn.XMATCH($E108,[1]Coefficients!$B$132:$B$151),_xlfn.XMATCH(V$2,[1]Coefficients!$G$1:$BO$1))</f>
        <v/>
      </c>
      <c r="W108">
        <f t="array" ref="W108">INDEX([1]Coefficients!$G$156:$BO$175,_xlfn.XMATCH($E108,[1]Coefficients!$B$132:$B$151),_xlfn.XMATCH(W$2,[1]Coefficients!$G$1:$BO$1))</f>
        <v/>
      </c>
    </row>
    <row r="109">
      <c r="A109" t="inlineStr">
        <is>
          <t>CIMS.Generic Fuels.Refinery Fuel Gas</t>
        </is>
      </c>
      <c r="B109" t="inlineStr">
        <is>
          <t>Service</t>
        </is>
      </c>
      <c r="C109" t="inlineStr">
        <is>
          <t>CIMS</t>
        </is>
      </c>
      <c r="E109" t="inlineStr">
        <is>
          <t>Refinery Fuel Gas</t>
        </is>
      </c>
      <c r="G109" t="inlineStr">
        <is>
          <t>emissions</t>
        </is>
      </c>
      <c r="H109" t="inlineStr">
        <is>
          <t>N2O</t>
        </is>
      </c>
      <c r="I109" t="inlineStr">
        <is>
          <t>Combustion</t>
        </is>
      </c>
      <c r="K109" t="inlineStr">
        <is>
          <t>ECCC, NIR</t>
        </is>
      </c>
      <c r="L109" t="inlineStr">
        <is>
          <t>tN2O</t>
        </is>
      </c>
      <c r="M109">
        <f t="array" ref="M109">INDEX([1]Coefficients!$G$180:$BO$199,_xlfn.XMATCH($E109,[1]Coefficients!$B$132:$B$151),_xlfn.XMATCH(M$2,[1]Coefficients!$G$1:$BO$1))</f>
        <v/>
      </c>
      <c r="N109">
        <f t="array" ref="N109">INDEX([1]Coefficients!$G$180:$BO$199,_xlfn.XMATCH($E109,[1]Coefficients!$B$132:$B$151),_xlfn.XMATCH(N$2,[1]Coefficients!$G$1:$BO$1))</f>
        <v/>
      </c>
      <c r="O109">
        <f t="array" ref="O109">INDEX([1]Coefficients!$G$180:$BO$199,_xlfn.XMATCH($E109,[1]Coefficients!$B$132:$B$151),_xlfn.XMATCH(O$2,[1]Coefficients!$G$1:$BO$1))</f>
        <v/>
      </c>
      <c r="P109">
        <f t="array" ref="P109">INDEX([1]Coefficients!$G$180:$BO$199,_xlfn.XMATCH($E109,[1]Coefficients!$B$132:$B$151),_xlfn.XMATCH(P$2,[1]Coefficients!$G$1:$BO$1))</f>
        <v/>
      </c>
      <c r="Q109">
        <f t="array" ref="Q109">INDEX([1]Coefficients!$G$180:$BO$199,_xlfn.XMATCH($E109,[1]Coefficients!$B$132:$B$151),_xlfn.XMATCH(Q$2,[1]Coefficients!$G$1:$BO$1))</f>
        <v/>
      </c>
      <c r="R109">
        <f t="array" ref="R109">INDEX([1]Coefficients!$G$180:$BO$199,_xlfn.XMATCH($E109,[1]Coefficients!$B$132:$B$151),_xlfn.XMATCH(R$2,[1]Coefficients!$G$1:$BO$1))</f>
        <v/>
      </c>
      <c r="S109">
        <f t="array" ref="S109">INDEX([1]Coefficients!$G$180:$BO$199,_xlfn.XMATCH($E109,[1]Coefficients!$B$132:$B$151),_xlfn.XMATCH(S$2,[1]Coefficients!$G$1:$BO$1))</f>
        <v/>
      </c>
      <c r="T109">
        <f t="array" ref="T109">INDEX([1]Coefficients!$G$180:$BO$199,_xlfn.XMATCH($E109,[1]Coefficients!$B$132:$B$151),_xlfn.XMATCH(T$2,[1]Coefficients!$G$1:$BO$1))</f>
        <v/>
      </c>
      <c r="U109">
        <f t="array" ref="U109">INDEX([1]Coefficients!$G$180:$BO$199,_xlfn.XMATCH($E109,[1]Coefficients!$B$132:$B$151),_xlfn.XMATCH(U$2,[1]Coefficients!$G$1:$BO$1))</f>
        <v/>
      </c>
      <c r="V109">
        <f t="array" ref="V109">INDEX([1]Coefficients!$G$180:$BO$199,_xlfn.XMATCH($E109,[1]Coefficients!$B$132:$B$151),_xlfn.XMATCH(V$2,[1]Coefficients!$G$1:$BO$1))</f>
        <v/>
      </c>
      <c r="W109">
        <f t="array" ref="W109">INDEX([1]Coefficients!$G$180:$BO$199,_xlfn.XMATCH($E109,[1]Coefficients!$B$132:$B$151),_xlfn.XMATCH(W$2,[1]Coefficients!$G$1:$BO$1))</f>
        <v/>
      </c>
    </row>
    <row r="110">
      <c r="A110" t="inlineStr">
        <is>
          <t>CIMS.Generic Fuels.Renewable Diesel</t>
        </is>
      </c>
      <c r="B110" t="inlineStr">
        <is>
          <t>Service</t>
        </is>
      </c>
      <c r="C110" t="inlineStr">
        <is>
          <t>CIMS</t>
        </is>
      </c>
      <c r="E110" t="inlineStr">
        <is>
          <t>Renewable Diesel</t>
        </is>
      </c>
      <c r="G110" t="inlineStr">
        <is>
          <t>service_provide</t>
        </is>
      </c>
      <c r="L110" t="inlineStr">
        <is>
          <t>GJ</t>
        </is>
      </c>
    </row>
    <row r="111">
      <c r="A111" t="inlineStr">
        <is>
          <t>CIMS.Generic Fuels.Renewable Diesel</t>
        </is>
      </c>
      <c r="B111" t="inlineStr">
        <is>
          <t>Service</t>
        </is>
      </c>
      <c r="C111" t="inlineStr">
        <is>
          <t>CIMS</t>
        </is>
      </c>
      <c r="E111" t="inlineStr">
        <is>
          <t>Renewable Diesel</t>
        </is>
      </c>
      <c r="G111" t="inlineStr">
        <is>
          <t>competition</t>
        </is>
      </c>
      <c r="H111" t="inlineStr">
        <is>
          <t>Supply - Fixed Price</t>
        </is>
      </c>
    </row>
    <row r="112">
      <c r="A112" t="inlineStr">
        <is>
          <t>CIMS.Generic Fuels.Renewable Diesel</t>
        </is>
      </c>
      <c r="B112" t="inlineStr">
        <is>
          <t>Service</t>
        </is>
      </c>
      <c r="C112" t="inlineStr">
        <is>
          <t>CIMS</t>
        </is>
      </c>
      <c r="E112" t="inlineStr">
        <is>
          <t>Renewable Diesel</t>
        </is>
      </c>
      <c r="G112" t="inlineStr">
        <is>
          <t>is_supply</t>
        </is>
      </c>
      <c r="H112" t="b">
        <v>1</v>
      </c>
    </row>
    <row r="113">
      <c r="A113" t="inlineStr">
        <is>
          <t>CIMS.Generic Fuels.Renewable Diesel</t>
        </is>
      </c>
      <c r="B113" t="inlineStr">
        <is>
          <t>Service</t>
        </is>
      </c>
      <c r="C113" t="inlineStr">
        <is>
          <t>CIMS</t>
        </is>
      </c>
      <c r="E113" t="inlineStr">
        <is>
          <t>Renewable Diesel</t>
        </is>
      </c>
      <c r="G113" t="inlineStr">
        <is>
          <t>lcc_financial</t>
        </is>
      </c>
      <c r="K113" t="inlineStr">
        <is>
          <t>JCIMS</t>
        </is>
      </c>
      <c r="L113" t="inlineStr">
        <is>
          <t>$/GJ</t>
        </is>
      </c>
      <c r="M113" t="n">
        <v>50.8253659210541</v>
      </c>
      <c r="N113" t="n">
        <v>50.8253659210541</v>
      </c>
      <c r="O113" t="n">
        <v>53.3182563929071</v>
      </c>
      <c r="P113" t="n">
        <v>53.1475461322098</v>
      </c>
      <c r="Q113" t="n">
        <v>52.8930069278285</v>
      </c>
      <c r="R113" t="n">
        <v>52.8930069278285</v>
      </c>
      <c r="S113" t="n">
        <v>52.8930069278285</v>
      </c>
      <c r="T113" t="n">
        <v>52.8930069278285</v>
      </c>
      <c r="U113" t="n">
        <v>52.8930069278285</v>
      </c>
      <c r="V113" t="n">
        <v>52.8930069278285</v>
      </c>
      <c r="W113" t="n">
        <v>52.8930069278285</v>
      </c>
      <c r="X113" t="inlineStr">
        <is>
          <t>TODO: Fix these to formulas</t>
        </is>
      </c>
    </row>
    <row r="114">
      <c r="A114" t="inlineStr">
        <is>
          <t>CIMS.Generic Fuels.Renewable Diesel</t>
        </is>
      </c>
      <c r="B114" t="inlineStr">
        <is>
          <t>Service</t>
        </is>
      </c>
      <c r="C114" t="inlineStr">
        <is>
          <t>CIMS</t>
        </is>
      </c>
      <c r="E114" t="inlineStr">
        <is>
          <t>Renewable Diesel</t>
        </is>
      </c>
      <c r="G114" t="inlineStr">
        <is>
          <t>emissions_biomass</t>
        </is>
      </c>
      <c r="H114" t="inlineStr">
        <is>
          <t>CO2</t>
        </is>
      </c>
      <c r="I114" t="inlineStr">
        <is>
          <t>Combustion</t>
        </is>
      </c>
      <c r="K114" t="inlineStr">
        <is>
          <t>ECCC, NIR</t>
        </is>
      </c>
      <c r="L114" t="inlineStr">
        <is>
          <t>tCO2</t>
        </is>
      </c>
      <c r="M114">
        <f>M$57</f>
        <v/>
      </c>
      <c r="N114">
        <f>N$57</f>
        <v/>
      </c>
      <c r="O114">
        <f>O$57</f>
        <v/>
      </c>
      <c r="P114">
        <f>P$57</f>
        <v/>
      </c>
      <c r="Q114">
        <f>Q$57</f>
        <v/>
      </c>
      <c r="R114">
        <f>R$57</f>
        <v/>
      </c>
      <c r="S114">
        <f>S$57</f>
        <v/>
      </c>
      <c r="T114">
        <f>T$57</f>
        <v/>
      </c>
      <c r="U114">
        <f>U$57</f>
        <v/>
      </c>
      <c r="V114">
        <f>V$57</f>
        <v/>
      </c>
      <c r="W114">
        <f>W$57</f>
        <v/>
      </c>
    </row>
    <row r="115">
      <c r="A115" t="inlineStr">
        <is>
          <t>CIMS.Generic Fuels.Renewable Diesel</t>
        </is>
      </c>
      <c r="B115" t="inlineStr">
        <is>
          <t>Service</t>
        </is>
      </c>
      <c r="C115" t="inlineStr">
        <is>
          <t>CIMS</t>
        </is>
      </c>
      <c r="E115" t="inlineStr">
        <is>
          <t>Renewable Diesel</t>
        </is>
      </c>
      <c r="G115" t="inlineStr">
        <is>
          <t>emissions</t>
        </is>
      </c>
      <c r="H115" t="inlineStr">
        <is>
          <t>CO2</t>
        </is>
      </c>
      <c r="I115" t="inlineStr">
        <is>
          <t>Combustion</t>
        </is>
      </c>
      <c r="K115" t="inlineStr">
        <is>
          <t>ECCC, NIR</t>
        </is>
      </c>
      <c r="L115" t="inlineStr">
        <is>
          <t>tCO2</t>
        </is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</row>
    <row r="116">
      <c r="A116" t="inlineStr">
        <is>
          <t>CIMS.Generic Fuels.Renewable Diesel</t>
        </is>
      </c>
      <c r="B116" t="inlineStr">
        <is>
          <t>Service</t>
        </is>
      </c>
      <c r="C116" t="inlineStr">
        <is>
          <t>CIMS</t>
        </is>
      </c>
      <c r="E116" t="inlineStr">
        <is>
          <t>Renewable Diesel</t>
        </is>
      </c>
      <c r="G116" t="inlineStr">
        <is>
          <t>emissions</t>
        </is>
      </c>
      <c r="H116" t="inlineStr">
        <is>
          <t>CH4</t>
        </is>
      </c>
      <c r="I116" t="inlineStr">
        <is>
          <t>Combustion</t>
        </is>
      </c>
      <c r="K116" t="inlineStr">
        <is>
          <t>ECCC, NIR</t>
        </is>
      </c>
      <c r="L116" t="inlineStr">
        <is>
          <t>tCH4</t>
        </is>
      </c>
      <c r="M116">
        <f>M48</f>
        <v/>
      </c>
      <c r="N116">
        <f>N48</f>
        <v/>
      </c>
      <c r="O116">
        <f>O48</f>
        <v/>
      </c>
      <c r="P116">
        <f>P48</f>
        <v/>
      </c>
      <c r="Q116">
        <f>Q48</f>
        <v/>
      </c>
      <c r="R116">
        <f>R48</f>
        <v/>
      </c>
      <c r="S116">
        <f>S48</f>
        <v/>
      </c>
      <c r="T116">
        <f>T48</f>
        <v/>
      </c>
      <c r="U116">
        <f>U48</f>
        <v/>
      </c>
      <c r="V116">
        <f>V48</f>
        <v/>
      </c>
      <c r="W116">
        <f>W48</f>
        <v/>
      </c>
    </row>
    <row r="117">
      <c r="A117" t="inlineStr">
        <is>
          <t>CIMS.Generic Fuels.Renewable Diesel</t>
        </is>
      </c>
      <c r="B117" t="inlineStr">
        <is>
          <t>Service</t>
        </is>
      </c>
      <c r="C117" t="inlineStr">
        <is>
          <t>CIMS</t>
        </is>
      </c>
      <c r="E117" t="inlineStr">
        <is>
          <t>Renewable Diesel</t>
        </is>
      </c>
      <c r="G117" t="inlineStr">
        <is>
          <t>emissions</t>
        </is>
      </c>
      <c r="H117" t="inlineStr">
        <is>
          <t>N2O</t>
        </is>
      </c>
      <c r="I117" t="inlineStr">
        <is>
          <t>Combustion</t>
        </is>
      </c>
      <c r="K117" t="inlineStr">
        <is>
          <t>ECCC, NIR</t>
        </is>
      </c>
      <c r="L117" t="inlineStr">
        <is>
          <t>tN2O</t>
        </is>
      </c>
      <c r="M117">
        <f>M49</f>
        <v/>
      </c>
      <c r="N117">
        <f>N49</f>
        <v/>
      </c>
      <c r="O117">
        <f>O49</f>
        <v/>
      </c>
      <c r="P117">
        <f>P49</f>
        <v/>
      </c>
      <c r="Q117">
        <f>Q49</f>
        <v/>
      </c>
      <c r="R117">
        <f>R49</f>
        <v/>
      </c>
      <c r="S117">
        <f>S49</f>
        <v/>
      </c>
      <c r="T117">
        <f>T49</f>
        <v/>
      </c>
      <c r="U117">
        <f>U49</f>
        <v/>
      </c>
      <c r="V117">
        <f>V49</f>
        <v/>
      </c>
      <c r="W117">
        <f>W49</f>
        <v/>
      </c>
    </row>
    <row r="118">
      <c r="A118" t="inlineStr">
        <is>
          <t>CIMS.Generic Fuels.Renewable Gasoline</t>
        </is>
      </c>
      <c r="B118" t="inlineStr">
        <is>
          <t>Service</t>
        </is>
      </c>
      <c r="C118" t="inlineStr">
        <is>
          <t>CIMS</t>
        </is>
      </c>
      <c r="E118" t="inlineStr">
        <is>
          <t>Renewable Gasoline</t>
        </is>
      </c>
      <c r="G118" t="inlineStr">
        <is>
          <t>service_provide</t>
        </is>
      </c>
      <c r="L118" t="inlineStr">
        <is>
          <t>GJ</t>
        </is>
      </c>
    </row>
    <row r="119">
      <c r="A119" t="inlineStr">
        <is>
          <t>CIMS.Generic Fuels.Renewable Gasoline</t>
        </is>
      </c>
      <c r="B119" t="inlineStr">
        <is>
          <t>Service</t>
        </is>
      </c>
      <c r="C119" t="inlineStr">
        <is>
          <t>CIMS</t>
        </is>
      </c>
      <c r="E119" t="inlineStr">
        <is>
          <t>Renewable Gasoline</t>
        </is>
      </c>
      <c r="G119" t="inlineStr">
        <is>
          <t>competition</t>
        </is>
      </c>
      <c r="H119" t="inlineStr">
        <is>
          <t>Supply - Fixed Price</t>
        </is>
      </c>
    </row>
    <row r="120">
      <c r="A120" t="inlineStr">
        <is>
          <t>CIMS.Generic Fuels.Renewable Gasoline</t>
        </is>
      </c>
      <c r="B120" t="inlineStr">
        <is>
          <t>Service</t>
        </is>
      </c>
      <c r="C120" t="inlineStr">
        <is>
          <t>CIMS</t>
        </is>
      </c>
      <c r="E120" t="inlineStr">
        <is>
          <t>Renewable Gasoline</t>
        </is>
      </c>
      <c r="G120" t="inlineStr">
        <is>
          <t>is_supply</t>
        </is>
      </c>
      <c r="H120" t="b">
        <v>1</v>
      </c>
    </row>
    <row r="121">
      <c r="A121" t="inlineStr">
        <is>
          <t>CIMS.Generic Fuels.Renewable Gasoline</t>
        </is>
      </c>
      <c r="B121" t="inlineStr">
        <is>
          <t>Service</t>
        </is>
      </c>
      <c r="C121" t="inlineStr">
        <is>
          <t>CIMS</t>
        </is>
      </c>
      <c r="E121" t="inlineStr">
        <is>
          <t>Renewable Gasoline</t>
        </is>
      </c>
      <c r="G121" t="inlineStr">
        <is>
          <t>lcc_financial</t>
        </is>
      </c>
      <c r="K121" t="inlineStr">
        <is>
          <t>JCIMS</t>
        </is>
      </c>
      <c r="L121" t="inlineStr">
        <is>
          <t>$/GJ</t>
        </is>
      </c>
      <c r="M121" t="n">
        <v>58.6390488629831</v>
      </c>
      <c r="N121" t="n">
        <v>58.6390488629831</v>
      </c>
      <c r="O121" t="n">
        <v>59.5023126710323</v>
      </c>
      <c r="P121" t="n">
        <v>59.3118027721903</v>
      </c>
      <c r="Q121" t="n">
        <v>59.0277411383043</v>
      </c>
      <c r="R121" t="n">
        <v>59.0277411383043</v>
      </c>
      <c r="S121" t="n">
        <v>59.0277411383043</v>
      </c>
      <c r="T121" t="n">
        <v>59.0277411383043</v>
      </c>
      <c r="U121" t="n">
        <v>59.0277411383043</v>
      </c>
      <c r="V121" t="n">
        <v>59.0277411383043</v>
      </c>
      <c r="W121" t="n">
        <v>59.0277411383043</v>
      </c>
      <c r="X121" t="inlineStr">
        <is>
          <t>TODO: Fix these to formulas</t>
        </is>
      </c>
    </row>
    <row r="122">
      <c r="A122" t="inlineStr">
        <is>
          <t>CIMS.Generic Fuels.Renewable Gasoline</t>
        </is>
      </c>
      <c r="B122" t="inlineStr">
        <is>
          <t>Service</t>
        </is>
      </c>
      <c r="C122" t="inlineStr">
        <is>
          <t>CIMS</t>
        </is>
      </c>
      <c r="E122" t="inlineStr">
        <is>
          <t>Renewable Gasoline</t>
        </is>
      </c>
      <c r="G122" t="inlineStr">
        <is>
          <t>emissions_biomass</t>
        </is>
      </c>
      <c r="H122" t="inlineStr">
        <is>
          <t>CO2</t>
        </is>
      </c>
      <c r="I122" t="inlineStr">
        <is>
          <t>Combustion</t>
        </is>
      </c>
      <c r="K122" t="inlineStr">
        <is>
          <t>ECCC, NIR</t>
        </is>
      </c>
      <c r="L122" t="inlineStr">
        <is>
          <t>tCO2</t>
        </is>
      </c>
      <c r="M122">
        <f>M$71</f>
        <v/>
      </c>
      <c r="N122">
        <f>N$71</f>
        <v/>
      </c>
      <c r="O122">
        <f>O$71</f>
        <v/>
      </c>
      <c r="P122">
        <f>P$71</f>
        <v/>
      </c>
      <c r="Q122">
        <f>Q$71</f>
        <v/>
      </c>
      <c r="R122">
        <f>R$71</f>
        <v/>
      </c>
      <c r="S122">
        <f>S$71</f>
        <v/>
      </c>
      <c r="T122">
        <f>T$71</f>
        <v/>
      </c>
      <c r="U122">
        <f>U$71</f>
        <v/>
      </c>
      <c r="V122">
        <f>V$71</f>
        <v/>
      </c>
      <c r="W122">
        <f>W$71</f>
        <v/>
      </c>
    </row>
    <row r="123">
      <c r="A123" t="inlineStr">
        <is>
          <t>CIMS.Generic Fuels.Renewable Gasoline</t>
        </is>
      </c>
      <c r="B123" t="inlineStr">
        <is>
          <t>Service</t>
        </is>
      </c>
      <c r="C123" t="inlineStr">
        <is>
          <t>CIMS</t>
        </is>
      </c>
      <c r="E123" t="inlineStr">
        <is>
          <t>Renewable Gasoline</t>
        </is>
      </c>
      <c r="G123" t="inlineStr">
        <is>
          <t>emissions</t>
        </is>
      </c>
      <c r="H123" t="inlineStr">
        <is>
          <t>CO2</t>
        </is>
      </c>
      <c r="I123" t="inlineStr">
        <is>
          <t>Combustion</t>
        </is>
      </c>
      <c r="K123" t="inlineStr">
        <is>
          <t>ECCC, NIR</t>
        </is>
      </c>
      <c r="L123" t="inlineStr">
        <is>
          <t>tCO2</t>
        </is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</row>
    <row r="124">
      <c r="A124" t="inlineStr">
        <is>
          <t>CIMS.Generic Fuels.Renewable Gasoline</t>
        </is>
      </c>
      <c r="B124" t="inlineStr">
        <is>
          <t>Service</t>
        </is>
      </c>
      <c r="C124" t="inlineStr">
        <is>
          <t>CIMS</t>
        </is>
      </c>
      <c r="E124" t="inlineStr">
        <is>
          <t>Renewable Gasoline</t>
        </is>
      </c>
      <c r="G124" t="inlineStr">
        <is>
          <t>emissions</t>
        </is>
      </c>
      <c r="H124" t="inlineStr">
        <is>
          <t>CH4</t>
        </is>
      </c>
      <c r="I124" t="inlineStr">
        <is>
          <t>Combustion</t>
        </is>
      </c>
      <c r="K124" t="inlineStr">
        <is>
          <t>ECCC, NIR</t>
        </is>
      </c>
      <c r="L124" t="inlineStr">
        <is>
          <t>tCH4</t>
        </is>
      </c>
      <c r="M124">
        <f>M62</f>
        <v/>
      </c>
      <c r="N124">
        <f>N62</f>
        <v/>
      </c>
      <c r="O124">
        <f>O62</f>
        <v/>
      </c>
      <c r="P124">
        <f>P62</f>
        <v/>
      </c>
      <c r="Q124">
        <f>Q62</f>
        <v/>
      </c>
      <c r="R124">
        <f>R62</f>
        <v/>
      </c>
      <c r="S124">
        <f>S62</f>
        <v/>
      </c>
      <c r="T124">
        <f>T62</f>
        <v/>
      </c>
      <c r="U124">
        <f>U62</f>
        <v/>
      </c>
      <c r="V124">
        <f>V62</f>
        <v/>
      </c>
      <c r="W124">
        <f>W62</f>
        <v/>
      </c>
    </row>
    <row r="125">
      <c r="A125" t="inlineStr">
        <is>
          <t>CIMS.Generic Fuels.Renewable Gasoline</t>
        </is>
      </c>
      <c r="B125" t="inlineStr">
        <is>
          <t>Service</t>
        </is>
      </c>
      <c r="C125" t="inlineStr">
        <is>
          <t>CIMS</t>
        </is>
      </c>
      <c r="E125" t="inlineStr">
        <is>
          <t>Renewable Gasoline</t>
        </is>
      </c>
      <c r="G125" t="inlineStr">
        <is>
          <t>emissions</t>
        </is>
      </c>
      <c r="H125" t="inlineStr">
        <is>
          <t>N2O</t>
        </is>
      </c>
      <c r="I125" t="inlineStr">
        <is>
          <t>Combustion</t>
        </is>
      </c>
      <c r="K125" t="inlineStr">
        <is>
          <t>ECCC, NIR</t>
        </is>
      </c>
      <c r="L125" t="inlineStr">
        <is>
          <t>tN2O</t>
        </is>
      </c>
      <c r="M125">
        <f>M63</f>
        <v/>
      </c>
      <c r="N125">
        <f>N63</f>
        <v/>
      </c>
      <c r="O125">
        <f>O63</f>
        <v/>
      </c>
      <c r="P125">
        <f>P63</f>
        <v/>
      </c>
      <c r="Q125">
        <f>Q63</f>
        <v/>
      </c>
      <c r="R125">
        <f>R63</f>
        <v/>
      </c>
      <c r="S125">
        <f>S63</f>
        <v/>
      </c>
      <c r="T125">
        <f>T63</f>
        <v/>
      </c>
      <c r="U125">
        <f>U63</f>
        <v/>
      </c>
      <c r="V125">
        <f>V63</f>
        <v/>
      </c>
      <c r="W125">
        <f>W63</f>
        <v/>
      </c>
    </row>
    <row r="126">
      <c r="A126" t="inlineStr">
        <is>
          <t>CIMS.Generic Fuels.Solid Biomass</t>
        </is>
      </c>
      <c r="B126" t="inlineStr">
        <is>
          <t>Service</t>
        </is>
      </c>
      <c r="C126" t="inlineStr">
        <is>
          <t>CIMS</t>
        </is>
      </c>
      <c r="E126" t="inlineStr">
        <is>
          <t>Solid Biomass</t>
        </is>
      </c>
      <c r="G126" t="inlineStr">
        <is>
          <t>service_provide</t>
        </is>
      </c>
      <c r="L126" t="inlineStr">
        <is>
          <t>GJ</t>
        </is>
      </c>
    </row>
    <row r="127">
      <c r="A127" t="inlineStr">
        <is>
          <t>CIMS.Generic Fuels.Solid Biomass</t>
        </is>
      </c>
      <c r="B127" t="inlineStr">
        <is>
          <t>Service</t>
        </is>
      </c>
      <c r="C127" t="inlineStr">
        <is>
          <t>CIMS</t>
        </is>
      </c>
      <c r="E127" t="inlineStr">
        <is>
          <t>Solid Biomass</t>
        </is>
      </c>
      <c r="G127" t="inlineStr">
        <is>
          <t>competition</t>
        </is>
      </c>
      <c r="H127" t="inlineStr">
        <is>
          <t>Supply - Fixed Price</t>
        </is>
      </c>
    </row>
    <row r="128">
      <c r="A128" t="inlineStr">
        <is>
          <t>CIMS.Generic Fuels.Solid Biomass</t>
        </is>
      </c>
      <c r="B128" t="inlineStr">
        <is>
          <t>Service</t>
        </is>
      </c>
      <c r="C128" t="inlineStr">
        <is>
          <t>CIMS</t>
        </is>
      </c>
      <c r="E128" t="inlineStr">
        <is>
          <t>Solid Biomass</t>
        </is>
      </c>
      <c r="G128" t="inlineStr">
        <is>
          <t>is_supply</t>
        </is>
      </c>
      <c r="H128" t="b">
        <v>1</v>
      </c>
    </row>
    <row r="129">
      <c r="A129" t="inlineStr">
        <is>
          <t>CIMS.Generic Fuels.Solid Biomass</t>
        </is>
      </c>
      <c r="B129" t="inlineStr">
        <is>
          <t>Service</t>
        </is>
      </c>
      <c r="C129" t="inlineStr">
        <is>
          <t>CIMS</t>
        </is>
      </c>
      <c r="E129" t="inlineStr">
        <is>
          <t>Solid Biomass</t>
        </is>
      </c>
      <c r="G129" t="inlineStr">
        <is>
          <t>lcc_financial</t>
        </is>
      </c>
      <c r="K129" t="inlineStr">
        <is>
          <t>JCIMS</t>
        </is>
      </c>
      <c r="L129" t="inlineStr">
        <is>
          <t>$/GJ</t>
        </is>
      </c>
      <c r="M129">
        <f t="array" ref="M129">INDEX([1]!JCIMS_prices,_xlfn.XMATCH($E129,[1]!JCIMS_prices_index),_xlfn.XMATCH(M$2,[1]!CER_year))*[1]!JCIMS_price_inflator</f>
        <v/>
      </c>
      <c r="N129">
        <f t="array" ref="N129">INDEX([1]!JCIMS_prices,_xlfn.XMATCH($E129,[1]!JCIMS_prices_index),_xlfn.XMATCH(N$2,[1]!CER_year))*[1]!JCIMS_price_inflator</f>
        <v/>
      </c>
      <c r="O129">
        <f t="array" ref="O129">INDEX([1]!JCIMS_prices,_xlfn.XMATCH($E129,[1]!JCIMS_prices_index),_xlfn.XMATCH(O$2,[1]!CER_year))*[1]!JCIMS_price_inflator</f>
        <v/>
      </c>
      <c r="P129">
        <f t="array" ref="P129">INDEX([1]!JCIMS_prices,_xlfn.XMATCH($E129,[1]!JCIMS_prices_index),_xlfn.XMATCH(P$2,[1]!CER_year))*[1]!JCIMS_price_inflator</f>
        <v/>
      </c>
      <c r="Q129">
        <f t="array" ref="Q129">INDEX([1]!JCIMS_prices,_xlfn.XMATCH($E129,[1]!JCIMS_prices_index),_xlfn.XMATCH(Q$2,[1]!CER_year))*[1]!JCIMS_price_inflator</f>
        <v/>
      </c>
      <c r="R129">
        <f t="array" ref="R129">INDEX([1]!JCIMS_prices,_xlfn.XMATCH($E129,[1]!JCIMS_prices_index),_xlfn.XMATCH(R$2,[1]!CER_year))*[1]!JCIMS_price_inflator</f>
        <v/>
      </c>
      <c r="S129">
        <f t="array" ref="S129">INDEX([1]!JCIMS_prices,_xlfn.XMATCH($E129,[1]!JCIMS_prices_index),_xlfn.XMATCH(S$2,[1]!CER_year))*[1]!JCIMS_price_inflator</f>
        <v/>
      </c>
      <c r="T129">
        <f t="array" ref="T129">INDEX([1]!JCIMS_prices,_xlfn.XMATCH($E129,[1]!JCIMS_prices_index),_xlfn.XMATCH(T$2,[1]!CER_year))*[1]!JCIMS_price_inflator</f>
        <v/>
      </c>
      <c r="U129">
        <f t="array" ref="U129">INDEX([1]!JCIMS_prices,_xlfn.XMATCH($E129,[1]!JCIMS_prices_index),_xlfn.XMATCH(U$2,[1]!CER_year))*[1]!JCIMS_price_inflator</f>
        <v/>
      </c>
      <c r="V129">
        <f t="array" ref="V129">INDEX([1]!JCIMS_prices,_xlfn.XMATCH($E129,[1]!JCIMS_prices_index),_xlfn.XMATCH(V$2,[1]!CER_year))*[1]!JCIMS_price_inflator</f>
        <v/>
      </c>
      <c r="W129">
        <f t="array" ref="W129">INDEX([1]!JCIMS_prices,_xlfn.XMATCH($E129,[1]!JCIMS_prices_index),_xlfn.XMATCH(W$2,[1]!CER_year))*[1]!JCIMS_price_inflator</f>
        <v/>
      </c>
      <c r="X129" t="inlineStr">
        <is>
          <t>Cost to electricity generators - BC</t>
        </is>
      </c>
    </row>
    <row r="130">
      <c r="A130" t="inlineStr">
        <is>
          <t>CIMS.Generic Fuels.Solid Biomass</t>
        </is>
      </c>
      <c r="B130" t="inlineStr">
        <is>
          <t>Service</t>
        </is>
      </c>
      <c r="C130" t="inlineStr">
        <is>
          <t>CIMS</t>
        </is>
      </c>
      <c r="E130" t="inlineStr">
        <is>
          <t>Solid Biomass</t>
        </is>
      </c>
      <c r="G130" t="inlineStr">
        <is>
          <t>emissions_biomass</t>
        </is>
      </c>
      <c r="H130" t="inlineStr">
        <is>
          <t>CO2</t>
        </is>
      </c>
      <c r="I130" t="inlineStr">
        <is>
          <t>Combustion</t>
        </is>
      </c>
      <c r="K130" t="inlineStr">
        <is>
          <t>ECCC, NIR</t>
        </is>
      </c>
      <c r="L130" t="inlineStr">
        <is>
          <t>tCO2</t>
        </is>
      </c>
      <c r="M130">
        <f t="array" ref="M130">INDEX([1]Coefficients!$G$60:$BO$79,_xlfn.XMATCH($E130,[1]Coefficients!$B$60:$B$79),_xlfn.XMATCH(M$2,[1]Coefficients!$G$1:$BO$1))/INDEX([1]Coefficients!$G$29:$BO$48,_xlfn.XMATCH($E130,[1]Coefficients!$B$29:$B$48),_xlfn.XMATCH(M$2,[1]Coefficients!$G$1:$BO$1))</f>
        <v/>
      </c>
      <c r="N130">
        <f t="array" ref="N130">INDEX([1]Coefficients!$G$60:$BO$79,_xlfn.XMATCH($E130,[1]Coefficients!$B$60:$B$79),_xlfn.XMATCH(N$2,[1]Coefficients!$G$1:$BO$1))/INDEX([1]Coefficients!$G$29:$BO$48,_xlfn.XMATCH($E130,[1]Coefficients!$B$29:$B$48),_xlfn.XMATCH(N$2,[1]Coefficients!$G$1:$BO$1))</f>
        <v/>
      </c>
      <c r="O130">
        <f t="array" ref="O130">INDEX([1]Coefficients!$G$60:$BO$79,_xlfn.XMATCH($E130,[1]Coefficients!$B$60:$B$79),_xlfn.XMATCH(O$2,[1]Coefficients!$G$1:$BO$1))/INDEX([1]Coefficients!$G$29:$BO$48,_xlfn.XMATCH($E130,[1]Coefficients!$B$29:$B$48),_xlfn.XMATCH(O$2,[1]Coefficients!$G$1:$BO$1))</f>
        <v/>
      </c>
      <c r="P130">
        <f t="array" ref="P130">INDEX([1]Coefficients!$G$60:$BO$79,_xlfn.XMATCH($E130,[1]Coefficients!$B$60:$B$79),_xlfn.XMATCH(P$2,[1]Coefficients!$G$1:$BO$1))/INDEX([1]Coefficients!$G$29:$BO$48,_xlfn.XMATCH($E130,[1]Coefficients!$B$29:$B$48),_xlfn.XMATCH(P$2,[1]Coefficients!$G$1:$BO$1))</f>
        <v/>
      </c>
      <c r="Q130">
        <f t="array" ref="Q130">INDEX([1]Coefficients!$G$60:$BO$79,_xlfn.XMATCH($E130,[1]Coefficients!$B$60:$B$79),_xlfn.XMATCH(Q$2,[1]Coefficients!$G$1:$BO$1))/INDEX([1]Coefficients!$G$29:$BO$48,_xlfn.XMATCH($E130,[1]Coefficients!$B$29:$B$48),_xlfn.XMATCH(Q$2,[1]Coefficients!$G$1:$BO$1))</f>
        <v/>
      </c>
      <c r="R130">
        <f t="array" ref="R130">INDEX([1]Coefficients!$G$60:$BO$79,_xlfn.XMATCH($E130,[1]Coefficients!$B$60:$B$79),_xlfn.XMATCH(R$2,[1]Coefficients!$G$1:$BO$1))/INDEX([1]Coefficients!$G$29:$BO$48,_xlfn.XMATCH($E130,[1]Coefficients!$B$29:$B$48),_xlfn.XMATCH(R$2,[1]Coefficients!$G$1:$BO$1))</f>
        <v/>
      </c>
      <c r="S130">
        <f t="array" ref="S130">INDEX([1]Coefficients!$G$60:$BO$79,_xlfn.XMATCH($E130,[1]Coefficients!$B$60:$B$79),_xlfn.XMATCH(S$2,[1]Coefficients!$G$1:$BO$1))/INDEX([1]Coefficients!$G$29:$BO$48,_xlfn.XMATCH($E130,[1]Coefficients!$B$29:$B$48),_xlfn.XMATCH(S$2,[1]Coefficients!$G$1:$BO$1))</f>
        <v/>
      </c>
      <c r="T130">
        <f t="array" ref="T130">INDEX([1]Coefficients!$G$60:$BO$79,_xlfn.XMATCH($E130,[1]Coefficients!$B$60:$B$79),_xlfn.XMATCH(T$2,[1]Coefficients!$G$1:$BO$1))/INDEX([1]Coefficients!$G$29:$BO$48,_xlfn.XMATCH($E130,[1]Coefficients!$B$29:$B$48),_xlfn.XMATCH(T$2,[1]Coefficients!$G$1:$BO$1))</f>
        <v/>
      </c>
      <c r="U130">
        <f t="array" ref="U130">INDEX([1]Coefficients!$G$60:$BO$79,_xlfn.XMATCH($E130,[1]Coefficients!$B$60:$B$79),_xlfn.XMATCH(U$2,[1]Coefficients!$G$1:$BO$1))/INDEX([1]Coefficients!$G$29:$BO$48,_xlfn.XMATCH($E130,[1]Coefficients!$B$29:$B$48),_xlfn.XMATCH(U$2,[1]Coefficients!$G$1:$BO$1))</f>
        <v/>
      </c>
      <c r="V130">
        <f t="array" ref="V130">INDEX([1]Coefficients!$G$60:$BO$79,_xlfn.XMATCH($E130,[1]Coefficients!$B$60:$B$79),_xlfn.XMATCH(V$2,[1]Coefficients!$G$1:$BO$1))/INDEX([1]Coefficients!$G$29:$BO$48,_xlfn.XMATCH($E130,[1]Coefficients!$B$29:$B$48),_xlfn.XMATCH(V$2,[1]Coefficients!$G$1:$BO$1))</f>
        <v/>
      </c>
      <c r="W130">
        <f t="array" ref="W130">INDEX([1]Coefficients!$G$60:$BO$79,_xlfn.XMATCH($E130,[1]Coefficients!$B$60:$B$79),_xlfn.XMATCH(W$2,[1]Coefficients!$G$1:$BO$1))/INDEX([1]Coefficients!$G$29:$BO$48,_xlfn.XMATCH($E130,[1]Coefficients!$B$29:$B$48),_xlfn.XMATCH(W$2,[1]Coefficients!$G$1:$BO$1))</f>
        <v/>
      </c>
    </row>
    <row r="131">
      <c r="A131" t="inlineStr">
        <is>
          <t>CIMS.Generic Fuels.Solid Biomass</t>
        </is>
      </c>
      <c r="B131" t="inlineStr">
        <is>
          <t>Service</t>
        </is>
      </c>
      <c r="C131" t="inlineStr">
        <is>
          <t>CIMS</t>
        </is>
      </c>
      <c r="E131" t="inlineStr">
        <is>
          <t>Solid Biomass</t>
        </is>
      </c>
      <c r="G131" t="inlineStr">
        <is>
          <t>emissions</t>
        </is>
      </c>
      <c r="H131" t="inlineStr">
        <is>
          <t>CO2</t>
        </is>
      </c>
      <c r="I131" t="inlineStr">
        <is>
          <t>Combustion</t>
        </is>
      </c>
      <c r="K131" t="inlineStr">
        <is>
          <t>ECCC, NIR</t>
        </is>
      </c>
      <c r="L131" t="inlineStr">
        <is>
          <t>tCO2</t>
        </is>
      </c>
      <c r="M131">
        <f t="array" ref="M131">INDEX([1]Coefficients!$G$132:$BO$151,_xlfn.XMATCH($E131,[1]Coefficients!$B$132:$B$151),_xlfn.XMATCH(M$2,[1]Coefficients!$G$1:$BO$1))</f>
        <v/>
      </c>
      <c r="N131">
        <f t="array" ref="N131">INDEX([1]Coefficients!$G$132:$BO$151,_xlfn.XMATCH($E131,[1]Coefficients!$B$132:$B$151),_xlfn.XMATCH(N$2,[1]Coefficients!$G$1:$BO$1))</f>
        <v/>
      </c>
      <c r="O131">
        <f t="array" ref="O131">INDEX([1]Coefficients!$G$132:$BO$151,_xlfn.XMATCH($E131,[1]Coefficients!$B$132:$B$151),_xlfn.XMATCH(O$2,[1]Coefficients!$G$1:$BO$1))</f>
        <v/>
      </c>
      <c r="P131">
        <f t="array" ref="P131">INDEX([1]Coefficients!$G$132:$BO$151,_xlfn.XMATCH($E131,[1]Coefficients!$B$132:$B$151),_xlfn.XMATCH(P$2,[1]Coefficients!$G$1:$BO$1))</f>
        <v/>
      </c>
      <c r="Q131">
        <f t="array" ref="Q131">INDEX([1]Coefficients!$G$132:$BO$151,_xlfn.XMATCH($E131,[1]Coefficients!$B$132:$B$151),_xlfn.XMATCH(Q$2,[1]Coefficients!$G$1:$BO$1))</f>
        <v/>
      </c>
      <c r="R131">
        <f t="array" ref="R131">INDEX([1]Coefficients!$G$132:$BO$151,_xlfn.XMATCH($E131,[1]Coefficients!$B$132:$B$151),_xlfn.XMATCH(R$2,[1]Coefficients!$G$1:$BO$1))</f>
        <v/>
      </c>
      <c r="S131">
        <f t="array" ref="S131">INDEX([1]Coefficients!$G$132:$BO$151,_xlfn.XMATCH($E131,[1]Coefficients!$B$132:$B$151),_xlfn.XMATCH(S$2,[1]Coefficients!$G$1:$BO$1))</f>
        <v/>
      </c>
      <c r="T131">
        <f t="array" ref="T131">INDEX([1]Coefficients!$G$132:$BO$151,_xlfn.XMATCH($E131,[1]Coefficients!$B$132:$B$151),_xlfn.XMATCH(T$2,[1]Coefficients!$G$1:$BO$1))</f>
        <v/>
      </c>
      <c r="U131">
        <f t="array" ref="U131">INDEX([1]Coefficients!$G$132:$BO$151,_xlfn.XMATCH($E131,[1]Coefficients!$B$132:$B$151),_xlfn.XMATCH(U$2,[1]Coefficients!$G$1:$BO$1))</f>
        <v/>
      </c>
      <c r="V131">
        <f t="array" ref="V131">INDEX([1]Coefficients!$G$132:$BO$151,_xlfn.XMATCH($E131,[1]Coefficients!$B$132:$B$151),_xlfn.XMATCH(V$2,[1]Coefficients!$G$1:$BO$1))</f>
        <v/>
      </c>
      <c r="W131">
        <f t="array" ref="W131">INDEX([1]Coefficients!$G$132:$BO$151,_xlfn.XMATCH($E131,[1]Coefficients!$B$132:$B$151),_xlfn.XMATCH(W$2,[1]Coefficients!$G$1:$BO$1))</f>
        <v/>
      </c>
    </row>
    <row r="132">
      <c r="A132" t="inlineStr">
        <is>
          <t>CIMS.Generic Fuels.Solid Biomass</t>
        </is>
      </c>
      <c r="B132" t="inlineStr">
        <is>
          <t>Service</t>
        </is>
      </c>
      <c r="C132" t="inlineStr">
        <is>
          <t>CIMS</t>
        </is>
      </c>
      <c r="E132" t="inlineStr">
        <is>
          <t>Solid Biomass</t>
        </is>
      </c>
      <c r="G132" t="inlineStr">
        <is>
          <t>emissions</t>
        </is>
      </c>
      <c r="H132" t="inlineStr">
        <is>
          <t>CH4</t>
        </is>
      </c>
      <c r="I132" t="inlineStr">
        <is>
          <t>Combustion</t>
        </is>
      </c>
      <c r="K132" t="inlineStr">
        <is>
          <t>ECCC, NIR</t>
        </is>
      </c>
      <c r="L132" t="inlineStr">
        <is>
          <t>tCH4</t>
        </is>
      </c>
      <c r="M132">
        <f t="array" ref="M132">INDEX([1]Coefficients!$G$156:$BO$175,_xlfn.XMATCH($E132,[1]Coefficients!$B$132:$B$151),_xlfn.XMATCH(M$2,[1]Coefficients!$G$1:$BO$1))</f>
        <v/>
      </c>
      <c r="N132">
        <f t="array" ref="N132">INDEX([1]Coefficients!$G$156:$BO$175,_xlfn.XMATCH($E132,[1]Coefficients!$B$132:$B$151),_xlfn.XMATCH(N$2,[1]Coefficients!$G$1:$BO$1))</f>
        <v/>
      </c>
      <c r="O132">
        <f t="array" ref="O132">INDEX([1]Coefficients!$G$156:$BO$175,_xlfn.XMATCH($E132,[1]Coefficients!$B$132:$B$151),_xlfn.XMATCH(O$2,[1]Coefficients!$G$1:$BO$1))</f>
        <v/>
      </c>
      <c r="P132">
        <f t="array" ref="P132">INDEX([1]Coefficients!$G$156:$BO$175,_xlfn.XMATCH($E132,[1]Coefficients!$B$132:$B$151),_xlfn.XMATCH(P$2,[1]Coefficients!$G$1:$BO$1))</f>
        <v/>
      </c>
      <c r="Q132">
        <f t="array" ref="Q132">INDEX([1]Coefficients!$G$156:$BO$175,_xlfn.XMATCH($E132,[1]Coefficients!$B$132:$B$151),_xlfn.XMATCH(Q$2,[1]Coefficients!$G$1:$BO$1))</f>
        <v/>
      </c>
      <c r="R132">
        <f t="array" ref="R132">INDEX([1]Coefficients!$G$156:$BO$175,_xlfn.XMATCH($E132,[1]Coefficients!$B$132:$B$151),_xlfn.XMATCH(R$2,[1]Coefficients!$G$1:$BO$1))</f>
        <v/>
      </c>
      <c r="S132">
        <f t="array" ref="S132">INDEX([1]Coefficients!$G$156:$BO$175,_xlfn.XMATCH($E132,[1]Coefficients!$B$132:$B$151),_xlfn.XMATCH(S$2,[1]Coefficients!$G$1:$BO$1))</f>
        <v/>
      </c>
      <c r="T132">
        <f t="array" ref="T132">INDEX([1]Coefficients!$G$156:$BO$175,_xlfn.XMATCH($E132,[1]Coefficients!$B$132:$B$151),_xlfn.XMATCH(T$2,[1]Coefficients!$G$1:$BO$1))</f>
        <v/>
      </c>
      <c r="U132">
        <f t="array" ref="U132">INDEX([1]Coefficients!$G$156:$BO$175,_xlfn.XMATCH($E132,[1]Coefficients!$B$132:$B$151),_xlfn.XMATCH(U$2,[1]Coefficients!$G$1:$BO$1))</f>
        <v/>
      </c>
      <c r="V132">
        <f t="array" ref="V132">INDEX([1]Coefficients!$G$156:$BO$175,_xlfn.XMATCH($E132,[1]Coefficients!$B$132:$B$151),_xlfn.XMATCH(V$2,[1]Coefficients!$G$1:$BO$1))</f>
        <v/>
      </c>
      <c r="W132">
        <f t="array" ref="W132">INDEX([1]Coefficients!$G$156:$BO$175,_xlfn.XMATCH($E132,[1]Coefficients!$B$132:$B$151),_xlfn.XMATCH(W$2,[1]Coefficients!$G$1:$BO$1))</f>
        <v/>
      </c>
    </row>
    <row r="133">
      <c r="A133" t="inlineStr">
        <is>
          <t>CIMS.Generic Fuels.Solid Biomass</t>
        </is>
      </c>
      <c r="B133" t="inlineStr">
        <is>
          <t>Service</t>
        </is>
      </c>
      <c r="C133" t="inlineStr">
        <is>
          <t>CIMS</t>
        </is>
      </c>
      <c r="E133" t="inlineStr">
        <is>
          <t>Solid Biomass</t>
        </is>
      </c>
      <c r="G133" t="inlineStr">
        <is>
          <t>emissions</t>
        </is>
      </c>
      <c r="H133" t="inlineStr">
        <is>
          <t>N2O</t>
        </is>
      </c>
      <c r="I133" t="inlineStr">
        <is>
          <t>Combustion</t>
        </is>
      </c>
      <c r="K133" t="inlineStr">
        <is>
          <t>ECCC, NIR</t>
        </is>
      </c>
      <c r="L133" t="inlineStr">
        <is>
          <t>tN2O</t>
        </is>
      </c>
      <c r="M133">
        <f t="array" ref="M133">INDEX([1]Coefficients!$G$180:$BO$199,_xlfn.XMATCH($E133,[1]Coefficients!$B$132:$B$151),_xlfn.XMATCH(M$2,[1]Coefficients!$G$1:$BO$1))</f>
        <v/>
      </c>
      <c r="N133">
        <f t="array" ref="N133">INDEX([1]Coefficients!$G$180:$BO$199,_xlfn.XMATCH($E133,[1]Coefficients!$B$132:$B$151),_xlfn.XMATCH(N$2,[1]Coefficients!$G$1:$BO$1))</f>
        <v/>
      </c>
      <c r="O133">
        <f t="array" ref="O133">INDEX([1]Coefficients!$G$180:$BO$199,_xlfn.XMATCH($E133,[1]Coefficients!$B$132:$B$151),_xlfn.XMATCH(O$2,[1]Coefficients!$G$1:$BO$1))</f>
        <v/>
      </c>
      <c r="P133">
        <f t="array" ref="P133">INDEX([1]Coefficients!$G$180:$BO$199,_xlfn.XMATCH($E133,[1]Coefficients!$B$132:$B$151),_xlfn.XMATCH(P$2,[1]Coefficients!$G$1:$BO$1))</f>
        <v/>
      </c>
      <c r="Q133">
        <f t="array" ref="Q133">INDEX([1]Coefficients!$G$180:$BO$199,_xlfn.XMATCH($E133,[1]Coefficients!$B$132:$B$151),_xlfn.XMATCH(Q$2,[1]Coefficients!$G$1:$BO$1))</f>
        <v/>
      </c>
      <c r="R133">
        <f t="array" ref="R133">INDEX([1]Coefficients!$G$180:$BO$199,_xlfn.XMATCH($E133,[1]Coefficients!$B$132:$B$151),_xlfn.XMATCH(R$2,[1]Coefficients!$G$1:$BO$1))</f>
        <v/>
      </c>
      <c r="S133">
        <f t="array" ref="S133">INDEX([1]Coefficients!$G$180:$BO$199,_xlfn.XMATCH($E133,[1]Coefficients!$B$132:$B$151),_xlfn.XMATCH(S$2,[1]Coefficients!$G$1:$BO$1))</f>
        <v/>
      </c>
      <c r="T133">
        <f t="array" ref="T133">INDEX([1]Coefficients!$G$180:$BO$199,_xlfn.XMATCH($E133,[1]Coefficients!$B$132:$B$151),_xlfn.XMATCH(T$2,[1]Coefficients!$G$1:$BO$1))</f>
        <v/>
      </c>
      <c r="U133">
        <f t="array" ref="U133">INDEX([1]Coefficients!$G$180:$BO$199,_xlfn.XMATCH($E133,[1]Coefficients!$B$132:$B$151),_xlfn.XMATCH(U$2,[1]Coefficients!$G$1:$BO$1))</f>
        <v/>
      </c>
      <c r="V133">
        <f t="array" ref="V133">INDEX([1]Coefficients!$G$180:$BO$199,_xlfn.XMATCH($E133,[1]Coefficients!$B$132:$B$151),_xlfn.XMATCH(V$2,[1]Coefficients!$G$1:$BO$1))</f>
        <v/>
      </c>
      <c r="W133">
        <f t="array" ref="W133">INDEX([1]Coefficients!$G$180:$BO$199,_xlfn.XMATCH($E133,[1]Coefficients!$B$132:$B$151),_xlfn.XMATCH(W$2,[1]Coefficients!$G$1:$BO$1))</f>
        <v/>
      </c>
    </row>
    <row r="134">
      <c r="A134" t="inlineStr">
        <is>
          <t>CIMS.Generic Fuels.Uranium</t>
        </is>
      </c>
      <c r="B134" t="inlineStr">
        <is>
          <t>Service</t>
        </is>
      </c>
      <c r="C134" t="inlineStr">
        <is>
          <t>CIMS</t>
        </is>
      </c>
      <c r="E134" t="inlineStr">
        <is>
          <t>Uranium</t>
        </is>
      </c>
      <c r="G134" t="inlineStr">
        <is>
          <t>service_provide</t>
        </is>
      </c>
      <c r="L134" t="inlineStr">
        <is>
          <t>GJ</t>
        </is>
      </c>
    </row>
    <row r="135">
      <c r="A135" t="inlineStr">
        <is>
          <t>CIMS.Generic Fuels.Uranium</t>
        </is>
      </c>
      <c r="B135" t="inlineStr">
        <is>
          <t>Service</t>
        </is>
      </c>
      <c r="C135" t="inlineStr">
        <is>
          <t>CIMS</t>
        </is>
      </c>
      <c r="E135" t="inlineStr">
        <is>
          <t>Uranium</t>
        </is>
      </c>
      <c r="G135" t="inlineStr">
        <is>
          <t>competition</t>
        </is>
      </c>
      <c r="H135" t="inlineStr">
        <is>
          <t>Supply - Fixed Price</t>
        </is>
      </c>
    </row>
    <row r="136">
      <c r="A136" t="inlineStr">
        <is>
          <t>CIMS.Generic Fuels.Uranium</t>
        </is>
      </c>
      <c r="B136" t="inlineStr">
        <is>
          <t>Service</t>
        </is>
      </c>
      <c r="C136" t="inlineStr">
        <is>
          <t>CIMS</t>
        </is>
      </c>
      <c r="E136" t="inlineStr">
        <is>
          <t>Uranium</t>
        </is>
      </c>
      <c r="G136" t="inlineStr">
        <is>
          <t>is_supply</t>
        </is>
      </c>
      <c r="H136" t="b">
        <v>1</v>
      </c>
    </row>
    <row r="137">
      <c r="A137" t="inlineStr">
        <is>
          <t>CIMS.Generic Fuels.Uranium</t>
        </is>
      </c>
      <c r="B137" t="inlineStr">
        <is>
          <t>Service</t>
        </is>
      </c>
      <c r="C137" t="inlineStr">
        <is>
          <t>CIMS</t>
        </is>
      </c>
      <c r="E137" t="inlineStr">
        <is>
          <t>Uranium</t>
        </is>
      </c>
      <c r="G137" t="inlineStr">
        <is>
          <t>lcc_financial</t>
        </is>
      </c>
      <c r="K137" t="inlineStr">
        <is>
          <t>JCIMS</t>
        </is>
      </c>
      <c r="L137" t="inlineStr">
        <is>
          <t>$/GJ</t>
        </is>
      </c>
      <c r="M137">
        <f t="array" ref="M137">INDEX([1]!JCIMS_prices,_xlfn.XMATCH($E137,[1]!JCIMS_prices_index),_xlfn.XMATCH(M$2,[1]!CER_year))*[1]!JCIMS_price_inflator</f>
        <v/>
      </c>
      <c r="N137">
        <f t="array" ref="N137">INDEX([1]!JCIMS_prices,_xlfn.XMATCH($E137,[1]!JCIMS_prices_index),_xlfn.XMATCH(N$2,[1]!CER_year))*[1]!JCIMS_price_inflator</f>
        <v/>
      </c>
      <c r="O137">
        <f t="array" ref="O137">INDEX([1]!JCIMS_prices,_xlfn.XMATCH($E137,[1]!JCIMS_prices_index),_xlfn.XMATCH(O$2,[1]!CER_year))*[1]!JCIMS_price_inflator</f>
        <v/>
      </c>
      <c r="P137">
        <f t="array" ref="P137">INDEX([1]!JCIMS_prices,_xlfn.XMATCH($E137,[1]!JCIMS_prices_index),_xlfn.XMATCH(P$2,[1]!CER_year))*[1]!JCIMS_price_inflator</f>
        <v/>
      </c>
      <c r="Q137">
        <f t="array" ref="Q137">INDEX([1]!JCIMS_prices,_xlfn.XMATCH($E137,[1]!JCIMS_prices_index),_xlfn.XMATCH(Q$2,[1]!CER_year))*[1]!JCIMS_price_inflator</f>
        <v/>
      </c>
      <c r="R137">
        <f t="array" ref="R137">INDEX([1]!JCIMS_prices,_xlfn.XMATCH($E137,[1]!JCIMS_prices_index),_xlfn.XMATCH(R$2,[1]!CER_year))*[1]!JCIMS_price_inflator</f>
        <v/>
      </c>
      <c r="S137">
        <f t="array" ref="S137">INDEX([1]!JCIMS_prices,_xlfn.XMATCH($E137,[1]!JCIMS_prices_index),_xlfn.XMATCH(S$2,[1]!CER_year))*[1]!JCIMS_price_inflator</f>
        <v/>
      </c>
      <c r="T137">
        <f t="array" ref="T137">INDEX([1]!JCIMS_prices,_xlfn.XMATCH($E137,[1]!JCIMS_prices_index),_xlfn.XMATCH(T$2,[1]!CER_year))*[1]!JCIMS_price_inflator</f>
        <v/>
      </c>
      <c r="U137">
        <f t="array" ref="U137">INDEX([1]!JCIMS_prices,_xlfn.XMATCH($E137,[1]!JCIMS_prices_index),_xlfn.XMATCH(U$2,[1]!CER_year))*[1]!JCIMS_price_inflator</f>
        <v/>
      </c>
      <c r="V137">
        <f t="array" ref="V137">INDEX([1]!JCIMS_prices,_xlfn.XMATCH($E137,[1]!JCIMS_prices_index),_xlfn.XMATCH(V$2,[1]!CER_year))*[1]!JCIMS_price_inflator</f>
        <v/>
      </c>
      <c r="W137">
        <f t="array" ref="W137">INDEX([1]!JCIMS_prices,_xlfn.XMATCH($E137,[1]!JCIMS_prices_index),_xlfn.XMATCH(W$2,[1]!CER_year))*[1]!JCIMS_price_inflator</f>
        <v/>
      </c>
      <c r="X137" t="inlineStr">
        <is>
          <t>Cost to electricity generators - ON</t>
        </is>
      </c>
    </row>
    <row r="138">
      <c r="A138" t="inlineStr">
        <is>
          <t>CIMS.Generic Fuels.Uranium</t>
        </is>
      </c>
      <c r="B138" t="inlineStr">
        <is>
          <t>Service</t>
        </is>
      </c>
      <c r="C138" t="inlineStr">
        <is>
          <t>CIMS</t>
        </is>
      </c>
      <c r="E138" t="inlineStr">
        <is>
          <t>Uranium</t>
        </is>
      </c>
      <c r="G138" t="inlineStr">
        <is>
          <t>emissions</t>
        </is>
      </c>
      <c r="H138" t="inlineStr">
        <is>
          <t>CO2</t>
        </is>
      </c>
      <c r="I138" t="inlineStr">
        <is>
          <t>Combustion</t>
        </is>
      </c>
      <c r="K138" t="inlineStr">
        <is>
          <t>ECCC, NIR</t>
        </is>
      </c>
      <c r="L138" t="inlineStr">
        <is>
          <t>tCO2</t>
        </is>
      </c>
      <c r="M138">
        <f t="array" ref="M138">INDEX([1]Coefficients!$G$132:$BO$151,_xlfn.XMATCH($E138,[1]Coefficients!$B$132:$B$151),_xlfn.XMATCH(M$2,[1]Coefficients!$G$1:$BO$1))</f>
        <v/>
      </c>
      <c r="N138">
        <f t="array" ref="N138">INDEX([1]Coefficients!$G$132:$BO$151,_xlfn.XMATCH($E138,[1]Coefficients!$B$132:$B$151),_xlfn.XMATCH(N$2,[1]Coefficients!$G$1:$BO$1))</f>
        <v/>
      </c>
      <c r="O138">
        <f t="array" ref="O138">INDEX([1]Coefficients!$G$132:$BO$151,_xlfn.XMATCH($E138,[1]Coefficients!$B$132:$B$151),_xlfn.XMATCH(O$2,[1]Coefficients!$G$1:$BO$1))</f>
        <v/>
      </c>
      <c r="P138">
        <f t="array" ref="P138">INDEX([1]Coefficients!$G$132:$BO$151,_xlfn.XMATCH($E138,[1]Coefficients!$B$132:$B$151),_xlfn.XMATCH(P$2,[1]Coefficients!$G$1:$BO$1))</f>
        <v/>
      </c>
      <c r="Q138">
        <f t="array" ref="Q138">INDEX([1]Coefficients!$G$132:$BO$151,_xlfn.XMATCH($E138,[1]Coefficients!$B$132:$B$151),_xlfn.XMATCH(Q$2,[1]Coefficients!$G$1:$BO$1))</f>
        <v/>
      </c>
      <c r="R138">
        <f t="array" ref="R138">INDEX([1]Coefficients!$G$132:$BO$151,_xlfn.XMATCH($E138,[1]Coefficients!$B$132:$B$151),_xlfn.XMATCH(R$2,[1]Coefficients!$G$1:$BO$1))</f>
        <v/>
      </c>
      <c r="S138">
        <f t="array" ref="S138">INDEX([1]Coefficients!$G$132:$BO$151,_xlfn.XMATCH($E138,[1]Coefficients!$B$132:$B$151),_xlfn.XMATCH(S$2,[1]Coefficients!$G$1:$BO$1))</f>
        <v/>
      </c>
      <c r="T138">
        <f t="array" ref="T138">INDEX([1]Coefficients!$G$132:$BO$151,_xlfn.XMATCH($E138,[1]Coefficients!$B$132:$B$151),_xlfn.XMATCH(T$2,[1]Coefficients!$G$1:$BO$1))</f>
        <v/>
      </c>
      <c r="U138">
        <f t="array" ref="U138">INDEX([1]Coefficients!$G$132:$BO$151,_xlfn.XMATCH($E138,[1]Coefficients!$B$132:$B$151),_xlfn.XMATCH(U$2,[1]Coefficients!$G$1:$BO$1))</f>
        <v/>
      </c>
      <c r="V138">
        <f t="array" ref="V138">INDEX([1]Coefficients!$G$132:$BO$151,_xlfn.XMATCH($E138,[1]Coefficients!$B$132:$B$151),_xlfn.XMATCH(V$2,[1]Coefficients!$G$1:$BO$1))</f>
        <v/>
      </c>
      <c r="W138">
        <f t="array" ref="W138">INDEX([1]Coefficients!$G$132:$BO$151,_xlfn.XMATCH($E138,[1]Coefficients!$B$132:$B$151),_xlfn.XMATCH(W$2,[1]Coefficients!$G$1:$BO$1))</f>
        <v/>
      </c>
    </row>
    <row r="139">
      <c r="A139" t="inlineStr">
        <is>
          <t>CIMS.Generic Fuels.Uranium</t>
        </is>
      </c>
      <c r="B139" t="inlineStr">
        <is>
          <t>Service</t>
        </is>
      </c>
      <c r="C139" t="inlineStr">
        <is>
          <t>CIMS</t>
        </is>
      </c>
      <c r="E139" t="inlineStr">
        <is>
          <t>Uranium</t>
        </is>
      </c>
      <c r="G139" t="inlineStr">
        <is>
          <t>emissions</t>
        </is>
      </c>
      <c r="H139" t="inlineStr">
        <is>
          <t>CH4</t>
        </is>
      </c>
      <c r="I139" t="inlineStr">
        <is>
          <t>Combustion</t>
        </is>
      </c>
      <c r="K139" t="inlineStr">
        <is>
          <t>ECCC, NIR</t>
        </is>
      </c>
      <c r="L139" t="inlineStr">
        <is>
          <t>tCH4</t>
        </is>
      </c>
      <c r="M139">
        <f t="array" ref="M139">INDEX([1]Coefficients!$G$156:$BO$175,_xlfn.XMATCH($E139,[1]Coefficients!$B$132:$B$151),_xlfn.XMATCH(M$2,[1]Coefficients!$G$1:$BO$1))</f>
        <v/>
      </c>
      <c r="N139">
        <f t="array" ref="N139">INDEX([1]Coefficients!$G$156:$BO$175,_xlfn.XMATCH($E139,[1]Coefficients!$B$132:$B$151),_xlfn.XMATCH(N$2,[1]Coefficients!$G$1:$BO$1))</f>
        <v/>
      </c>
      <c r="O139">
        <f t="array" ref="O139">INDEX([1]Coefficients!$G$156:$BO$175,_xlfn.XMATCH($E139,[1]Coefficients!$B$132:$B$151),_xlfn.XMATCH(O$2,[1]Coefficients!$G$1:$BO$1))</f>
        <v/>
      </c>
      <c r="P139">
        <f t="array" ref="P139">INDEX([1]Coefficients!$G$156:$BO$175,_xlfn.XMATCH($E139,[1]Coefficients!$B$132:$B$151),_xlfn.XMATCH(P$2,[1]Coefficients!$G$1:$BO$1))</f>
        <v/>
      </c>
      <c r="Q139">
        <f t="array" ref="Q139">INDEX([1]Coefficients!$G$156:$BO$175,_xlfn.XMATCH($E139,[1]Coefficients!$B$132:$B$151),_xlfn.XMATCH(Q$2,[1]Coefficients!$G$1:$BO$1))</f>
        <v/>
      </c>
      <c r="R139">
        <f t="array" ref="R139">INDEX([1]Coefficients!$G$156:$BO$175,_xlfn.XMATCH($E139,[1]Coefficients!$B$132:$B$151),_xlfn.XMATCH(R$2,[1]Coefficients!$G$1:$BO$1))</f>
        <v/>
      </c>
      <c r="S139">
        <f t="array" ref="S139">INDEX([1]Coefficients!$G$156:$BO$175,_xlfn.XMATCH($E139,[1]Coefficients!$B$132:$B$151),_xlfn.XMATCH(S$2,[1]Coefficients!$G$1:$BO$1))</f>
        <v/>
      </c>
      <c r="T139">
        <f t="array" ref="T139">INDEX([1]Coefficients!$G$156:$BO$175,_xlfn.XMATCH($E139,[1]Coefficients!$B$132:$B$151),_xlfn.XMATCH(T$2,[1]Coefficients!$G$1:$BO$1))</f>
        <v/>
      </c>
      <c r="U139">
        <f t="array" ref="U139">INDEX([1]Coefficients!$G$156:$BO$175,_xlfn.XMATCH($E139,[1]Coefficients!$B$132:$B$151),_xlfn.XMATCH(U$2,[1]Coefficients!$G$1:$BO$1))</f>
        <v/>
      </c>
      <c r="V139">
        <f t="array" ref="V139">INDEX([1]Coefficients!$G$156:$BO$175,_xlfn.XMATCH($E139,[1]Coefficients!$B$132:$B$151),_xlfn.XMATCH(V$2,[1]Coefficients!$G$1:$BO$1))</f>
        <v/>
      </c>
      <c r="W139">
        <f t="array" ref="W139">INDEX([1]Coefficients!$G$156:$BO$175,_xlfn.XMATCH($E139,[1]Coefficients!$B$132:$B$151),_xlfn.XMATCH(W$2,[1]Coefficients!$G$1:$BO$1))</f>
        <v/>
      </c>
    </row>
    <row r="140">
      <c r="A140" t="inlineStr">
        <is>
          <t>CIMS.Generic Fuels.Uranium</t>
        </is>
      </c>
      <c r="B140" t="inlineStr">
        <is>
          <t>Service</t>
        </is>
      </c>
      <c r="C140" t="inlineStr">
        <is>
          <t>CIMS</t>
        </is>
      </c>
      <c r="E140" t="inlineStr">
        <is>
          <t>Uranium</t>
        </is>
      </c>
      <c r="G140" t="inlineStr">
        <is>
          <t>emissions</t>
        </is>
      </c>
      <c r="H140" t="inlineStr">
        <is>
          <t>N2O</t>
        </is>
      </c>
      <c r="I140" t="inlineStr">
        <is>
          <t>Combustion</t>
        </is>
      </c>
      <c r="K140" t="inlineStr">
        <is>
          <t>ECCC, NIR</t>
        </is>
      </c>
      <c r="L140" t="inlineStr">
        <is>
          <t>tN2O</t>
        </is>
      </c>
      <c r="M140">
        <f t="array" ref="M140">INDEX([1]Coefficients!$G$180:$BO$199,_xlfn.XMATCH($E140,[1]Coefficients!$B$132:$B$151),_xlfn.XMATCH(M$2,[1]Coefficients!$G$1:$BO$1))</f>
        <v/>
      </c>
      <c r="N140">
        <f t="array" ref="N140">INDEX([1]Coefficients!$G$180:$BO$199,_xlfn.XMATCH($E140,[1]Coefficients!$B$132:$B$151),_xlfn.XMATCH(N$2,[1]Coefficients!$G$1:$BO$1))</f>
        <v/>
      </c>
      <c r="O140">
        <f t="array" ref="O140">INDEX([1]Coefficients!$G$180:$BO$199,_xlfn.XMATCH($E140,[1]Coefficients!$B$132:$B$151),_xlfn.XMATCH(O$2,[1]Coefficients!$G$1:$BO$1))</f>
        <v/>
      </c>
      <c r="P140">
        <f t="array" ref="P140">INDEX([1]Coefficients!$G$180:$BO$199,_xlfn.XMATCH($E140,[1]Coefficients!$B$132:$B$151),_xlfn.XMATCH(P$2,[1]Coefficients!$G$1:$BO$1))</f>
        <v/>
      </c>
      <c r="Q140">
        <f t="array" ref="Q140">INDEX([1]Coefficients!$G$180:$BO$199,_xlfn.XMATCH($E140,[1]Coefficients!$B$132:$B$151),_xlfn.XMATCH(Q$2,[1]Coefficients!$G$1:$BO$1))</f>
        <v/>
      </c>
      <c r="R140">
        <f t="array" ref="R140">INDEX([1]Coefficients!$G$180:$BO$199,_xlfn.XMATCH($E140,[1]Coefficients!$B$132:$B$151),_xlfn.XMATCH(R$2,[1]Coefficients!$G$1:$BO$1))</f>
        <v/>
      </c>
      <c r="S140">
        <f t="array" ref="S140">INDEX([1]Coefficients!$G$180:$BO$199,_xlfn.XMATCH($E140,[1]Coefficients!$B$132:$B$151),_xlfn.XMATCH(S$2,[1]Coefficients!$G$1:$BO$1))</f>
        <v/>
      </c>
      <c r="T140">
        <f t="array" ref="T140">INDEX([1]Coefficients!$G$180:$BO$199,_xlfn.XMATCH($E140,[1]Coefficients!$B$132:$B$151),_xlfn.XMATCH(T$2,[1]Coefficients!$G$1:$BO$1))</f>
        <v/>
      </c>
      <c r="U140">
        <f t="array" ref="U140">INDEX([1]Coefficients!$G$180:$BO$199,_xlfn.XMATCH($E140,[1]Coefficients!$B$132:$B$151),_xlfn.XMATCH(U$2,[1]Coefficients!$G$1:$BO$1))</f>
        <v/>
      </c>
      <c r="V140">
        <f t="array" ref="V140">INDEX([1]Coefficients!$G$180:$BO$199,_xlfn.XMATCH($E140,[1]Coefficients!$B$132:$B$151),_xlfn.XMATCH(V$2,[1]Coefficients!$G$1:$BO$1))</f>
        <v/>
      </c>
      <c r="W140">
        <f t="array" ref="W140">INDEX([1]Coefficients!$G$180:$BO$199,_xlfn.XMATCH($E140,[1]Coefficients!$B$132:$B$151),_xlfn.XMATCH(W$2,[1]Coefficients!$G$1:$BO$1))</f>
        <v/>
      </c>
    </row>
    <row r="141">
      <c r="A141" t="inlineStr">
        <is>
          <t>CIMS.Generic Fuels.Waste Fuel</t>
        </is>
      </c>
      <c r="B141" t="inlineStr">
        <is>
          <t>Service</t>
        </is>
      </c>
      <c r="C141" t="inlineStr">
        <is>
          <t>CIMS</t>
        </is>
      </c>
      <c r="E141" t="inlineStr">
        <is>
          <t>Waste Fuel</t>
        </is>
      </c>
      <c r="G141" t="inlineStr">
        <is>
          <t>service_provide</t>
        </is>
      </c>
      <c r="L141" t="inlineStr">
        <is>
          <t>GJ</t>
        </is>
      </c>
    </row>
    <row r="142">
      <c r="A142" t="inlineStr">
        <is>
          <t>CIMS.Generic Fuels.Waste Fuel</t>
        </is>
      </c>
      <c r="B142" t="inlineStr">
        <is>
          <t>Service</t>
        </is>
      </c>
      <c r="C142" t="inlineStr">
        <is>
          <t>CIMS</t>
        </is>
      </c>
      <c r="E142" t="inlineStr">
        <is>
          <t>Waste Fuel</t>
        </is>
      </c>
      <c r="G142" t="inlineStr">
        <is>
          <t>competition</t>
        </is>
      </c>
      <c r="H142" t="inlineStr">
        <is>
          <t>Supply - Fixed Price</t>
        </is>
      </c>
    </row>
    <row r="143">
      <c r="A143" t="inlineStr">
        <is>
          <t>CIMS.Generic Fuels.Waste Fuel</t>
        </is>
      </c>
      <c r="B143" t="inlineStr">
        <is>
          <t>Service</t>
        </is>
      </c>
      <c r="C143" t="inlineStr">
        <is>
          <t>CIMS</t>
        </is>
      </c>
      <c r="E143" t="inlineStr">
        <is>
          <t>Waste Fuel</t>
        </is>
      </c>
      <c r="G143" t="inlineStr">
        <is>
          <t>is_supply</t>
        </is>
      </c>
      <c r="H143" t="b">
        <v>1</v>
      </c>
    </row>
    <row r="144">
      <c r="A144" t="inlineStr">
        <is>
          <t>CIMS.Generic Fuels.Waste Fuel</t>
        </is>
      </c>
      <c r="B144" t="inlineStr">
        <is>
          <t>Service</t>
        </is>
      </c>
      <c r="C144" t="inlineStr">
        <is>
          <t>CIMS</t>
        </is>
      </c>
      <c r="E144" t="inlineStr">
        <is>
          <t>Waste Fuel</t>
        </is>
      </c>
      <c r="G144" t="inlineStr">
        <is>
          <t>lcc_financial</t>
        </is>
      </c>
      <c r="K144" t="inlineStr">
        <is>
          <t>JCIMS</t>
        </is>
      </c>
      <c r="L144" t="inlineStr">
        <is>
          <t>$/GJ</t>
        </is>
      </c>
      <c r="M144">
        <f t="array" ref="M144">INDEX([1]!JCIMS_prices,_xlfn.XMATCH($E144,[1]!JCIMS_prices_index),_xlfn.XMATCH(M$2,[1]!CER_year))*[1]!JCIMS_price_inflator</f>
        <v/>
      </c>
      <c r="N144">
        <f t="array" ref="N144">INDEX([1]!JCIMS_prices,_xlfn.XMATCH($E144,[1]!JCIMS_prices_index),_xlfn.XMATCH(N$2,[1]!CER_year))*[1]!JCIMS_price_inflator</f>
        <v/>
      </c>
      <c r="O144">
        <f t="array" ref="O144">INDEX([1]!JCIMS_prices,_xlfn.XMATCH($E144,[1]!JCIMS_prices_index),_xlfn.XMATCH(O$2,[1]!CER_year))*[1]!JCIMS_price_inflator</f>
        <v/>
      </c>
      <c r="P144">
        <f t="array" ref="P144">INDEX([1]!JCIMS_prices,_xlfn.XMATCH($E144,[1]!JCIMS_prices_index),_xlfn.XMATCH(P$2,[1]!CER_year))*[1]!JCIMS_price_inflator</f>
        <v/>
      </c>
      <c r="Q144">
        <f t="array" ref="Q144">INDEX([1]!JCIMS_prices,_xlfn.XMATCH($E144,[1]!JCIMS_prices_index),_xlfn.XMATCH(Q$2,[1]!CER_year))*[1]!JCIMS_price_inflator</f>
        <v/>
      </c>
      <c r="R144">
        <f t="array" ref="R144">INDEX([1]!JCIMS_prices,_xlfn.XMATCH($E144,[1]!JCIMS_prices_index),_xlfn.XMATCH(R$2,[1]!CER_year))*[1]!JCIMS_price_inflator</f>
        <v/>
      </c>
      <c r="S144">
        <f t="array" ref="S144">INDEX([1]!JCIMS_prices,_xlfn.XMATCH($E144,[1]!JCIMS_prices_index),_xlfn.XMATCH(S$2,[1]!CER_year))*[1]!JCIMS_price_inflator</f>
        <v/>
      </c>
      <c r="T144">
        <f t="array" ref="T144">INDEX([1]!JCIMS_prices,_xlfn.XMATCH($E144,[1]!JCIMS_prices_index),_xlfn.XMATCH(T$2,[1]!CER_year))*[1]!JCIMS_price_inflator</f>
        <v/>
      </c>
      <c r="U144">
        <f t="array" ref="U144">INDEX([1]!JCIMS_prices,_xlfn.XMATCH($E144,[1]!JCIMS_prices_index),_xlfn.XMATCH(U$2,[1]!CER_year))*[1]!JCIMS_price_inflator</f>
        <v/>
      </c>
      <c r="V144">
        <f t="array" ref="V144">INDEX([1]!JCIMS_prices,_xlfn.XMATCH($E144,[1]!JCIMS_prices_index),_xlfn.XMATCH(V$2,[1]!CER_year))*[1]!JCIMS_price_inflator</f>
        <v/>
      </c>
      <c r="W144">
        <f t="array" ref="W144">INDEX([1]!JCIMS_prices,_xlfn.XMATCH($E144,[1]!JCIMS_prices_index),_xlfn.XMATCH(W$2,[1]!CER_year))*[1]!JCIMS_price_inflator</f>
        <v/>
      </c>
      <c r="X144" t="inlineStr">
        <is>
          <t>Cost in industrial minerals - BC</t>
        </is>
      </c>
    </row>
    <row r="145">
      <c r="A145" t="inlineStr">
        <is>
          <t>CIMS.Generic Fuels.Waste Fuel</t>
        </is>
      </c>
      <c r="B145" t="inlineStr">
        <is>
          <t>Service</t>
        </is>
      </c>
      <c r="C145" t="inlineStr">
        <is>
          <t>CIMS</t>
        </is>
      </c>
      <c r="E145" t="inlineStr">
        <is>
          <t>Waste Fuel</t>
        </is>
      </c>
      <c r="G145" t="inlineStr">
        <is>
          <t>emissions</t>
        </is>
      </c>
      <c r="H145" t="inlineStr">
        <is>
          <t>CO2</t>
        </is>
      </c>
      <c r="I145" t="inlineStr">
        <is>
          <t>Combustion</t>
        </is>
      </c>
      <c r="K145" t="inlineStr">
        <is>
          <t>ECCC, NIR</t>
        </is>
      </c>
      <c r="L145" t="inlineStr">
        <is>
          <t>tCO2</t>
        </is>
      </c>
      <c r="M145">
        <f t="array" ref="M145">INDEX([1]Coefficients!$G$132:$BO$151,_xlfn.XMATCH($E145,[1]Coefficients!$B$132:$B$151),_xlfn.XMATCH(M$2,[1]Coefficients!$G$1:$BO$1))</f>
        <v/>
      </c>
      <c r="N145">
        <f t="array" ref="N145">INDEX([1]Coefficients!$G$132:$BO$151,_xlfn.XMATCH($E145,[1]Coefficients!$B$132:$B$151),_xlfn.XMATCH(N$2,[1]Coefficients!$G$1:$BO$1))</f>
        <v/>
      </c>
      <c r="O145">
        <f t="array" ref="O145">INDEX([1]Coefficients!$G$132:$BO$151,_xlfn.XMATCH($E145,[1]Coefficients!$B$132:$B$151),_xlfn.XMATCH(O$2,[1]Coefficients!$G$1:$BO$1))</f>
        <v/>
      </c>
      <c r="P145">
        <f t="array" ref="P145">INDEX([1]Coefficients!$G$132:$BO$151,_xlfn.XMATCH($E145,[1]Coefficients!$B$132:$B$151),_xlfn.XMATCH(P$2,[1]Coefficients!$G$1:$BO$1))</f>
        <v/>
      </c>
      <c r="Q145">
        <f t="array" ref="Q145">INDEX([1]Coefficients!$G$132:$BO$151,_xlfn.XMATCH($E145,[1]Coefficients!$B$132:$B$151),_xlfn.XMATCH(Q$2,[1]Coefficients!$G$1:$BO$1))</f>
        <v/>
      </c>
      <c r="R145">
        <f t="array" ref="R145">INDEX([1]Coefficients!$G$132:$BO$151,_xlfn.XMATCH($E145,[1]Coefficients!$B$132:$B$151),_xlfn.XMATCH(R$2,[1]Coefficients!$G$1:$BO$1))</f>
        <v/>
      </c>
      <c r="S145">
        <f t="array" ref="S145">INDEX([1]Coefficients!$G$132:$BO$151,_xlfn.XMATCH($E145,[1]Coefficients!$B$132:$B$151),_xlfn.XMATCH(S$2,[1]Coefficients!$G$1:$BO$1))</f>
        <v/>
      </c>
      <c r="T145">
        <f t="array" ref="T145">INDEX([1]Coefficients!$G$132:$BO$151,_xlfn.XMATCH($E145,[1]Coefficients!$B$132:$B$151),_xlfn.XMATCH(T$2,[1]Coefficients!$G$1:$BO$1))</f>
        <v/>
      </c>
      <c r="U145">
        <f t="array" ref="U145">INDEX([1]Coefficients!$G$132:$BO$151,_xlfn.XMATCH($E145,[1]Coefficients!$B$132:$B$151),_xlfn.XMATCH(U$2,[1]Coefficients!$G$1:$BO$1))</f>
        <v/>
      </c>
      <c r="V145">
        <f t="array" ref="V145">INDEX([1]Coefficients!$G$132:$BO$151,_xlfn.XMATCH($E145,[1]Coefficients!$B$132:$B$151),_xlfn.XMATCH(V$2,[1]Coefficients!$G$1:$BO$1))</f>
        <v/>
      </c>
      <c r="W145">
        <f t="array" ref="W145">INDEX([1]Coefficients!$G$132:$BO$151,_xlfn.XMATCH($E145,[1]Coefficients!$B$132:$B$151),_xlfn.XMATCH(W$2,[1]Coefficients!$G$1:$BO$1))</f>
        <v/>
      </c>
    </row>
    <row r="146">
      <c r="A146" t="inlineStr">
        <is>
          <t>CIMS.Generic Fuels.Waste Fuel</t>
        </is>
      </c>
      <c r="B146" t="inlineStr">
        <is>
          <t>Service</t>
        </is>
      </c>
      <c r="C146" t="inlineStr">
        <is>
          <t>CIMS</t>
        </is>
      </c>
      <c r="E146" t="inlineStr">
        <is>
          <t>Waste Fuel</t>
        </is>
      </c>
      <c r="G146" t="inlineStr">
        <is>
          <t>emissions</t>
        </is>
      </c>
      <c r="H146" t="inlineStr">
        <is>
          <t>CH4</t>
        </is>
      </c>
      <c r="I146" t="inlineStr">
        <is>
          <t>Combustion</t>
        </is>
      </c>
      <c r="K146" t="inlineStr">
        <is>
          <t>ECCC, NIR</t>
        </is>
      </c>
      <c r="L146" t="inlineStr">
        <is>
          <t>tCH4</t>
        </is>
      </c>
      <c r="M146">
        <f t="array" ref="M146">INDEX([1]Coefficients!$G$156:$BO$175,_xlfn.XMATCH($E146,[1]Coefficients!$B$132:$B$151),_xlfn.XMATCH(M$2,[1]Coefficients!$G$1:$BO$1))</f>
        <v/>
      </c>
      <c r="N146">
        <f t="array" ref="N146">INDEX([1]Coefficients!$G$156:$BO$175,_xlfn.XMATCH($E146,[1]Coefficients!$B$132:$B$151),_xlfn.XMATCH(N$2,[1]Coefficients!$G$1:$BO$1))</f>
        <v/>
      </c>
      <c r="O146">
        <f t="array" ref="O146">INDEX([1]Coefficients!$G$156:$BO$175,_xlfn.XMATCH($E146,[1]Coefficients!$B$132:$B$151),_xlfn.XMATCH(O$2,[1]Coefficients!$G$1:$BO$1))</f>
        <v/>
      </c>
      <c r="P146">
        <f t="array" ref="P146">INDEX([1]Coefficients!$G$156:$BO$175,_xlfn.XMATCH($E146,[1]Coefficients!$B$132:$B$151),_xlfn.XMATCH(P$2,[1]Coefficients!$G$1:$BO$1))</f>
        <v/>
      </c>
      <c r="Q146">
        <f t="array" ref="Q146">INDEX([1]Coefficients!$G$156:$BO$175,_xlfn.XMATCH($E146,[1]Coefficients!$B$132:$B$151),_xlfn.XMATCH(Q$2,[1]Coefficients!$G$1:$BO$1))</f>
        <v/>
      </c>
      <c r="R146">
        <f t="array" ref="R146">INDEX([1]Coefficients!$G$156:$BO$175,_xlfn.XMATCH($E146,[1]Coefficients!$B$132:$B$151),_xlfn.XMATCH(R$2,[1]Coefficients!$G$1:$BO$1))</f>
        <v/>
      </c>
      <c r="S146">
        <f t="array" ref="S146">INDEX([1]Coefficients!$G$156:$BO$175,_xlfn.XMATCH($E146,[1]Coefficients!$B$132:$B$151),_xlfn.XMATCH(S$2,[1]Coefficients!$G$1:$BO$1))</f>
        <v/>
      </c>
      <c r="T146">
        <f t="array" ref="T146">INDEX([1]Coefficients!$G$156:$BO$175,_xlfn.XMATCH($E146,[1]Coefficients!$B$132:$B$151),_xlfn.XMATCH(T$2,[1]Coefficients!$G$1:$BO$1))</f>
        <v/>
      </c>
      <c r="U146">
        <f t="array" ref="U146">INDEX([1]Coefficients!$G$156:$BO$175,_xlfn.XMATCH($E146,[1]Coefficients!$B$132:$B$151),_xlfn.XMATCH(U$2,[1]Coefficients!$G$1:$BO$1))</f>
        <v/>
      </c>
      <c r="V146">
        <f t="array" ref="V146">INDEX([1]Coefficients!$G$156:$BO$175,_xlfn.XMATCH($E146,[1]Coefficients!$B$132:$B$151),_xlfn.XMATCH(V$2,[1]Coefficients!$G$1:$BO$1))</f>
        <v/>
      </c>
      <c r="W146">
        <f t="array" ref="W146">INDEX([1]Coefficients!$G$156:$BO$175,_xlfn.XMATCH($E146,[1]Coefficients!$B$132:$B$151),_xlfn.XMATCH(W$2,[1]Coefficients!$G$1:$BO$1))</f>
        <v/>
      </c>
    </row>
    <row r="147">
      <c r="A147" t="inlineStr">
        <is>
          <t>CIMS.Generic Fuels.Waste Fuel</t>
        </is>
      </c>
      <c r="B147" t="inlineStr">
        <is>
          <t>Service</t>
        </is>
      </c>
      <c r="C147" t="inlineStr">
        <is>
          <t>CIMS</t>
        </is>
      </c>
      <c r="E147" t="inlineStr">
        <is>
          <t>Waste Fuel</t>
        </is>
      </c>
      <c r="G147" t="inlineStr">
        <is>
          <t>emissions</t>
        </is>
      </c>
      <c r="H147" t="inlineStr">
        <is>
          <t>N2O</t>
        </is>
      </c>
      <c r="I147" t="inlineStr">
        <is>
          <t>Combustion</t>
        </is>
      </c>
      <c r="K147" t="inlineStr">
        <is>
          <t>ECCC, NIR</t>
        </is>
      </c>
      <c r="L147" t="inlineStr">
        <is>
          <t>tN2O</t>
        </is>
      </c>
      <c r="M147">
        <f t="array" ref="M147">INDEX([1]Coefficients!$G$180:$BO$199,_xlfn.XMATCH($E147,[1]Coefficients!$B$132:$B$151),_xlfn.XMATCH(M$2,[1]Coefficients!$G$1:$BO$1))</f>
        <v/>
      </c>
      <c r="N147">
        <f t="array" ref="N147">INDEX([1]Coefficients!$G$180:$BO$199,_xlfn.XMATCH($E147,[1]Coefficients!$B$132:$B$151),_xlfn.XMATCH(N$2,[1]Coefficients!$G$1:$BO$1))</f>
        <v/>
      </c>
      <c r="O147">
        <f t="array" ref="O147">INDEX([1]Coefficients!$G$180:$BO$199,_xlfn.XMATCH($E147,[1]Coefficients!$B$132:$B$151),_xlfn.XMATCH(O$2,[1]Coefficients!$G$1:$BO$1))</f>
        <v/>
      </c>
      <c r="P147">
        <f t="array" ref="P147">INDEX([1]Coefficients!$G$180:$BO$199,_xlfn.XMATCH($E147,[1]Coefficients!$B$132:$B$151),_xlfn.XMATCH(P$2,[1]Coefficients!$G$1:$BO$1))</f>
        <v/>
      </c>
      <c r="Q147">
        <f t="array" ref="Q147">INDEX([1]Coefficients!$G$180:$BO$199,_xlfn.XMATCH($E147,[1]Coefficients!$B$132:$B$151),_xlfn.XMATCH(Q$2,[1]Coefficients!$G$1:$BO$1))</f>
        <v/>
      </c>
      <c r="R147">
        <f t="array" ref="R147">INDEX([1]Coefficients!$G$180:$BO$199,_xlfn.XMATCH($E147,[1]Coefficients!$B$132:$B$151),_xlfn.XMATCH(R$2,[1]Coefficients!$G$1:$BO$1))</f>
        <v/>
      </c>
      <c r="S147">
        <f t="array" ref="S147">INDEX([1]Coefficients!$G$180:$BO$199,_xlfn.XMATCH($E147,[1]Coefficients!$B$132:$B$151),_xlfn.XMATCH(S$2,[1]Coefficients!$G$1:$BO$1))</f>
        <v/>
      </c>
      <c r="T147">
        <f t="array" ref="T147">INDEX([1]Coefficients!$G$180:$BO$199,_xlfn.XMATCH($E147,[1]Coefficients!$B$132:$B$151),_xlfn.XMATCH(T$2,[1]Coefficients!$G$1:$BO$1))</f>
        <v/>
      </c>
      <c r="U147">
        <f t="array" ref="U147">INDEX([1]Coefficients!$G$180:$BO$199,_xlfn.XMATCH($E147,[1]Coefficients!$B$132:$B$151),_xlfn.XMATCH(U$2,[1]Coefficients!$G$1:$BO$1))</f>
        <v/>
      </c>
      <c r="V147">
        <f t="array" ref="V147">INDEX([1]Coefficients!$G$180:$BO$199,_xlfn.XMATCH($E147,[1]Coefficients!$B$132:$B$151),_xlfn.XMATCH(V$2,[1]Coefficients!$G$1:$BO$1))</f>
        <v/>
      </c>
      <c r="W147">
        <f t="array" ref="W147">INDEX([1]Coefficients!$G$180:$BO$199,_xlfn.XMATCH($E147,[1]Coefficients!$B$132:$B$151),_xlfn.XMATCH(W$2,[1]Coefficients!$G$1:$BO$1))</f>
        <v/>
      </c>
    </row>
    <row r="148">
      <c r="A148" t="inlineStr">
        <is>
          <t>CIMS.Generic Fuels.VOM</t>
        </is>
      </c>
      <c r="B148" t="inlineStr">
        <is>
          <t>Service</t>
        </is>
      </c>
      <c r="C148" t="inlineStr">
        <is>
          <t>CIMS</t>
        </is>
      </c>
      <c r="E148" t="inlineStr">
        <is>
          <t>VOM</t>
        </is>
      </c>
      <c r="G148" t="inlineStr">
        <is>
          <t>service_provide</t>
        </is>
      </c>
      <c r="L148" t="inlineStr">
        <is>
          <t>GJ</t>
        </is>
      </c>
    </row>
    <row r="149">
      <c r="A149" t="inlineStr">
        <is>
          <t>CIMS.Generic Fuels.VOM</t>
        </is>
      </c>
      <c r="B149" t="inlineStr">
        <is>
          <t>Service</t>
        </is>
      </c>
      <c r="C149" t="inlineStr">
        <is>
          <t>CIMS</t>
        </is>
      </c>
      <c r="E149" t="inlineStr">
        <is>
          <t>VOM</t>
        </is>
      </c>
      <c r="G149" t="inlineStr">
        <is>
          <t>competition</t>
        </is>
      </c>
      <c r="H149" t="inlineStr">
        <is>
          <t>Supply - Fixed Price</t>
        </is>
      </c>
    </row>
    <row r="150">
      <c r="A150" t="inlineStr">
        <is>
          <t>CIMS.Generic Fuels.VOM</t>
        </is>
      </c>
      <c r="B150" t="inlineStr">
        <is>
          <t>Service</t>
        </is>
      </c>
      <c r="C150" t="inlineStr">
        <is>
          <t>CIMS</t>
        </is>
      </c>
      <c r="E150" t="inlineStr">
        <is>
          <t>VOM</t>
        </is>
      </c>
      <c r="G150" t="inlineStr">
        <is>
          <t>lcc_financial</t>
        </is>
      </c>
      <c r="K150" t="inlineStr">
        <is>
          <t>n/a</t>
        </is>
      </c>
      <c r="L150" t="inlineStr">
        <is>
          <t>$/GJ</t>
        </is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inlineStr">
        <is>
          <t>Variable operating and maintenance cost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Bradford Griffin</dc:creator>
  <dcterms:created xsi:type="dcterms:W3CDTF">2025-07-02T23:37:04Z</dcterms:created>
  <dcterms:modified xsi:type="dcterms:W3CDTF">2025-09-19T06:16:23Z</dcterms:modified>
  <cp:lastModifiedBy>Bradford Griffin</cp:lastModifiedBy>
</cp:coreProperties>
</file>