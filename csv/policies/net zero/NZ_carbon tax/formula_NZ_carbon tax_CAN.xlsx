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IMS\test\cims-models\csv\policies\net zero\NZ_carbon tax\"/>
    </mc:Choice>
  </mc:AlternateContent>
  <xr:revisionPtr revIDLastSave="0" documentId="8_{1F178A66-0B3E-496A-B22B-C028B7A2325C}" xr6:coauthVersionLast="47" xr6:coauthVersionMax="47" xr10:uidLastSave="{00000000-0000-0000-0000-000000000000}"/>
  <bookViews>
    <workbookView xWindow="32505" yWindow="2025" windowWidth="38700" windowHeight="15285" xr2:uid="{E43D357B-1F46-41AA-868C-0146253F3DEB}"/>
  </bookViews>
  <sheets>
    <sheet name="Sheet1" sheetId="1" r:id="rId1"/>
  </sheets>
  <externalReferences>
    <externalReference r:id="rId2"/>
  </externalReferences>
  <calcPr calcId="191029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8" i="1" l="1"/>
  <c r="V8" i="1"/>
  <c r="U8" i="1"/>
  <c r="T8" i="1"/>
  <c r="S8" i="1"/>
  <c r="W7" i="1"/>
  <c r="V7" i="1"/>
  <c r="U7" i="1"/>
  <c r="T7" i="1"/>
  <c r="S7" i="1"/>
  <c r="W6" i="1"/>
  <c r="V6" i="1"/>
  <c r="U6" i="1"/>
  <c r="T6" i="1"/>
  <c r="S6" i="1"/>
  <c r="W5" i="1"/>
  <c r="V5" i="1"/>
  <c r="U5" i="1"/>
  <c r="T5" i="1"/>
  <c r="S5" i="1"/>
  <c r="W4" i="1"/>
  <c r="V4" i="1"/>
  <c r="U4" i="1"/>
  <c r="T4" i="1"/>
  <c r="S4" i="1"/>
  <c r="V3" i="1"/>
  <c r="U3" i="1"/>
  <c r="T3" i="1"/>
  <c r="S3" i="1"/>
  <c r="R3" i="1"/>
  <c r="Q3" i="1"/>
  <c r="P3" i="1"/>
  <c r="O3" i="1"/>
  <c r="N3" i="1"/>
  <c r="M3" i="1"/>
</calcChain>
</file>

<file path=xl/sharedStrings.xml><?xml version="1.0" encoding="utf-8"?>
<sst xmlns="http://schemas.openxmlformats.org/spreadsheetml/2006/main" count="62" uniqueCount="24">
  <si>
    <t>&lt;-- Navigate by typing to search</t>
  </si>
  <si>
    <t>Branch</t>
  </si>
  <si>
    <t>Type</t>
  </si>
  <si>
    <t>Region</t>
  </si>
  <si>
    <t>Sector</t>
  </si>
  <si>
    <t>Service</t>
  </si>
  <si>
    <t>Technology</t>
  </si>
  <si>
    <t>Parameter</t>
  </si>
  <si>
    <t>Context</t>
  </si>
  <si>
    <t>Sub_Context</t>
  </si>
  <si>
    <t>Target</t>
  </si>
  <si>
    <t>Source</t>
  </si>
  <si>
    <t>Unit</t>
  </si>
  <si>
    <t>Comments</t>
  </si>
  <si>
    <t>CIMS.CAN</t>
  </si>
  <si>
    <t>CAN</t>
  </si>
  <si>
    <t>tax</t>
  </si>
  <si>
    <t>CO2</t>
  </si>
  <si>
    <t>Combustion</t>
  </si>
  <si>
    <t>Govt of Canada</t>
  </si>
  <si>
    <t>$/tCO2e</t>
  </si>
  <si>
    <t>Process</t>
  </si>
  <si>
    <t>CH4</t>
  </si>
  <si>
    <t>N2O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</si>
</sst>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CIMS\test\cims-models\sources\macro\macro%20inputs.xlsx" TargetMode="External"/><Relationship Id="rId1" Type="http://schemas.openxmlformats.org/officeDocument/2006/relationships/externalLinkPath" Target="/CIMS/test/cims-models/sources/macro/macro%20inpu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sheetDataSet>
      <sheetData sheetId="0"/>
      <sheetData sheetId="1"/>
      <sheetData sheetId="2"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C3337-D00F-414F-A8E2-E366B4BF0749}">
  <dimension ref="A1:X8"/>
  <sheetViews>
    <sheetView tabSelected="1" workbookViewId="0">
      <selection sqref="A1:X8"/>
    </sheetView>
  </sheetViews>
  <sheetFormatPr defaultRowHeight="14.4" x14ac:dyDescent="0.3"/>
  <sheetData>
    <row r="1" spans="1:24" x14ac:dyDescent="0.3">
      <c r="B1" t="s">
        <v>0</v>
      </c>
    </row>
    <row r="2" spans="1:24" x14ac:dyDescent="0.3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>
        <v>2000</v>
      </c>
      <c r="N2">
        <v>2005</v>
      </c>
      <c r="O2">
        <v>2010</v>
      </c>
      <c r="P2">
        <v>2015</v>
      </c>
      <c r="Q2">
        <v>2020</v>
      </c>
      <c r="R2">
        <v>2025</v>
      </c>
      <c r="S2">
        <v>2030</v>
      </c>
      <c r="T2">
        <v>2035</v>
      </c>
      <c r="U2">
        <v>2040</v>
      </c>
      <c r="V2">
        <v>2045</v>
      </c>
      <c r="W2">
        <v>2050</v>
      </c>
      <c r="X2" t="s">
        <v>13</v>
      </c>
    </row>
    <row r="3" spans="1:24" x14ac:dyDescent="0.3">
      <c r="A3" t="s">
        <v>14</v>
      </c>
      <c r="B3" t="s">
        <v>3</v>
      </c>
      <c r="C3" t="s">
        <v>15</v>
      </c>
      <c r="G3" t="s">
        <v>16</v>
      </c>
      <c r="H3" t="s">
        <v>17</v>
      </c>
      <c r="I3" t="s">
        <v>18</v>
      </c>
      <c r="K3" t="s">
        <v>19</v>
      </c>
      <c r="L3" t="s">
        <v>20</v>
      </c>
      <c r="M3">
        <f ca="1">[1]Prices!K$26</f>
        <v>0</v>
      </c>
      <c r="N3">
        <f ca="1">[1]Prices!L$26</f>
        <v>0</v>
      </c>
      <c r="O3">
        <f ca="1">[1]Prices!M$26</f>
        <v>0</v>
      </c>
      <c r="P3">
        <f ca="1">[1]Prices!N$26</f>
        <v>0</v>
      </c>
      <c r="Q3">
        <f ca="1">[1]Prices!O$26</f>
        <v>30</v>
      </c>
      <c r="R3">
        <f ca="1">[1]Prices!P$26</f>
        <v>68.341643330825832</v>
      </c>
      <c r="S3">
        <f ca="1">R3*(($W$3/$R$3)^(1/($W$2-$R$2)))^5</f>
        <v>121.22287596270561</v>
      </c>
      <c r="T3">
        <f ca="1">S3*(($W$3/$R$3)^(1/($W$2-$R$2)))^5</f>
        <v>215.0224217690309</v>
      </c>
      <c r="U3">
        <f ca="1">T3*(($W$3/$R$3)^(1/($W$2-$R$2)))^5</f>
        <v>381.4019548393091</v>
      </c>
      <c r="V3">
        <f ca="1">U3*(($W$3/$R$3)^(1/($W$2-$R$2)))^5</f>
        <v>676.52224339423594</v>
      </c>
      <c r="W3">
        <v>1200</v>
      </c>
    </row>
    <row r="4" spans="1:24" x14ac:dyDescent="0.3">
      <c r="A4" t="s">
        <v>14</v>
      </c>
      <c r="B4" t="s">
        <v>3</v>
      </c>
      <c r="C4" t="s">
        <v>15</v>
      </c>
      <c r="G4" t="s">
        <v>16</v>
      </c>
      <c r="H4" t="s">
        <v>17</v>
      </c>
      <c r="I4" t="s">
        <v>21</v>
      </c>
      <c r="K4" t="s">
        <v>19</v>
      </c>
      <c r="L4" t="s">
        <v>20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f ca="1">S$3</f>
        <v>121.22287596270561</v>
      </c>
      <c r="T4">
        <f t="shared" ref="T4:W8" ca="1" si="0">T$3</f>
        <v>215.0224217690309</v>
      </c>
      <c r="U4">
        <f t="shared" ca="1" si="0"/>
        <v>381.4019548393091</v>
      </c>
      <c r="V4">
        <f t="shared" ca="1" si="0"/>
        <v>676.52224339423594</v>
      </c>
      <c r="W4">
        <f t="shared" ca="1" si="0"/>
        <v>1200</v>
      </c>
    </row>
    <row r="5" spans="1:24" x14ac:dyDescent="0.3">
      <c r="A5" t="s">
        <v>14</v>
      </c>
      <c r="B5" t="s">
        <v>3</v>
      </c>
      <c r="C5" t="s">
        <v>15</v>
      </c>
      <c r="G5" t="s">
        <v>16</v>
      </c>
      <c r="H5" t="s">
        <v>22</v>
      </c>
      <c r="I5" t="s">
        <v>18</v>
      </c>
      <c r="K5" t="s">
        <v>19</v>
      </c>
      <c r="L5" t="s">
        <v>20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f t="shared" ref="S5:S8" ca="1" si="1">S$3</f>
        <v>121.22287596270561</v>
      </c>
      <c r="T5">
        <f t="shared" ca="1" si="0"/>
        <v>215.0224217690309</v>
      </c>
      <c r="U5">
        <f t="shared" ca="1" si="0"/>
        <v>381.4019548393091</v>
      </c>
      <c r="V5">
        <f t="shared" ca="1" si="0"/>
        <v>676.52224339423594</v>
      </c>
      <c r="W5">
        <f t="shared" ca="1" si="0"/>
        <v>1200</v>
      </c>
    </row>
    <row r="6" spans="1:24" x14ac:dyDescent="0.3">
      <c r="A6" t="s">
        <v>14</v>
      </c>
      <c r="B6" t="s">
        <v>3</v>
      </c>
      <c r="C6" t="s">
        <v>15</v>
      </c>
      <c r="G6" t="s">
        <v>16</v>
      </c>
      <c r="H6" t="s">
        <v>22</v>
      </c>
      <c r="I6" t="s">
        <v>21</v>
      </c>
      <c r="K6" t="s">
        <v>19</v>
      </c>
      <c r="L6" t="s">
        <v>20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f t="shared" ca="1" si="1"/>
        <v>121.22287596270561</v>
      </c>
      <c r="T6">
        <f t="shared" ca="1" si="0"/>
        <v>215.0224217690309</v>
      </c>
      <c r="U6">
        <f t="shared" ca="1" si="0"/>
        <v>381.4019548393091</v>
      </c>
      <c r="V6">
        <f t="shared" ca="1" si="0"/>
        <v>676.52224339423594</v>
      </c>
      <c r="W6">
        <f t="shared" ca="1" si="0"/>
        <v>1200</v>
      </c>
    </row>
    <row r="7" spans="1:24" x14ac:dyDescent="0.3">
      <c r="A7" t="s">
        <v>14</v>
      </c>
      <c r="B7" t="s">
        <v>3</v>
      </c>
      <c r="C7" t="s">
        <v>15</v>
      </c>
      <c r="G7" t="s">
        <v>16</v>
      </c>
      <c r="H7" t="s">
        <v>23</v>
      </c>
      <c r="I7" t="s">
        <v>18</v>
      </c>
      <c r="K7" t="s">
        <v>19</v>
      </c>
      <c r="L7" t="s">
        <v>20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f t="shared" ca="1" si="1"/>
        <v>121.22287596270561</v>
      </c>
      <c r="T7">
        <f t="shared" ca="1" si="0"/>
        <v>215.0224217690309</v>
      </c>
      <c r="U7">
        <f t="shared" ca="1" si="0"/>
        <v>381.4019548393091</v>
      </c>
      <c r="V7">
        <f t="shared" ca="1" si="0"/>
        <v>676.52224339423594</v>
      </c>
      <c r="W7">
        <f t="shared" ca="1" si="0"/>
        <v>1200</v>
      </c>
    </row>
    <row r="8" spans="1:24" x14ac:dyDescent="0.3">
      <c r="A8" t="s">
        <v>14</v>
      </c>
      <c r="B8" t="s">
        <v>3</v>
      </c>
      <c r="C8" t="s">
        <v>15</v>
      </c>
      <c r="G8" t="s">
        <v>16</v>
      </c>
      <c r="H8" t="s">
        <v>23</v>
      </c>
      <c r="I8" t="s">
        <v>21</v>
      </c>
      <c r="K8" t="s">
        <v>19</v>
      </c>
      <c r="L8" t="s">
        <v>20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f t="shared" ca="1" si="1"/>
        <v>121.22287596270561</v>
      </c>
      <c r="T8">
        <f t="shared" ca="1" si="0"/>
        <v>215.0224217690309</v>
      </c>
      <c r="U8">
        <f t="shared" ca="1" si="0"/>
        <v>381.4019548393091</v>
      </c>
      <c r="V8">
        <f t="shared" ca="1" si="0"/>
        <v>676.52224339423594</v>
      </c>
      <c r="W8">
        <f t="shared" ca="1" si="0"/>
        <v>1200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Bradford Griffin</dc:creator>
  <cp:lastModifiedBy>Bradford Griffin</cp:lastModifiedBy>
  <dcterms:created xsi:type="dcterms:W3CDTF">2025-11-23T06:46:46Z</dcterms:created>
  <dcterms:modified xsi:type="dcterms:W3CDTF">2025-11-23T06:46:46Z</dcterms:modified>
</cp:coreProperties>
</file>