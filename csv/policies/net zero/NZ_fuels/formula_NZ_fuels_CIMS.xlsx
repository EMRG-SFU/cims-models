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test\cims-models\csv\policies\net zero\NZ_fuels\"/>
    </mc:Choice>
  </mc:AlternateContent>
  <xr:revisionPtr revIDLastSave="0" documentId="8_{0CD32FA8-FF45-453B-A0B5-F6DBC5E2D4E1}" xr6:coauthVersionLast="47" xr6:coauthVersionMax="47" xr10:uidLastSave="{00000000-0000-0000-0000-000000000000}"/>
  <bookViews>
    <workbookView xWindow="28680" yWindow="-120" windowWidth="29040" windowHeight="15720" xr2:uid="{C3D9A782-2B7E-4D73-BDF4-7929832F5B43}"/>
  </bookViews>
  <sheets>
    <sheet name="Sheet1" sheetId="1" r:id="rId1"/>
  </sheets>
  <externalReferences>
    <externalReference r:id="rId2"/>
  </externalReferences>
  <calcPr calcId="191029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7" i="1" l="1"/>
  <c r="W147" i="1" a="1"/>
  <c r="V147" i="1"/>
  <c r="V147" i="1" a="1"/>
  <c r="U147" i="1"/>
  <c r="U147" i="1" a="1"/>
  <c r="T147" i="1"/>
  <c r="T147" i="1" a="1"/>
  <c r="S147" i="1"/>
  <c r="S147" i="1" a="1"/>
  <c r="R147" i="1"/>
  <c r="R147" i="1" a="1"/>
  <c r="Q147" i="1"/>
  <c r="Q147" i="1" a="1"/>
  <c r="P147" i="1"/>
  <c r="P147" i="1" a="1"/>
  <c r="O147" i="1"/>
  <c r="O147" i="1" a="1"/>
  <c r="N147" i="1"/>
  <c r="N147" i="1" a="1"/>
  <c r="M147" i="1"/>
  <c r="M147" i="1" a="1"/>
  <c r="W146" i="1"/>
  <c r="W146" i="1" a="1"/>
  <c r="V146" i="1"/>
  <c r="V146" i="1" a="1"/>
  <c r="U146" i="1"/>
  <c r="U146" i="1" a="1"/>
  <c r="T146" i="1"/>
  <c r="T146" i="1" a="1"/>
  <c r="S146" i="1"/>
  <c r="S146" i="1" a="1"/>
  <c r="R146" i="1"/>
  <c r="R146" i="1" a="1"/>
  <c r="Q146" i="1"/>
  <c r="Q146" i="1" a="1"/>
  <c r="P146" i="1"/>
  <c r="P146" i="1" a="1"/>
  <c r="O146" i="1"/>
  <c r="O146" i="1" a="1"/>
  <c r="N146" i="1"/>
  <c r="N146" i="1" a="1"/>
  <c r="M146" i="1"/>
  <c r="M146" i="1" a="1"/>
  <c r="W145" i="1"/>
  <c r="W145" i="1" a="1"/>
  <c r="V145" i="1"/>
  <c r="V145" i="1" a="1"/>
  <c r="U145" i="1"/>
  <c r="U145" i="1" a="1"/>
  <c r="T145" i="1"/>
  <c r="T145" i="1" a="1"/>
  <c r="S145" i="1"/>
  <c r="S145" i="1" a="1"/>
  <c r="R145" i="1"/>
  <c r="R145" i="1" a="1"/>
  <c r="Q145" i="1"/>
  <c r="Q145" i="1" a="1"/>
  <c r="P145" i="1"/>
  <c r="P145" i="1" a="1"/>
  <c r="O145" i="1"/>
  <c r="O145" i="1" a="1"/>
  <c r="N145" i="1"/>
  <c r="N145" i="1" a="1"/>
  <c r="M145" i="1"/>
  <c r="M145" i="1" a="1"/>
  <c r="W144" i="1"/>
  <c r="W144" i="1" a="1"/>
  <c r="V144" i="1"/>
  <c r="V144" i="1" a="1"/>
  <c r="U144" i="1"/>
  <c r="U144" i="1" a="1"/>
  <c r="T144" i="1"/>
  <c r="T144" i="1" a="1"/>
  <c r="S144" i="1"/>
  <c r="S144" i="1" a="1"/>
  <c r="R144" i="1"/>
  <c r="R144" i="1" a="1"/>
  <c r="Q144" i="1"/>
  <c r="Q144" i="1" a="1"/>
  <c r="P144" i="1"/>
  <c r="P144" i="1" a="1"/>
  <c r="O144" i="1"/>
  <c r="O144" i="1" a="1"/>
  <c r="N144" i="1"/>
  <c r="N144" i="1" a="1"/>
  <c r="M144" i="1"/>
  <c r="M144" i="1" a="1"/>
  <c r="W140" i="1"/>
  <c r="W140" i="1" a="1"/>
  <c r="V140" i="1"/>
  <c r="V140" i="1" a="1"/>
  <c r="U140" i="1"/>
  <c r="U140" i="1" a="1"/>
  <c r="T140" i="1"/>
  <c r="T140" i="1" a="1"/>
  <c r="S140" i="1"/>
  <c r="S140" i="1" a="1"/>
  <c r="R140" i="1"/>
  <c r="R140" i="1" a="1"/>
  <c r="Q140" i="1"/>
  <c r="Q140" i="1" a="1"/>
  <c r="P140" i="1"/>
  <c r="P140" i="1" a="1"/>
  <c r="O140" i="1"/>
  <c r="O140" i="1" a="1"/>
  <c r="N140" i="1"/>
  <c r="N140" i="1" a="1"/>
  <c r="M140" i="1"/>
  <c r="M140" i="1" a="1"/>
  <c r="W139" i="1"/>
  <c r="W139" i="1" a="1"/>
  <c r="V139" i="1"/>
  <c r="V139" i="1" a="1"/>
  <c r="U139" i="1"/>
  <c r="U139" i="1" a="1"/>
  <c r="T139" i="1"/>
  <c r="T139" i="1" a="1"/>
  <c r="S139" i="1"/>
  <c r="S139" i="1" a="1"/>
  <c r="R139" i="1"/>
  <c r="R139" i="1" a="1"/>
  <c r="Q139" i="1"/>
  <c r="Q139" i="1" a="1"/>
  <c r="P139" i="1"/>
  <c r="P139" i="1" a="1"/>
  <c r="O139" i="1"/>
  <c r="O139" i="1" a="1"/>
  <c r="N139" i="1"/>
  <c r="N139" i="1" a="1"/>
  <c r="M139" i="1"/>
  <c r="M139" i="1" a="1"/>
  <c r="W138" i="1"/>
  <c r="W138" i="1" a="1"/>
  <c r="V138" i="1"/>
  <c r="V138" i="1" a="1"/>
  <c r="U138" i="1"/>
  <c r="U138" i="1" a="1"/>
  <c r="T138" i="1"/>
  <c r="T138" i="1" a="1"/>
  <c r="S138" i="1"/>
  <c r="S138" i="1" a="1"/>
  <c r="R138" i="1"/>
  <c r="R138" i="1" a="1"/>
  <c r="Q138" i="1"/>
  <c r="Q138" i="1" a="1"/>
  <c r="P138" i="1"/>
  <c r="P138" i="1" a="1"/>
  <c r="O138" i="1"/>
  <c r="O138" i="1" a="1"/>
  <c r="N138" i="1"/>
  <c r="N138" i="1" a="1"/>
  <c r="M138" i="1"/>
  <c r="M138" i="1" a="1"/>
  <c r="W137" i="1"/>
  <c r="W137" i="1" a="1"/>
  <c r="V137" i="1"/>
  <c r="V137" i="1" a="1"/>
  <c r="U137" i="1"/>
  <c r="U137" i="1" a="1"/>
  <c r="T137" i="1"/>
  <c r="T137" i="1" a="1"/>
  <c r="S137" i="1"/>
  <c r="S137" i="1" a="1"/>
  <c r="R137" i="1"/>
  <c r="R137" i="1" a="1"/>
  <c r="Q137" i="1"/>
  <c r="Q137" i="1" a="1"/>
  <c r="P137" i="1"/>
  <c r="P137" i="1" a="1"/>
  <c r="O137" i="1"/>
  <c r="O137" i="1" a="1"/>
  <c r="N137" i="1"/>
  <c r="N137" i="1" a="1"/>
  <c r="M137" i="1"/>
  <c r="M137" i="1" a="1"/>
  <c r="W133" i="1"/>
  <c r="W133" i="1" a="1"/>
  <c r="V133" i="1"/>
  <c r="V133" i="1" a="1"/>
  <c r="U133" i="1"/>
  <c r="U133" i="1" a="1"/>
  <c r="T133" i="1"/>
  <c r="T133" i="1" a="1"/>
  <c r="S133" i="1"/>
  <c r="S133" i="1" a="1"/>
  <c r="R133" i="1"/>
  <c r="R133" i="1" a="1"/>
  <c r="Q133" i="1"/>
  <c r="Q133" i="1" a="1"/>
  <c r="P133" i="1"/>
  <c r="P133" i="1" a="1"/>
  <c r="O133" i="1"/>
  <c r="O133" i="1" a="1"/>
  <c r="N133" i="1"/>
  <c r="N133" i="1" a="1"/>
  <c r="M133" i="1"/>
  <c r="M133" i="1" a="1"/>
  <c r="W132" i="1"/>
  <c r="W132" i="1" a="1"/>
  <c r="V132" i="1"/>
  <c r="V132" i="1" a="1"/>
  <c r="U132" i="1"/>
  <c r="U132" i="1" a="1"/>
  <c r="T132" i="1"/>
  <c r="T132" i="1" a="1"/>
  <c r="S132" i="1"/>
  <c r="S132" i="1" a="1"/>
  <c r="R132" i="1"/>
  <c r="R132" i="1" a="1"/>
  <c r="Q132" i="1"/>
  <c r="Q132" i="1" a="1"/>
  <c r="P132" i="1"/>
  <c r="P132" i="1" a="1"/>
  <c r="O132" i="1"/>
  <c r="O132" i="1" a="1"/>
  <c r="N132" i="1"/>
  <c r="N132" i="1" a="1"/>
  <c r="M132" i="1"/>
  <c r="M132" i="1" a="1"/>
  <c r="W131" i="1"/>
  <c r="W131" i="1" a="1"/>
  <c r="V131" i="1"/>
  <c r="V131" i="1" a="1"/>
  <c r="U131" i="1"/>
  <c r="U131" i="1" a="1"/>
  <c r="T131" i="1"/>
  <c r="T131" i="1" a="1"/>
  <c r="S131" i="1"/>
  <c r="S131" i="1" a="1"/>
  <c r="R131" i="1"/>
  <c r="R131" i="1" a="1"/>
  <c r="Q131" i="1"/>
  <c r="Q131" i="1" a="1"/>
  <c r="P131" i="1"/>
  <c r="P131" i="1" a="1"/>
  <c r="O131" i="1"/>
  <c r="O131" i="1" a="1"/>
  <c r="N131" i="1"/>
  <c r="N131" i="1" a="1"/>
  <c r="M131" i="1"/>
  <c r="M131" i="1" a="1"/>
  <c r="W130" i="1"/>
  <c r="W130" i="1" a="1"/>
  <c r="V130" i="1"/>
  <c r="V130" i="1" a="1"/>
  <c r="U130" i="1"/>
  <c r="U130" i="1" a="1"/>
  <c r="T130" i="1"/>
  <c r="T130" i="1" a="1"/>
  <c r="S130" i="1"/>
  <c r="S130" i="1" a="1"/>
  <c r="R130" i="1"/>
  <c r="R130" i="1" a="1"/>
  <c r="Q130" i="1"/>
  <c r="Q130" i="1" a="1"/>
  <c r="P130" i="1"/>
  <c r="P130" i="1" a="1"/>
  <c r="O130" i="1"/>
  <c r="O130" i="1" a="1"/>
  <c r="N130" i="1"/>
  <c r="N130" i="1" a="1"/>
  <c r="M130" i="1"/>
  <c r="M130" i="1" a="1"/>
  <c r="W129" i="1"/>
  <c r="W129" i="1" a="1"/>
  <c r="V129" i="1"/>
  <c r="V129" i="1" a="1"/>
  <c r="U129" i="1"/>
  <c r="U129" i="1" a="1"/>
  <c r="T129" i="1"/>
  <c r="T129" i="1" a="1"/>
  <c r="S129" i="1"/>
  <c r="S129" i="1" a="1"/>
  <c r="R129" i="1"/>
  <c r="R129" i="1" a="1"/>
  <c r="Q129" i="1"/>
  <c r="Q129" i="1" a="1"/>
  <c r="P129" i="1"/>
  <c r="P129" i="1" a="1"/>
  <c r="O129" i="1"/>
  <c r="O129" i="1" a="1"/>
  <c r="N129" i="1"/>
  <c r="N129" i="1" a="1"/>
  <c r="M129" i="1"/>
  <c r="M129" i="1" a="1"/>
  <c r="W125" i="1"/>
  <c r="V125" i="1"/>
  <c r="U125" i="1"/>
  <c r="T125" i="1"/>
  <c r="S125" i="1"/>
  <c r="R125" i="1"/>
  <c r="Q125" i="1"/>
  <c r="P125" i="1"/>
  <c r="O125" i="1"/>
  <c r="N125" i="1"/>
  <c r="M125" i="1"/>
  <c r="W124" i="1"/>
  <c r="V124" i="1"/>
  <c r="U124" i="1"/>
  <c r="T124" i="1"/>
  <c r="S124" i="1"/>
  <c r="R124" i="1"/>
  <c r="Q124" i="1"/>
  <c r="P124" i="1"/>
  <c r="O124" i="1"/>
  <c r="N124" i="1"/>
  <c r="M124" i="1"/>
  <c r="W122" i="1"/>
  <c r="V122" i="1"/>
  <c r="U122" i="1"/>
  <c r="T122" i="1"/>
  <c r="S122" i="1"/>
  <c r="R122" i="1"/>
  <c r="Q122" i="1"/>
  <c r="P122" i="1"/>
  <c r="O122" i="1"/>
  <c r="N122" i="1"/>
  <c r="M122" i="1"/>
  <c r="W117" i="1"/>
  <c r="V117" i="1"/>
  <c r="U117" i="1"/>
  <c r="T117" i="1"/>
  <c r="S117" i="1"/>
  <c r="R117" i="1"/>
  <c r="Q117" i="1"/>
  <c r="P117" i="1"/>
  <c r="O117" i="1"/>
  <c r="N117" i="1"/>
  <c r="M117" i="1"/>
  <c r="W116" i="1"/>
  <c r="V116" i="1"/>
  <c r="U116" i="1"/>
  <c r="T116" i="1"/>
  <c r="S116" i="1"/>
  <c r="R116" i="1"/>
  <c r="Q116" i="1"/>
  <c r="P116" i="1"/>
  <c r="O116" i="1"/>
  <c r="N116" i="1"/>
  <c r="M116" i="1"/>
  <c r="W114" i="1"/>
  <c r="V114" i="1"/>
  <c r="U114" i="1"/>
  <c r="T114" i="1"/>
  <c r="S114" i="1"/>
  <c r="R114" i="1"/>
  <c r="Q114" i="1"/>
  <c r="P114" i="1"/>
  <c r="O114" i="1"/>
  <c r="N114" i="1"/>
  <c r="M114" i="1"/>
  <c r="W109" i="1"/>
  <c r="W109" i="1" a="1"/>
  <c r="V109" i="1"/>
  <c r="V109" i="1" a="1"/>
  <c r="U109" i="1"/>
  <c r="U109" i="1" a="1"/>
  <c r="T109" i="1"/>
  <c r="T109" i="1" a="1"/>
  <c r="S109" i="1"/>
  <c r="S109" i="1" a="1"/>
  <c r="R109" i="1"/>
  <c r="R109" i="1" a="1"/>
  <c r="Q109" i="1"/>
  <c r="Q109" i="1" a="1"/>
  <c r="P109" i="1"/>
  <c r="P109" i="1" a="1"/>
  <c r="O109" i="1"/>
  <c r="O109" i="1" a="1"/>
  <c r="N109" i="1"/>
  <c r="N109" i="1" a="1"/>
  <c r="M109" i="1"/>
  <c r="M109" i="1" a="1"/>
  <c r="W108" i="1"/>
  <c r="W108" i="1" a="1"/>
  <c r="V108" i="1"/>
  <c r="V108" i="1" a="1"/>
  <c r="U108" i="1"/>
  <c r="U108" i="1" a="1"/>
  <c r="T108" i="1"/>
  <c r="T108" i="1" a="1"/>
  <c r="S108" i="1"/>
  <c r="S108" i="1" a="1"/>
  <c r="R108" i="1"/>
  <c r="R108" i="1" a="1"/>
  <c r="Q108" i="1"/>
  <c r="Q108" i="1" a="1"/>
  <c r="P108" i="1"/>
  <c r="P108" i="1" a="1"/>
  <c r="O108" i="1"/>
  <c r="O108" i="1" a="1"/>
  <c r="N108" i="1"/>
  <c r="N108" i="1" a="1"/>
  <c r="M108" i="1"/>
  <c r="M108" i="1" a="1"/>
  <c r="W107" i="1"/>
  <c r="W107" i="1" a="1"/>
  <c r="V107" i="1"/>
  <c r="V107" i="1" a="1"/>
  <c r="U107" i="1"/>
  <c r="U107" i="1" a="1"/>
  <c r="T107" i="1"/>
  <c r="T107" i="1" a="1"/>
  <c r="S107" i="1"/>
  <c r="S107" i="1" a="1"/>
  <c r="R107" i="1"/>
  <c r="R107" i="1" a="1"/>
  <c r="Q107" i="1"/>
  <c r="Q107" i="1" a="1"/>
  <c r="P107" i="1"/>
  <c r="P107" i="1" a="1"/>
  <c r="O107" i="1"/>
  <c r="O107" i="1" a="1"/>
  <c r="N107" i="1"/>
  <c r="N107" i="1" a="1"/>
  <c r="M107" i="1"/>
  <c r="M107" i="1" a="1"/>
  <c r="W106" i="1"/>
  <c r="W106" i="1" a="1"/>
  <c r="V106" i="1"/>
  <c r="V106" i="1" a="1"/>
  <c r="U106" i="1"/>
  <c r="U106" i="1" a="1"/>
  <c r="T106" i="1"/>
  <c r="T106" i="1" a="1"/>
  <c r="S106" i="1"/>
  <c r="S106" i="1" a="1"/>
  <c r="R106" i="1"/>
  <c r="R106" i="1" a="1"/>
  <c r="Q106" i="1"/>
  <c r="Q106" i="1" a="1"/>
  <c r="P106" i="1"/>
  <c r="P106" i="1" a="1"/>
  <c r="O106" i="1"/>
  <c r="O106" i="1" a="1"/>
  <c r="N106" i="1"/>
  <c r="N106" i="1" a="1"/>
  <c r="M106" i="1"/>
  <c r="M106" i="1" a="1"/>
  <c r="W102" i="1"/>
  <c r="W102" i="1" a="1"/>
  <c r="V102" i="1"/>
  <c r="V102" i="1" a="1"/>
  <c r="U102" i="1"/>
  <c r="U102" i="1" a="1"/>
  <c r="T102" i="1"/>
  <c r="T102" i="1" a="1"/>
  <c r="S102" i="1"/>
  <c r="S102" i="1" a="1"/>
  <c r="R102" i="1"/>
  <c r="R102" i="1" a="1"/>
  <c r="Q102" i="1"/>
  <c r="Q102" i="1" a="1"/>
  <c r="P102" i="1"/>
  <c r="P102" i="1" a="1"/>
  <c r="O102" i="1"/>
  <c r="O102" i="1" a="1"/>
  <c r="N102" i="1"/>
  <c r="N102" i="1" a="1"/>
  <c r="M102" i="1"/>
  <c r="M102" i="1" a="1"/>
  <c r="W101" i="1"/>
  <c r="W101" i="1" a="1"/>
  <c r="V101" i="1"/>
  <c r="V101" i="1" a="1"/>
  <c r="U101" i="1"/>
  <c r="U101" i="1" a="1"/>
  <c r="T101" i="1"/>
  <c r="T101" i="1" a="1"/>
  <c r="S101" i="1"/>
  <c r="S101" i="1" a="1"/>
  <c r="R101" i="1"/>
  <c r="R101" i="1" a="1"/>
  <c r="Q101" i="1"/>
  <c r="Q101" i="1" a="1"/>
  <c r="P101" i="1"/>
  <c r="P101" i="1" a="1"/>
  <c r="O101" i="1"/>
  <c r="O101" i="1" a="1"/>
  <c r="N101" i="1"/>
  <c r="N101" i="1" a="1"/>
  <c r="M101" i="1"/>
  <c r="M101" i="1" a="1"/>
  <c r="W100" i="1"/>
  <c r="W100" i="1" a="1"/>
  <c r="V100" i="1"/>
  <c r="V100" i="1" a="1"/>
  <c r="U100" i="1"/>
  <c r="U100" i="1" a="1"/>
  <c r="T100" i="1"/>
  <c r="T100" i="1" a="1"/>
  <c r="S100" i="1"/>
  <c r="S100" i="1" a="1"/>
  <c r="R100" i="1"/>
  <c r="R100" i="1" a="1"/>
  <c r="Q100" i="1"/>
  <c r="Q100" i="1" a="1"/>
  <c r="P100" i="1"/>
  <c r="P100" i="1" a="1"/>
  <c r="O100" i="1"/>
  <c r="O100" i="1" a="1"/>
  <c r="N100" i="1"/>
  <c r="N100" i="1" a="1"/>
  <c r="M100" i="1"/>
  <c r="M100" i="1" a="1"/>
  <c r="W99" i="1"/>
  <c r="V99" i="1"/>
  <c r="U99" i="1"/>
  <c r="T99" i="1"/>
  <c r="S99" i="1"/>
  <c r="R99" i="1"/>
  <c r="Q99" i="1"/>
  <c r="P99" i="1"/>
  <c r="O99" i="1"/>
  <c r="N99" i="1"/>
  <c r="M99" i="1"/>
  <c r="M99" i="1" a="1"/>
  <c r="W95" i="1"/>
  <c r="W95" i="1" a="1"/>
  <c r="V95" i="1"/>
  <c r="V95" i="1" a="1"/>
  <c r="U95" i="1"/>
  <c r="U95" i="1" a="1"/>
  <c r="T95" i="1"/>
  <c r="T95" i="1" a="1"/>
  <c r="S95" i="1"/>
  <c r="S95" i="1" a="1"/>
  <c r="R95" i="1"/>
  <c r="R95" i="1" a="1"/>
  <c r="Q95" i="1"/>
  <c r="Q95" i="1" a="1"/>
  <c r="P95" i="1"/>
  <c r="P95" i="1" a="1"/>
  <c r="O95" i="1"/>
  <c r="O95" i="1" a="1"/>
  <c r="N95" i="1"/>
  <c r="N95" i="1" a="1"/>
  <c r="M95" i="1"/>
  <c r="M95" i="1" a="1"/>
  <c r="W94" i="1"/>
  <c r="W94" i="1" a="1"/>
  <c r="V94" i="1"/>
  <c r="V94" i="1" a="1"/>
  <c r="U94" i="1"/>
  <c r="U94" i="1" a="1"/>
  <c r="T94" i="1"/>
  <c r="T94" i="1" a="1"/>
  <c r="S94" i="1"/>
  <c r="S94" i="1" a="1"/>
  <c r="R94" i="1"/>
  <c r="R94" i="1" a="1"/>
  <c r="Q94" i="1"/>
  <c r="Q94" i="1" a="1"/>
  <c r="P94" i="1"/>
  <c r="P94" i="1" a="1"/>
  <c r="O94" i="1"/>
  <c r="O94" i="1" a="1"/>
  <c r="N94" i="1"/>
  <c r="N94" i="1" a="1"/>
  <c r="M94" i="1"/>
  <c r="M94" i="1" a="1"/>
  <c r="W93" i="1"/>
  <c r="W93" i="1" a="1"/>
  <c r="V93" i="1"/>
  <c r="V93" i="1" a="1"/>
  <c r="U93" i="1"/>
  <c r="U93" i="1" a="1"/>
  <c r="T93" i="1"/>
  <c r="T93" i="1" a="1"/>
  <c r="S93" i="1"/>
  <c r="S93" i="1" a="1"/>
  <c r="R93" i="1"/>
  <c r="R93" i="1" a="1"/>
  <c r="Q93" i="1"/>
  <c r="Q93" i="1" a="1"/>
  <c r="P93" i="1"/>
  <c r="P93" i="1" a="1"/>
  <c r="O93" i="1"/>
  <c r="O93" i="1" a="1"/>
  <c r="N93" i="1"/>
  <c r="N93" i="1" a="1"/>
  <c r="M93" i="1"/>
  <c r="M93" i="1" a="1"/>
  <c r="W92" i="1"/>
  <c r="W92" i="1" a="1"/>
  <c r="V92" i="1"/>
  <c r="V92" i="1" a="1"/>
  <c r="U92" i="1"/>
  <c r="U92" i="1" a="1"/>
  <c r="T92" i="1"/>
  <c r="T92" i="1" a="1"/>
  <c r="S92" i="1"/>
  <c r="S92" i="1" a="1"/>
  <c r="R92" i="1"/>
  <c r="R92" i="1" a="1"/>
  <c r="Q92" i="1"/>
  <c r="Q92" i="1" a="1"/>
  <c r="P92" i="1"/>
  <c r="P92" i="1" a="1"/>
  <c r="O92" i="1"/>
  <c r="O92" i="1" a="1"/>
  <c r="N92" i="1"/>
  <c r="N92" i="1" a="1"/>
  <c r="M92" i="1"/>
  <c r="M92" i="1" a="1"/>
  <c r="W88" i="1"/>
  <c r="V88" i="1"/>
  <c r="U88" i="1"/>
  <c r="T88" i="1"/>
  <c r="S88" i="1"/>
  <c r="R88" i="1"/>
  <c r="Q88" i="1"/>
  <c r="P88" i="1"/>
  <c r="O88" i="1"/>
  <c r="N88" i="1"/>
  <c r="M88" i="1"/>
  <c r="W84" i="1"/>
  <c r="W84" i="1" a="1"/>
  <c r="V84" i="1"/>
  <c r="V84" i="1" a="1"/>
  <c r="U84" i="1"/>
  <c r="U84" i="1" a="1"/>
  <c r="T84" i="1"/>
  <c r="T84" i="1" a="1"/>
  <c r="S84" i="1"/>
  <c r="S84" i="1" a="1"/>
  <c r="R84" i="1"/>
  <c r="R84" i="1" a="1"/>
  <c r="Q84" i="1"/>
  <c r="Q84" i="1" a="1"/>
  <c r="P84" i="1"/>
  <c r="P84" i="1" a="1"/>
  <c r="O84" i="1"/>
  <c r="O84" i="1" a="1"/>
  <c r="N84" i="1"/>
  <c r="N84" i="1" a="1"/>
  <c r="M84" i="1"/>
  <c r="M84" i="1" a="1"/>
  <c r="W83" i="1"/>
  <c r="W83" i="1" a="1"/>
  <c r="V83" i="1"/>
  <c r="V83" i="1" a="1"/>
  <c r="U83" i="1"/>
  <c r="U83" i="1" a="1"/>
  <c r="T83" i="1"/>
  <c r="T83" i="1" a="1"/>
  <c r="S83" i="1"/>
  <c r="S83" i="1" a="1"/>
  <c r="R83" i="1"/>
  <c r="R83" i="1" a="1"/>
  <c r="Q83" i="1"/>
  <c r="Q83" i="1" a="1"/>
  <c r="P83" i="1"/>
  <c r="P83" i="1" a="1"/>
  <c r="O83" i="1"/>
  <c r="O83" i="1" a="1"/>
  <c r="N83" i="1"/>
  <c r="N83" i="1" a="1"/>
  <c r="M83" i="1"/>
  <c r="M83" i="1" a="1"/>
  <c r="W82" i="1"/>
  <c r="W82" i="1" a="1"/>
  <c r="V82" i="1"/>
  <c r="V82" i="1" a="1"/>
  <c r="U82" i="1"/>
  <c r="U82" i="1" a="1"/>
  <c r="T82" i="1"/>
  <c r="T82" i="1" a="1"/>
  <c r="S82" i="1"/>
  <c r="S82" i="1" a="1"/>
  <c r="R82" i="1"/>
  <c r="R82" i="1" a="1"/>
  <c r="Q82" i="1"/>
  <c r="Q82" i="1" a="1"/>
  <c r="P82" i="1"/>
  <c r="P82" i="1" a="1"/>
  <c r="O82" i="1"/>
  <c r="O82" i="1" a="1"/>
  <c r="N82" i="1"/>
  <c r="N82" i="1" a="1"/>
  <c r="M82" i="1"/>
  <c r="M82" i="1" a="1"/>
  <c r="W81" i="1"/>
  <c r="W81" i="1" a="1"/>
  <c r="V81" i="1"/>
  <c r="V81" i="1" a="1"/>
  <c r="U81" i="1"/>
  <c r="U81" i="1" a="1"/>
  <c r="T81" i="1"/>
  <c r="T81" i="1" a="1"/>
  <c r="S81" i="1"/>
  <c r="S81" i="1" a="1"/>
  <c r="R81" i="1"/>
  <c r="R81" i="1" a="1"/>
  <c r="Q81" i="1"/>
  <c r="Q81" i="1" a="1"/>
  <c r="P81" i="1"/>
  <c r="P81" i="1" a="1"/>
  <c r="O81" i="1"/>
  <c r="O81" i="1" a="1"/>
  <c r="N81" i="1"/>
  <c r="N81" i="1" a="1"/>
  <c r="M81" i="1"/>
  <c r="M81" i="1" a="1"/>
  <c r="W77" i="1"/>
  <c r="W77" i="1" a="1"/>
  <c r="V77" i="1"/>
  <c r="V77" i="1" a="1"/>
  <c r="U77" i="1"/>
  <c r="U77" i="1" a="1"/>
  <c r="T77" i="1"/>
  <c r="T77" i="1" a="1"/>
  <c r="S77" i="1"/>
  <c r="S77" i="1" a="1"/>
  <c r="R77" i="1"/>
  <c r="R77" i="1" a="1"/>
  <c r="Q77" i="1"/>
  <c r="Q77" i="1" a="1"/>
  <c r="P77" i="1"/>
  <c r="P77" i="1" a="1"/>
  <c r="O77" i="1"/>
  <c r="O77" i="1" a="1"/>
  <c r="N77" i="1"/>
  <c r="N77" i="1" a="1"/>
  <c r="M77" i="1"/>
  <c r="M77" i="1" a="1"/>
  <c r="W76" i="1"/>
  <c r="W76" i="1" a="1"/>
  <c r="V76" i="1"/>
  <c r="V76" i="1" a="1"/>
  <c r="U76" i="1"/>
  <c r="U76" i="1" a="1"/>
  <c r="T76" i="1"/>
  <c r="T76" i="1" a="1"/>
  <c r="S76" i="1"/>
  <c r="S76" i="1" a="1"/>
  <c r="R76" i="1"/>
  <c r="R76" i="1" a="1"/>
  <c r="Q76" i="1"/>
  <c r="Q76" i="1" a="1"/>
  <c r="P76" i="1"/>
  <c r="P76" i="1" a="1"/>
  <c r="O76" i="1"/>
  <c r="O76" i="1" a="1"/>
  <c r="N76" i="1"/>
  <c r="N76" i="1" a="1"/>
  <c r="M76" i="1"/>
  <c r="M76" i="1" a="1"/>
  <c r="W75" i="1"/>
  <c r="W75" i="1" a="1"/>
  <c r="V75" i="1"/>
  <c r="V75" i="1" a="1"/>
  <c r="U75" i="1"/>
  <c r="U75" i="1" a="1"/>
  <c r="T75" i="1"/>
  <c r="T75" i="1" a="1"/>
  <c r="S75" i="1"/>
  <c r="S75" i="1" a="1"/>
  <c r="R75" i="1"/>
  <c r="R75" i="1" a="1"/>
  <c r="Q75" i="1"/>
  <c r="Q75" i="1" a="1"/>
  <c r="P75" i="1"/>
  <c r="P75" i="1" a="1"/>
  <c r="O75" i="1"/>
  <c r="O75" i="1" a="1"/>
  <c r="N75" i="1"/>
  <c r="N75" i="1" a="1"/>
  <c r="M75" i="1"/>
  <c r="M75" i="1" a="1"/>
  <c r="W74" i="1"/>
  <c r="W74" i="1" a="1"/>
  <c r="V74" i="1"/>
  <c r="V74" i="1" a="1"/>
  <c r="U74" i="1"/>
  <c r="U74" i="1" a="1"/>
  <c r="T74" i="1"/>
  <c r="T74" i="1" a="1"/>
  <c r="S74" i="1"/>
  <c r="S74" i="1" a="1"/>
  <c r="R74" i="1"/>
  <c r="R74" i="1" a="1"/>
  <c r="Q74" i="1"/>
  <c r="Q74" i="1" a="1"/>
  <c r="P74" i="1"/>
  <c r="P74" i="1" a="1"/>
  <c r="O74" i="1"/>
  <c r="O74" i="1" a="1"/>
  <c r="N74" i="1"/>
  <c r="N74" i="1" a="1"/>
  <c r="M74" i="1"/>
  <c r="M74" i="1" a="1"/>
  <c r="W70" i="1"/>
  <c r="W70" i="1" a="1"/>
  <c r="V70" i="1"/>
  <c r="V70" i="1" a="1"/>
  <c r="U70" i="1"/>
  <c r="U70" i="1" a="1"/>
  <c r="T70" i="1"/>
  <c r="T70" i="1" a="1"/>
  <c r="S70" i="1"/>
  <c r="S70" i="1" a="1"/>
  <c r="R70" i="1"/>
  <c r="R70" i="1" a="1"/>
  <c r="Q70" i="1"/>
  <c r="Q70" i="1" a="1"/>
  <c r="P70" i="1"/>
  <c r="P70" i="1" a="1"/>
  <c r="O70" i="1"/>
  <c r="O70" i="1" a="1"/>
  <c r="N70" i="1"/>
  <c r="N70" i="1" a="1"/>
  <c r="M70" i="1"/>
  <c r="M70" i="1" a="1"/>
  <c r="W69" i="1"/>
  <c r="W69" i="1" a="1"/>
  <c r="V69" i="1"/>
  <c r="V69" i="1" a="1"/>
  <c r="U69" i="1"/>
  <c r="U69" i="1" a="1"/>
  <c r="T69" i="1"/>
  <c r="T69" i="1" a="1"/>
  <c r="S69" i="1"/>
  <c r="S69" i="1" a="1"/>
  <c r="R69" i="1"/>
  <c r="R69" i="1" a="1"/>
  <c r="Q69" i="1"/>
  <c r="Q69" i="1" a="1"/>
  <c r="P69" i="1"/>
  <c r="P69" i="1" a="1"/>
  <c r="O69" i="1"/>
  <c r="O69" i="1" a="1"/>
  <c r="N69" i="1"/>
  <c r="N69" i="1" a="1"/>
  <c r="M69" i="1"/>
  <c r="M69" i="1" a="1"/>
  <c r="W68" i="1"/>
  <c r="W68" i="1" a="1"/>
  <c r="V68" i="1"/>
  <c r="V68" i="1" a="1"/>
  <c r="U68" i="1"/>
  <c r="U68" i="1" a="1"/>
  <c r="T68" i="1"/>
  <c r="T68" i="1" a="1"/>
  <c r="S68" i="1"/>
  <c r="S68" i="1" a="1"/>
  <c r="R68" i="1"/>
  <c r="R68" i="1" a="1"/>
  <c r="Q68" i="1"/>
  <c r="Q68" i="1" a="1"/>
  <c r="P68" i="1"/>
  <c r="P68" i="1" a="1"/>
  <c r="O68" i="1"/>
  <c r="O68" i="1" a="1"/>
  <c r="N68" i="1"/>
  <c r="N68" i="1" a="1"/>
  <c r="M68" i="1"/>
  <c r="M68" i="1" a="1"/>
  <c r="W67" i="1"/>
  <c r="W67" i="1" a="1"/>
  <c r="V67" i="1"/>
  <c r="V67" i="1" a="1"/>
  <c r="U67" i="1"/>
  <c r="U67" i="1" a="1"/>
  <c r="T67" i="1"/>
  <c r="T67" i="1" a="1"/>
  <c r="S67" i="1"/>
  <c r="S67" i="1" a="1"/>
  <c r="R67" i="1"/>
  <c r="R67" i="1" a="1"/>
  <c r="Q67" i="1"/>
  <c r="Q67" i="1" a="1"/>
  <c r="P67" i="1"/>
  <c r="P67" i="1" a="1"/>
  <c r="O67" i="1"/>
  <c r="O67" i="1" a="1"/>
  <c r="N67" i="1"/>
  <c r="N67" i="1" a="1"/>
  <c r="M67" i="1"/>
  <c r="M67" i="1" a="1"/>
  <c r="W63" i="1"/>
  <c r="W63" i="1" a="1"/>
  <c r="V63" i="1"/>
  <c r="V63" i="1" a="1"/>
  <c r="U63" i="1"/>
  <c r="U63" i="1" a="1"/>
  <c r="T63" i="1"/>
  <c r="T63" i="1" a="1"/>
  <c r="S63" i="1"/>
  <c r="S63" i="1" a="1"/>
  <c r="R63" i="1"/>
  <c r="R63" i="1" a="1"/>
  <c r="Q63" i="1"/>
  <c r="Q63" i="1" a="1"/>
  <c r="P63" i="1"/>
  <c r="P63" i="1" a="1"/>
  <c r="O63" i="1"/>
  <c r="O63" i="1" a="1"/>
  <c r="N63" i="1"/>
  <c r="N63" i="1" a="1"/>
  <c r="M63" i="1"/>
  <c r="M63" i="1" a="1"/>
  <c r="W62" i="1"/>
  <c r="W62" i="1" a="1"/>
  <c r="V62" i="1"/>
  <c r="V62" i="1" a="1"/>
  <c r="U62" i="1"/>
  <c r="U62" i="1" a="1"/>
  <c r="T62" i="1"/>
  <c r="T62" i="1" a="1"/>
  <c r="S62" i="1"/>
  <c r="S62" i="1" a="1"/>
  <c r="R62" i="1"/>
  <c r="R62" i="1" a="1"/>
  <c r="Q62" i="1"/>
  <c r="Q62" i="1" a="1"/>
  <c r="P62" i="1"/>
  <c r="P62" i="1" a="1"/>
  <c r="O62" i="1"/>
  <c r="O62" i="1" a="1"/>
  <c r="N62" i="1"/>
  <c r="N62" i="1" a="1"/>
  <c r="M62" i="1"/>
  <c r="M62" i="1" a="1"/>
  <c r="W61" i="1"/>
  <c r="W61" i="1" a="1"/>
  <c r="V61" i="1"/>
  <c r="V61" i="1" a="1"/>
  <c r="U61" i="1"/>
  <c r="U61" i="1" a="1"/>
  <c r="T61" i="1"/>
  <c r="T61" i="1" a="1"/>
  <c r="S61" i="1"/>
  <c r="S61" i="1" a="1"/>
  <c r="R61" i="1"/>
  <c r="R61" i="1" a="1"/>
  <c r="Q61" i="1"/>
  <c r="Q61" i="1" a="1"/>
  <c r="P61" i="1"/>
  <c r="P61" i="1" a="1"/>
  <c r="O61" i="1"/>
  <c r="O61" i="1" a="1"/>
  <c r="N61" i="1"/>
  <c r="N61" i="1" a="1"/>
  <c r="M61" i="1"/>
  <c r="M61" i="1" a="1"/>
  <c r="W60" i="1"/>
  <c r="W60" i="1" a="1"/>
  <c r="V60" i="1"/>
  <c r="V60" i="1" a="1"/>
  <c r="U60" i="1"/>
  <c r="U60" i="1" a="1"/>
  <c r="T60" i="1"/>
  <c r="T60" i="1" a="1"/>
  <c r="S60" i="1"/>
  <c r="S60" i="1" a="1"/>
  <c r="R60" i="1"/>
  <c r="R60" i="1" a="1"/>
  <c r="Q60" i="1"/>
  <c r="Q60" i="1" a="1"/>
  <c r="P60" i="1"/>
  <c r="P60" i="1" a="1"/>
  <c r="O60" i="1"/>
  <c r="O60" i="1" a="1"/>
  <c r="N60" i="1"/>
  <c r="N60" i="1" a="1"/>
  <c r="M60" i="1"/>
  <c r="M60" i="1" a="1"/>
  <c r="W56" i="1"/>
  <c r="W56" i="1" a="1"/>
  <c r="V56" i="1"/>
  <c r="V56" i="1" a="1"/>
  <c r="U56" i="1"/>
  <c r="U56" i="1" a="1"/>
  <c r="T56" i="1"/>
  <c r="T56" i="1" a="1"/>
  <c r="S56" i="1"/>
  <c r="S56" i="1" a="1"/>
  <c r="R56" i="1"/>
  <c r="R56" i="1" a="1"/>
  <c r="Q56" i="1"/>
  <c r="Q56" i="1" a="1"/>
  <c r="P56" i="1"/>
  <c r="P56" i="1" a="1"/>
  <c r="O56" i="1"/>
  <c r="O56" i="1" a="1"/>
  <c r="N56" i="1"/>
  <c r="N56" i="1" a="1"/>
  <c r="M56" i="1"/>
  <c r="M56" i="1" a="1"/>
  <c r="W55" i="1"/>
  <c r="W55" i="1" a="1"/>
  <c r="V55" i="1"/>
  <c r="V55" i="1" a="1"/>
  <c r="U55" i="1"/>
  <c r="U55" i="1" a="1"/>
  <c r="T55" i="1"/>
  <c r="T55" i="1" a="1"/>
  <c r="S55" i="1"/>
  <c r="S55" i="1" a="1"/>
  <c r="R55" i="1"/>
  <c r="R55" i="1" a="1"/>
  <c r="Q55" i="1"/>
  <c r="Q55" i="1" a="1"/>
  <c r="P55" i="1"/>
  <c r="P55" i="1" a="1"/>
  <c r="O55" i="1"/>
  <c r="O55" i="1" a="1"/>
  <c r="N55" i="1"/>
  <c r="N55" i="1" a="1"/>
  <c r="M55" i="1"/>
  <c r="M55" i="1" a="1"/>
  <c r="W54" i="1"/>
  <c r="W54" i="1" a="1"/>
  <c r="V54" i="1"/>
  <c r="V54" i="1" a="1"/>
  <c r="U54" i="1"/>
  <c r="U54" i="1" a="1"/>
  <c r="T54" i="1"/>
  <c r="T54" i="1" a="1"/>
  <c r="S54" i="1"/>
  <c r="S54" i="1" a="1"/>
  <c r="R54" i="1"/>
  <c r="R54" i="1" a="1"/>
  <c r="Q54" i="1"/>
  <c r="Q54" i="1" a="1"/>
  <c r="P54" i="1"/>
  <c r="P54" i="1" a="1"/>
  <c r="O54" i="1"/>
  <c r="O54" i="1" a="1"/>
  <c r="N54" i="1"/>
  <c r="N54" i="1" a="1"/>
  <c r="M54" i="1"/>
  <c r="M54" i="1" a="1"/>
  <c r="W53" i="1"/>
  <c r="W53" i="1" a="1"/>
  <c r="V53" i="1"/>
  <c r="V53" i="1" a="1"/>
  <c r="U53" i="1"/>
  <c r="U53" i="1" a="1"/>
  <c r="T53" i="1"/>
  <c r="T53" i="1" a="1"/>
  <c r="S53" i="1"/>
  <c r="S53" i="1" a="1"/>
  <c r="R53" i="1"/>
  <c r="R53" i="1" a="1"/>
  <c r="Q53" i="1"/>
  <c r="Q53" i="1" a="1"/>
  <c r="P53" i="1"/>
  <c r="P53" i="1" a="1"/>
  <c r="O53" i="1"/>
  <c r="O53" i="1" a="1"/>
  <c r="N53" i="1"/>
  <c r="N53" i="1" a="1"/>
  <c r="M53" i="1"/>
  <c r="M53" i="1" a="1"/>
  <c r="W49" i="1"/>
  <c r="W49" i="1" a="1"/>
  <c r="V49" i="1"/>
  <c r="V49" i="1" a="1"/>
  <c r="U49" i="1"/>
  <c r="U49" i="1" a="1"/>
  <c r="T49" i="1"/>
  <c r="T49" i="1" a="1"/>
  <c r="S49" i="1"/>
  <c r="S49" i="1" a="1"/>
  <c r="R49" i="1"/>
  <c r="R49" i="1" a="1"/>
  <c r="Q49" i="1"/>
  <c r="Q49" i="1" a="1"/>
  <c r="P49" i="1"/>
  <c r="P49" i="1" a="1"/>
  <c r="O49" i="1"/>
  <c r="O49" i="1" a="1"/>
  <c r="N49" i="1"/>
  <c r="N49" i="1" a="1"/>
  <c r="M49" i="1"/>
  <c r="M49" i="1" a="1"/>
  <c r="W48" i="1"/>
  <c r="W48" i="1" a="1"/>
  <c r="V48" i="1"/>
  <c r="V48" i="1" a="1"/>
  <c r="U48" i="1"/>
  <c r="U48" i="1" a="1"/>
  <c r="T48" i="1"/>
  <c r="T48" i="1" a="1"/>
  <c r="S48" i="1"/>
  <c r="S48" i="1" a="1"/>
  <c r="R48" i="1"/>
  <c r="R48" i="1" a="1"/>
  <c r="Q48" i="1"/>
  <c r="Q48" i="1" a="1"/>
  <c r="P48" i="1"/>
  <c r="P48" i="1" a="1"/>
  <c r="O48" i="1"/>
  <c r="O48" i="1" a="1"/>
  <c r="N48" i="1"/>
  <c r="N48" i="1" a="1"/>
  <c r="M48" i="1"/>
  <c r="M48" i="1" a="1"/>
  <c r="W47" i="1"/>
  <c r="W47" i="1" a="1"/>
  <c r="V47" i="1"/>
  <c r="V47" i="1" a="1"/>
  <c r="U47" i="1"/>
  <c r="U47" i="1" a="1"/>
  <c r="T47" i="1"/>
  <c r="T47" i="1" a="1"/>
  <c r="S47" i="1"/>
  <c r="S47" i="1" a="1"/>
  <c r="R47" i="1"/>
  <c r="R47" i="1" a="1"/>
  <c r="Q47" i="1"/>
  <c r="Q47" i="1" a="1"/>
  <c r="P47" i="1"/>
  <c r="P47" i="1" a="1"/>
  <c r="O47" i="1"/>
  <c r="O47" i="1" a="1"/>
  <c r="N47" i="1"/>
  <c r="N47" i="1" a="1"/>
  <c r="M47" i="1"/>
  <c r="M47" i="1" a="1"/>
  <c r="W46" i="1"/>
  <c r="W46" i="1" a="1"/>
  <c r="V46" i="1"/>
  <c r="V46" i="1" a="1"/>
  <c r="U46" i="1"/>
  <c r="U46" i="1" a="1"/>
  <c r="T46" i="1"/>
  <c r="T46" i="1" a="1"/>
  <c r="S46" i="1"/>
  <c r="S46" i="1" a="1"/>
  <c r="R46" i="1"/>
  <c r="R46" i="1" a="1"/>
  <c r="Q46" i="1"/>
  <c r="Q46" i="1" a="1"/>
  <c r="P46" i="1"/>
  <c r="P46" i="1" a="1"/>
  <c r="O46" i="1"/>
  <c r="O46" i="1" a="1"/>
  <c r="N46" i="1"/>
  <c r="N46" i="1" a="1"/>
  <c r="M46" i="1"/>
  <c r="M46" i="1" a="1"/>
  <c r="W42" i="1"/>
  <c r="W42" i="1" a="1"/>
  <c r="V42" i="1"/>
  <c r="V42" i="1" a="1"/>
  <c r="U42" i="1"/>
  <c r="U42" i="1" a="1"/>
  <c r="T42" i="1"/>
  <c r="T42" i="1" a="1"/>
  <c r="S42" i="1"/>
  <c r="S42" i="1" a="1"/>
  <c r="R42" i="1"/>
  <c r="R42" i="1" a="1"/>
  <c r="Q42" i="1"/>
  <c r="Q42" i="1" a="1"/>
  <c r="P42" i="1"/>
  <c r="P42" i="1" a="1"/>
  <c r="O42" i="1"/>
  <c r="O42" i="1" a="1"/>
  <c r="N42" i="1"/>
  <c r="N42" i="1" a="1"/>
  <c r="M42" i="1"/>
  <c r="M42" i="1" a="1"/>
  <c r="W41" i="1"/>
  <c r="W41" i="1" a="1"/>
  <c r="V41" i="1"/>
  <c r="V41" i="1" a="1"/>
  <c r="U41" i="1"/>
  <c r="U41" i="1" a="1"/>
  <c r="T41" i="1"/>
  <c r="T41" i="1" a="1"/>
  <c r="S41" i="1"/>
  <c r="S41" i="1" a="1"/>
  <c r="R41" i="1"/>
  <c r="R41" i="1" a="1"/>
  <c r="Q41" i="1"/>
  <c r="Q41" i="1" a="1"/>
  <c r="P41" i="1"/>
  <c r="P41" i="1" a="1"/>
  <c r="O41" i="1"/>
  <c r="O41" i="1" a="1"/>
  <c r="N41" i="1"/>
  <c r="N41" i="1" a="1"/>
  <c r="M41" i="1"/>
  <c r="M41" i="1" a="1"/>
  <c r="W40" i="1"/>
  <c r="W40" i="1" a="1"/>
  <c r="V40" i="1"/>
  <c r="V40" i="1" a="1"/>
  <c r="U40" i="1"/>
  <c r="U40" i="1" a="1"/>
  <c r="T40" i="1"/>
  <c r="T40" i="1" a="1"/>
  <c r="S40" i="1"/>
  <c r="S40" i="1" a="1"/>
  <c r="R40" i="1"/>
  <c r="R40" i="1" a="1"/>
  <c r="Q40" i="1"/>
  <c r="Q40" i="1" a="1"/>
  <c r="P40" i="1"/>
  <c r="P40" i="1" a="1"/>
  <c r="O40" i="1"/>
  <c r="O40" i="1" a="1"/>
  <c r="N40" i="1"/>
  <c r="N40" i="1" a="1"/>
  <c r="M40" i="1"/>
  <c r="M40" i="1" a="1"/>
  <c r="W39" i="1"/>
  <c r="W39" i="1" a="1"/>
  <c r="V39" i="1"/>
  <c r="V39" i="1" a="1"/>
  <c r="U39" i="1"/>
  <c r="U39" i="1" a="1"/>
  <c r="T39" i="1"/>
  <c r="T39" i="1" a="1"/>
  <c r="S39" i="1"/>
  <c r="S39" i="1" a="1"/>
  <c r="R39" i="1"/>
  <c r="R39" i="1" a="1"/>
  <c r="Q39" i="1"/>
  <c r="Q39" i="1" a="1"/>
  <c r="P39" i="1"/>
  <c r="P39" i="1" a="1"/>
  <c r="O39" i="1"/>
  <c r="O39" i="1" a="1"/>
  <c r="N39" i="1"/>
  <c r="N39" i="1" a="1"/>
  <c r="M39" i="1"/>
  <c r="M39" i="1" a="1"/>
  <c r="W35" i="1"/>
  <c r="V35" i="1"/>
  <c r="U35" i="1"/>
  <c r="T35" i="1"/>
  <c r="S35" i="1"/>
  <c r="R35" i="1"/>
  <c r="Q35" i="1"/>
  <c r="P35" i="1"/>
  <c r="O35" i="1"/>
  <c r="N35" i="1"/>
  <c r="M35" i="1"/>
  <c r="W34" i="1"/>
  <c r="V34" i="1"/>
  <c r="U34" i="1"/>
  <c r="T34" i="1"/>
  <c r="S34" i="1"/>
  <c r="R34" i="1"/>
  <c r="Q34" i="1"/>
  <c r="P34" i="1"/>
  <c r="O34" i="1"/>
  <c r="N34" i="1"/>
  <c r="M34" i="1"/>
  <c r="W33" i="1"/>
  <c r="V33" i="1"/>
  <c r="U33" i="1"/>
  <c r="T33" i="1"/>
  <c r="S33" i="1"/>
  <c r="R33" i="1"/>
  <c r="Q33" i="1"/>
  <c r="P33" i="1"/>
  <c r="O33" i="1"/>
  <c r="N33" i="1"/>
  <c r="M33" i="1"/>
  <c r="W32" i="1"/>
  <c r="V32" i="1"/>
  <c r="U32" i="1"/>
  <c r="T32" i="1"/>
  <c r="S32" i="1"/>
  <c r="R32" i="1"/>
  <c r="Q32" i="1"/>
  <c r="P32" i="1"/>
  <c r="O32" i="1"/>
  <c r="N32" i="1"/>
  <c r="M32" i="1"/>
  <c r="W31" i="1"/>
  <c r="V31" i="1"/>
  <c r="U31" i="1"/>
  <c r="T31" i="1"/>
  <c r="S31" i="1"/>
  <c r="R31" i="1"/>
  <c r="Q31" i="1"/>
  <c r="P31" i="1"/>
  <c r="O31" i="1"/>
  <c r="N31" i="1"/>
  <c r="M31" i="1"/>
  <c r="W27" i="1"/>
  <c r="W27" i="1" a="1"/>
  <c r="V27" i="1"/>
  <c r="V27" i="1" a="1"/>
  <c r="U27" i="1"/>
  <c r="U27" i="1" a="1"/>
  <c r="T27" i="1"/>
  <c r="T27" i="1" a="1"/>
  <c r="S27" i="1"/>
  <c r="S27" i="1" a="1"/>
  <c r="R27" i="1"/>
  <c r="R27" i="1" a="1"/>
  <c r="Q27" i="1"/>
  <c r="Q27" i="1" a="1"/>
  <c r="P27" i="1"/>
  <c r="P27" i="1" a="1"/>
  <c r="O27" i="1"/>
  <c r="O27" i="1" a="1"/>
  <c r="N27" i="1"/>
  <c r="N27" i="1" a="1"/>
  <c r="M27" i="1"/>
  <c r="M27" i="1" a="1"/>
  <c r="W26" i="1"/>
  <c r="W26" i="1" a="1"/>
  <c r="V26" i="1"/>
  <c r="V26" i="1" a="1"/>
  <c r="U26" i="1"/>
  <c r="U26" i="1" a="1"/>
  <c r="T26" i="1"/>
  <c r="T26" i="1" a="1"/>
  <c r="S26" i="1"/>
  <c r="S26" i="1" a="1"/>
  <c r="R26" i="1"/>
  <c r="R26" i="1" a="1"/>
  <c r="Q26" i="1"/>
  <c r="Q26" i="1" a="1"/>
  <c r="P26" i="1"/>
  <c r="P26" i="1" a="1"/>
  <c r="O26" i="1"/>
  <c r="O26" i="1" a="1"/>
  <c r="N26" i="1"/>
  <c r="N26" i="1" a="1"/>
  <c r="M26" i="1"/>
  <c r="M26" i="1" a="1"/>
  <c r="W25" i="1"/>
  <c r="W25" i="1" a="1"/>
  <c r="V25" i="1"/>
  <c r="V25" i="1" a="1"/>
  <c r="U25" i="1"/>
  <c r="U25" i="1" a="1"/>
  <c r="T25" i="1"/>
  <c r="T25" i="1" a="1"/>
  <c r="S25" i="1"/>
  <c r="S25" i="1" a="1"/>
  <c r="R25" i="1"/>
  <c r="R25" i="1" a="1"/>
  <c r="Q25" i="1"/>
  <c r="Q25" i="1" a="1"/>
  <c r="P25" i="1"/>
  <c r="P25" i="1" a="1"/>
  <c r="O25" i="1"/>
  <c r="O25" i="1" a="1"/>
  <c r="N25" i="1"/>
  <c r="N25" i="1" a="1"/>
  <c r="M25" i="1"/>
  <c r="M25" i="1" a="1"/>
  <c r="W24" i="1"/>
  <c r="W24" i="1" a="1"/>
  <c r="V24" i="1"/>
  <c r="V24" i="1" a="1"/>
  <c r="U24" i="1"/>
  <c r="U24" i="1" a="1"/>
  <c r="T24" i="1"/>
  <c r="T24" i="1" a="1"/>
  <c r="S24" i="1"/>
  <c r="S24" i="1" a="1"/>
  <c r="R24" i="1"/>
  <c r="R24" i="1" a="1"/>
  <c r="Q24" i="1"/>
  <c r="Q24" i="1" a="1"/>
  <c r="P24" i="1"/>
  <c r="P24" i="1" a="1"/>
  <c r="O24" i="1"/>
  <c r="O24" i="1" a="1"/>
  <c r="N24" i="1"/>
  <c r="N24" i="1" a="1"/>
  <c r="M24" i="1"/>
  <c r="M24" i="1" a="1"/>
  <c r="W20" i="1"/>
  <c r="W20" i="1" a="1"/>
  <c r="V20" i="1"/>
  <c r="V20" i="1" a="1"/>
  <c r="U20" i="1"/>
  <c r="U20" i="1" a="1"/>
  <c r="T20" i="1"/>
  <c r="T20" i="1" a="1"/>
  <c r="S20" i="1"/>
  <c r="S20" i="1" a="1"/>
  <c r="R20" i="1"/>
  <c r="R20" i="1" a="1"/>
  <c r="Q20" i="1"/>
  <c r="Q20" i="1" a="1"/>
  <c r="P20" i="1"/>
  <c r="P20" i="1" a="1"/>
  <c r="O20" i="1"/>
  <c r="O20" i="1" a="1"/>
  <c r="N20" i="1"/>
  <c r="N20" i="1" a="1"/>
  <c r="M20" i="1"/>
  <c r="M20" i="1" a="1"/>
  <c r="W19" i="1"/>
  <c r="W19" i="1" a="1"/>
  <c r="V19" i="1"/>
  <c r="V19" i="1" a="1"/>
  <c r="U19" i="1"/>
  <c r="U19" i="1" a="1"/>
  <c r="T19" i="1"/>
  <c r="T19" i="1" a="1"/>
  <c r="S19" i="1"/>
  <c r="S19" i="1" a="1"/>
  <c r="R19" i="1"/>
  <c r="R19" i="1" a="1"/>
  <c r="Q19" i="1"/>
  <c r="Q19" i="1" a="1"/>
  <c r="P19" i="1"/>
  <c r="P19" i="1" a="1"/>
  <c r="O19" i="1"/>
  <c r="O19" i="1" a="1"/>
  <c r="N19" i="1"/>
  <c r="N19" i="1" a="1"/>
  <c r="M19" i="1"/>
  <c r="M19" i="1" a="1"/>
  <c r="W18" i="1"/>
  <c r="W18" i="1" a="1"/>
  <c r="V18" i="1"/>
  <c r="V18" i="1" a="1"/>
  <c r="U18" i="1"/>
  <c r="U18" i="1" a="1"/>
  <c r="T18" i="1"/>
  <c r="T18" i="1" a="1"/>
  <c r="S18" i="1"/>
  <c r="S18" i="1" a="1"/>
  <c r="R18" i="1"/>
  <c r="R18" i="1" a="1"/>
  <c r="Q18" i="1"/>
  <c r="Q18" i="1" a="1"/>
  <c r="P18" i="1"/>
  <c r="P18" i="1" a="1"/>
  <c r="O18" i="1"/>
  <c r="O18" i="1" a="1"/>
  <c r="N18" i="1"/>
  <c r="N18" i="1" a="1"/>
  <c r="M18" i="1"/>
  <c r="M18" i="1" a="1"/>
  <c r="W17" i="1"/>
  <c r="W17" i="1" a="1"/>
  <c r="V17" i="1"/>
  <c r="V17" i="1" a="1"/>
  <c r="U17" i="1"/>
  <c r="U17" i="1" a="1"/>
  <c r="T17" i="1"/>
  <c r="T17" i="1" a="1"/>
  <c r="S17" i="1"/>
  <c r="S17" i="1" a="1"/>
  <c r="R17" i="1"/>
  <c r="R17" i="1" a="1"/>
  <c r="Q17" i="1"/>
  <c r="Q17" i="1" a="1"/>
  <c r="P17" i="1"/>
  <c r="P17" i="1" a="1"/>
  <c r="O17" i="1"/>
  <c r="O17" i="1" a="1"/>
  <c r="N17" i="1"/>
  <c r="N17" i="1" a="1"/>
  <c r="M17" i="1"/>
  <c r="M17" i="1" a="1"/>
  <c r="W12" i="1"/>
  <c r="W12" i="1" a="1"/>
  <c r="V12" i="1"/>
  <c r="V12" i="1" a="1"/>
  <c r="U12" i="1"/>
  <c r="U12" i="1" a="1"/>
  <c r="T12" i="1"/>
  <c r="T12" i="1" a="1"/>
  <c r="S12" i="1"/>
  <c r="S12" i="1" a="1"/>
  <c r="R12" i="1"/>
  <c r="R12" i="1" a="1"/>
  <c r="Q12" i="1"/>
  <c r="Q12" i="1" a="1"/>
  <c r="P12" i="1"/>
  <c r="P12" i="1" a="1"/>
  <c r="O12" i="1"/>
  <c r="O12" i="1" a="1"/>
  <c r="N12" i="1"/>
  <c r="N12" i="1" a="1"/>
  <c r="M12" i="1"/>
  <c r="M12" i="1" a="1"/>
  <c r="W11" i="1"/>
  <c r="W11" i="1" a="1"/>
  <c r="V11" i="1"/>
  <c r="V11" i="1" a="1"/>
  <c r="U11" i="1"/>
  <c r="U11" i="1" a="1"/>
  <c r="T11" i="1"/>
  <c r="T11" i="1" a="1"/>
  <c r="S11" i="1"/>
  <c r="S11" i="1" a="1"/>
  <c r="R11" i="1"/>
  <c r="R11" i="1" a="1"/>
  <c r="Q11" i="1"/>
  <c r="Q11" i="1" a="1"/>
  <c r="P11" i="1"/>
  <c r="P11" i="1" a="1"/>
  <c r="O11" i="1"/>
  <c r="O11" i="1" a="1"/>
  <c r="N11" i="1"/>
  <c r="N11" i="1" a="1"/>
  <c r="M11" i="1"/>
  <c r="M11" i="1" a="1"/>
  <c r="W10" i="1"/>
  <c r="W10" i="1" a="1"/>
  <c r="V10" i="1"/>
  <c r="V10" i="1" a="1"/>
  <c r="U10" i="1"/>
  <c r="U10" i="1" a="1"/>
  <c r="T10" i="1"/>
  <c r="T10" i="1" a="1"/>
  <c r="S10" i="1"/>
  <c r="S10" i="1" a="1"/>
  <c r="R10" i="1"/>
  <c r="R10" i="1" a="1"/>
  <c r="Q10" i="1"/>
  <c r="Q10" i="1" a="1"/>
  <c r="P10" i="1"/>
  <c r="P10" i="1" a="1"/>
  <c r="O10" i="1"/>
  <c r="O10" i="1" a="1"/>
  <c r="N10" i="1"/>
  <c r="N10" i="1" a="1"/>
  <c r="M10" i="1"/>
  <c r="M10" i="1" a="1"/>
  <c r="W9" i="1"/>
  <c r="W9" i="1" a="1"/>
  <c r="V9" i="1"/>
  <c r="V9" i="1" a="1"/>
  <c r="U9" i="1"/>
  <c r="U9" i="1" a="1"/>
  <c r="T9" i="1"/>
  <c r="T9" i="1" a="1"/>
  <c r="S9" i="1"/>
  <c r="S9" i="1" a="1"/>
  <c r="R9" i="1"/>
  <c r="R9" i="1" a="1"/>
  <c r="Q9" i="1"/>
  <c r="Q9" i="1" a="1"/>
  <c r="P9" i="1"/>
  <c r="P9" i="1" a="1"/>
  <c r="O9" i="1"/>
  <c r="O9" i="1" a="1"/>
  <c r="N9" i="1"/>
  <c r="N9" i="1" a="1"/>
  <c r="M9" i="1"/>
  <c r="M9" i="1" a="1"/>
  <c r="W8" i="1"/>
  <c r="V8" i="1"/>
  <c r="U8" i="1"/>
  <c r="T8" i="1"/>
  <c r="S8" i="1"/>
  <c r="R8" i="1"/>
  <c r="Q8" i="1"/>
  <c r="P8" i="1"/>
  <c r="O8" i="1"/>
  <c r="N8" i="1"/>
  <c r="M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<sst xmlns="http://schemas.openxmlformats.org/spreadsheetml/2006/main" count="1112" uniqueCount="97">
  <si>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</si>
  <si>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</si>
  <si>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</si>
  <si>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</si>
  <si>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</si>
  <si>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</si>
  <si>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</si>
  <si>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</si>
  <si>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</si>
  <si>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</si>
  <si>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</si>
  <si>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</si>
  <si>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</si>
  <si>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</si>
  <si>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CIMS.Generic Fuels</t>
  </si>
  <si>
    <t>CIMS</t>
  </si>
  <si>
    <t>Generic Fuels</t>
  </si>
  <si>
    <t>service_provide</t>
  </si>
  <si>
    <t>GJ</t>
  </si>
  <si>
    <t>competition</t>
  </si>
  <si>
    <t>Fixed Ratio</t>
  </si>
  <si>
    <t>CIMS.Generic Fuels.Biogas</t>
  </si>
  <si>
    <t>Biogas</t>
  </si>
  <si>
    <t>Supply - Fixed Price</t>
  </si>
  <si>
    <t>is_supply</t>
  </si>
  <si>
    <t>lcc_financial</t>
  </si>
  <si>
    <t>JCIMS</t>
  </si>
  <si>
    <t>$/GJ</t>
  </si>
  <si>
    <t>Roughly based on FortisBC markup for RNG vs NG</t>
  </si>
  <si>
    <t>emissions_biomass</t>
  </si>
  <si>
    <t>CO2</t>
  </si>
  <si>
    <t>Combustion</t>
  </si>
  <si>
    <t>ECCC, NIR</t>
  </si>
  <si>
    <t>tCO2</t>
  </si>
  <si>
    <t>emissions</t>
  </si>
  <si>
    <t>CH4</t>
  </si>
  <si>
    <t>tCH4</t>
  </si>
  <si>
    <t>N2O</t>
  </si>
  <si>
    <t>tN2O</t>
  </si>
  <si>
    <t>CIMS.Generic Fuels.Black Liquor</t>
  </si>
  <si>
    <t>Black Liquor</t>
  </si>
  <si>
    <t>Cost in pulp &amp; paper - BC (use $0.0001 instead of $0.00)</t>
  </si>
  <si>
    <t>CIMS.Generic Fuels.Coal</t>
  </si>
  <si>
    <t>Coal</t>
  </si>
  <si>
    <t>Average cost to electricity generators based on JCIMS coal varieties - ON</t>
  </si>
  <si>
    <t>CIMS.Generic Fuels.Metallurgical Coal</t>
  </si>
  <si>
    <t>Metallurgical Coal</t>
  </si>
  <si>
    <t>Process</t>
  </si>
  <si>
    <t>CIMS.Generic Fuels.Coke</t>
  </si>
  <si>
    <t>Coke</t>
  </si>
  <si>
    <t>Cost in iron &amp; steel - ON</t>
  </si>
  <si>
    <t>CIMS.Generic Fuels.Diesel</t>
  </si>
  <si>
    <t>Diesel</t>
  </si>
  <si>
    <t>CER</t>
  </si>
  <si>
    <t>CER forecast - CAN transportation</t>
  </si>
  <si>
    <t>CIMS.Generic Fuels.Fuel Oil</t>
  </si>
  <si>
    <t>Fuel Oil</t>
  </si>
  <si>
    <t>CER forecast - CAN industrial</t>
  </si>
  <si>
    <t>CIMS.Generic Fuels.Gasoline</t>
  </si>
  <si>
    <t>Gasoline</t>
  </si>
  <si>
    <t>CIMS.Generic Fuels.Jet Fuel</t>
  </si>
  <si>
    <t>Jet Fuel</t>
  </si>
  <si>
    <t>Cost in transportation freight - ON</t>
  </si>
  <si>
    <t>CIMS.Generic Fuels.LPG</t>
  </si>
  <si>
    <t>LPG</t>
  </si>
  <si>
    <t>Cost in mining - ON</t>
  </si>
  <si>
    <t>CIMS.Generic Fuels.Natural Gas</t>
  </si>
  <si>
    <t>Natural Gas</t>
  </si>
  <si>
    <t>CIMS.Generic Fuels.Natural Gas Feedstock</t>
  </si>
  <si>
    <t>Natural Gas Feedstock</t>
  </si>
  <si>
    <t>CIMS.Generic Fuels.Petroleum Coke</t>
  </si>
  <si>
    <t>Petroleum Coke</t>
  </si>
  <si>
    <t>Cost in petroleum refining - AB</t>
  </si>
  <si>
    <t>CIMS.Generic Fuels.Propane</t>
  </si>
  <si>
    <t>Propane</t>
  </si>
  <si>
    <t>Cost in commercial - ON</t>
  </si>
  <si>
    <t>CIMS.Generic Fuels.Refinery Fuel Gas</t>
  </si>
  <si>
    <t>Refinery Fuel Gas</t>
  </si>
  <si>
    <t>Cost in petroleum refining - AB (use $0.0001 instead of $0.00)</t>
  </si>
  <si>
    <t>CIMS.Generic Fuels.Renewable Diesel</t>
  </si>
  <si>
    <t>Renewable Diesel</t>
  </si>
  <si>
    <t>TODO: Fix these to formulas</t>
  </si>
  <si>
    <t>CIMS.Generic Fuels.Renewable Gasoline</t>
  </si>
  <si>
    <t>Renewable Gasoline</t>
  </si>
  <si>
    <t>CIMS.Generic Fuels.Solid Biomass</t>
  </si>
  <si>
    <t>Solid Biomass</t>
  </si>
  <si>
    <t>Cost to electricity generators - BC</t>
  </si>
  <si>
    <t>CIMS.Generic Fuels.Uranium</t>
  </si>
  <si>
    <t>Uranium</t>
  </si>
  <si>
    <t>Cost to electricity generators - ON</t>
  </si>
  <si>
    <t>CIMS.Generic Fuels.Waste Fuel</t>
  </si>
  <si>
    <t>Waste Fuel</t>
  </si>
  <si>
    <t>Cost in industrial minerals - BC</t>
  </si>
  <si>
    <t>CIMS.Generic Fuels.VOM</t>
  </si>
  <si>
    <t>VOM</t>
  </si>
  <si>
    <t>n/a</t>
  </si>
  <si>
    <t>Variable operating and maintenance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</si>
</sst>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IMS\test\cims-models\sources\macro\macro%20inputs_nz.xlsx" TargetMode="External"/><Relationship Id="rId1" Type="http://schemas.openxmlformats.org/officeDocument/2006/relationships/externalLinkPath" Target="/CIMS/test/cims-models/sources/macro/macro%20inputs_n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</sheetNames>
    <definedNames>
      <definedName name="CER_prices" refersTo="='Prices'!$K$26:$U$210"/>
      <definedName name="CER_prices_index" refersTo="='Prices'!$CJ$26:$CJ$210"/>
      <definedName name="CER_prod_cost" refersTo="='Prices'!$K$11:$U$23"/>
      <definedName name="CER_prod_cost_index" refersTo="='Prices'!$CJ$11:$CJ$23"/>
      <definedName name="CER_year" refersTo="='Prices'!$K$2:$U$2"/>
      <definedName name="JCIMS_price_inflator" refersTo="='Prices'!$K$809"/>
      <definedName name="JCIMS_prices" refersTo="='Prices'!$K$795:$U$807"/>
      <definedName name="JCIMS_prices_index" refersTo="='Prices'!$E$795:$E$807"/>
    </definedNames>
    <sheetDataSet>
      <sheetData sheetId="0"/>
      <sheetData sheetId="1">
        <row r="11"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M22">
            <v>39913200</v>
          </cell>
          <cell r="N22">
            <v>41887500</v>
          </cell>
          <cell r="O22">
            <v>43754600</v>
          </cell>
          <cell r="P22">
            <v>45505800</v>
          </cell>
          <cell r="Q22">
            <v>47155300</v>
          </cell>
          <cell r="R22">
            <v>48762100</v>
          </cell>
          <cell r="U22" t="str">
            <v>Scenario M3: Medium growth</v>
          </cell>
        </row>
        <row r="23">
          <cell r="M23">
            <v>5414300</v>
          </cell>
          <cell r="N23">
            <v>5702800</v>
          </cell>
          <cell r="O23">
            <v>5977000</v>
          </cell>
          <cell r="P23">
            <v>6237500</v>
          </cell>
          <cell r="Q23">
            <v>6463597.6897450434</v>
          </cell>
          <cell r="R23">
            <v>6683842.4717288781</v>
          </cell>
          <cell r="U23" t="str">
            <v>Scenario M3: Medium growth</v>
          </cell>
        </row>
        <row r="26">
          <cell r="M26">
            <v>1452400</v>
          </cell>
          <cell r="N26">
            <v>1524900</v>
          </cell>
          <cell r="O26">
            <v>1598100</v>
          </cell>
          <cell r="P26">
            <v>1672400</v>
          </cell>
          <cell r="Q26">
            <v>1733021.3669466309</v>
          </cell>
          <cell r="R26">
            <v>1792073.4508568139</v>
          </cell>
          <cell r="U26" t="str">
            <v>Scenario M3: Medium growth</v>
          </cell>
        </row>
        <row r="27">
          <cell r="M27">
            <v>15465400</v>
          </cell>
          <cell r="N27">
            <v>16239800</v>
          </cell>
          <cell r="O27">
            <v>16942700</v>
          </cell>
          <cell r="P27">
            <v>17554000</v>
          </cell>
          <cell r="Q27">
            <v>18190299.614554629</v>
          </cell>
          <cell r="R27">
            <v>18810127.574946489</v>
          </cell>
          <cell r="U27" t="str">
            <v>Scenario M3: Medium growth</v>
          </cell>
        </row>
        <row r="28">
          <cell r="M28">
            <v>8749700</v>
          </cell>
          <cell r="N28">
            <v>8977700</v>
          </cell>
          <cell r="O28">
            <v>9185100</v>
          </cell>
          <cell r="P28">
            <v>9385400</v>
          </cell>
          <cell r="Q28">
            <v>9725603.1675083172</v>
          </cell>
          <cell r="R28">
            <v>10056999.620707691</v>
          </cell>
          <cell r="U28" t="str">
            <v>Scenario M3: Medium growth</v>
          </cell>
        </row>
        <row r="29">
          <cell r="M29">
            <v>784400</v>
          </cell>
          <cell r="N29">
            <v>790600</v>
          </cell>
          <cell r="O29">
            <v>791500</v>
          </cell>
          <cell r="P29">
            <v>786400</v>
          </cell>
          <cell r="Q29">
            <v>814905.5267680164</v>
          </cell>
          <cell r="R29">
            <v>842673.14144570578</v>
          </cell>
          <cell r="U29" t="str">
            <v>Scenario M3: Medium growth</v>
          </cell>
        </row>
        <row r="30">
          <cell r="M30">
            <v>974700</v>
          </cell>
          <cell r="N30">
            <v>980500</v>
          </cell>
          <cell r="O30">
            <v>979000</v>
          </cell>
          <cell r="P30">
            <v>969700</v>
          </cell>
          <cell r="Q30">
            <v>1004849.8083760751</v>
          </cell>
          <cell r="R30">
            <v>1039089.7065868527</v>
          </cell>
          <cell r="U30" t="str">
            <v>Scenario M3: Medium growth</v>
          </cell>
        </row>
        <row r="31">
          <cell r="M31">
            <v>165700</v>
          </cell>
          <cell r="N31">
            <v>173800</v>
          </cell>
          <cell r="O31">
            <v>180700</v>
          </cell>
          <cell r="P31">
            <v>186100</v>
          </cell>
          <cell r="Q31">
            <v>192845.77636257355</v>
          </cell>
          <cell r="R31">
            <v>199416.92729278465</v>
          </cell>
          <cell r="U31" t="str">
            <v>Scenario M3: Medium growth</v>
          </cell>
        </row>
        <row r="32">
          <cell r="M32">
            <v>514200.00000000006</v>
          </cell>
          <cell r="N32">
            <v>503400</v>
          </cell>
          <cell r="O32">
            <v>489100</v>
          </cell>
          <cell r="P32">
            <v>471700</v>
          </cell>
          <cell r="Q32">
            <v>488798.2413230841</v>
          </cell>
          <cell r="R32">
            <v>505453.86675984162</v>
          </cell>
          <cell r="U32" t="str">
            <v>Scenario M3: Medium growth</v>
          </cell>
        </row>
        <row r="33">
          <cell r="M33">
            <v>44400</v>
          </cell>
          <cell r="N33">
            <v>47000</v>
          </cell>
          <cell r="O33">
            <v>49300</v>
          </cell>
          <cell r="P33">
            <v>51200</v>
          </cell>
          <cell r="Q33">
            <v>53055.90408255651</v>
          </cell>
          <cell r="R33">
            <v>54863.76505852001</v>
          </cell>
          <cell r="U33" t="str">
            <v>Scenario M3: Medium growth</v>
          </cell>
        </row>
        <row r="34">
          <cell r="M34">
            <v>45100</v>
          </cell>
          <cell r="N34">
            <v>45200</v>
          </cell>
          <cell r="O34">
            <v>45000</v>
          </cell>
          <cell r="P34">
            <v>44400</v>
          </cell>
          <cell r="Q34">
            <v>46009.416821591971</v>
          </cell>
          <cell r="R34">
            <v>47577.171261685326</v>
          </cell>
          <cell r="U34" t="str">
            <v>Scenario M3: Medium growth</v>
          </cell>
        </row>
        <row r="35">
          <cell r="M35">
            <v>41300</v>
          </cell>
          <cell r="N35">
            <v>43300</v>
          </cell>
          <cell r="O35">
            <v>45400</v>
          </cell>
          <cell r="P35">
            <v>47600</v>
          </cell>
          <cell r="Q35">
            <v>49325.410826751751</v>
          </cell>
          <cell r="R35">
            <v>51006.156577842827</v>
          </cell>
          <cell r="U35" t="str">
            <v>Scenario M3: Medium growth</v>
          </cell>
        </row>
        <row r="36">
          <cell r="M36">
            <v>2439000</v>
          </cell>
          <cell r="N36">
            <v>2448300</v>
          </cell>
          <cell r="O36">
            <v>2440300</v>
          </cell>
          <cell r="P36">
            <v>2413900</v>
          </cell>
          <cell r="Q36">
            <v>2501399.3528297488</v>
          </cell>
          <cell r="R36">
            <v>2586633.6420851848</v>
          </cell>
          <cell r="U36" t="str">
            <v>Scenario M3: Medium growth</v>
          </cell>
        </row>
        <row r="37">
          <cell r="M37">
            <v>130800</v>
          </cell>
          <cell r="N37">
            <v>135500</v>
          </cell>
          <cell r="O37">
            <v>139700</v>
          </cell>
          <cell r="P37">
            <v>143200</v>
          </cell>
          <cell r="Q37">
            <v>148390.73173090024</v>
          </cell>
          <cell r="R37">
            <v>153447.09289804817</v>
          </cell>
          <cell r="U37" t="str">
            <v>Scenario M3: Medium growth</v>
          </cell>
        </row>
        <row r="40">
          <cell r="K40">
            <v>9.7932094088573063E-3</v>
          </cell>
          <cell r="L40">
            <v>1.2747078391496469E-2</v>
          </cell>
          <cell r="M40">
            <v>9.6749754434861668E-3</v>
          </cell>
          <cell r="N40">
            <v>9.7028416371309767E-3</v>
          </cell>
          <cell r="O40">
            <v>8.7600056512486812E-3</v>
          </cell>
          <cell r="P40">
            <v>7.8794891077342832E-3</v>
          </cell>
          <cell r="Q40">
            <v>7.1467408480028194E-3</v>
          </cell>
          <cell r="R40">
            <v>6.7238969325502662E-3</v>
          </cell>
        </row>
        <row r="41">
          <cell r="K41">
            <v>1.3549599164150106E-2</v>
          </cell>
          <cell r="L41">
            <v>1.5520292931848978E-2</v>
          </cell>
          <cell r="M41">
            <v>9.7176252619131098E-3</v>
          </cell>
          <cell r="N41">
            <v>1.0436823784575333E-2</v>
          </cell>
          <cell r="O41">
            <v>9.4365435506438278E-3</v>
          </cell>
          <cell r="P41">
            <v>8.5686406793821224E-3</v>
          </cell>
          <cell r="Q41">
            <v>7.1467408480028194E-3</v>
          </cell>
          <cell r="R41">
            <v>6.7238969325502662E-3</v>
          </cell>
        </row>
        <row r="42">
          <cell r="K42">
            <v>2.1184007253333803E-2</v>
          </cell>
          <cell r="L42">
            <v>1.2956471986242946E-2</v>
          </cell>
          <cell r="M42">
            <v>2.3525876402321622E-2</v>
          </cell>
          <cell r="N42">
            <v>1.919261652029447E-2</v>
          </cell>
          <cell r="O42">
            <v>1.8244732369914196E-2</v>
          </cell>
          <cell r="P42">
            <v>1.7416066559800214E-2</v>
          </cell>
          <cell r="Q42">
            <v>7.1467408480028194E-3</v>
          </cell>
          <cell r="R42">
            <v>6.7238969325502662E-3</v>
          </cell>
        </row>
        <row r="43">
          <cell r="K43">
            <v>1.2887983164340922E-2</v>
          </cell>
          <cell r="L43">
            <v>1.0197511112669533E-2</v>
          </cell>
          <cell r="M43">
            <v>1.9177296583581249E-2</v>
          </cell>
          <cell r="N43">
            <v>1.5185652185403464E-2</v>
          </cell>
          <cell r="O43">
            <v>1.3477185687365001E-2</v>
          </cell>
          <cell r="P43">
            <v>1.1593475097468442E-2</v>
          </cell>
          <cell r="Q43">
            <v>7.1467408480028194E-3</v>
          </cell>
          <cell r="R43">
            <v>6.7238969325502662E-3</v>
          </cell>
        </row>
        <row r="44">
          <cell r="K44">
            <v>1.14403636533007E-2</v>
          </cell>
          <cell r="L44">
            <v>1.3325172770565663E-2</v>
          </cell>
          <cell r="M44">
            <v>1.0184392757599081E-2</v>
          </cell>
          <cell r="N44">
            <v>9.7899053560157601E-3</v>
          </cell>
          <cell r="O44">
            <v>9.4214226932380907E-3</v>
          </cell>
          <cell r="P44">
            <v>9.130288479971993E-3</v>
          </cell>
          <cell r="Q44">
            <v>7.1467408480028194E-3</v>
          </cell>
          <cell r="R44">
            <v>6.7238969325502662E-3</v>
          </cell>
        </row>
        <row r="45">
          <cell r="K45">
            <v>8.551478269280377E-3</v>
          </cell>
          <cell r="L45">
            <v>1.4714623391467008E-2</v>
          </cell>
          <cell r="M45">
            <v>9.5761490830659213E-3</v>
          </cell>
          <cell r="N45">
            <v>9.8198511494282936E-3</v>
          </cell>
          <cell r="O45">
            <v>8.510418089629157E-3</v>
          </cell>
          <cell r="P45">
            <v>7.1141424457366043E-3</v>
          </cell>
          <cell r="Q45">
            <v>7.1467408480028194E-3</v>
          </cell>
          <cell r="R45">
            <v>6.7238969325502662E-3</v>
          </cell>
        </row>
        <row r="46">
          <cell r="K46">
            <v>6.1305284421402373E-3</v>
          </cell>
          <cell r="L46">
            <v>9.6708170886097289E-3</v>
          </cell>
          <cell r="M46">
            <v>3.9645692743051075E-3</v>
          </cell>
          <cell r="N46">
            <v>5.158119673442263E-3</v>
          </cell>
          <cell r="O46">
            <v>4.5782244195355926E-3</v>
          </cell>
          <cell r="P46">
            <v>4.323857896752159E-3</v>
          </cell>
          <cell r="Q46">
            <v>7.1467408480028194E-3</v>
          </cell>
          <cell r="R46">
            <v>6.7238969325502662E-3</v>
          </cell>
        </row>
        <row r="47">
          <cell r="K47">
            <v>1.5375567539832602E-3</v>
          </cell>
          <cell r="L47">
            <v>6.3399351210386978E-3</v>
          </cell>
          <cell r="M47">
            <v>3.0522574522828805E-4</v>
          </cell>
          <cell r="N47">
            <v>1.5758516594028826E-3</v>
          </cell>
          <cell r="O47">
            <v>2.2757158218089657E-4</v>
          </cell>
          <cell r="P47">
            <v>-1.2920267114721051E-3</v>
          </cell>
          <cell r="Q47">
            <v>7.1467408480028194E-3</v>
          </cell>
          <cell r="R47">
            <v>6.7238969325502662E-3</v>
          </cell>
        </row>
        <row r="48">
          <cell r="K48">
            <v>-1.1878218937966256E-3</v>
          </cell>
          <cell r="L48">
            <v>9.5053012657277947E-3</v>
          </cell>
          <cell r="M48">
            <v>-1.4686277091210398E-3</v>
          </cell>
          <cell r="N48">
            <v>1.1872871266174201E-3</v>
          </cell>
          <cell r="O48">
            <v>-3.0615374655240668E-4</v>
          </cell>
          <cell r="P48">
            <v>-1.9071585016413595E-3</v>
          </cell>
          <cell r="Q48">
            <v>7.1467408480028194E-3</v>
          </cell>
          <cell r="R48">
            <v>6.7238969325502662E-3</v>
          </cell>
        </row>
        <row r="49">
          <cell r="K49">
            <v>4.0502464677787398E-3</v>
          </cell>
          <cell r="L49">
            <v>2.2212701001766311E-2</v>
          </cell>
          <cell r="M49">
            <v>5.3609520009867406E-3</v>
          </cell>
          <cell r="N49">
            <v>9.590958946224637E-3</v>
          </cell>
          <cell r="O49">
            <v>7.8169913378258737E-3</v>
          </cell>
          <cell r="P49">
            <v>5.9065686006014584E-3</v>
          </cell>
          <cell r="Q49">
            <v>7.1467408480028194E-3</v>
          </cell>
          <cell r="R49">
            <v>6.7238969325502662E-3</v>
          </cell>
        </row>
        <row r="50">
          <cell r="K50">
            <v>2.329312834649544E-3</v>
          </cell>
          <cell r="L50">
            <v>-2.5705695793580841E-3</v>
          </cell>
          <cell r="M50">
            <v>-2.7634066240762589E-3</v>
          </cell>
          <cell r="N50">
            <v>-4.2364432750481296E-3</v>
          </cell>
          <cell r="O50">
            <v>-5.7470452206662692E-3</v>
          </cell>
          <cell r="P50">
            <v>-7.2185754709153116E-3</v>
          </cell>
          <cell r="Q50">
            <v>7.1467408480028194E-3</v>
          </cell>
          <cell r="R50">
            <v>6.7238969325502662E-3</v>
          </cell>
        </row>
        <row r="51">
          <cell r="K51">
            <v>1.7278930866397202E-2</v>
          </cell>
          <cell r="L51">
            <v>2.2736442721618344E-2</v>
          </cell>
          <cell r="M51">
            <v>1.0340204629369687E-2</v>
          </cell>
          <cell r="N51">
            <v>1.1446643597561756E-2</v>
          </cell>
          <cell r="O51">
            <v>9.6010934609016552E-3</v>
          </cell>
          <cell r="P51">
            <v>7.5917626044601505E-3</v>
          </cell>
          <cell r="Q51">
            <v>7.1467408480028194E-3</v>
          </cell>
          <cell r="R51">
            <v>6.7238969325502662E-3</v>
          </cell>
        </row>
        <row r="52">
          <cell r="K52">
            <v>4.3605573447920154E-3</v>
          </cell>
          <cell r="L52">
            <v>5.0795839073902727E-3</v>
          </cell>
          <cell r="M52">
            <v>-1.2018628213033011E-3</v>
          </cell>
          <cell r="N52">
            <v>4.4306619075240583E-4</v>
          </cell>
          <cell r="O52">
            <v>-8.8652621680329613E-4</v>
          </cell>
          <cell r="P52">
            <v>-2.6810037394695563E-3</v>
          </cell>
          <cell r="Q52">
            <v>7.1467408480028194E-3</v>
          </cell>
          <cell r="R52">
            <v>6.7238969325502662E-3</v>
          </cell>
        </row>
        <row r="53">
          <cell r="K53">
            <v>1.8135628661466674E-2</v>
          </cell>
          <cell r="L53">
            <v>1.4208938569302942E-2</v>
          </cell>
          <cell r="M53">
            <v>1.0723968281052709E-2</v>
          </cell>
          <cell r="N53">
            <v>9.5028954899454288E-3</v>
          </cell>
          <cell r="O53">
            <v>9.5168943631334102E-3</v>
          </cell>
          <cell r="P53">
            <v>9.5090577463332604E-3</v>
          </cell>
          <cell r="Q53">
            <v>7.1467408480028194E-3</v>
          </cell>
          <cell r="R53">
            <v>6.7238969325502662E-3</v>
          </cell>
        </row>
        <row r="54">
          <cell r="K54">
            <v>7.8095498598629298E-4</v>
          </cell>
          <cell r="L54">
            <v>6.6471059290365009E-3</v>
          </cell>
          <cell r="M54">
            <v>-7.1890612196534587E-4</v>
          </cell>
          <cell r="N54">
            <v>7.614471392713984E-4</v>
          </cell>
          <cell r="O54">
            <v>-6.5437052500538773E-4</v>
          </cell>
          <cell r="P54">
            <v>-2.173092562158252E-3</v>
          </cell>
          <cell r="Q54">
            <v>7.1467408480028194E-3</v>
          </cell>
          <cell r="R54">
            <v>6.7238969325502662E-3</v>
          </cell>
        </row>
        <row r="55">
          <cell r="K55">
            <v>1.2592284111616836E-2</v>
          </cell>
          <cell r="L55">
            <v>1.3618817905412417E-2</v>
          </cell>
          <cell r="M55">
            <v>6.3882099415235594E-3</v>
          </cell>
          <cell r="N55">
            <v>7.0854239316229251E-3</v>
          </cell>
          <cell r="O55">
            <v>6.1237994489733438E-3</v>
          </cell>
          <cell r="P55">
            <v>4.9612641689140702E-3</v>
          </cell>
          <cell r="Q55">
            <v>7.1467408480028194E-3</v>
          </cell>
          <cell r="R55">
            <v>6.7238969325502662E-3</v>
          </cell>
        </row>
        <row r="59">
          <cell r="K59">
            <v>2135960.2531350749</v>
          </cell>
          <cell r="L59">
            <v>2209681</v>
          </cell>
          <cell r="M59">
            <v>2494438.0342336129</v>
          </cell>
          <cell r="N59">
            <v>2763032.9952256023</v>
          </cell>
          <cell r="O59">
            <v>3038702.1591386888</v>
          </cell>
          <cell r="P59">
            <v>3356675.7142850365</v>
          </cell>
          <cell r="Q59">
            <v>3706476.3017864767</v>
          </cell>
          <cell r="R59">
            <v>4074858.5630359431</v>
          </cell>
          <cell r="T59">
            <v>2012</v>
          </cell>
          <cell r="U59" t="str">
            <v>Chained dollars, M$</v>
          </cell>
        </row>
        <row r="60">
          <cell r="K60">
            <v>266439.5562080465</v>
          </cell>
          <cell r="L60">
            <v>293203.8740330849</v>
          </cell>
          <cell r="M60">
            <v>330932.89580639999</v>
          </cell>
          <cell r="N60">
            <v>366566.93722984049</v>
          </cell>
          <cell r="O60">
            <v>403139.50124878017</v>
          </cell>
          <cell r="P60">
            <v>445324.51765339373</v>
          </cell>
          <cell r="Q60">
            <v>491731.97287494532</v>
          </cell>
          <cell r="R60">
            <v>540604.62747927231</v>
          </cell>
          <cell r="T60">
            <v>2012</v>
          </cell>
          <cell r="U60" t="str">
            <v>Chained dollars, M$</v>
          </cell>
        </row>
        <row r="61">
          <cell r="K61">
            <v>371864.0496689151</v>
          </cell>
          <cell r="L61">
            <v>352708.69722059922</v>
          </cell>
          <cell r="M61">
            <v>398094.70776005066</v>
          </cell>
          <cell r="N61">
            <v>440960.56814001396</v>
          </cell>
          <cell r="O61">
            <v>484955.42138564883</v>
          </cell>
          <cell r="P61">
            <v>535701.75694266777</v>
          </cell>
          <cell r="Q61">
            <v>591527.46226970514</v>
          </cell>
          <cell r="R61">
            <v>650318.67160160968</v>
          </cell>
          <cell r="T61">
            <v>2012</v>
          </cell>
          <cell r="U61" t="str">
            <v>Chained dollars, M$</v>
          </cell>
        </row>
        <row r="62">
          <cell r="K62">
            <v>92750.607097552813</v>
          </cell>
          <cell r="L62">
            <v>91073.700127476201</v>
          </cell>
          <cell r="M62">
            <v>102792.92323261904</v>
          </cell>
          <cell r="N62">
            <v>113861.41273887396</v>
          </cell>
          <cell r="O62">
            <v>125221.42201343761</v>
          </cell>
          <cell r="P62">
            <v>138324.74660823104</v>
          </cell>
          <cell r="Q62">
            <v>152739.626610976</v>
          </cell>
          <cell r="R62">
            <v>167920.23602327166</v>
          </cell>
          <cell r="T62">
            <v>2012</v>
          </cell>
          <cell r="U62" t="str">
            <v>Chained dollars, M$</v>
          </cell>
        </row>
        <row r="63">
          <cell r="K63">
            <v>70196.208350022484</v>
          </cell>
          <cell r="L63">
            <v>71860.97980913143</v>
          </cell>
          <cell r="M63">
            <v>81107.939730147147</v>
          </cell>
          <cell r="N63">
            <v>89841.443472865998</v>
          </cell>
          <cell r="O63">
            <v>98804.968573617676</v>
          </cell>
          <cell r="P63">
            <v>109144.04278297735</v>
          </cell>
          <cell r="Q63">
            <v>120517.98937105274</v>
          </cell>
          <cell r="R63">
            <v>132496.12866857069</v>
          </cell>
          <cell r="T63">
            <v>2012</v>
          </cell>
          <cell r="U63" t="str">
            <v>Chained dollars, M$</v>
          </cell>
        </row>
        <row r="64">
          <cell r="K64">
            <v>799780.92126918025</v>
          </cell>
          <cell r="L64">
            <v>840840.8710141218</v>
          </cell>
          <cell r="M64">
            <v>949038.97595050232</v>
          </cell>
          <cell r="N64">
            <v>1051229.1619671376</v>
          </cell>
          <cell r="O64">
            <v>1156110.8136380666</v>
          </cell>
          <cell r="P64">
            <v>1277087.680176323</v>
          </cell>
          <cell r="Q64">
            <v>1410173.5242795805</v>
          </cell>
          <cell r="R64">
            <v>1550328.9898299354</v>
          </cell>
          <cell r="T64">
            <v>2012</v>
          </cell>
          <cell r="U64" t="str">
            <v>Chained dollars, M$</v>
          </cell>
        </row>
        <row r="65">
          <cell r="K65">
            <v>407071.37344263529</v>
          </cell>
          <cell r="L65">
            <v>425403.7176016898</v>
          </cell>
          <cell r="M65">
            <v>480144.01111511135</v>
          </cell>
          <cell r="N65">
            <v>531844.73896086169</v>
          </cell>
          <cell r="O65">
            <v>584907.15072874713</v>
          </cell>
          <cell r="P65">
            <v>646112.55896147015</v>
          </cell>
          <cell r="Q65">
            <v>713444.22038915765</v>
          </cell>
          <cell r="R65">
            <v>784352.59097705118</v>
          </cell>
          <cell r="T65">
            <v>2012</v>
          </cell>
          <cell r="U65" t="str">
            <v>Chained dollars, M$</v>
          </cell>
        </row>
        <row r="66">
          <cell r="K66">
            <v>35252.556132781465</v>
          </cell>
          <cell r="L66">
            <v>36154.99685746742</v>
          </cell>
          <cell r="M66">
            <v>40807.366026012598</v>
          </cell>
          <cell r="N66">
            <v>45201.402973621203</v>
          </cell>
          <cell r="O66">
            <v>49711.169229387269</v>
          </cell>
          <cell r="P66">
            <v>54913.007508539442</v>
          </cell>
          <cell r="Q66">
            <v>60635.515109202766</v>
          </cell>
          <cell r="R66">
            <v>66662.006674031625</v>
          </cell>
          <cell r="T66">
            <v>2012</v>
          </cell>
          <cell r="U66" t="str">
            <v>Chained dollars, M$</v>
          </cell>
        </row>
        <row r="67">
          <cell r="K67">
            <v>42395.959179653837</v>
          </cell>
          <cell r="L67">
            <v>44859.467906088743</v>
          </cell>
          <cell r="M67">
            <v>50631.914968562312</v>
          </cell>
          <cell r="N67">
            <v>56083.835216446518</v>
          </cell>
          <cell r="O67">
            <v>61679.347101347033</v>
          </cell>
          <cell r="P67">
            <v>68133.550326871438</v>
          </cell>
          <cell r="Q67">
            <v>75233.776253216245</v>
          </cell>
          <cell r="R67">
            <v>82711.171590976257</v>
          </cell>
          <cell r="T67">
            <v>2012</v>
          </cell>
          <cell r="U67" t="str">
            <v>Chained dollars, M$</v>
          </cell>
        </row>
        <row r="68">
          <cell r="K68">
            <v>6365.6271166723736</v>
          </cell>
          <cell r="L68">
            <v>7123.5449380162063</v>
          </cell>
          <cell r="M68">
            <v>8040.191701146201</v>
          </cell>
          <cell r="N68">
            <v>8905.9397961879677</v>
          </cell>
          <cell r="O68">
            <v>9794.4897996507261</v>
          </cell>
          <cell r="P68">
            <v>10819.397335610862</v>
          </cell>
          <cell r="Q68">
            <v>11946.891280975291</v>
          </cell>
          <cell r="R68">
            <v>13134.278563841761</v>
          </cell>
          <cell r="T68">
            <v>2012</v>
          </cell>
          <cell r="U68" t="str">
            <v>Chained dollars, M$</v>
          </cell>
        </row>
        <row r="69">
          <cell r="K69">
            <v>36367.91991353636</v>
          </cell>
          <cell r="L69">
            <v>35661.853820872522</v>
          </cell>
          <cell r="M69">
            <v>40250.76610493278</v>
          </cell>
          <cell r="N69">
            <v>44584.869740092312</v>
          </cell>
          <cell r="O69">
            <v>49033.124171242016</v>
          </cell>
          <cell r="P69">
            <v>54164.010976246107</v>
          </cell>
          <cell r="Q69">
            <v>59808.465333363209</v>
          </cell>
          <cell r="R69">
            <v>65752.75740687392</v>
          </cell>
          <cell r="T69">
            <v>2012</v>
          </cell>
          <cell r="U69" t="str">
            <v>Chained dollars, M$</v>
          </cell>
        </row>
        <row r="70">
          <cell r="K70">
            <v>2657.6769019174608</v>
          </cell>
          <cell r="L70">
            <v>3069.1810465481008</v>
          </cell>
          <cell r="M70">
            <v>3464.1185244833096</v>
          </cell>
          <cell r="N70">
            <v>3837.1262990545029</v>
          </cell>
          <cell r="O70">
            <v>4219.9582813424686</v>
          </cell>
          <cell r="P70">
            <v>4661.5399392394947</v>
          </cell>
          <cell r="Q70">
            <v>5147.3209762541828</v>
          </cell>
          <cell r="R70">
            <v>5658.9070721089947</v>
          </cell>
          <cell r="T70">
            <v>2012</v>
          </cell>
          <cell r="U70" t="str">
            <v>Chained dollars, M$</v>
          </cell>
        </row>
        <row r="71">
          <cell r="K71">
            <v>5272.3279013132187</v>
          </cell>
          <cell r="L71">
            <v>4579.5005478868325</v>
          </cell>
          <cell r="M71">
            <v>5168.7836071639904</v>
          </cell>
          <cell r="N71">
            <v>5725.3455310478957</v>
          </cell>
          <cell r="O71">
            <v>6296.56607687009</v>
          </cell>
          <cell r="P71">
            <v>6955.4465448537558</v>
          </cell>
          <cell r="Q71">
            <v>7680.2765537135574</v>
          </cell>
          <cell r="R71">
            <v>8443.6100849476788</v>
          </cell>
          <cell r="T71">
            <v>2012</v>
          </cell>
          <cell r="U71" t="str">
            <v>Chained dollars, M$</v>
          </cell>
        </row>
        <row r="72">
          <cell r="K72">
            <v>2616.8574559353328</v>
          </cell>
          <cell r="L72">
            <v>3511.5755827327839</v>
          </cell>
          <cell r="M72">
            <v>3963.4397064810842</v>
          </cell>
          <cell r="N72">
            <v>4390.2131595580458</v>
          </cell>
          <cell r="O72">
            <v>4828.22689055107</v>
          </cell>
          <cell r="P72">
            <v>5333.4585286122619</v>
          </cell>
          <cell r="Q72">
            <v>5889.2604843339559</v>
          </cell>
          <cell r="R72">
            <v>6474.5870634518087</v>
          </cell>
          <cell r="T72">
            <v>2012</v>
          </cell>
          <cell r="U72" t="str">
            <v>Chained dollars, M$</v>
          </cell>
        </row>
        <row r="73">
          <cell r="K73">
            <v>120382.06234264404</v>
          </cell>
          <cell r="L73">
            <v>123799.8635224449</v>
          </cell>
          <cell r="M73">
            <v>139730.2388006539</v>
          </cell>
          <cell r="N73">
            <v>154776.04772634801</v>
          </cell>
          <cell r="O73">
            <v>170218.13030162704</v>
          </cell>
          <cell r="P73">
            <v>188029.96614726784</v>
          </cell>
          <cell r="Q73">
            <v>207624.64797675752</v>
          </cell>
          <cell r="R73">
            <v>228260.21423572357</v>
          </cell>
        </row>
        <row r="74">
          <cell r="K74">
            <v>10546.862259166013</v>
          </cell>
          <cell r="L74">
            <v>11160.257177167718</v>
          </cell>
          <cell r="M74">
            <v>12596.341838128385</v>
          </cell>
          <cell r="N74">
            <v>13952.684989660444</v>
          </cell>
          <cell r="O74">
            <v>15344.751248763629</v>
          </cell>
          <cell r="P74">
            <v>16950.44501270551</v>
          </cell>
          <cell r="Q74">
            <v>18716.858014301695</v>
          </cell>
          <cell r="R74">
            <v>20577.104220508481</v>
          </cell>
        </row>
        <row r="77">
          <cell r="U77" t="str">
            <v>nominal</v>
          </cell>
        </row>
        <row r="79">
          <cell r="T79">
            <v>2012</v>
          </cell>
          <cell r="U79" t="str">
            <v>real dollars, M$</v>
          </cell>
        </row>
        <row r="81">
          <cell r="K81">
            <v>2135960.5289421421</v>
          </cell>
          <cell r="L81">
            <v>2209681</v>
          </cell>
          <cell r="M81">
            <v>2494438.0342336129</v>
          </cell>
          <cell r="N81">
            <v>2763032.9952256023</v>
          </cell>
          <cell r="O81">
            <v>3038702.1591386888</v>
          </cell>
          <cell r="P81">
            <v>3356675.7142850365</v>
          </cell>
          <cell r="Q81">
            <v>3706476.3017864767</v>
          </cell>
          <cell r="R81">
            <v>4074858.5630359435</v>
          </cell>
          <cell r="T81">
            <v>2020</v>
          </cell>
        </row>
        <row r="95">
          <cell r="U95" t="str">
            <v>Whitehorse, Yukon</v>
          </cell>
        </row>
        <row r="96">
          <cell r="U96" t="str">
            <v>Yellowknife, Northwest Territories</v>
          </cell>
        </row>
        <row r="97">
          <cell r="U97" t="str">
            <v>Yellowknife, Northwest Territories</v>
          </cell>
        </row>
        <row r="102">
          <cell r="U102" t="str">
            <v>Price index for GDP</v>
          </cell>
        </row>
        <row r="103">
          <cell r="U103" t="str">
            <v>PPP exchange</v>
          </cell>
        </row>
      </sheetData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11">
          <cell r="K11">
            <v>14.311056498313594</v>
          </cell>
          <cell r="L11">
            <v>14.311058874991911</v>
          </cell>
          <cell r="M11">
            <v>18.694133190132</v>
          </cell>
          <cell r="N11">
            <v>11.21620037411093</v>
          </cell>
          <cell r="O11">
            <v>13.423701887148967</v>
          </cell>
          <cell r="P11">
            <v>13.685835089875697</v>
          </cell>
          <cell r="Q11">
            <v>11.326208350241961</v>
          </cell>
          <cell r="R11">
            <v>11.149236344769427</v>
          </cell>
          <cell r="S11">
            <v>10.972264339296899</v>
          </cell>
          <cell r="T11">
            <v>10.972264339296899</v>
          </cell>
          <cell r="U11">
            <v>10.972264339296899</v>
          </cell>
        </row>
        <row r="12">
          <cell r="K12">
            <v>14.843025717835181</v>
          </cell>
          <cell r="L12">
            <v>14.843028182859156</v>
          </cell>
          <cell r="M12">
            <v>18.664247274966478</v>
          </cell>
          <cell r="N12">
            <v>10.433724621712123</v>
          </cell>
          <cell r="O12">
            <v>12.916218165078718</v>
          </cell>
          <cell r="P12">
            <v>13.243405076194367</v>
          </cell>
          <cell r="Q12">
            <v>10.883778336560631</v>
          </cell>
          <cell r="R12">
            <v>10.706806331088103</v>
          </cell>
          <cell r="S12">
            <v>10.529834325615571</v>
          </cell>
          <cell r="T12">
            <v>10.529834325615571</v>
          </cell>
          <cell r="U12">
            <v>10.529834325615571</v>
          </cell>
        </row>
        <row r="13">
          <cell r="K13">
            <v>9.6149836503272237</v>
          </cell>
          <cell r="L13">
            <v>9.6149852471152126</v>
          </cell>
          <cell r="M13">
            <v>15.410667310609004</v>
          </cell>
          <cell r="N13">
            <v>7.5082166053163277</v>
          </cell>
          <cell r="O13">
            <v>10.411748124742545</v>
          </cell>
          <cell r="P13">
            <v>11.031255007787736</v>
          </cell>
          <cell r="Q13">
            <v>8.6716282681540005</v>
          </cell>
          <cell r="R13">
            <v>8.4946562626814703</v>
          </cell>
          <cell r="S13">
            <v>8.3176842572089402</v>
          </cell>
          <cell r="T13">
            <v>8.3176842572089402</v>
          </cell>
          <cell r="U13">
            <v>8.3176842572089402</v>
          </cell>
          <cell r="CJ13" t="str">
            <v>CANProduction costCIMS.Generic Fuels.Fuel Oil</v>
          </cell>
        </row>
        <row r="14">
          <cell r="K14">
            <v>11.637263642141473</v>
          </cell>
          <cell r="L14">
            <v>11.63726557477532</v>
          </cell>
          <cell r="M14">
            <v>15.420629282330856</v>
          </cell>
          <cell r="N14">
            <v>12.315953965838542</v>
          </cell>
          <cell r="O14">
            <v>15.2074692983063</v>
          </cell>
          <cell r="P14">
            <v>16.641267581266955</v>
          </cell>
          <cell r="Q14">
            <v>13.469339336514306</v>
          </cell>
          <cell r="R14">
            <v>13.446332975802878</v>
          </cell>
          <cell r="S14">
            <v>13.416247734872545</v>
          </cell>
          <cell r="T14">
            <v>13.416247734872545</v>
          </cell>
          <cell r="U14">
            <v>13.416247734872545</v>
          </cell>
        </row>
        <row r="15"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4.1935055749097616</v>
          </cell>
          <cell r="R15">
            <v>3.8818261065043047</v>
          </cell>
          <cell r="S15">
            <v>3.57014663809885</v>
          </cell>
          <cell r="T15">
            <v>3.57014663809885</v>
          </cell>
          <cell r="U15">
            <v>3.57014663809885</v>
          </cell>
        </row>
        <row r="16"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3.3434706610767013</v>
          </cell>
          <cell r="R16">
            <v>3.1564629800334281</v>
          </cell>
          <cell r="S16">
            <v>2.9694552989901553</v>
          </cell>
          <cell r="T16">
            <v>2.9694552989901553</v>
          </cell>
          <cell r="U16">
            <v>2.9694552989901553</v>
          </cell>
          <cell r="CJ16" t="str">
            <v>CANProduction costCIMS.Generic Fuels.Natural Gas</v>
          </cell>
        </row>
        <row r="17"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17.576828626756992</v>
          </cell>
          <cell r="P17">
            <v>18.140282943110353</v>
          </cell>
          <cell r="Q17">
            <v>18.91178614758595</v>
          </cell>
          <cell r="R17">
            <v>19.730267745382086</v>
          </cell>
          <cell r="S17">
            <v>20.459847517409003</v>
          </cell>
          <cell r="T17">
            <v>21.05580642956707</v>
          </cell>
          <cell r="U17">
            <v>21.397524593879478</v>
          </cell>
          <cell r="CJ17" t="str">
            <v>BCProduction costCIMS.CAN.BC.Electricity</v>
          </cell>
        </row>
        <row r="18"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26.617456079230486</v>
          </cell>
          <cell r="P18">
            <v>30.687379883859656</v>
          </cell>
          <cell r="Q18">
            <v>28.763754791420684</v>
          </cell>
          <cell r="R18">
            <v>28.505839288600761</v>
          </cell>
          <cell r="S18">
            <v>28.65722692371121</v>
          </cell>
          <cell r="T18">
            <v>28.829214266415249</v>
          </cell>
          <cell r="U18">
            <v>29.00796187654197</v>
          </cell>
          <cell r="CJ18" t="str">
            <v>ABProduction costCIMS.CAN.AB.Electricity</v>
          </cell>
        </row>
        <row r="19"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29.39142689876692</v>
          </cell>
          <cell r="P19">
            <v>30.750727771970514</v>
          </cell>
          <cell r="Q19">
            <v>31.404775883872393</v>
          </cell>
          <cell r="R19">
            <v>31.979728409213287</v>
          </cell>
          <cell r="S19">
            <v>33.36568419164896</v>
          </cell>
          <cell r="T19">
            <v>35.105466878572919</v>
          </cell>
          <cell r="U19">
            <v>35.888573537954336</v>
          </cell>
          <cell r="CJ19" t="str">
            <v>SKProduction costCIMS.CAN.SK.Electricity</v>
          </cell>
        </row>
        <row r="20">
          <cell r="K20">
            <v>11.486827219151595</v>
          </cell>
          <cell r="L20">
            <v>11.668333302434613</v>
          </cell>
          <cell r="M20">
            <v>12.335885386778077</v>
          </cell>
          <cell r="N20">
            <v>13.418493725925947</v>
          </cell>
          <cell r="O20">
            <v>15.372112516312088</v>
          </cell>
          <cell r="P20">
            <v>16.389074861787268</v>
          </cell>
          <cell r="Q20">
            <v>16.936703981576059</v>
          </cell>
          <cell r="R20">
            <v>17.371837647869391</v>
          </cell>
          <cell r="S20">
            <v>17.497959296398331</v>
          </cell>
          <cell r="T20">
            <v>17.693169575868133</v>
          </cell>
          <cell r="U20">
            <v>18.035915204560776</v>
          </cell>
          <cell r="CJ20" t="str">
            <v>MBProduction costCIMS.CAN.MB.Electricity</v>
          </cell>
        </row>
        <row r="21">
          <cell r="K21">
            <v>18.910314633862424</v>
          </cell>
          <cell r="L21">
            <v>18.726485095029357</v>
          </cell>
          <cell r="M21">
            <v>20.295935032754784</v>
          </cell>
          <cell r="N21">
            <v>23.206499725752966</v>
          </cell>
          <cell r="O21">
            <v>22.765670532737712</v>
          </cell>
          <cell r="P21">
            <v>21.888935853658502</v>
          </cell>
          <cell r="Q21">
            <v>21.088042659874706</v>
          </cell>
          <cell r="R21">
            <v>20.056329322216683</v>
          </cell>
          <cell r="S21">
            <v>19.624859545383735</v>
          </cell>
          <cell r="T21">
            <v>19.584459282698184</v>
          </cell>
          <cell r="U21">
            <v>19.606366861688908</v>
          </cell>
          <cell r="CJ21" t="str">
            <v>ONProduction costCIMS.CAN.ON.Electricity</v>
          </cell>
        </row>
        <row r="22">
          <cell r="K22">
            <v>11.566899199418399</v>
          </cell>
          <cell r="L22">
            <v>12.236078395809079</v>
          </cell>
          <cell r="M22">
            <v>12.967344235526303</v>
          </cell>
          <cell r="N22">
            <v>12.914290930240339</v>
          </cell>
          <cell r="O22">
            <v>13.408685208166069</v>
          </cell>
          <cell r="P22">
            <v>14.113563467580608</v>
          </cell>
          <cell r="Q22">
            <v>14.584696680144392</v>
          </cell>
          <cell r="R22">
            <v>15.097665292484205</v>
          </cell>
          <cell r="S22">
            <v>15.613138617876778</v>
          </cell>
          <cell r="T22">
            <v>16.17565818216395</v>
          </cell>
          <cell r="U22">
            <v>16.563581319795198</v>
          </cell>
          <cell r="CJ22" t="str">
            <v>QCProduction costCIMS.CAN.QC.Electricity</v>
          </cell>
        </row>
        <row r="23">
          <cell r="K23">
            <v>18.208933977816695</v>
          </cell>
          <cell r="L23">
            <v>19.692278270378534</v>
          </cell>
          <cell r="M23">
            <v>22.200637743967366</v>
          </cell>
          <cell r="N23">
            <v>23.23312214522673</v>
          </cell>
          <cell r="O23">
            <v>25.465302094648116</v>
          </cell>
          <cell r="P23">
            <v>26.944719443622247</v>
          </cell>
          <cell r="Q23">
            <v>27.327645846833938</v>
          </cell>
          <cell r="R23">
            <v>27.450338659867494</v>
          </cell>
          <cell r="S23">
            <v>27.249223557936549</v>
          </cell>
          <cell r="T23">
            <v>26.908586071681711</v>
          </cell>
          <cell r="U23">
            <v>26.807291493940234</v>
          </cell>
          <cell r="CJ23" t="str">
            <v>ATProduction costCIMS.CAN.AT.Electricity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36.166855169149528</v>
          </cell>
          <cell r="P29">
            <v>37.221894155047671</v>
          </cell>
          <cell r="Q29">
            <v>37.5330184558497</v>
          </cell>
          <cell r="R29">
            <v>37.818274003561577</v>
          </cell>
          <cell r="S29">
            <v>38.418258037544199</v>
          </cell>
          <cell r="T29">
            <v>39.283810489794796</v>
          </cell>
          <cell r="U29">
            <v>39.967843739278585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35.448309781638017</v>
          </cell>
          <cell r="P30">
            <v>36.947298757582587</v>
          </cell>
          <cell r="Q30">
            <v>38.087932137103842</v>
          </cell>
          <cell r="R30">
            <v>39.363095233852341</v>
          </cell>
          <cell r="S30">
            <v>40.518504346697462</v>
          </cell>
          <cell r="T30">
            <v>41.459466101144059</v>
          </cell>
          <cell r="U30">
            <v>41.998949994022013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51.546195165764125</v>
          </cell>
          <cell r="P31">
            <v>57.841528578145088</v>
          </cell>
          <cell r="Q31">
            <v>54.311792282370774</v>
          </cell>
          <cell r="R31">
            <v>53.832418273365136</v>
          </cell>
          <cell r="S31">
            <v>54.07436451056396</v>
          </cell>
          <cell r="T31">
            <v>54.353474490953772</v>
          </cell>
          <cell r="U31">
            <v>54.65159461608166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59.463733536956262</v>
          </cell>
          <cell r="P32">
            <v>61.850046638985297</v>
          </cell>
          <cell r="Q32">
            <v>62.670512003659283</v>
          </cell>
          <cell r="R32">
            <v>63.429742204962274</v>
          </cell>
          <cell r="S32">
            <v>65.467409252282906</v>
          </cell>
          <cell r="T32">
            <v>68.046080092652787</v>
          </cell>
          <cell r="U32">
            <v>69.199842817474106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31.682631192071813</v>
          </cell>
          <cell r="P33">
            <v>33.59826410989848</v>
          </cell>
          <cell r="Q33">
            <v>34.305414050916283</v>
          </cell>
          <cell r="R33">
            <v>34.903668842587209</v>
          </cell>
          <cell r="S33">
            <v>35.060951240056234</v>
          </cell>
          <cell r="T33">
            <v>35.326228604701335</v>
          </cell>
          <cell r="U33">
            <v>35.829043757482026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42.044557327347505</v>
          </cell>
          <cell r="P34">
            <v>39.795716931505822</v>
          </cell>
          <cell r="Q34">
            <v>38.470560634952811</v>
          </cell>
          <cell r="R34">
            <v>36.621429023365302</v>
          </cell>
          <cell r="S34">
            <v>35.847364648726227</v>
          </cell>
          <cell r="T34">
            <v>35.772273720471041</v>
          </cell>
          <cell r="U34">
            <v>35.809739876560201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26.460339859682428</v>
          </cell>
          <cell r="P35">
            <v>27.865275940788738</v>
          </cell>
          <cell r="Q35">
            <v>28.675822843202145</v>
          </cell>
          <cell r="R35">
            <v>29.581821064906372</v>
          </cell>
          <cell r="S35">
            <v>30.50039321829173</v>
          </cell>
          <cell r="T35">
            <v>31.504531467617173</v>
          </cell>
          <cell r="U35">
            <v>32.198011723894993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47.04024519561537</v>
          </cell>
          <cell r="P36">
            <v>49.045280090205594</v>
          </cell>
          <cell r="Q36">
            <v>49.704992362061759</v>
          </cell>
          <cell r="R36">
            <v>48.434826247175806</v>
          </cell>
          <cell r="S36">
            <v>46.079140909571159</v>
          </cell>
          <cell r="T36">
            <v>45.800988691994696</v>
          </cell>
          <cell r="U36">
            <v>46.692414901764842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52.550716224533183</v>
          </cell>
          <cell r="P37">
            <v>56.190779997538939</v>
          </cell>
          <cell r="Q37">
            <v>56.463951487538544</v>
          </cell>
          <cell r="R37">
            <v>55.889181993411121</v>
          </cell>
          <cell r="S37">
            <v>55.770370243364937</v>
          </cell>
          <cell r="T37">
            <v>56.462342245309223</v>
          </cell>
          <cell r="U37">
            <v>57.024053784320969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59.058200001351516</v>
          </cell>
          <cell r="P38">
            <v>60.670664813414888</v>
          </cell>
          <cell r="Q38">
            <v>60.424397505297023</v>
          </cell>
          <cell r="R38">
            <v>61.44682654783562</v>
          </cell>
          <cell r="S38">
            <v>61.248934158242243</v>
          </cell>
          <cell r="T38">
            <v>57.319072836923567</v>
          </cell>
          <cell r="U38">
            <v>54.332696814152087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47.745461199644978</v>
          </cell>
          <cell r="P39">
            <v>51.804622388952247</v>
          </cell>
          <cell r="Q39">
            <v>53.198522832676844</v>
          </cell>
          <cell r="R39">
            <v>54.532106974319539</v>
          </cell>
          <cell r="S39">
            <v>55.722667149337347</v>
          </cell>
          <cell r="T39">
            <v>56.893244502398346</v>
          </cell>
          <cell r="U39">
            <v>57.712250931333109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56.136171029419437</v>
          </cell>
          <cell r="P40">
            <v>63.917835460512691</v>
          </cell>
          <cell r="Q40">
            <v>69.037318828590287</v>
          </cell>
          <cell r="R40">
            <v>75.081593775963725</v>
          </cell>
          <cell r="S40">
            <v>80.0972127429675</v>
          </cell>
          <cell r="T40">
            <v>83.529647822688261</v>
          </cell>
          <cell r="U40">
            <v>84.949424534765527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57.279589737134337</v>
          </cell>
          <cell r="P41">
            <v>59.040533268011153</v>
          </cell>
          <cell r="Q41">
            <v>59.35839105740321</v>
          </cell>
          <cell r="R41">
            <v>60.002939076989364</v>
          </cell>
          <cell r="S41">
            <v>60.547904851949738</v>
          </cell>
          <cell r="T41">
            <v>61.355933032915786</v>
          </cell>
          <cell r="U41">
            <v>61.88328522318902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57.535642579463612</v>
          </cell>
          <cell r="P42">
            <v>59.741248438936978</v>
          </cell>
          <cell r="Q42">
            <v>60.73245445679045</v>
          </cell>
          <cell r="R42">
            <v>64.259223331113517</v>
          </cell>
          <cell r="S42">
            <v>70.951300953077975</v>
          </cell>
          <cell r="T42">
            <v>77.067485225829103</v>
          </cell>
          <cell r="U42">
            <v>78.938378440235908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51.598655655286258</v>
          </cell>
          <cell r="P43">
            <v>54.427836822527915</v>
          </cell>
          <cell r="Q43">
            <v>54.947966046893548</v>
          </cell>
          <cell r="R43">
            <v>55.07573544068552</v>
          </cell>
          <cell r="S43">
            <v>54.70527811512892</v>
          </cell>
          <cell r="T43">
            <v>54.118912069156458</v>
          </cell>
          <cell r="U43">
            <v>53.940354107892752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56.983801115339134</v>
          </cell>
          <cell r="P44">
            <v>60.899872389153607</v>
          </cell>
          <cell r="Q44">
            <v>63.042721447594637</v>
          </cell>
          <cell r="R44">
            <v>66.447918728022202</v>
          </cell>
          <cell r="S44">
            <v>70.532139515998395</v>
          </cell>
          <cell r="T44">
            <v>73.984355360477721</v>
          </cell>
          <cell r="U44">
            <v>75.257029399396814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9.8713837563249225</v>
          </cell>
          <cell r="P45">
            <v>10.4150469917892</v>
          </cell>
          <cell r="Q45">
            <v>11.900180568627182</v>
          </cell>
          <cell r="R45">
            <v>13.679546803316965</v>
          </cell>
          <cell r="S45">
            <v>15.850608482418814</v>
          </cell>
          <cell r="T45">
            <v>17.74032189903027</v>
          </cell>
          <cell r="U45">
            <v>18.627782344838618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12.28856501953689</v>
          </cell>
          <cell r="P46">
            <v>12.833756623953372</v>
          </cell>
          <cell r="Q46">
            <v>13.773099644899201</v>
          </cell>
          <cell r="R46">
            <v>15.105047347928746</v>
          </cell>
          <cell r="S46">
            <v>17.322353641071366</v>
          </cell>
          <cell r="T46">
            <v>19.41255396628511</v>
          </cell>
          <cell r="U46">
            <v>20.286311817389855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6.7750279027778015</v>
          </cell>
          <cell r="P47">
            <v>7.4569582385818389</v>
          </cell>
          <cell r="Q47">
            <v>9.2408046365540066</v>
          </cell>
          <cell r="R47">
            <v>11.131097987246658</v>
          </cell>
          <cell r="S47">
            <v>13.216268070736685</v>
          </cell>
          <cell r="T47">
            <v>15.403928203011855</v>
          </cell>
          <cell r="U47">
            <v>16.515583749679923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9.5465146881850416</v>
          </cell>
          <cell r="P48">
            <v>10.556213598155402</v>
          </cell>
          <cell r="Q48">
            <v>12.114068208283921</v>
          </cell>
          <cell r="R48">
            <v>13.947511231136851</v>
          </cell>
          <cell r="S48">
            <v>16.243111420191845</v>
          </cell>
          <cell r="T48">
            <v>18.129062241576332</v>
          </cell>
          <cell r="U48">
            <v>18.751383803192155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9.1798489155703926</v>
          </cell>
          <cell r="P49">
            <v>9.8479088506098442</v>
          </cell>
          <cell r="Q49">
            <v>11.486203105935036</v>
          </cell>
          <cell r="R49">
            <v>13.394682970845285</v>
          </cell>
          <cell r="S49">
            <v>16.053500132996795</v>
          </cell>
          <cell r="T49">
            <v>18.841759909843901</v>
          </cell>
          <cell r="U49">
            <v>20.151290254816363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10.639430197696221</v>
          </cell>
          <cell r="P50">
            <v>11.294706259354895</v>
          </cell>
          <cell r="Q50">
            <v>12.924374662332433</v>
          </cell>
          <cell r="R50">
            <v>14.846205783764841</v>
          </cell>
          <cell r="S50">
            <v>17.07112927545014</v>
          </cell>
          <cell r="T50">
            <v>18.816786678854459</v>
          </cell>
          <cell r="U50">
            <v>19.652252111364266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14.130037049458091</v>
          </cell>
          <cell r="P51">
            <v>14.342653280794496</v>
          </cell>
          <cell r="Q51">
            <v>16.216265257068663</v>
          </cell>
          <cell r="R51">
            <v>17.978913352844337</v>
          </cell>
          <cell r="S51">
            <v>20.263657826420751</v>
          </cell>
          <cell r="T51">
            <v>22.17843290641062</v>
          </cell>
          <cell r="U51">
            <v>22.790531297840506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15.768181404399519</v>
          </cell>
          <cell r="P52">
            <v>17.227117777173547</v>
          </cell>
          <cell r="Q52">
            <v>18.808896906189744</v>
          </cell>
          <cell r="R52">
            <v>20.684030217121652</v>
          </cell>
          <cell r="S52">
            <v>23.318304256357123</v>
          </cell>
          <cell r="T52">
            <v>26.085428071213705</v>
          </cell>
          <cell r="U52">
            <v>27.382017313955917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24.184584185510325</v>
          </cell>
          <cell r="P53">
            <v>25.363208713815222</v>
          </cell>
          <cell r="Q53">
            <v>26.911696142000952</v>
          </cell>
          <cell r="R53">
            <v>28.733646239682557</v>
          </cell>
          <cell r="S53">
            <v>31.335285529478661</v>
          </cell>
          <cell r="T53">
            <v>34.080424597181363</v>
          </cell>
          <cell r="U53">
            <v>35.30673529350652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12.235832732678308</v>
          </cell>
          <cell r="P54">
            <v>10.664516621976659</v>
          </cell>
          <cell r="Q54">
            <v>8.5943406958761592</v>
          </cell>
          <cell r="R54">
            <v>6.1137198728860245</v>
          </cell>
          <cell r="S54">
            <v>4.2144319108640147</v>
          </cell>
          <cell r="T54">
            <v>2.1241761197182107</v>
          </cell>
          <cell r="U54">
            <v>0.41574624529144621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12.756364540844777</v>
          </cell>
          <cell r="P55">
            <v>11.19668187718583</v>
          </cell>
          <cell r="Q55">
            <v>9.1073590771883843</v>
          </cell>
          <cell r="R55">
            <v>6.6144596337197079</v>
          </cell>
          <cell r="S55">
            <v>4.7014360102108892</v>
          </cell>
          <cell r="T55">
            <v>2.5958585083203349</v>
          </cell>
          <cell r="U55">
            <v>0.87740595834551804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8.4415782652229154</v>
          </cell>
          <cell r="P56">
            <v>7.1645933669703581</v>
          </cell>
          <cell r="Q56">
            <v>5.1391074102272727</v>
          </cell>
          <cell r="R56">
            <v>2.6934556038299693</v>
          </cell>
          <cell r="S56">
            <v>0.82584238325492443</v>
          </cell>
          <cell r="T56">
            <v>-1.2331582663575809</v>
          </cell>
          <cell r="U56">
            <v>-2.9224107725877282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12.108744499981135</v>
          </cell>
          <cell r="P57">
            <v>14.630820907507941</v>
          </cell>
          <cell r="Q57">
            <v>17.538867545376132</v>
          </cell>
          <cell r="R57">
            <v>21.005313359090607</v>
          </cell>
          <cell r="S57">
            <v>25.252237336681482</v>
          </cell>
          <cell r="T57">
            <v>29.435653744433914</v>
          </cell>
          <cell r="U57">
            <v>31.315307298171593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8.5232289297073347</v>
          </cell>
          <cell r="P58">
            <v>7.2511923682528057</v>
          </cell>
          <cell r="Q58">
            <v>5.2219213883171447</v>
          </cell>
          <cell r="R58">
            <v>2.7738942854503037</v>
          </cell>
          <cell r="S58">
            <v>0.90356257676005569</v>
          </cell>
          <cell r="T58">
            <v>-1.1585040527715051</v>
          </cell>
          <cell r="U58">
            <v>-2.8497726131978673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16.23624071585823</v>
          </cell>
          <cell r="P59">
            <v>16.112881247537814</v>
          </cell>
          <cell r="Q59">
            <v>15.855573205313808</v>
          </cell>
          <cell r="R59">
            <v>15.536463990852486</v>
          </cell>
          <cell r="S59">
            <v>15.892364426727672</v>
          </cell>
          <cell r="T59">
            <v>16.221471824108402</v>
          </cell>
          <cell r="U59">
            <v>15.995476202774849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9.6911838983037963</v>
          </cell>
          <cell r="P60">
            <v>9.6822022142437003</v>
          </cell>
          <cell r="Q60">
            <v>9.2999654479735163</v>
          </cell>
          <cell r="R60">
            <v>8.8242210827902934</v>
          </cell>
          <cell r="S60">
            <v>8.9938807655654873</v>
          </cell>
          <cell r="T60">
            <v>9.0146638084349426</v>
          </cell>
          <cell r="U60">
            <v>8.5143746374619997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32.502977420740287</v>
          </cell>
          <cell r="P61">
            <v>33.730276755484162</v>
          </cell>
          <cell r="Q61">
            <v>33.494646799187336</v>
          </cell>
          <cell r="R61">
            <v>35.26796432472657</v>
          </cell>
          <cell r="S61">
            <v>39.174620689917361</v>
          </cell>
          <cell r="T61">
            <v>43.520500538062926</v>
          </cell>
          <cell r="U61">
            <v>45.589226890496064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36.31996362189269</v>
          </cell>
          <cell r="P62">
            <v>37.634928297877714</v>
          </cell>
          <cell r="Q62">
            <v>37.79616325896172</v>
          </cell>
          <cell r="R62">
            <v>39.968005826439764</v>
          </cell>
          <cell r="S62">
            <v>43.695401110768756</v>
          </cell>
          <cell r="T62">
            <v>46.667460241923429</v>
          </cell>
          <cell r="U62">
            <v>47.329965628320956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29.172787388345597</v>
          </cell>
          <cell r="P63">
            <v>29.168297984428012</v>
          </cell>
          <cell r="Q63">
            <v>28.86321007027118</v>
          </cell>
          <cell r="R63">
            <v>29.749277872017039</v>
          </cell>
          <cell r="S63">
            <v>31.151711175486771</v>
          </cell>
          <cell r="T63">
            <v>30.587939564836191</v>
          </cell>
          <cell r="U63">
            <v>28.720267724593228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31.086258520448659</v>
          </cell>
          <cell r="P64">
            <v>32.252299958897652</v>
          </cell>
          <cell r="Q64">
            <v>32.535847399247693</v>
          </cell>
          <cell r="R64">
            <v>35.095461835957508</v>
          </cell>
          <cell r="S64">
            <v>39.800180035272675</v>
          </cell>
          <cell r="T64">
            <v>44.975994205469071</v>
          </cell>
          <cell r="U64">
            <v>47.632125138497123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31.56249352119822</v>
          </cell>
          <cell r="P65">
            <v>32.833203082824284</v>
          </cell>
          <cell r="Q65">
            <v>33.172878332926125</v>
          </cell>
          <cell r="R65">
            <v>35.774948999042103</v>
          </cell>
          <cell r="S65">
            <v>40.514002574522095</v>
          </cell>
          <cell r="T65">
            <v>45.719091725105329</v>
          </cell>
          <cell r="U65">
            <v>48.387941918141202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37.552509147006383</v>
          </cell>
          <cell r="P66">
            <v>39.440054035800991</v>
          </cell>
          <cell r="Q66">
            <v>39.764551646038015</v>
          </cell>
          <cell r="R66">
            <v>42.429795700452559</v>
          </cell>
          <cell r="S66">
            <v>47.324821842834069</v>
          </cell>
          <cell r="T66">
            <v>52.831993128998164</v>
          </cell>
          <cell r="U66">
            <v>55.764454796763353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31.94639953808629</v>
          </cell>
          <cell r="P67">
            <v>33.468989893880519</v>
          </cell>
          <cell r="Q67">
            <v>34.36197607081364</v>
          </cell>
          <cell r="R67">
            <v>36.940564467776184</v>
          </cell>
          <cell r="S67">
            <v>41.797924580844182</v>
          </cell>
          <cell r="T67">
            <v>47.25196449023521</v>
          </cell>
          <cell r="U67">
            <v>50.147191844374127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33.309195430969332</v>
          </cell>
          <cell r="P68">
            <v>35.403932112595186</v>
          </cell>
          <cell r="Q68">
            <v>35.685354055905307</v>
          </cell>
          <cell r="R68">
            <v>38.317253749424118</v>
          </cell>
          <cell r="S68">
            <v>43.174103801240975</v>
          </cell>
          <cell r="T68">
            <v>48.631080314503066</v>
          </cell>
          <cell r="U68">
            <v>51.529431665481603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30.407153702337737</v>
          </cell>
          <cell r="P69">
            <v>33.141189074337731</v>
          </cell>
          <cell r="Q69">
            <v>33.654848650053012</v>
          </cell>
          <cell r="R69">
            <v>36.328504523089464</v>
          </cell>
          <cell r="S69">
            <v>41.158473635317605</v>
          </cell>
          <cell r="T69">
            <v>46.598959025093237</v>
          </cell>
          <cell r="U69">
            <v>49.493479705154748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27.496381157397476</v>
          </cell>
          <cell r="P70">
            <v>29.537892530410875</v>
          </cell>
          <cell r="Q70">
            <v>30.005546276618084</v>
          </cell>
          <cell r="R70">
            <v>32.565096321527086</v>
          </cell>
          <cell r="S70">
            <v>37.248609371599827</v>
          </cell>
          <cell r="T70">
            <v>42.52132979074819</v>
          </cell>
          <cell r="U70">
            <v>45.308044769718123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26.605657666897475</v>
          </cell>
          <cell r="P71">
            <v>24.529558948623979</v>
          </cell>
          <cell r="Q71">
            <v>19.257378445246083</v>
          </cell>
          <cell r="R71">
            <v>15.128455535877089</v>
          </cell>
          <cell r="S71">
            <v>12.679455497685506</v>
          </cell>
          <cell r="T71">
            <v>9.844392612097371</v>
          </cell>
          <cell r="U71">
            <v>7.4041743815984482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31.628924981465325</v>
          </cell>
          <cell r="P72">
            <v>29.145228483178851</v>
          </cell>
          <cell r="Q72">
            <v>24.077881139810017</v>
          </cell>
          <cell r="R72">
            <v>19.976758641509612</v>
          </cell>
          <cell r="S72">
            <v>17.50489552703996</v>
          </cell>
          <cell r="T72">
            <v>14.667671366445125</v>
          </cell>
          <cell r="U72">
            <v>12.235296458019256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28.643234590478638</v>
          </cell>
          <cell r="P73">
            <v>25.253114501150552</v>
          </cell>
          <cell r="Q73">
            <v>20.191151828644784</v>
          </cell>
          <cell r="R73">
            <v>16.110396078038903</v>
          </cell>
          <cell r="S73">
            <v>13.656571939454455</v>
          </cell>
          <cell r="T73">
            <v>10.83230423013317</v>
          </cell>
          <cell r="U73">
            <v>8.4060042768978604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28.643234590478638</v>
          </cell>
          <cell r="P74">
            <v>25.253114501150552</v>
          </cell>
          <cell r="Q74">
            <v>20.191151828644784</v>
          </cell>
          <cell r="R74">
            <v>16.110396078038903</v>
          </cell>
          <cell r="S74">
            <v>13.656571939454455</v>
          </cell>
          <cell r="T74">
            <v>10.83230423013317</v>
          </cell>
          <cell r="U74">
            <v>8.4060042768978604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29.454596989400503</v>
          </cell>
          <cell r="P75">
            <v>30.653143166491944</v>
          </cell>
          <cell r="Q75">
            <v>29.650781856955618</v>
          </cell>
          <cell r="R75">
            <v>30.584827532479437</v>
          </cell>
          <cell r="S75">
            <v>33.565160576460976</v>
          </cell>
          <cell r="T75">
            <v>36.89894043561047</v>
          </cell>
          <cell r="U75">
            <v>38.433782630488231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29.638464720807534</v>
          </cell>
          <cell r="P76">
            <v>26.550485828493319</v>
          </cell>
          <cell r="Q76">
            <v>21.486728265699863</v>
          </cell>
          <cell r="R76">
            <v>17.399183599195805</v>
          </cell>
          <cell r="S76">
            <v>14.939346468649623</v>
          </cell>
          <cell r="T76">
            <v>12.110759942237154</v>
          </cell>
          <cell r="U76">
            <v>9.6824350039383251</v>
          </cell>
          <cell r="CJ76" t="str">
            <v>TRResidentialCIMS.Generic Fuels.Fuel Oil</v>
          </cell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35.30547371814653</v>
          </cell>
          <cell r="P79">
            <v>36.43541381862277</v>
          </cell>
          <cell r="Q79">
            <v>36.155056096666208</v>
          </cell>
          <cell r="R79">
            <v>35.972657400726135</v>
          </cell>
          <cell r="S79">
            <v>36.251733591240985</v>
          </cell>
          <cell r="T79">
            <v>36.789073340302551</v>
          </cell>
          <cell r="U79">
            <v>37.18693436285325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26.733199531704681</v>
          </cell>
          <cell r="P80">
            <v>27.395904765378106</v>
          </cell>
          <cell r="Q80">
            <v>28.5770950856238</v>
          </cell>
          <cell r="R80">
            <v>29.848167257830511</v>
          </cell>
          <cell r="S80">
            <v>30.979452958640653</v>
          </cell>
          <cell r="T80">
            <v>31.903808475185581</v>
          </cell>
          <cell r="U80">
            <v>32.433832273000128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45.134822270661033</v>
          </cell>
          <cell r="P81">
            <v>52.535582790876397</v>
          </cell>
          <cell r="Q81">
            <v>49.316783827722439</v>
          </cell>
          <cell r="R81">
            <v>48.877953415007113</v>
          </cell>
          <cell r="S81">
            <v>49.118039124224978</v>
          </cell>
          <cell r="T81">
            <v>49.392679954532632</v>
          </cell>
          <cell r="U81">
            <v>49.681683780745139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40.831931019770444</v>
          </cell>
          <cell r="P82">
            <v>42.690071750554708</v>
          </cell>
          <cell r="Q82">
            <v>43.582578082314257</v>
          </cell>
          <cell r="R82">
            <v>44.346646379569663</v>
          </cell>
          <cell r="S82">
            <v>46.206564585052767</v>
          </cell>
          <cell r="T82">
            <v>48.543118819367315</v>
          </cell>
          <cell r="U82">
            <v>49.594236053378097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22.913216889043174</v>
          </cell>
          <cell r="P83">
            <v>24.413252042063814</v>
          </cell>
          <cell r="Q83">
            <v>25.182537863770921</v>
          </cell>
          <cell r="R83">
            <v>25.793006320118209</v>
          </cell>
          <cell r="S83">
            <v>25.967867841135813</v>
          </cell>
          <cell r="T83">
            <v>26.241334502643525</v>
          </cell>
          <cell r="U83">
            <v>26.726261155588503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41.981279010722616</v>
          </cell>
          <cell r="P84">
            <v>41.008441860255793</v>
          </cell>
          <cell r="Q84">
            <v>39.708550275439457</v>
          </cell>
          <cell r="R84">
            <v>37.924883445870243</v>
          </cell>
          <cell r="S84">
            <v>37.175354364043834</v>
          </cell>
          <cell r="T84">
            <v>37.092592483930723</v>
          </cell>
          <cell r="U84">
            <v>37.121802955566878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25.483518111409261</v>
          </cell>
          <cell r="P85">
            <v>26.671689310305439</v>
          </cell>
          <cell r="Q85">
            <v>27.339017972616976</v>
          </cell>
          <cell r="R85">
            <v>28.109371850445303</v>
          </cell>
          <cell r="S85">
            <v>28.898679837897948</v>
          </cell>
          <cell r="T85">
            <v>29.763246573790571</v>
          </cell>
          <cell r="U85">
            <v>30.361347584469605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37.316322922069247</v>
          </cell>
          <cell r="P86">
            <v>38.926777253042616</v>
          </cell>
          <cell r="Q86">
            <v>39.549822663011078</v>
          </cell>
          <cell r="R86">
            <v>38.472347257004564</v>
          </cell>
          <cell r="S86">
            <v>36.438665471142805</v>
          </cell>
          <cell r="T86">
            <v>36.210246757976805</v>
          </cell>
          <cell r="U86">
            <v>36.993141006011918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42.863802717677899</v>
          </cell>
          <cell r="P87">
            <v>45.866525936459063</v>
          </cell>
          <cell r="Q87">
            <v>46.212023414937043</v>
          </cell>
          <cell r="R87">
            <v>45.720257845427206</v>
          </cell>
          <cell r="S87">
            <v>45.637453452950666</v>
          </cell>
          <cell r="T87">
            <v>46.32416875862252</v>
          </cell>
          <cell r="U87">
            <v>46.875066380648043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45.479394682615244</v>
          </cell>
          <cell r="P88">
            <v>46.687951139626605</v>
          </cell>
          <cell r="Q88">
            <v>46.560726263565257</v>
          </cell>
          <cell r="R88">
            <v>47.493809077041291</v>
          </cell>
          <cell r="S88">
            <v>47.345738912105404</v>
          </cell>
          <cell r="T88">
            <v>43.950384981441857</v>
          </cell>
          <cell r="U88">
            <v>41.366158108777888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30.668601982805143</v>
          </cell>
          <cell r="P89">
            <v>33.720771880587989</v>
          </cell>
          <cell r="Q89">
            <v>35.059028390399689</v>
          </cell>
          <cell r="R89">
            <v>36.301072560351002</v>
          </cell>
          <cell r="S89">
            <v>37.381303202025698</v>
          </cell>
          <cell r="T89">
            <v>38.440230823022901</v>
          </cell>
          <cell r="U89">
            <v>39.176016285698765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41.806505171875486</v>
          </cell>
          <cell r="P90">
            <v>47.652165100076409</v>
          </cell>
          <cell r="Q90">
            <v>52.700449890321693</v>
          </cell>
          <cell r="R90">
            <v>58.552893718400107</v>
          </cell>
          <cell r="S90">
            <v>63.382042301815204</v>
          </cell>
          <cell r="T90">
            <v>66.698835768234218</v>
          </cell>
          <cell r="U90">
            <v>68.078510541663348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42.675346437110569</v>
          </cell>
          <cell r="P91">
            <v>43.575615972325828</v>
          </cell>
          <cell r="Q91">
            <v>44.032396621368399</v>
          </cell>
          <cell r="R91">
            <v>44.738209810344244</v>
          </cell>
          <cell r="S91">
            <v>45.307393086489782</v>
          </cell>
          <cell r="T91">
            <v>46.122732024081124</v>
          </cell>
          <cell r="U91">
            <v>46.651320945471852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42.918304012050058</v>
          </cell>
          <cell r="P92">
            <v>44.228899835433651</v>
          </cell>
          <cell r="Q92">
            <v>45.341004155476533</v>
          </cell>
          <cell r="R92">
            <v>48.791783004648792</v>
          </cell>
          <cell r="S92">
            <v>55.21535641333675</v>
          </cell>
          <cell r="T92">
            <v>61.086073093951818</v>
          </cell>
          <cell r="U92">
            <v>62.894213148735503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39.082030576291885</v>
          </cell>
          <cell r="P93">
            <v>41.300506552429063</v>
          </cell>
          <cell r="Q93">
            <v>41.845400182978267</v>
          </cell>
          <cell r="R93">
            <v>41.996871684956012</v>
          </cell>
          <cell r="S93">
            <v>41.700790259556136</v>
          </cell>
          <cell r="T93">
            <v>41.231257830266017</v>
          </cell>
          <cell r="U93">
            <v>41.102595445284152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42.466718540345376</v>
          </cell>
          <cell r="P94">
            <v>45.152226969278637</v>
          </cell>
          <cell r="Q94">
            <v>47.357950222388872</v>
          </cell>
          <cell r="R94">
            <v>50.694295511131052</v>
          </cell>
          <cell r="S94">
            <v>54.63493060054725</v>
          </cell>
          <cell r="T94">
            <v>57.969213628755718</v>
          </cell>
          <cell r="U94">
            <v>59.208014878623565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6.8762289890963197</v>
          </cell>
          <cell r="P95">
            <v>7.4747004173680747</v>
          </cell>
          <cell r="Q95">
            <v>9.1286775443455586</v>
          </cell>
          <cell r="R95">
            <v>11.047944219141399</v>
          </cell>
          <cell r="S95">
            <v>13.579437261282534</v>
          </cell>
          <cell r="T95">
            <v>15.807234738247738</v>
          </cell>
          <cell r="U95">
            <v>16.596143211151233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9.7363803356166905</v>
          </cell>
          <cell r="P96">
            <v>10.199439175204006</v>
          </cell>
          <cell r="Q96">
            <v>11.174718875118757</v>
          </cell>
          <cell r="R96">
            <v>12.534211119138302</v>
          </cell>
          <cell r="S96">
            <v>15.021105397180481</v>
          </cell>
          <cell r="T96">
            <v>17.48481848340246</v>
          </cell>
          <cell r="U96">
            <v>18.471210072263247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4.1167978678808046</v>
          </cell>
          <cell r="P97">
            <v>4.8984870664388289</v>
          </cell>
          <cell r="Q97">
            <v>6.7178246215080941</v>
          </cell>
          <cell r="R97">
            <v>8.7882359203092868</v>
          </cell>
          <cell r="S97">
            <v>11.181564933877048</v>
          </cell>
          <cell r="T97">
            <v>13.235120078550761</v>
          </cell>
          <cell r="U97">
            <v>14.138909705373802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6.8034989811794579</v>
          </cell>
          <cell r="P98">
            <v>7.6217140575834197</v>
          </cell>
          <cell r="Q98">
            <v>9.2400459163285831</v>
          </cell>
          <cell r="R98">
            <v>11.115721402714872</v>
          </cell>
          <cell r="S98">
            <v>13.687390214316</v>
          </cell>
          <cell r="T98">
            <v>16.01013169222874</v>
          </cell>
          <cell r="U98">
            <v>16.75291718401138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6.7543206989174491</v>
          </cell>
          <cell r="P99">
            <v>7.2371286478695467</v>
          </cell>
          <cell r="Q99">
            <v>8.9095109577047431</v>
          </cell>
          <cell r="R99">
            <v>10.8445857540598</v>
          </cell>
          <cell r="S99">
            <v>13.527399080182871</v>
          </cell>
          <cell r="T99">
            <v>16.339007883592764</v>
          </cell>
          <cell r="U99">
            <v>17.662651423820233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7.1000180550982686</v>
          </cell>
          <cell r="P100">
            <v>7.5567162030363093</v>
          </cell>
          <cell r="Q100">
            <v>9.2592194411278648</v>
          </cell>
          <cell r="R100">
            <v>11.232555267937141</v>
          </cell>
          <cell r="S100">
            <v>13.929539452565351</v>
          </cell>
          <cell r="T100">
            <v>16.263152401281037</v>
          </cell>
          <cell r="U100">
            <v>16.954093675744222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11.042111056350159</v>
          </cell>
          <cell r="P101">
            <v>11.230826099845977</v>
          </cell>
          <cell r="Q101">
            <v>13.18035279133306</v>
          </cell>
          <cell r="R101">
            <v>15.014243986041755</v>
          </cell>
          <cell r="S101">
            <v>17.446192543246063</v>
          </cell>
          <cell r="T101">
            <v>19.465295630669178</v>
          </cell>
          <cell r="U101">
            <v>20.123714877706146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11.633791804778051</v>
          </cell>
          <cell r="P102">
            <v>12.469165686484518</v>
          </cell>
          <cell r="Q102">
            <v>14.13678680278278</v>
          </cell>
          <cell r="R102">
            <v>16.072101089493053</v>
          </cell>
          <cell r="S102">
            <v>18.763881227658025</v>
          </cell>
          <cell r="T102">
            <v>21.587167764447944</v>
          </cell>
          <cell r="U102">
            <v>22.917412427886259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14.937734747725399</v>
          </cell>
          <cell r="P103">
            <v>16.002677718295793</v>
          </cell>
          <cell r="Q103">
            <v>17.63187530896036</v>
          </cell>
          <cell r="R103">
            <v>19.526136756862332</v>
          </cell>
          <cell r="S103">
            <v>22.185473625454655</v>
          </cell>
          <cell r="T103">
            <v>24.98273995551547</v>
          </cell>
          <cell r="U103">
            <v>26.300284450485034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8.2858811320203998</v>
          </cell>
          <cell r="P104">
            <v>6.1370276183565036</v>
          </cell>
          <cell r="Q104">
            <v>4.1504378465583391</v>
          </cell>
          <cell r="R104">
            <v>1.7295806978984345</v>
          </cell>
          <cell r="S104">
            <v>-0.11012305484556073</v>
          </cell>
          <cell r="T104">
            <v>-2.1378919965923746</v>
          </cell>
          <cell r="U104">
            <v>-3.8066830098260471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8.6563886273488286</v>
          </cell>
          <cell r="P105">
            <v>6.4972329370092972</v>
          </cell>
          <cell r="Q105">
            <v>4.4946710024574523</v>
          </cell>
          <cell r="R105">
            <v>2.0638051356065645</v>
          </cell>
          <cell r="S105">
            <v>0.21262880734659717</v>
          </cell>
          <cell r="T105">
            <v>-1.8280885131170681</v>
          </cell>
          <cell r="U105">
            <v>-3.5053966662585125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5.9257745861028566</v>
          </cell>
          <cell r="P106">
            <v>4.5583119679484749</v>
          </cell>
          <cell r="Q106">
            <v>2.5686110116364107</v>
          </cell>
          <cell r="R106">
            <v>0.15041090628812626</v>
          </cell>
          <cell r="S106">
            <v>-1.6918077046466902</v>
          </cell>
          <cell r="T106">
            <v>-3.7253897343303253</v>
          </cell>
          <cell r="U106">
            <v>-5.3989196952121707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8.5908573655724325</v>
          </cell>
          <cell r="P107">
            <v>9.5894166240397514</v>
          </cell>
          <cell r="Q107">
            <v>9.5045728916895378</v>
          </cell>
          <cell r="R107">
            <v>7.9188985157643579</v>
          </cell>
          <cell r="S107">
            <v>5.8153315860321815</v>
          </cell>
          <cell r="T107">
            <v>2.6614643776407476</v>
          </cell>
          <cell r="U107">
            <v>0.20227207152949944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5.9866984431704671</v>
          </cell>
          <cell r="P108">
            <v>4.6234387482146797</v>
          </cell>
          <cell r="Q108">
            <v>2.6302475885397856</v>
          </cell>
          <cell r="R108">
            <v>0.20989835147624003</v>
          </cell>
          <cell r="S108">
            <v>-1.6348295304604514</v>
          </cell>
          <cell r="T108">
            <v>-3.6712681251376278</v>
          </cell>
          <cell r="U108">
            <v>-5.346684607783474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10.87844907796817</v>
          </cell>
          <cell r="P109">
            <v>10.276525990036529</v>
          </cell>
          <cell r="Q109">
            <v>10.103442740189733</v>
          </cell>
          <cell r="R109">
            <v>9.8479059199650969</v>
          </cell>
          <cell r="S109">
            <v>10.26296515140343</v>
          </cell>
          <cell r="T109">
            <v>10.650981802563493</v>
          </cell>
          <cell r="U109">
            <v>10.476404300571684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6.8344434649485857</v>
          </cell>
          <cell r="P110">
            <v>6.2570557800676356</v>
          </cell>
          <cell r="Q110">
            <v>4.9011438306219111</v>
          </cell>
          <cell r="R110">
            <v>2.7597359245095752</v>
          </cell>
          <cell r="S110">
            <v>0.82956478364167996</v>
          </cell>
          <cell r="T110">
            <v>-1.5783978272757351</v>
          </cell>
          <cell r="U110">
            <v>-3.5144440771553818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29.424110066572851</v>
          </cell>
          <cell r="P111">
            <v>29.917537657378247</v>
          </cell>
          <cell r="Q111">
            <v>29.545567579222617</v>
          </cell>
          <cell r="R111">
            <v>29.927013235159514</v>
          </cell>
          <cell r="S111">
            <v>29.923939562476935</v>
          </cell>
          <cell r="T111">
            <v>26.744862729706412</v>
          </cell>
          <cell r="U111">
            <v>22.958280584465822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31.583127891957886</v>
          </cell>
          <cell r="P112">
            <v>28.529270863019118</v>
          </cell>
          <cell r="Q112">
            <v>23.115010086164965</v>
          </cell>
          <cell r="R112">
            <v>19.016843762085443</v>
          </cell>
          <cell r="S112">
            <v>16.533822956517444</v>
          </cell>
          <cell r="T112">
            <v>13.699789469020088</v>
          </cell>
          <cell r="U112">
            <v>11.274444096635722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28.005323138416166</v>
          </cell>
          <cell r="P113">
            <v>28.094664383848073</v>
          </cell>
          <cell r="Q113">
            <v>27.908926737324904</v>
          </cell>
          <cell r="R113">
            <v>27.804234541979831</v>
          </cell>
          <cell r="S113">
            <v>25.862891530865962</v>
          </cell>
          <cell r="T113">
            <v>19.585039286836235</v>
          </cell>
          <cell r="U113">
            <v>14.026275310015802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27.641967427094329</v>
          </cell>
          <cell r="P114">
            <v>27.386830163898022</v>
          </cell>
          <cell r="Q114">
            <v>23.748498027557915</v>
          </cell>
          <cell r="R114">
            <v>18.813988930241123</v>
          </cell>
          <cell r="S114">
            <v>14.114129790489464</v>
          </cell>
          <cell r="T114">
            <v>9.2956710436936216</v>
          </cell>
          <cell r="U114">
            <v>6.0633976697423826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24.1799333020132</v>
          </cell>
          <cell r="P115">
            <v>21.499348604042737</v>
          </cell>
          <cell r="Q115">
            <v>16.62436939156499</v>
          </cell>
          <cell r="R115">
            <v>12.607971564403838</v>
          </cell>
          <cell r="S115">
            <v>10.170279347135011</v>
          </cell>
          <cell r="T115">
            <v>7.3698728276794814</v>
          </cell>
          <cell r="U115">
            <v>4.9623833525739478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33.282740408665298</v>
          </cell>
          <cell r="P116">
            <v>34.937844946596918</v>
          </cell>
          <cell r="Q116">
            <v>35.319483928375419</v>
          </cell>
          <cell r="R116">
            <v>37.512539754301443</v>
          </cell>
          <cell r="S116">
            <v>40.920180710285749</v>
          </cell>
          <cell r="T116">
            <v>42.059150470507376</v>
          </cell>
          <cell r="U116">
            <v>40.418254886938421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27.414283164966132</v>
          </cell>
          <cell r="P117">
            <v>28.841725258699501</v>
          </cell>
          <cell r="Q117">
            <v>29.980181178222864</v>
          </cell>
          <cell r="R117">
            <v>32.50250414121183</v>
          </cell>
          <cell r="S117">
            <v>37.098532159774649</v>
          </cell>
          <cell r="T117">
            <v>41.942824178067852</v>
          </cell>
          <cell r="U117">
            <v>44.1950921542647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29.151449514391729</v>
          </cell>
          <cell r="P118">
            <v>31.118987523082364</v>
          </cell>
          <cell r="Q118">
            <v>31.718857046052761</v>
          </cell>
          <cell r="R118">
            <v>34.297143827445886</v>
          </cell>
          <cell r="S118">
            <v>38.685795277464607</v>
          </cell>
          <cell r="T118">
            <v>42.596834629633733</v>
          </cell>
          <cell r="U118">
            <v>43.777005621974077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28.947835200338403</v>
          </cell>
          <cell r="P119">
            <v>31.458980091120484</v>
          </cell>
          <cell r="Q119">
            <v>31.33193168626584</v>
          </cell>
          <cell r="R119">
            <v>31.421314949154642</v>
          </cell>
          <cell r="S119">
            <v>29.791669936940469</v>
          </cell>
          <cell r="T119">
            <v>23.664408961585814</v>
          </cell>
          <cell r="U119">
            <v>18.056411422640082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25.77358009693361</v>
          </cell>
          <cell r="P120">
            <v>26.401643077265142</v>
          </cell>
          <cell r="Q120">
            <v>22.988289324425942</v>
          </cell>
          <cell r="R120">
            <v>18.212693030152387</v>
          </cell>
          <cell r="S120">
            <v>13.491336578475487</v>
          </cell>
          <cell r="T120">
            <v>8.598946128649688</v>
          </cell>
          <cell r="U120">
            <v>5.3288310906648455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22.84477049271559</v>
          </cell>
          <cell r="P121">
            <v>20.668086936964258</v>
          </cell>
          <cell r="Q121">
            <v>15.773826956013535</v>
          </cell>
          <cell r="R121">
            <v>11.756753357517395</v>
          </cell>
          <cell r="S121">
            <v>9.3230542121308311</v>
          </cell>
          <cell r="T121">
            <v>6.5241351584158611</v>
          </cell>
          <cell r="U121">
            <v>4.1164876537455513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30.016700581097012</v>
          </cell>
          <cell r="P122">
            <v>27.515693441406885</v>
          </cell>
          <cell r="Q122">
            <v>22.576564391866128</v>
          </cell>
          <cell r="R122">
            <v>18.514952233909746</v>
          </cell>
          <cell r="S122">
            <v>16.049764855143216</v>
          </cell>
          <cell r="T122">
            <v>13.225837336381927</v>
          </cell>
          <cell r="U122">
            <v>10.804979312285329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27.173186578610569</v>
          </cell>
          <cell r="P123">
            <v>23.808920326078894</v>
          </cell>
          <cell r="Q123">
            <v>18.87491941316302</v>
          </cell>
          <cell r="R123">
            <v>14.832703483441902</v>
          </cell>
          <cell r="S123">
            <v>12.384694562502904</v>
          </cell>
          <cell r="T123">
            <v>9.5731073090650032</v>
          </cell>
          <cell r="U123">
            <v>7.158035450311683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27.173186578610569</v>
          </cell>
          <cell r="P124">
            <v>23.808920326078894</v>
          </cell>
          <cell r="Q124">
            <v>18.87491941316302</v>
          </cell>
          <cell r="R124">
            <v>14.832703483441902</v>
          </cell>
          <cell r="S124">
            <v>12.384694562502904</v>
          </cell>
          <cell r="T124">
            <v>9.5731073090650032</v>
          </cell>
          <cell r="U124">
            <v>7.158035450311683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26.679408826094836</v>
          </cell>
          <cell r="P125">
            <v>27.411924407108064</v>
          </cell>
          <cell r="Q125">
            <v>25.45322625318952</v>
          </cell>
          <cell r="R125">
            <v>23.92197629106758</v>
          </cell>
          <cell r="S125">
            <v>22.822964001252846</v>
          </cell>
          <cell r="T125">
            <v>20.346081219571271</v>
          </cell>
          <cell r="U125">
            <v>17.819683947256138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28.121024579439382</v>
          </cell>
          <cell r="P126">
            <v>25.044511364521558</v>
          </cell>
          <cell r="Q126">
            <v>20.108801072730724</v>
          </cell>
          <cell r="R126">
            <v>16.060119733597851</v>
          </cell>
          <cell r="S126">
            <v>13.606384660049676</v>
          </cell>
          <cell r="T126">
            <v>10.79068398483731</v>
          </cell>
          <cell r="U126">
            <v>8.3736834043028985</v>
          </cell>
          <cell r="CJ126" t="str">
            <v>TRCommercialCIMS.Generic Fuels.Fuel Oil</v>
          </cell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26.515456016052653</v>
          </cell>
          <cell r="P129">
            <v>28.067432662752417</v>
          </cell>
          <cell r="Q129">
            <v>27.895494214378726</v>
          </cell>
          <cell r="R129">
            <v>28.225575951043005</v>
          </cell>
          <cell r="S129">
            <v>28.683040308459283</v>
          </cell>
          <cell r="T129">
            <v>29.564990041784935</v>
          </cell>
          <cell r="U129">
            <v>30.458440066434207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23.086837130664279</v>
          </cell>
          <cell r="P130">
            <v>23.754148837320056</v>
          </cell>
          <cell r="Q130">
            <v>25.030923885621942</v>
          </cell>
          <cell r="R130">
            <v>26.328085572612135</v>
          </cell>
          <cell r="S130">
            <v>27.473610494972164</v>
          </cell>
          <cell r="T130">
            <v>28.410959194896154</v>
          </cell>
          <cell r="U130">
            <v>28.94845941685427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38.541125282071143</v>
          </cell>
          <cell r="P131">
            <v>45.133327915022541</v>
          </cell>
          <cell r="Q131">
            <v>42.175693550535904</v>
          </cell>
          <cell r="R131">
            <v>41.7893999966441</v>
          </cell>
          <cell r="S131">
            <v>42.058148055183523</v>
          </cell>
          <cell r="T131">
            <v>42.358943106837771</v>
          </cell>
          <cell r="U131">
            <v>42.662995830781931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30.740586359385912</v>
          </cell>
          <cell r="P132">
            <v>32.375964183323838</v>
          </cell>
          <cell r="Q132">
            <v>33.336091670541222</v>
          </cell>
          <cell r="R132">
            <v>34.175545046739416</v>
          </cell>
          <cell r="S132">
            <v>36.076591907456127</v>
          </cell>
          <cell r="T132">
            <v>38.450689504336488</v>
          </cell>
          <cell r="U132">
            <v>39.523412125348685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16.499498429558731</v>
          </cell>
          <cell r="P133">
            <v>17.701850285940353</v>
          </cell>
          <cell r="Q133">
            <v>18.555950977765026</v>
          </cell>
          <cell r="R133">
            <v>19.215175073126002</v>
          </cell>
          <cell r="S133">
            <v>19.416639412583969</v>
          </cell>
          <cell r="T133">
            <v>19.714388565840526</v>
          </cell>
          <cell r="U133">
            <v>20.213287927670546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34.928145964046841</v>
          </cell>
          <cell r="P134">
            <v>33.503330619757492</v>
          </cell>
          <cell r="Q134">
            <v>32.007371257130607</v>
          </cell>
          <cell r="R134">
            <v>30.280367228848032</v>
          </cell>
          <cell r="S134">
            <v>29.561755012787426</v>
          </cell>
          <cell r="T134">
            <v>29.507210781276488</v>
          </cell>
          <cell r="U134">
            <v>29.552657722551174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16.526263799801473</v>
          </cell>
          <cell r="P135">
            <v>17.488653844281988</v>
          </cell>
          <cell r="Q135">
            <v>18.297913832582701</v>
          </cell>
          <cell r="R135">
            <v>19.134787863380843</v>
          </cell>
          <cell r="S135">
            <v>19.960389029998861</v>
          </cell>
          <cell r="T135">
            <v>20.858084276806402</v>
          </cell>
          <cell r="U135">
            <v>21.475248578237064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25.040029799524312</v>
          </cell>
          <cell r="P136">
            <v>26.458794948958499</v>
          </cell>
          <cell r="Q136">
            <v>27.219830307126266</v>
          </cell>
          <cell r="R136">
            <v>26.233072227384554</v>
          </cell>
          <cell r="S136">
            <v>24.248884604075318</v>
          </cell>
          <cell r="T136">
            <v>24.065640208120509</v>
          </cell>
          <cell r="U136">
            <v>24.874531497686252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33.160989719399531</v>
          </cell>
          <cell r="P137">
            <v>35.088531511906176</v>
          </cell>
          <cell r="Q137">
            <v>35.447611577426265</v>
          </cell>
          <cell r="R137">
            <v>35.035040086400244</v>
          </cell>
          <cell r="S137">
            <v>34.995445566225328</v>
          </cell>
          <cell r="T137">
            <v>35.721602036228077</v>
          </cell>
          <cell r="U137">
            <v>36.295196083213732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28.951873930183169</v>
          </cell>
          <cell r="P138">
            <v>29.621992443187107</v>
          </cell>
          <cell r="Q138">
            <v>29.674542825864375</v>
          </cell>
          <cell r="R138">
            <v>30.731862642995701</v>
          </cell>
          <cell r="S138">
            <v>30.65157887231026</v>
          </cell>
          <cell r="T138">
            <v>27.318096396923345</v>
          </cell>
          <cell r="U138">
            <v>24.769472430854808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28.477728127666801</v>
          </cell>
          <cell r="P139">
            <v>31.817839714430683</v>
          </cell>
          <cell r="Q139">
            <v>33.145763057061856</v>
          </cell>
          <cell r="R139">
            <v>34.401881837833571</v>
          </cell>
          <cell r="S139">
            <v>35.489792319936242</v>
          </cell>
          <cell r="T139">
            <v>36.555730899722107</v>
          </cell>
          <cell r="U139">
            <v>37.295551743210844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36.203062248768887</v>
          </cell>
          <cell r="P140">
            <v>41.560631890150553</v>
          </cell>
          <cell r="Q140">
            <v>46.688433135525592</v>
          </cell>
          <cell r="R140">
            <v>52.585108542913552</v>
          </cell>
          <cell r="S140">
            <v>57.438396616761906</v>
          </cell>
          <cell r="T140">
            <v>60.777204168328794</v>
          </cell>
          <cell r="U140">
            <v>62.169548196018255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36.925024850596294</v>
          </cell>
          <cell r="P141">
            <v>37.745981466257611</v>
          </cell>
          <cell r="Q141">
            <v>38.273740887662775</v>
          </cell>
          <cell r="R141">
            <v>39.021924721918325</v>
          </cell>
          <cell r="S141">
            <v>39.614224175705289</v>
          </cell>
          <cell r="T141">
            <v>40.450659245513606</v>
          </cell>
          <cell r="U141">
            <v>40.99138694537762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37.167566823410361</v>
          </cell>
          <cell r="P142">
            <v>38.392793595813231</v>
          </cell>
          <cell r="Q142">
            <v>39.582351105074352</v>
          </cell>
          <cell r="R142">
            <v>43.075497310261952</v>
          </cell>
          <cell r="S142">
            <v>49.522183281056343</v>
          </cell>
          <cell r="T142">
            <v>55.413997945034417</v>
          </cell>
          <cell r="U142">
            <v>57.234276293579398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28.907655394193455</v>
          </cell>
          <cell r="P143">
            <v>30.746789654620613</v>
          </cell>
          <cell r="Q143">
            <v>31.371936941869691</v>
          </cell>
          <cell r="R143">
            <v>31.600464198653519</v>
          </cell>
          <cell r="S143">
            <v>31.346425340636785</v>
          </cell>
          <cell r="T143">
            <v>30.915267385248512</v>
          </cell>
          <cell r="U143">
            <v>30.808687938741407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36.765217974258519</v>
          </cell>
          <cell r="P144">
            <v>39.233135650740465</v>
          </cell>
          <cell r="Q144">
            <v>41.514841709420907</v>
          </cell>
          <cell r="R144">
            <v>44.894176858364609</v>
          </cell>
          <cell r="S144">
            <v>48.858268024507844</v>
          </cell>
          <cell r="T144">
            <v>52.213953786292272</v>
          </cell>
          <cell r="U144">
            <v>53.465070478325089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5.2165845364879875</v>
          </cell>
          <cell r="P145">
            <v>7.5961482054649485</v>
          </cell>
          <cell r="Q145">
            <v>11.000920790510841</v>
          </cell>
          <cell r="R145">
            <v>14.495799818075001</v>
          </cell>
          <cell r="S145">
            <v>18.165863207814194</v>
          </cell>
          <cell r="T145">
            <v>21.908716356682245</v>
          </cell>
          <cell r="U145">
            <v>24.097787159993757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5.5892531224576993</v>
          </cell>
          <cell r="P146">
            <v>6.7560407129377458</v>
          </cell>
          <cell r="Q146">
            <v>9.6883555240667949</v>
          </cell>
          <cell r="R146">
            <v>12.993491913177467</v>
          </cell>
          <cell r="S146">
            <v>16.81907853744174</v>
          </cell>
          <cell r="T146">
            <v>20.659742912740501</v>
          </cell>
          <cell r="U146">
            <v>22.927182446990503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4.5734197856337895</v>
          </cell>
          <cell r="P147">
            <v>7.2237755968965871</v>
          </cell>
          <cell r="Q147">
            <v>10.747600703786279</v>
          </cell>
          <cell r="R147">
            <v>14.206144561312861</v>
          </cell>
          <cell r="S147">
            <v>17.827783746348953</v>
          </cell>
          <cell r="T147">
            <v>21.898232737040299</v>
          </cell>
          <cell r="U147">
            <v>24.372045970719558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6.2268442628658836</v>
          </cell>
          <cell r="P148">
            <v>8.8062071949056691</v>
          </cell>
          <cell r="Q148">
            <v>12.261666884831445</v>
          </cell>
          <cell r="R148">
            <v>15.924334348348598</v>
          </cell>
          <cell r="S148">
            <v>19.336441054516065</v>
          </cell>
          <cell r="T148">
            <v>22.782143382325295</v>
          </cell>
          <cell r="U148">
            <v>24.977587382030578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6.4682815785123458</v>
          </cell>
          <cell r="P149">
            <v>8.6629742210350589</v>
          </cell>
          <cell r="Q149">
            <v>12.087361335062681</v>
          </cell>
          <cell r="R149">
            <v>15.568179351480445</v>
          </cell>
          <cell r="S149">
            <v>18.30132518078133</v>
          </cell>
          <cell r="T149">
            <v>18.312203209282792</v>
          </cell>
          <cell r="U149">
            <v>16.502281794403224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7.4477310988986325</v>
          </cell>
          <cell r="P150">
            <v>9.7537725551776724</v>
          </cell>
          <cell r="Q150">
            <v>13.295939903448474</v>
          </cell>
          <cell r="R150">
            <v>17.177499457970214</v>
          </cell>
          <cell r="S150">
            <v>20.840107604544187</v>
          </cell>
          <cell r="T150">
            <v>24.160102720671873</v>
          </cell>
          <cell r="U150">
            <v>26.331169908680952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6.6633031575185964</v>
          </cell>
          <cell r="P151">
            <v>8.1144370908074706</v>
          </cell>
          <cell r="Q151">
            <v>11.513947319713727</v>
          </cell>
          <cell r="R151">
            <v>15.30964958603251</v>
          </cell>
          <cell r="S151">
            <v>19.060757160959756</v>
          </cell>
          <cell r="T151">
            <v>22.574832103096888</v>
          </cell>
          <cell r="U151">
            <v>24.536700985375283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6.8450115925173902</v>
          </cell>
          <cell r="P152">
            <v>9.4961575667591784</v>
          </cell>
          <cell r="Q152">
            <v>13.038379046136862</v>
          </cell>
          <cell r="R152">
            <v>16.918462511977967</v>
          </cell>
          <cell r="S152">
            <v>21.025415916650712</v>
          </cell>
          <cell r="T152">
            <v>25.397930753479613</v>
          </cell>
          <cell r="U152">
            <v>28.048031352185156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5.783536782475367</v>
          </cell>
          <cell r="P153">
            <v>8.6711077982294729</v>
          </cell>
          <cell r="Q153">
            <v>12.199889571754321</v>
          </cell>
          <cell r="R153">
            <v>16.063693846543384</v>
          </cell>
          <cell r="S153">
            <v>20.150216521964754</v>
          </cell>
          <cell r="T153">
            <v>24.496252420793748</v>
          </cell>
          <cell r="U153">
            <v>27.127653975068259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6.1656070263554001</v>
          </cell>
          <cell r="P154">
            <v>8.5307221560247193</v>
          </cell>
          <cell r="Q154">
            <v>11.927415654768806</v>
          </cell>
          <cell r="R154">
            <v>15.583110300089682</v>
          </cell>
          <cell r="S154">
            <v>19.328314959469363</v>
          </cell>
          <cell r="T154">
            <v>23.053529120704908</v>
          </cell>
          <cell r="U154">
            <v>25.133707748174892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4.4425442549186078</v>
          </cell>
          <cell r="P155">
            <v>3.8576095281562295</v>
          </cell>
          <cell r="Q155">
            <v>3.3018325577123564</v>
          </cell>
          <cell r="R155">
            <v>2.8494060939570165</v>
          </cell>
          <cell r="S155">
            <v>2.408101107902973</v>
          </cell>
          <cell r="T155">
            <v>1.9062137660675555</v>
          </cell>
          <cell r="U155">
            <v>1.5399202757626183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2.3820768477669945</v>
          </cell>
          <cell r="P156">
            <v>1.6313928542147911</v>
          </cell>
          <cell r="Q156">
            <v>1.090375245655578</v>
          </cell>
          <cell r="R156">
            <v>0.65248883446357742</v>
          </cell>
          <cell r="S156">
            <v>0.23193099549211749</v>
          </cell>
          <cell r="T156">
            <v>-0.13215113064424133</v>
          </cell>
          <cell r="U156">
            <v>-0.34314314633368126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2.5635219309981339</v>
          </cell>
          <cell r="P157">
            <v>1.8901813508062095</v>
          </cell>
          <cell r="Q157">
            <v>1.3443950079790179</v>
          </cell>
          <cell r="R157">
            <v>0.90309811427342768</v>
          </cell>
          <cell r="S157">
            <v>0.46867167248375818</v>
          </cell>
          <cell r="T157">
            <v>-9.8293878689397207E-3</v>
          </cell>
          <cell r="U157">
            <v>-0.32391160087593984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2.4029122794114741</v>
          </cell>
          <cell r="P158">
            <v>1.6475905646158182</v>
          </cell>
          <cell r="Q158">
            <v>1.103405928501914</v>
          </cell>
          <cell r="R158">
            <v>0.66368928313339148</v>
          </cell>
          <cell r="S158">
            <v>0.24093342940152829</v>
          </cell>
          <cell r="T158">
            <v>-0.1247585001978071</v>
          </cell>
          <cell r="U158">
            <v>-0.33629869435047177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5.8091749140666913</v>
          </cell>
          <cell r="P159">
            <v>7.6388992622923997</v>
          </cell>
          <cell r="Q159">
            <v>10.116879207593087</v>
          </cell>
          <cell r="R159">
            <v>12.853668188142013</v>
          </cell>
          <cell r="S159">
            <v>15.728012126496951</v>
          </cell>
          <cell r="T159">
            <v>18.713481515261456</v>
          </cell>
          <cell r="U159">
            <v>20.462328337797732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2.4495036860588675</v>
          </cell>
          <cell r="P160">
            <v>1.7230549232122729</v>
          </cell>
          <cell r="Q160">
            <v>1.17939206071217</v>
          </cell>
          <cell r="R160">
            <v>0.73975874395679886</v>
          </cell>
          <cell r="S160">
            <v>0.31384536579246797</v>
          </cell>
          <cell r="T160">
            <v>-8.8913006236996051E-2</v>
          </cell>
          <cell r="U160">
            <v>-0.33445114718669761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23.233885967558393</v>
          </cell>
          <cell r="P161">
            <v>26.300710205545442</v>
          </cell>
          <cell r="Q161">
            <v>26.765142821244073</v>
          </cell>
          <cell r="R161">
            <v>28.995319579668468</v>
          </cell>
          <cell r="S161">
            <v>32.088046863416821</v>
          </cell>
          <cell r="T161">
            <v>34.490632436287527</v>
          </cell>
          <cell r="U161">
            <v>35.486503321206328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26.126013299260709</v>
          </cell>
          <cell r="P162">
            <v>30.344386171498986</v>
          </cell>
          <cell r="Q162">
            <v>33.527232124511983</v>
          </cell>
          <cell r="R162">
            <v>37.399007005280346</v>
          </cell>
          <cell r="S162">
            <v>38.961044204013987</v>
          </cell>
          <cell r="T162">
            <v>36.548243389769368</v>
          </cell>
          <cell r="U162">
            <v>33.975675117438257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20.899317258036763</v>
          </cell>
          <cell r="P163">
            <v>21.901316538191569</v>
          </cell>
          <cell r="Q163">
            <v>19.157183166597289</v>
          </cell>
          <cell r="R163">
            <v>18.103837979837273</v>
          </cell>
          <cell r="S163">
            <v>17.784058204273759</v>
          </cell>
          <cell r="T163">
            <v>17.298910133384268</v>
          </cell>
          <cell r="U163">
            <v>16.868514694548793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21.861329809359056</v>
          </cell>
          <cell r="P164">
            <v>23.850233755208791</v>
          </cell>
          <cell r="Q164">
            <v>22.122708041336779</v>
          </cell>
          <cell r="R164">
            <v>22.184910721503098</v>
          </cell>
          <cell r="S164">
            <v>23.084503839183206</v>
          </cell>
          <cell r="T164">
            <v>23.982703922344427</v>
          </cell>
          <cell r="U164">
            <v>24.44261497934249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28.1496261358133</v>
          </cell>
          <cell r="P165">
            <v>33.800071598851396</v>
          </cell>
          <cell r="Q165">
            <v>37.488906733782393</v>
          </cell>
          <cell r="R165">
            <v>43.330814158673839</v>
          </cell>
          <cell r="S165">
            <v>50.166003228460504</v>
          </cell>
          <cell r="T165">
            <v>56.435411229604398</v>
          </cell>
          <cell r="U165">
            <v>59.286249496006633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26.731515112364054</v>
          </cell>
          <cell r="P166">
            <v>32.393058106571857</v>
          </cell>
          <cell r="Q166">
            <v>36.151423519844052</v>
          </cell>
          <cell r="R166">
            <v>42.171474584549955</v>
          </cell>
          <cell r="S166">
            <v>49.558473333395142</v>
          </cell>
          <cell r="T166">
            <v>57.818224389441831</v>
          </cell>
          <cell r="U166">
            <v>63.01704929467283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23.760214023780556</v>
          </cell>
          <cell r="P167">
            <v>28.727030188470323</v>
          </cell>
          <cell r="Q167">
            <v>32.443281295445558</v>
          </cell>
          <cell r="R167">
            <v>38.345949177471475</v>
          </cell>
          <cell r="S167">
            <v>45.325468053418305</v>
          </cell>
          <cell r="T167">
            <v>52.072587726379979</v>
          </cell>
          <cell r="U167">
            <v>55.474071493319741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24.528787800090008</v>
          </cell>
          <cell r="P168">
            <v>30.166950722525108</v>
          </cell>
          <cell r="Q168">
            <v>33.87266561002901</v>
          </cell>
          <cell r="R168">
            <v>39.750339564987208</v>
          </cell>
          <cell r="S168">
            <v>46.69995151058616</v>
          </cell>
          <cell r="T168">
            <v>53.434329798068184</v>
          </cell>
          <cell r="U168">
            <v>56.851427888731294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20.895124727759743</v>
          </cell>
          <cell r="P169">
            <v>21.250824905074701</v>
          </cell>
          <cell r="Q169">
            <v>18.554818965059386</v>
          </cell>
          <cell r="R169">
            <v>17.516493833108246</v>
          </cell>
          <cell r="S169">
            <v>17.199398440782382</v>
          </cell>
          <cell r="T169">
            <v>16.719369398433443</v>
          </cell>
          <cell r="U169">
            <v>16.293354895046495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20.791102121837923</v>
          </cell>
          <cell r="P170">
            <v>21.244606505056559</v>
          </cell>
          <cell r="Q170">
            <v>18.59998312337132</v>
          </cell>
          <cell r="R170">
            <v>17.574327118219749</v>
          </cell>
          <cell r="S170">
            <v>17.25690512093357</v>
          </cell>
          <cell r="T170">
            <v>16.780107584217482</v>
          </cell>
          <cell r="U170">
            <v>16.357762074997058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22.413706956300018</v>
          </cell>
          <cell r="P171">
            <v>23.120476344876113</v>
          </cell>
          <cell r="Q171">
            <v>20.377494774117658</v>
          </cell>
          <cell r="R171">
            <v>19.318466752459006</v>
          </cell>
          <cell r="S171">
            <v>18.993017179255002</v>
          </cell>
          <cell r="T171">
            <v>18.503988364925277</v>
          </cell>
          <cell r="U171">
            <v>18.071893143559016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26.936844260968932</v>
          </cell>
          <cell r="P172">
            <v>28.354844827377587</v>
          </cell>
          <cell r="Q172">
            <v>25.577646916057269</v>
          </cell>
          <cell r="R172">
            <v>24.484593242968373</v>
          </cell>
          <cell r="S172">
            <v>24.135072629531614</v>
          </cell>
          <cell r="T172">
            <v>23.626934593834079</v>
          </cell>
          <cell r="U172">
            <v>23.184747873564078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26.028655451584214</v>
          </cell>
          <cell r="P173">
            <v>27.436587534824625</v>
          </cell>
          <cell r="Q173">
            <v>24.646100195852721</v>
          </cell>
          <cell r="R173">
            <v>23.554271914660312</v>
          </cell>
          <cell r="S173">
            <v>23.209108715984463</v>
          </cell>
          <cell r="T173">
            <v>22.703116167884836</v>
          </cell>
          <cell r="U173">
            <v>22.26132507880725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27.160602677977231</v>
          </cell>
          <cell r="P174">
            <v>28.592631365330092</v>
          </cell>
          <cell r="Q174">
            <v>25.794509614105362</v>
          </cell>
          <cell r="R174">
            <v>24.695145853582659</v>
          </cell>
          <cell r="S174">
            <v>24.34466666351889</v>
          </cell>
          <cell r="T174">
            <v>23.83444966772683</v>
          </cell>
          <cell r="U174">
            <v>23.390424617144745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22.157180401496923</v>
          </cell>
          <cell r="P175">
            <v>23.945714619383121</v>
          </cell>
          <cell r="Q175">
            <v>22.851240618144345</v>
          </cell>
          <cell r="R175">
            <v>23.53990681719355</v>
          </cell>
          <cell r="S175">
            <v>25.03731806288928</v>
          </cell>
          <cell r="T175">
            <v>26.3594487864111</v>
          </cell>
          <cell r="U175">
            <v>26.893609500583466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26.708700796843459</v>
          </cell>
          <cell r="P176">
            <v>28.128021242510769</v>
          </cell>
          <cell r="Q176">
            <v>25.339418908671785</v>
          </cell>
          <cell r="R176">
            <v>24.244670337070449</v>
          </cell>
          <cell r="S176">
            <v>23.896282669678325</v>
          </cell>
          <cell r="T176">
            <v>23.38816680981525</v>
          </cell>
          <cell r="U176">
            <v>22.945499189838689</v>
          </cell>
          <cell r="CJ176" t="str">
            <v>TRIndustrialCIMS.Generic Fuels.Fuel Oil</v>
          </cell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35.948089924721742</v>
          </cell>
          <cell r="P179">
            <v>37.696392147969974</v>
          </cell>
          <cell r="Q179">
            <v>37.568688525900612</v>
          </cell>
          <cell r="R179">
            <v>39.649225798846864</v>
          </cell>
          <cell r="S179">
            <v>43.858133902904299</v>
          </cell>
          <cell r="T179">
            <v>48.534474710615157</v>
          </cell>
          <cell r="U179">
            <v>50.893596744679691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40.805244849214809</v>
          </cell>
          <cell r="P180">
            <v>41.866886416179561</v>
          </cell>
          <cell r="Q180">
            <v>41.719317427533277</v>
          </cell>
          <cell r="R180">
            <v>43.840660414561825</v>
          </cell>
          <cell r="S180">
            <v>48.007305655670102</v>
          </cell>
          <cell r="T180">
            <v>52.564078709991861</v>
          </cell>
          <cell r="U180">
            <v>54.731016865470657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33.36297830832055</v>
          </cell>
          <cell r="P181">
            <v>35.485345901071391</v>
          </cell>
          <cell r="Q181">
            <v>35.517076408901644</v>
          </cell>
          <cell r="R181">
            <v>37.578393834106208</v>
          </cell>
          <cell r="S181">
            <v>41.756483092948692</v>
          </cell>
          <cell r="T181">
            <v>46.462964352205759</v>
          </cell>
          <cell r="U181">
            <v>48.845617510239869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35.762743244634613</v>
          </cell>
          <cell r="P182">
            <v>38.240267283671635</v>
          </cell>
          <cell r="Q182">
            <v>38.198860921121444</v>
          </cell>
          <cell r="R182">
            <v>40.306780669427198</v>
          </cell>
          <cell r="S182">
            <v>44.499801106322749</v>
          </cell>
          <cell r="T182">
            <v>49.207848537803564</v>
          </cell>
          <cell r="U182">
            <v>51.568463886600021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35.181053483940424</v>
          </cell>
          <cell r="P183">
            <v>37.525289782921831</v>
          </cell>
          <cell r="Q183">
            <v>37.312629732549652</v>
          </cell>
          <cell r="R183">
            <v>39.21212399995764</v>
          </cell>
          <cell r="S183">
            <v>43.157699199081954</v>
          </cell>
          <cell r="T183">
            <v>47.573298972818549</v>
          </cell>
          <cell r="U183">
            <v>49.736948626683393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35.296470846440769</v>
          </cell>
          <cell r="P184">
            <v>36.911298605005669</v>
          </cell>
          <cell r="Q184">
            <v>36.777919027139653</v>
          </cell>
          <cell r="R184">
            <v>38.867718359566013</v>
          </cell>
          <cell r="S184">
            <v>43.060424736233728</v>
          </cell>
          <cell r="T184">
            <v>47.749387826247883</v>
          </cell>
          <cell r="U184">
            <v>50.158602721578596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36.227223735634752</v>
          </cell>
          <cell r="P185">
            <v>38.116517979148448</v>
          </cell>
          <cell r="Q185">
            <v>38.364844279447183</v>
          </cell>
          <cell r="R185">
            <v>40.320622631676443</v>
          </cell>
          <cell r="S185">
            <v>44.473419224235123</v>
          </cell>
          <cell r="T185">
            <v>49.048762999420852</v>
          </cell>
          <cell r="U185">
            <v>51.287120293962182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35.190343401186823</v>
          </cell>
          <cell r="P186">
            <v>37.638384393004017</v>
          </cell>
          <cell r="Q186">
            <v>37.360640366190864</v>
          </cell>
          <cell r="R186">
            <v>39.278017834685812</v>
          </cell>
          <cell r="S186">
            <v>43.35652108285462</v>
          </cell>
          <cell r="T186">
            <v>47.931981827757824</v>
          </cell>
          <cell r="U186">
            <v>50.212128462157061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34.332589508808937</v>
          </cell>
          <cell r="P187">
            <v>37.544285243094983</v>
          </cell>
          <cell r="Q187">
            <v>37.23713999741625</v>
          </cell>
          <cell r="R187">
            <v>39.126744531677261</v>
          </cell>
          <cell r="S187">
            <v>43.176934430233189</v>
          </cell>
          <cell r="T187">
            <v>47.728415942423332</v>
          </cell>
          <cell r="U187">
            <v>49.99880153139609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34.016352025256836</v>
          </cell>
          <cell r="P188">
            <v>36.208674876663352</v>
          </cell>
          <cell r="Q188">
            <v>35.804919844353215</v>
          </cell>
          <cell r="R188">
            <v>37.56680393790208</v>
          </cell>
          <cell r="S188">
            <v>41.474033853153763</v>
          </cell>
          <cell r="T188">
            <v>45.842616387995562</v>
          </cell>
          <cell r="U188">
            <v>47.953802913133643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39.690623752910021</v>
          </cell>
          <cell r="P189">
            <v>42.387188386870349</v>
          </cell>
          <cell r="Q189">
            <v>42.725280484732984</v>
          </cell>
          <cell r="R189">
            <v>45.468583793902525</v>
          </cell>
          <cell r="S189">
            <v>50.244433123385605</v>
          </cell>
          <cell r="T189">
            <v>55.083955499169804</v>
          </cell>
          <cell r="U189">
            <v>56.731706678208873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41.560479648870604</v>
          </cell>
          <cell r="P190">
            <v>43.639429020591365</v>
          </cell>
          <cell r="Q190">
            <v>44.191655817994544</v>
          </cell>
          <cell r="R190">
            <v>46.960715759371979</v>
          </cell>
          <cell r="S190">
            <v>51.683501493018554</v>
          </cell>
          <cell r="T190">
            <v>56.417516266297881</v>
          </cell>
          <cell r="U190">
            <v>57.901222798597864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40.198418346101015</v>
          </cell>
          <cell r="P191">
            <v>42.279261659737031</v>
          </cell>
          <cell r="Q191">
            <v>42.870836287707036</v>
          </cell>
          <cell r="R191">
            <v>45.713492146553463</v>
          </cell>
          <cell r="S191">
            <v>50.533928687816058</v>
          </cell>
          <cell r="T191">
            <v>55.418871533680417</v>
          </cell>
          <cell r="U191">
            <v>57.030806710328783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41.939063554789172</v>
          </cell>
          <cell r="P192">
            <v>44.042322311871331</v>
          </cell>
          <cell r="Q192">
            <v>44.592655800582257</v>
          </cell>
          <cell r="R192">
            <v>47.345677310443293</v>
          </cell>
          <cell r="S192">
            <v>51.975284606674926</v>
          </cell>
          <cell r="T192">
            <v>56.22290783981525</v>
          </cell>
          <cell r="U192">
            <v>56.811204892559367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35.807477172040656</v>
          </cell>
          <cell r="P193">
            <v>38.444633224908173</v>
          </cell>
          <cell r="Q193">
            <v>38.281995173173328</v>
          </cell>
          <cell r="R193">
            <v>40.360037524541923</v>
          </cell>
          <cell r="S193">
            <v>44.562980622406798</v>
          </cell>
          <cell r="T193">
            <v>49.146742414336629</v>
          </cell>
          <cell r="U193">
            <v>51.224109896223915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41.232653849920261</v>
          </cell>
          <cell r="P194">
            <v>43.320337664066578</v>
          </cell>
          <cell r="Q194">
            <v>43.885049302094615</v>
          </cell>
          <cell r="R194">
            <v>46.673295072122905</v>
          </cell>
          <cell r="S194">
            <v>51.397571595836517</v>
          </cell>
          <cell r="T194">
            <v>56.01976521326452</v>
          </cell>
          <cell r="U194">
            <v>57.247744800495333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32.801202804224268</v>
          </cell>
          <cell r="P195">
            <v>33.533426335004982</v>
          </cell>
          <cell r="Q195">
            <v>33.302312644639514</v>
          </cell>
          <cell r="R195">
            <v>34.135643575265469</v>
          </cell>
          <cell r="S195">
            <v>35.312974533887378</v>
          </cell>
          <cell r="T195">
            <v>34.273226345913919</v>
          </cell>
          <cell r="U195">
            <v>32.577709653557676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35.303821330273877</v>
          </cell>
          <cell r="P196">
            <v>35.312085078039644</v>
          </cell>
          <cell r="Q196">
            <v>34.027245767181128</v>
          </cell>
          <cell r="R196">
            <v>34.434034390235823</v>
          </cell>
          <cell r="S196">
            <v>36.066521632529074</v>
          </cell>
          <cell r="T196">
            <v>35.760298500864124</v>
          </cell>
          <cell r="U196">
            <v>33.960801187901581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31.269817808327264</v>
          </cell>
          <cell r="P197">
            <v>31.714536638382686</v>
          </cell>
          <cell r="Q197">
            <v>31.773152053806466</v>
          </cell>
          <cell r="R197">
            <v>32.728347456873621</v>
          </cell>
          <cell r="S197">
            <v>33.587246557638508</v>
          </cell>
          <cell r="T197">
            <v>31.519853987480001</v>
          </cell>
          <cell r="U197">
            <v>28.615280379784632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33.67928230250719</v>
          </cell>
          <cell r="P198">
            <v>34.901477890313039</v>
          </cell>
          <cell r="Q198">
            <v>34.795122912501206</v>
          </cell>
          <cell r="R198">
            <v>35.791664159205311</v>
          </cell>
          <cell r="S198">
            <v>36.943963892294278</v>
          </cell>
          <cell r="T198">
            <v>35.698643250259522</v>
          </cell>
          <cell r="U198">
            <v>33.585348421757701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34.198771534650504</v>
          </cell>
          <cell r="P199">
            <v>35.329478267184484</v>
          </cell>
          <cell r="Q199">
            <v>35.181295817731161</v>
          </cell>
          <cell r="R199">
            <v>36.082936228195052</v>
          </cell>
          <cell r="S199">
            <v>37.051271347649546</v>
          </cell>
          <cell r="T199">
            <v>35.488386347019713</v>
          </cell>
          <cell r="U199">
            <v>33.112807595589572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31.835989266237025</v>
          </cell>
          <cell r="P200">
            <v>33.131855694023841</v>
          </cell>
          <cell r="Q200">
            <v>32.786239771755675</v>
          </cell>
          <cell r="R200">
            <v>33.207347040257346</v>
          </cell>
          <cell r="S200">
            <v>33.721248725794979</v>
          </cell>
          <cell r="T200">
            <v>32.242583101315716</v>
          </cell>
          <cell r="U200">
            <v>30.053118113321258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33.262294123537956</v>
          </cell>
          <cell r="P201">
            <v>33.810035117392474</v>
          </cell>
          <cell r="Q201">
            <v>33.943148381943786</v>
          </cell>
          <cell r="R201">
            <v>34.76407126200516</v>
          </cell>
          <cell r="S201">
            <v>35.853848464742782</v>
          </cell>
          <cell r="T201">
            <v>33.993606718177645</v>
          </cell>
          <cell r="U201">
            <v>31.23957325935174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33.426916934894408</v>
          </cell>
          <cell r="P202">
            <v>34.752896114345752</v>
          </cell>
          <cell r="Q202">
            <v>34.473050858514355</v>
          </cell>
          <cell r="R202">
            <v>35.069904332324491</v>
          </cell>
          <cell r="S202">
            <v>35.444848331651514</v>
          </cell>
          <cell r="T202">
            <v>32.088135654173868</v>
          </cell>
          <cell r="U202">
            <v>27.881161198974564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31.47080448532434</v>
          </cell>
          <cell r="P203">
            <v>33.762818202518154</v>
          </cell>
          <cell r="Q203">
            <v>33.502316363011495</v>
          </cell>
          <cell r="R203">
            <v>34.235616860526534</v>
          </cell>
          <cell r="S203">
            <v>35.055943726150929</v>
          </cell>
          <cell r="T203">
            <v>33.17755815068746</v>
          </cell>
          <cell r="U203">
            <v>30.481223305348248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32.085918583301165</v>
          </cell>
          <cell r="P204">
            <v>33.120759546825973</v>
          </cell>
          <cell r="Q204">
            <v>32.81738155853877</v>
          </cell>
          <cell r="R204">
            <v>33.506766393263909</v>
          </cell>
          <cell r="S204">
            <v>34.391534248320212</v>
          </cell>
          <cell r="T204">
            <v>32.884604892858036</v>
          </cell>
          <cell r="U204">
            <v>30.553092403164737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36.469301279978382</v>
          </cell>
          <cell r="P205">
            <v>38.021489640007154</v>
          </cell>
          <cell r="Q205">
            <v>38.245486500942526</v>
          </cell>
          <cell r="R205">
            <v>40.282312921617489</v>
          </cell>
          <cell r="S205">
            <v>43.21255764714229</v>
          </cell>
          <cell r="T205">
            <v>43.492761471814873</v>
          </cell>
          <cell r="U205">
            <v>41.779796533858999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37.784135671031194</v>
          </cell>
          <cell r="P206">
            <v>39.348647129998504</v>
          </cell>
          <cell r="Q206">
            <v>39.815259091881508</v>
          </cell>
          <cell r="R206">
            <v>42.103907379668328</v>
          </cell>
          <cell r="S206">
            <v>45.667000333825939</v>
          </cell>
          <cell r="T206">
            <v>47.860497485904318</v>
          </cell>
          <cell r="U206">
            <v>47.96158918650687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36.894837713326524</v>
          </cell>
          <cell r="P207">
            <v>38.570476769338576</v>
          </cell>
          <cell r="Q207">
            <v>39.088529299132155</v>
          </cell>
          <cell r="R207">
            <v>41.478046553379976</v>
          </cell>
          <cell r="S207">
            <v>45.197457679562362</v>
          </cell>
          <cell r="T207">
            <v>47.682192931574377</v>
          </cell>
          <cell r="U207">
            <v>48.02769489764087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38.40949480593342</v>
          </cell>
          <cell r="P208">
            <v>39.946229810742253</v>
          </cell>
          <cell r="Q208">
            <v>40.403213168396256</v>
          </cell>
          <cell r="R208">
            <v>42.696333007426063</v>
          </cell>
          <cell r="S208">
            <v>46.26261088582919</v>
          </cell>
          <cell r="T208">
            <v>48.440041365559523</v>
          </cell>
          <cell r="U208">
            <v>48.521051475719645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33.528470292493274</v>
          </cell>
          <cell r="P209">
            <v>35.099083309863737</v>
          </cell>
          <cell r="Q209">
            <v>34.952909049319615</v>
          </cell>
          <cell r="R209">
            <v>35.983197611304227</v>
          </cell>
          <cell r="S209">
            <v>37.246485224173526</v>
          </cell>
          <cell r="T209">
            <v>35.630936116600296</v>
          </cell>
          <cell r="U209">
            <v>32.890857348016482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37.717565291900804</v>
          </cell>
          <cell r="P210">
            <v>39.312063302894408</v>
          </cell>
          <cell r="Q210">
            <v>39.794024482031027</v>
          </cell>
          <cell r="R210">
            <v>42.120571402631278</v>
          </cell>
          <cell r="S210">
            <v>45.739782413544063</v>
          </cell>
          <cell r="T210">
            <v>48.027254019360669</v>
          </cell>
          <cell r="U210">
            <v>48.20411240973614</v>
          </cell>
          <cell r="CJ210" t="str">
            <v>TRTransportationCIMS.Generic Fuels.Diesel</v>
          </cell>
        </row>
        <row r="795">
          <cell r="E795" t="str">
            <v>Biogas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</row>
        <row r="796">
          <cell r="E796" t="str">
            <v>Black Liquor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</row>
        <row r="797">
          <cell r="E797" t="str">
            <v>Coal</v>
          </cell>
          <cell r="K797">
            <v>2.6451827310390286</v>
          </cell>
          <cell r="L797">
            <v>2.5675436842813699</v>
          </cell>
          <cell r="M797">
            <v>2.33462654400839</v>
          </cell>
          <cell r="N797">
            <v>2.33462654400839</v>
          </cell>
          <cell r="O797">
            <v>2.33462654400839</v>
          </cell>
          <cell r="P797">
            <v>2.33462654400839</v>
          </cell>
          <cell r="Q797">
            <v>2.33462654400839</v>
          </cell>
          <cell r="R797">
            <v>2.33462654400839</v>
          </cell>
          <cell r="S797">
            <v>2.33462654400839</v>
          </cell>
          <cell r="T797">
            <v>2.33462654400839</v>
          </cell>
          <cell r="U797">
            <v>2.33462654400839</v>
          </cell>
        </row>
        <row r="798">
          <cell r="E798" t="str">
            <v>Coke</v>
          </cell>
          <cell r="K798">
            <v>2.7114430765744828</v>
          </cell>
          <cell r="L798">
            <v>2.8733728858611101</v>
          </cell>
          <cell r="M798">
            <v>3.3591623137209599</v>
          </cell>
          <cell r="N798">
            <v>3.3591623137209599</v>
          </cell>
          <cell r="O798">
            <v>3.3591623137209599</v>
          </cell>
          <cell r="P798">
            <v>3.3591623137209599</v>
          </cell>
          <cell r="Q798">
            <v>3.3591623137209599</v>
          </cell>
          <cell r="R798">
            <v>3.3591623137209599</v>
          </cell>
          <cell r="S798">
            <v>3.3591623137209599</v>
          </cell>
          <cell r="T798">
            <v>3.3591623137209599</v>
          </cell>
          <cell r="U798">
            <v>3.3591623137209599</v>
          </cell>
        </row>
        <row r="799">
          <cell r="E799" t="str">
            <v>Hydrogen</v>
          </cell>
          <cell r="K799">
            <v>59.532871676928607</v>
          </cell>
          <cell r="L799">
            <v>55.585908894687201</v>
          </cell>
          <cell r="M799">
            <v>46.639973843363798</v>
          </cell>
          <cell r="N799">
            <v>45.1924971956634</v>
          </cell>
          <cell r="O799">
            <v>42.6822408830553</v>
          </cell>
          <cell r="P799">
            <v>42.6822408830553</v>
          </cell>
          <cell r="Q799">
            <v>42.6822408830553</v>
          </cell>
          <cell r="R799">
            <v>42.6822408830553</v>
          </cell>
          <cell r="S799">
            <v>42.6822408830553</v>
          </cell>
          <cell r="T799">
            <v>42.6822408830553</v>
          </cell>
          <cell r="U799">
            <v>42.6822408830553</v>
          </cell>
        </row>
        <row r="800">
          <cell r="E800" t="str">
            <v>Jet Fuel</v>
          </cell>
          <cell r="K800">
            <v>17.588550071448253</v>
          </cell>
          <cell r="L800">
            <v>20.286557707742901</v>
          </cell>
          <cell r="M800">
            <v>27.204590863547502</v>
          </cell>
          <cell r="N800">
            <v>27.792585740087301</v>
          </cell>
          <cell r="O800">
            <v>32.830982809845999</v>
          </cell>
          <cell r="P800">
            <v>34.830041283130299</v>
          </cell>
          <cell r="Q800">
            <v>36.154675431643497</v>
          </cell>
          <cell r="R800">
            <v>36.751568264299401</v>
          </cell>
          <cell r="S800">
            <v>37.830547209983003</v>
          </cell>
          <cell r="T800">
            <v>37.830547209983003</v>
          </cell>
          <cell r="U800">
            <v>37.830547209983003</v>
          </cell>
        </row>
        <row r="801">
          <cell r="E801" t="str">
            <v>LPG</v>
          </cell>
          <cell r="K801">
            <v>34.654406149177703</v>
          </cell>
          <cell r="L801">
            <v>27.8413380552951</v>
          </cell>
          <cell r="M801">
            <v>35.450484776971301</v>
          </cell>
          <cell r="N801">
            <v>21.4263092753094</v>
          </cell>
          <cell r="O801">
            <v>28.561317388655102</v>
          </cell>
          <cell r="P801">
            <v>30.3903221376506</v>
          </cell>
          <cell r="Q801">
            <v>30.9916705857359</v>
          </cell>
          <cell r="R801">
            <v>31.5209767507625</v>
          </cell>
          <cell r="S801">
            <v>32.137212259876797</v>
          </cell>
          <cell r="T801">
            <v>32.137212259876797</v>
          </cell>
          <cell r="U801">
            <v>32.137212259876797</v>
          </cell>
        </row>
        <row r="802">
          <cell r="E802" t="str">
            <v>Petroleum Coke</v>
          </cell>
          <cell r="K802">
            <v>2.7114430765744828</v>
          </cell>
          <cell r="L802">
            <v>2.8733728858611101</v>
          </cell>
          <cell r="M802">
            <v>3.3591623137209599</v>
          </cell>
          <cell r="N802">
            <v>3.3591623137209599</v>
          </cell>
          <cell r="O802">
            <v>3.3591623137209599</v>
          </cell>
          <cell r="P802">
            <v>3.3591623137209599</v>
          </cell>
          <cell r="Q802">
            <v>3.3591623137209599</v>
          </cell>
          <cell r="R802">
            <v>3.3591623137209599</v>
          </cell>
          <cell r="S802">
            <v>3.3591623137209599</v>
          </cell>
          <cell r="T802">
            <v>3.3591623137209599</v>
          </cell>
          <cell r="U802">
            <v>3.3591623137209599</v>
          </cell>
        </row>
        <row r="803">
          <cell r="E803" t="str">
            <v>Propane</v>
          </cell>
          <cell r="K803">
            <v>13.396871273564102</v>
          </cell>
          <cell r="L803">
            <v>27.8413380552951</v>
          </cell>
          <cell r="M803">
            <v>47.012111104128799</v>
          </cell>
          <cell r="N803">
            <v>59.093424752308799</v>
          </cell>
          <cell r="O803">
            <v>67.870915586325594</v>
          </cell>
          <cell r="P803">
            <v>71.452462793724607</v>
          </cell>
          <cell r="Q803">
            <v>74.057171945186894</v>
          </cell>
          <cell r="R803">
            <v>75.465710440620697</v>
          </cell>
          <cell r="S803">
            <v>77.119170702216906</v>
          </cell>
          <cell r="T803">
            <v>77.119170702216906</v>
          </cell>
          <cell r="U803">
            <v>77.119170702216906</v>
          </cell>
        </row>
        <row r="804">
          <cell r="E804" t="str">
            <v>Refinery Fuel Gas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</row>
        <row r="805">
          <cell r="E805" t="str">
            <v>Solid Biomass</v>
          </cell>
          <cell r="K805">
            <v>1.5054207166802769</v>
          </cell>
          <cell r="L805">
            <v>1.22168905950096</v>
          </cell>
          <cell r="M805">
            <v>0.37049408796290201</v>
          </cell>
          <cell r="N805">
            <v>0.37049408796290201</v>
          </cell>
          <cell r="O805">
            <v>0.37049408796290201</v>
          </cell>
          <cell r="P805">
            <v>0.37049408796290201</v>
          </cell>
          <cell r="Q805">
            <v>0.37049408796290201</v>
          </cell>
          <cell r="R805">
            <v>0.37049408796290201</v>
          </cell>
          <cell r="S805">
            <v>0.37049408796290201</v>
          </cell>
          <cell r="T805">
            <v>0.37049408796290201</v>
          </cell>
          <cell r="U805">
            <v>0.37049408796290201</v>
          </cell>
        </row>
        <row r="806">
          <cell r="E806" t="str">
            <v>Uranium</v>
          </cell>
          <cell r="K806">
            <v>0.15835207918590033</v>
          </cell>
          <cell r="L806">
            <v>0.157112434</v>
          </cell>
          <cell r="M806">
            <v>0.15339349844229899</v>
          </cell>
          <cell r="N806">
            <v>0.15339349844229899</v>
          </cell>
          <cell r="O806">
            <v>0.15339349844229899</v>
          </cell>
          <cell r="P806">
            <v>0.15339349844229899</v>
          </cell>
          <cell r="Q806">
            <v>0.15339349844229899</v>
          </cell>
          <cell r="R806">
            <v>0.15339349844229899</v>
          </cell>
          <cell r="S806">
            <v>0.15339349844229899</v>
          </cell>
          <cell r="T806">
            <v>0.15339349844229899</v>
          </cell>
          <cell r="U806">
            <v>0.15339349844229899</v>
          </cell>
        </row>
        <row r="807">
          <cell r="E807" t="str">
            <v>Waste Fuel</v>
          </cell>
          <cell r="K807">
            <v>1.0445441458733233</v>
          </cell>
          <cell r="L807">
            <v>1.05676103646833</v>
          </cell>
          <cell r="M807">
            <v>1.0934117082533501</v>
          </cell>
          <cell r="N807">
            <v>1.0934117082533501</v>
          </cell>
          <cell r="O807">
            <v>1.0934117082533501</v>
          </cell>
          <cell r="P807">
            <v>1.0934117082533501</v>
          </cell>
          <cell r="Q807">
            <v>1.0934117082533501</v>
          </cell>
          <cell r="R807">
            <v>1.0934117082533501</v>
          </cell>
          <cell r="S807">
            <v>1.0934117082533501</v>
          </cell>
          <cell r="T807">
            <v>1.0934117082533501</v>
          </cell>
          <cell r="U807">
            <v>1.0934117082533501</v>
          </cell>
        </row>
        <row r="809">
          <cell r="K809">
            <v>1.280373831775701</v>
          </cell>
        </row>
      </sheetData>
      <sheetData sheetId="3">
        <row r="2">
          <cell r="L2">
            <v>2000</v>
          </cell>
          <cell r="M2">
            <v>2005</v>
          </cell>
          <cell r="N2">
            <v>2010</v>
          </cell>
          <cell r="O2">
            <v>2015</v>
          </cell>
          <cell r="P2">
            <v>2020</v>
          </cell>
          <cell r="Q2">
            <v>2025</v>
          </cell>
          <cell r="R2">
            <v>2030</v>
          </cell>
          <cell r="S2">
            <v>2035</v>
          </cell>
          <cell r="T2">
            <v>2040</v>
          </cell>
          <cell r="U2">
            <v>2045</v>
          </cell>
        </row>
        <row r="11"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30</v>
          </cell>
          <cell r="Q11">
            <v>68.341643330825832</v>
          </cell>
          <cell r="R11">
            <v>100.32134973994673</v>
          </cell>
          <cell r="S11">
            <v>82.639006798408047</v>
          </cell>
          <cell r="T11">
            <v>67.75892127087694</v>
          </cell>
          <cell r="U11">
            <v>55.57940835560332</v>
          </cell>
        </row>
        <row r="12"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30</v>
          </cell>
          <cell r="Q12">
            <v>68.341643330825832</v>
          </cell>
          <cell r="R12">
            <v>100.32134973994673</v>
          </cell>
          <cell r="S12">
            <v>82.639006798408047</v>
          </cell>
          <cell r="T12">
            <v>67.75892127087694</v>
          </cell>
          <cell r="U12">
            <v>55.57940835560332</v>
          </cell>
        </row>
        <row r="13"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30</v>
          </cell>
          <cell r="Q13">
            <v>68.341643330825832</v>
          </cell>
          <cell r="R13">
            <v>100.32134973994673</v>
          </cell>
          <cell r="S13">
            <v>82.639006798408047</v>
          </cell>
          <cell r="T13">
            <v>67.75892127087694</v>
          </cell>
          <cell r="U13">
            <v>55.57940835560332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30</v>
          </cell>
          <cell r="Q14">
            <v>68.341643330825832</v>
          </cell>
          <cell r="R14">
            <v>100.32134973994673</v>
          </cell>
          <cell r="S14">
            <v>82.639006798408047</v>
          </cell>
          <cell r="T14">
            <v>67.75892127087694</v>
          </cell>
          <cell r="U14">
            <v>55.57940835560332</v>
          </cell>
        </row>
        <row r="15"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30</v>
          </cell>
          <cell r="Q15">
            <v>68.341643330825832</v>
          </cell>
          <cell r="R15">
            <v>100.32134973994673</v>
          </cell>
          <cell r="S15">
            <v>82.639006798408047</v>
          </cell>
          <cell r="T15">
            <v>67.75892127087694</v>
          </cell>
          <cell r="U15">
            <v>55.57940835560332</v>
          </cell>
        </row>
        <row r="16"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30</v>
          </cell>
          <cell r="Q16">
            <v>68.341643330825832</v>
          </cell>
          <cell r="R16">
            <v>100.32134973994673</v>
          </cell>
          <cell r="S16">
            <v>82.639006798408047</v>
          </cell>
          <cell r="T16">
            <v>67.75892127087694</v>
          </cell>
          <cell r="U16">
            <v>55.57940835560332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30</v>
          </cell>
          <cell r="Q17">
            <v>68.341643330825832</v>
          </cell>
          <cell r="R17">
            <v>100.32134973994673</v>
          </cell>
          <cell r="S17">
            <v>82.639006798408047</v>
          </cell>
          <cell r="T17">
            <v>67.75892127087694</v>
          </cell>
          <cell r="U17">
            <v>55.57940835560332</v>
          </cell>
        </row>
        <row r="18"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30</v>
          </cell>
          <cell r="Q18">
            <v>68.341643330825832</v>
          </cell>
          <cell r="R18">
            <v>100.32134973994673</v>
          </cell>
          <cell r="S18">
            <v>82.639006798408047</v>
          </cell>
          <cell r="T18">
            <v>67.75892127087694</v>
          </cell>
          <cell r="U18">
            <v>55.57940835560332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30</v>
          </cell>
          <cell r="Q19">
            <v>68.341643330825832</v>
          </cell>
          <cell r="R19">
            <v>100.32134973994671</v>
          </cell>
          <cell r="S19">
            <v>82.639006798408047</v>
          </cell>
          <cell r="T19">
            <v>67.75892127087694</v>
          </cell>
          <cell r="U19">
            <v>55.579408355603313</v>
          </cell>
        </row>
      </sheetData>
      <sheetData sheetId="4">
        <row r="29">
          <cell r="K29">
            <v>543.37060000000008</v>
          </cell>
          <cell r="L29">
            <v>543.37060000000008</v>
          </cell>
          <cell r="M29">
            <v>574.17809999999997</v>
          </cell>
          <cell r="N29">
            <v>613.23760000000016</v>
          </cell>
          <cell r="O29">
            <v>636.72400000000005</v>
          </cell>
          <cell r="P29">
            <v>696.08360000000005</v>
          </cell>
          <cell r="Q29">
            <v>740.51959999999997</v>
          </cell>
          <cell r="R29">
            <v>783.98540000000003</v>
          </cell>
          <cell r="S29">
            <v>820.61850000000004</v>
          </cell>
          <cell r="T29">
            <v>848.47109999999986</v>
          </cell>
          <cell r="U29">
            <v>868.79339999999991</v>
          </cell>
        </row>
        <row r="30">
          <cell r="K30">
            <v>63.412999999999997</v>
          </cell>
          <cell r="L30">
            <v>63.412999999999997</v>
          </cell>
          <cell r="M30">
            <v>67.615200000000002</v>
          </cell>
          <cell r="N30">
            <v>66.038399999999996</v>
          </cell>
          <cell r="O30">
            <v>72.575999999999993</v>
          </cell>
          <cell r="P30">
            <v>77.363600000000005</v>
          </cell>
          <cell r="Q30">
            <v>84.932400000000001</v>
          </cell>
          <cell r="R30">
            <v>93.104699999999994</v>
          </cell>
          <cell r="S30">
            <v>100.25830000000001</v>
          </cell>
          <cell r="T30">
            <v>107.2743</v>
          </cell>
          <cell r="U30">
            <v>114.625</v>
          </cell>
        </row>
        <row r="31">
          <cell r="K31">
            <v>27.968699999999998</v>
          </cell>
          <cell r="L31">
            <v>27.968699999999998</v>
          </cell>
          <cell r="M31">
            <v>32.654899999999998</v>
          </cell>
          <cell r="N31">
            <v>35.613</v>
          </cell>
          <cell r="O31">
            <v>42.856900000000003</v>
          </cell>
          <cell r="P31">
            <v>42.3142</v>
          </cell>
          <cell r="Q31">
            <v>49.173900000000003</v>
          </cell>
          <cell r="R31">
            <v>58.674999999999997</v>
          </cell>
          <cell r="S31">
            <v>70.191400000000002</v>
          </cell>
          <cell r="T31">
            <v>81.147400000000005</v>
          </cell>
          <cell r="U31">
            <v>90.575599999999994</v>
          </cell>
        </row>
        <row r="32">
          <cell r="K32">
            <v>10.432</v>
          </cell>
          <cell r="L32">
            <v>10.432</v>
          </cell>
          <cell r="M32">
            <v>11.819900000000001</v>
          </cell>
          <cell r="N32">
            <v>12.962</v>
          </cell>
          <cell r="O32">
            <v>13.183999999999999</v>
          </cell>
          <cell r="P32">
            <v>14.924799999999999</v>
          </cell>
          <cell r="Q32">
            <v>17.018000000000001</v>
          </cell>
          <cell r="R32">
            <v>19.357900000000001</v>
          </cell>
          <cell r="S32">
            <v>22.013200000000001</v>
          </cell>
          <cell r="T32">
            <v>24.571899999999999</v>
          </cell>
          <cell r="U32">
            <v>26.4907</v>
          </cell>
        </row>
        <row r="33">
          <cell r="K33">
            <v>22.45</v>
          </cell>
          <cell r="L33">
            <v>22.45</v>
          </cell>
          <cell r="M33">
            <v>27.494</v>
          </cell>
          <cell r="N33">
            <v>29.718</v>
          </cell>
          <cell r="O33">
            <v>31.786999999999999</v>
          </cell>
          <cell r="P33">
            <v>35.565199999999997</v>
          </cell>
          <cell r="Q33">
            <v>38.142299999999999</v>
          </cell>
          <cell r="R33">
            <v>40.138100000000001</v>
          </cell>
          <cell r="S33">
            <v>41.579300000000003</v>
          </cell>
          <cell r="T33">
            <v>42.563699999999997</v>
          </cell>
          <cell r="U33">
            <v>43.082700000000003</v>
          </cell>
        </row>
        <row r="34">
          <cell r="K34">
            <v>164.268</v>
          </cell>
          <cell r="L34">
            <v>164.268</v>
          </cell>
          <cell r="M34">
            <v>169.798</v>
          </cell>
          <cell r="N34">
            <v>171.27500000000001</v>
          </cell>
          <cell r="O34">
            <v>165.71700000000001</v>
          </cell>
          <cell r="P34">
            <v>192.03290000000001</v>
          </cell>
          <cell r="Q34">
            <v>212.98769999999999</v>
          </cell>
          <cell r="R34">
            <v>235.96109999999999</v>
          </cell>
          <cell r="S34">
            <v>255.95249999999999</v>
          </cell>
          <cell r="T34">
            <v>270.59249999999997</v>
          </cell>
          <cell r="U34">
            <v>279.87709999999998</v>
          </cell>
        </row>
        <row r="35">
          <cell r="K35">
            <v>206.31100000000001</v>
          </cell>
          <cell r="L35">
            <v>206.31100000000001</v>
          </cell>
          <cell r="M35">
            <v>216.06200000000001</v>
          </cell>
          <cell r="N35">
            <v>242.87610000000001</v>
          </cell>
          <cell r="O35">
            <v>255.279</v>
          </cell>
          <cell r="P35">
            <v>271.57819999999998</v>
          </cell>
          <cell r="Q35">
            <v>272.7269</v>
          </cell>
          <cell r="R35">
            <v>269.40989999999999</v>
          </cell>
          <cell r="S35">
            <v>262.93360000000001</v>
          </cell>
          <cell r="T35">
            <v>255.1968</v>
          </cell>
          <cell r="U35">
            <v>247.94</v>
          </cell>
        </row>
        <row r="36">
          <cell r="K36">
            <v>19.864899999999999</v>
          </cell>
          <cell r="L36">
            <v>19.864899999999999</v>
          </cell>
          <cell r="M36">
            <v>18.729900000000001</v>
          </cell>
          <cell r="N36">
            <v>21.169</v>
          </cell>
          <cell r="O36">
            <v>20.66</v>
          </cell>
          <cell r="P36">
            <v>23.2225</v>
          </cell>
          <cell r="Q36">
            <v>24.374500000000001</v>
          </cell>
          <cell r="R36">
            <v>24.7056</v>
          </cell>
          <cell r="S36">
            <v>24.485199999999999</v>
          </cell>
          <cell r="T36">
            <v>23.939599999999999</v>
          </cell>
          <cell r="U36">
            <v>23.237500000000001</v>
          </cell>
        </row>
        <row r="37">
          <cell r="K37">
            <v>14.86</v>
          </cell>
          <cell r="L37">
            <v>14.86</v>
          </cell>
          <cell r="M37">
            <v>14.992000000000001</v>
          </cell>
          <cell r="N37">
            <v>15.831</v>
          </cell>
          <cell r="O37">
            <v>17.183</v>
          </cell>
          <cell r="P37">
            <v>19.872699999999998</v>
          </cell>
          <cell r="Q37">
            <v>21.3809</v>
          </cell>
          <cell r="R37">
            <v>22.695799999999998</v>
          </cell>
          <cell r="S37">
            <v>23.627800000000001</v>
          </cell>
          <cell r="T37">
            <v>24.084800000000001</v>
          </cell>
          <cell r="U37">
            <v>24.302199999999999</v>
          </cell>
        </row>
        <row r="38">
          <cell r="K38">
            <v>0.57799999999999996</v>
          </cell>
          <cell r="L38">
            <v>0.57799999999999996</v>
          </cell>
          <cell r="M38">
            <v>0.63600000000000001</v>
          </cell>
          <cell r="N38">
            <v>0.81610000000000005</v>
          </cell>
          <cell r="O38">
            <v>0.98899999999999999</v>
          </cell>
          <cell r="P38">
            <v>1.1167</v>
          </cell>
          <cell r="Q38">
            <v>1.2729999999999999</v>
          </cell>
          <cell r="R38">
            <v>1.4419</v>
          </cell>
          <cell r="S38">
            <v>1.6146</v>
          </cell>
          <cell r="T38">
            <v>1.8129999999999999</v>
          </cell>
          <cell r="U38">
            <v>2.0265</v>
          </cell>
        </row>
        <row r="39">
          <cell r="K39">
            <v>12.1709</v>
          </cell>
          <cell r="L39">
            <v>12.1709</v>
          </cell>
          <cell r="M39">
            <v>13.212999999999999</v>
          </cell>
          <cell r="N39">
            <v>15.714</v>
          </cell>
          <cell r="O39">
            <v>15.1</v>
          </cell>
          <cell r="P39">
            <v>16.584199999999999</v>
          </cell>
          <cell r="Q39">
            <v>16.961099999999998</v>
          </cell>
          <cell r="R39">
            <v>16.902899999999999</v>
          </cell>
          <cell r="S39">
            <v>16.3049</v>
          </cell>
          <cell r="T39">
            <v>15.5585</v>
          </cell>
          <cell r="U39">
            <v>14.8294</v>
          </cell>
        </row>
        <row r="40">
          <cell r="K40">
            <v>0.433</v>
          </cell>
          <cell r="L40">
            <v>0.433</v>
          </cell>
          <cell r="M40">
            <v>0.5131</v>
          </cell>
          <cell r="N40">
            <v>0.58699999999999997</v>
          </cell>
          <cell r="O40">
            <v>0.72899999999999998</v>
          </cell>
          <cell r="P40">
            <v>0.85719999999999996</v>
          </cell>
          <cell r="Q40">
            <v>0.88319999999999999</v>
          </cell>
          <cell r="R40">
            <v>0.90069999999999995</v>
          </cell>
          <cell r="S40">
            <v>0.92789999999999995</v>
          </cell>
          <cell r="T40">
            <v>0.95789999999999997</v>
          </cell>
          <cell r="U40">
            <v>0.9929</v>
          </cell>
        </row>
        <row r="41">
          <cell r="K41">
            <v>0.40799999999999997</v>
          </cell>
          <cell r="L41">
            <v>0.40799999999999997</v>
          </cell>
          <cell r="M41">
            <v>0.40699999999999997</v>
          </cell>
          <cell r="N41">
            <v>0.39700000000000002</v>
          </cell>
          <cell r="O41">
            <v>0.41099999999999998</v>
          </cell>
          <cell r="P41">
            <v>0.38879999999999998</v>
          </cell>
          <cell r="Q41">
            <v>0.39190000000000003</v>
          </cell>
          <cell r="R41">
            <v>0.40550000000000003</v>
          </cell>
          <cell r="S41">
            <v>0.42599999999999999</v>
          </cell>
          <cell r="T41">
            <v>0.44840000000000002</v>
          </cell>
          <cell r="U41">
            <v>0.47210000000000002</v>
          </cell>
        </row>
        <row r="42">
          <cell r="K42">
            <v>0.21310000000000001</v>
          </cell>
          <cell r="L42">
            <v>0.21310000000000001</v>
          </cell>
          <cell r="M42">
            <v>0.24310000000000001</v>
          </cell>
          <cell r="N42">
            <v>0.24099999999999999</v>
          </cell>
          <cell r="O42">
            <v>0.25209999999999999</v>
          </cell>
          <cell r="P42">
            <v>0.2626</v>
          </cell>
          <cell r="Q42">
            <v>0.27379999999999999</v>
          </cell>
          <cell r="R42">
            <v>0.2863</v>
          </cell>
          <cell r="S42">
            <v>0.30380000000000001</v>
          </cell>
          <cell r="T42">
            <v>0.32229999999999998</v>
          </cell>
          <cell r="U42">
            <v>0.3417</v>
          </cell>
        </row>
        <row r="43">
          <cell r="K43">
            <v>11.868449999999999</v>
          </cell>
          <cell r="L43">
            <v>11.868449999999999</v>
          </cell>
          <cell r="M43">
            <v>11.892725000000002</v>
          </cell>
          <cell r="N43">
            <v>13.382524999999999</v>
          </cell>
          <cell r="O43">
            <v>13.483000000000001</v>
          </cell>
          <cell r="P43">
            <v>15.199024999999999</v>
          </cell>
          <cell r="Q43">
            <v>15.997375000000002</v>
          </cell>
          <cell r="R43">
            <v>16.436549999999997</v>
          </cell>
          <cell r="S43">
            <v>16.508125</v>
          </cell>
          <cell r="T43">
            <v>16.348974999999999</v>
          </cell>
          <cell r="U43">
            <v>16.0989</v>
          </cell>
        </row>
        <row r="44">
          <cell r="K44">
            <v>0.35136666666666666</v>
          </cell>
          <cell r="L44">
            <v>0.35136666666666666</v>
          </cell>
          <cell r="M44">
            <v>0.38773333333333332</v>
          </cell>
          <cell r="N44">
            <v>0.40833333333333338</v>
          </cell>
          <cell r="O44">
            <v>0.4640333333333333</v>
          </cell>
          <cell r="P44">
            <v>0.50286666666666668</v>
          </cell>
          <cell r="Q44">
            <v>0.51630000000000009</v>
          </cell>
          <cell r="R44">
            <v>0.53083333333333338</v>
          </cell>
          <cell r="S44">
            <v>0.55256666666666665</v>
          </cell>
          <cell r="T44">
            <v>0.57619999999999993</v>
          </cell>
          <cell r="U44">
            <v>0.6022333333333334</v>
          </cell>
        </row>
        <row r="45">
          <cell r="K45">
            <v>646.60209999999984</v>
          </cell>
          <cell r="L45">
            <v>646.60209999999984</v>
          </cell>
          <cell r="M45">
            <v>617.99019999999985</v>
          </cell>
          <cell r="N45">
            <v>676.32379999999989</v>
          </cell>
          <cell r="O45">
            <v>650.42499999999995</v>
          </cell>
          <cell r="P45">
            <v>616.45600000000002</v>
          </cell>
          <cell r="Q45">
            <v>527.50090000000012</v>
          </cell>
          <cell r="R45">
            <v>431.95420000000007</v>
          </cell>
          <cell r="S45">
            <v>331.63990000000001</v>
          </cell>
          <cell r="T45">
            <v>239.43590000000003</v>
          </cell>
          <cell r="U45">
            <v>175.47899999999998</v>
          </cell>
        </row>
        <row r="46">
          <cell r="K46">
            <v>79.057000000000002</v>
          </cell>
          <cell r="L46">
            <v>79.057000000000002</v>
          </cell>
          <cell r="M46">
            <v>67.221000000000004</v>
          </cell>
          <cell r="N46">
            <v>72.876900000000006</v>
          </cell>
          <cell r="O46">
            <v>81.649000000000001</v>
          </cell>
          <cell r="P46">
            <v>66.180099999999996</v>
          </cell>
          <cell r="Q46">
            <v>49.2059</v>
          </cell>
          <cell r="R46">
            <v>41.054900000000004</v>
          </cell>
          <cell r="S46">
            <v>32.504399999999997</v>
          </cell>
          <cell r="T46">
            <v>25.022600000000001</v>
          </cell>
          <cell r="U46">
            <v>19.386700000000001</v>
          </cell>
        </row>
        <row r="47">
          <cell r="K47">
            <v>146.89099999999999</v>
          </cell>
          <cell r="L47">
            <v>146.89099999999999</v>
          </cell>
          <cell r="M47">
            <v>160.02699999999999</v>
          </cell>
          <cell r="N47">
            <v>162.80699999999999</v>
          </cell>
          <cell r="O47">
            <v>169.99709999999999</v>
          </cell>
          <cell r="P47">
            <v>172.17080000000001</v>
          </cell>
          <cell r="Q47">
            <v>160.3272</v>
          </cell>
          <cell r="R47">
            <v>137.7285</v>
          </cell>
          <cell r="S47">
            <v>107.38760000000001</v>
          </cell>
          <cell r="T47">
            <v>82.816199999999995</v>
          </cell>
          <cell r="U47">
            <v>62.484099999999998</v>
          </cell>
        </row>
        <row r="48">
          <cell r="K48">
            <v>29.418099999999999</v>
          </cell>
          <cell r="L48">
            <v>29.418099999999999</v>
          </cell>
          <cell r="M48">
            <v>35.966000000000001</v>
          </cell>
          <cell r="N48">
            <v>34.4589</v>
          </cell>
          <cell r="O48">
            <v>38.249000000000002</v>
          </cell>
          <cell r="P48">
            <v>39.5852</v>
          </cell>
          <cell r="Q48">
            <v>36.449599999999997</v>
          </cell>
          <cell r="R48">
            <v>31.787099999999999</v>
          </cell>
          <cell r="S48">
            <v>26.2956</v>
          </cell>
          <cell r="T48">
            <v>20.882999999999999</v>
          </cell>
          <cell r="U48">
            <v>16.277899999999999</v>
          </cell>
        </row>
        <row r="49">
          <cell r="K49">
            <v>20.736999999999998</v>
          </cell>
          <cell r="L49">
            <v>20.736999999999998</v>
          </cell>
          <cell r="M49">
            <v>18.628</v>
          </cell>
          <cell r="N49">
            <v>19.815100000000001</v>
          </cell>
          <cell r="O49">
            <v>22.2239</v>
          </cell>
          <cell r="P49">
            <v>19.6248</v>
          </cell>
          <cell r="Q49">
            <v>16.1889</v>
          </cell>
          <cell r="R49">
            <v>12.7796</v>
          </cell>
          <cell r="S49">
            <v>9.6485000000000003</v>
          </cell>
          <cell r="T49">
            <v>6.9878</v>
          </cell>
          <cell r="U49">
            <v>4.9722999999999997</v>
          </cell>
        </row>
        <row r="50">
          <cell r="K50">
            <v>342.5421</v>
          </cell>
          <cell r="L50">
            <v>342.5421</v>
          </cell>
          <cell r="M50">
            <v>312.59399999999999</v>
          </cell>
          <cell r="N50">
            <v>362.71899999999999</v>
          </cell>
          <cell r="O50">
            <v>311.61599999999999</v>
          </cell>
          <cell r="P50">
            <v>296.15800000000002</v>
          </cell>
          <cell r="Q50">
            <v>247.89080000000001</v>
          </cell>
          <cell r="R50">
            <v>195.5147</v>
          </cell>
          <cell r="S50">
            <v>146.39779999999999</v>
          </cell>
          <cell r="T50">
            <v>97.172600000000003</v>
          </cell>
          <cell r="U50">
            <v>67.754400000000004</v>
          </cell>
        </row>
        <row r="51">
          <cell r="K51">
            <v>27.007899999999999</v>
          </cell>
          <cell r="L51">
            <v>27.007899999999999</v>
          </cell>
          <cell r="M51">
            <v>22.457000000000001</v>
          </cell>
          <cell r="N51">
            <v>22.680900000000001</v>
          </cell>
          <cell r="O51">
            <v>25.734999999999999</v>
          </cell>
          <cell r="P51">
            <v>21.876799999999999</v>
          </cell>
          <cell r="Q51">
            <v>16.723099999999999</v>
          </cell>
          <cell r="R51">
            <v>12.529400000000001</v>
          </cell>
          <cell r="S51">
            <v>8.9894999999999996</v>
          </cell>
          <cell r="T51">
            <v>6.2549999999999999</v>
          </cell>
          <cell r="U51">
            <v>4.3926999999999996</v>
          </cell>
        </row>
        <row r="52">
          <cell r="K52">
            <v>0.76500000000000001</v>
          </cell>
          <cell r="L52">
            <v>0.76500000000000001</v>
          </cell>
          <cell r="M52">
            <v>0.51200000000000001</v>
          </cell>
          <cell r="N52">
            <v>0.63</v>
          </cell>
          <cell r="O52">
            <v>0.58399999999999996</v>
          </cell>
          <cell r="P52">
            <v>0.54020000000000001</v>
          </cell>
          <cell r="Q52">
            <v>0.44700000000000001</v>
          </cell>
          <cell r="R52">
            <v>0.3448</v>
          </cell>
          <cell r="S52">
            <v>0.25080000000000002</v>
          </cell>
          <cell r="T52">
            <v>0.17580000000000001</v>
          </cell>
          <cell r="U52">
            <v>0.1231</v>
          </cell>
        </row>
        <row r="53">
          <cell r="K53">
            <v>0</v>
          </cell>
          <cell r="L53">
            <v>0</v>
          </cell>
          <cell r="M53">
            <v>0.2311</v>
          </cell>
          <cell r="N53">
            <v>0.25</v>
          </cell>
          <cell r="O53">
            <v>0.29809999999999998</v>
          </cell>
          <cell r="P53">
            <v>0.30719999999999997</v>
          </cell>
          <cell r="Q53">
            <v>0.26129999999999998</v>
          </cell>
          <cell r="R53">
            <v>0.2114</v>
          </cell>
          <cell r="S53">
            <v>0.1636</v>
          </cell>
          <cell r="T53">
            <v>0.1217</v>
          </cell>
          <cell r="U53">
            <v>8.7300000000000003E-2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K57">
            <v>0.184</v>
          </cell>
          <cell r="L57">
            <v>0.184</v>
          </cell>
          <cell r="M57">
            <v>0.35410000000000003</v>
          </cell>
          <cell r="N57">
            <v>8.5999999999999993E-2</v>
          </cell>
          <cell r="O57">
            <v>7.2900000000000006E-2</v>
          </cell>
          <cell r="P57">
            <v>1.29E-2</v>
          </cell>
          <cell r="Q57">
            <v>7.1000000000000004E-3</v>
          </cell>
          <cell r="R57">
            <v>3.8E-3</v>
          </cell>
          <cell r="S57">
            <v>2.0999999999999999E-3</v>
          </cell>
          <cell r="T57">
            <v>1.1999999999999999E-3</v>
          </cell>
          <cell r="U57">
            <v>5.0000000000000001E-4</v>
          </cell>
        </row>
        <row r="58"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K59">
            <v>0.19125</v>
          </cell>
          <cell r="L59">
            <v>0.19125</v>
          </cell>
          <cell r="M59">
            <v>0.185775</v>
          </cell>
          <cell r="N59">
            <v>0.22</v>
          </cell>
          <cell r="O59">
            <v>0.22052499999999997</v>
          </cell>
          <cell r="P59">
            <v>0.21184999999999998</v>
          </cell>
          <cell r="Q59">
            <v>0.17707499999999998</v>
          </cell>
          <cell r="R59">
            <v>0.13905000000000001</v>
          </cell>
          <cell r="S59">
            <v>0.1036</v>
          </cell>
          <cell r="T59">
            <v>7.4374999999999997E-2</v>
          </cell>
          <cell r="U59">
            <v>5.2600000000000001E-2</v>
          </cell>
        </row>
        <row r="60">
          <cell r="K60">
            <v>6.133333333333333E-2</v>
          </cell>
          <cell r="L60">
            <v>6.133333333333333E-2</v>
          </cell>
          <cell r="M60">
            <v>0.11803333333333334</v>
          </cell>
          <cell r="N60">
            <v>2.8666666666666663E-2</v>
          </cell>
          <cell r="O60">
            <v>2.4300000000000002E-2</v>
          </cell>
          <cell r="P60">
            <v>4.3E-3</v>
          </cell>
          <cell r="Q60">
            <v>2.3666666666666667E-3</v>
          </cell>
          <cell r="R60">
            <v>1.2666666666666666E-3</v>
          </cell>
          <cell r="S60">
            <v>6.9999999999999999E-4</v>
          </cell>
          <cell r="T60">
            <v>3.9999999999999996E-4</v>
          </cell>
          <cell r="U60">
            <v>1.6666666666666666E-4</v>
          </cell>
        </row>
        <row r="61">
          <cell r="K61">
            <v>138.92420000000001</v>
          </cell>
          <cell r="L61">
            <v>138.92420000000001</v>
          </cell>
          <cell r="M61">
            <v>120.87720000000002</v>
          </cell>
          <cell r="N61">
            <v>84.262500000000003</v>
          </cell>
          <cell r="O61">
            <v>62.07</v>
          </cell>
          <cell r="P61">
            <v>47.509</v>
          </cell>
          <cell r="Q61">
            <v>36.589500000000001</v>
          </cell>
          <cell r="R61">
            <v>27.174200000000003</v>
          </cell>
          <cell r="S61">
            <v>19.427900000000001</v>
          </cell>
          <cell r="T61">
            <v>13.525399999999998</v>
          </cell>
          <cell r="U61">
            <v>9.213099999999999</v>
          </cell>
        </row>
        <row r="62">
          <cell r="K62">
            <v>4.3559999999999999</v>
          </cell>
          <cell r="L62">
            <v>4.3559999999999999</v>
          </cell>
          <cell r="M62">
            <v>2.6728999999999998</v>
          </cell>
          <cell r="N62">
            <v>1.0529999999999999</v>
          </cell>
          <cell r="O62">
            <v>1.016</v>
          </cell>
          <cell r="P62">
            <v>0.82530000000000003</v>
          </cell>
          <cell r="Q62">
            <v>0.56379999999999997</v>
          </cell>
          <cell r="R62">
            <v>0.372</v>
          </cell>
          <cell r="S62">
            <v>0.23960000000000001</v>
          </cell>
          <cell r="T62">
            <v>0.15190000000000001</v>
          </cell>
          <cell r="U62">
            <v>9.5100000000000004E-2</v>
          </cell>
        </row>
        <row r="63">
          <cell r="K63">
            <v>1.218</v>
          </cell>
          <cell r="L63">
            <v>1.218</v>
          </cell>
          <cell r="M63">
            <v>1.62</v>
          </cell>
          <cell r="N63">
            <v>1.7241</v>
          </cell>
          <cell r="O63">
            <v>1.7689999999999999</v>
          </cell>
          <cell r="P63">
            <v>1.5396000000000001</v>
          </cell>
          <cell r="Q63">
            <v>1.1282000000000001</v>
          </cell>
          <cell r="R63">
            <v>0.76380000000000003</v>
          </cell>
          <cell r="S63">
            <v>0.49730000000000002</v>
          </cell>
          <cell r="T63">
            <v>0.31819999999999998</v>
          </cell>
          <cell r="U63">
            <v>0.20100000000000001</v>
          </cell>
        </row>
        <row r="64">
          <cell r="K64">
            <v>1.016</v>
          </cell>
          <cell r="L64">
            <v>1.016</v>
          </cell>
          <cell r="M64">
            <v>0.9</v>
          </cell>
          <cell r="N64">
            <v>0.68700000000000006</v>
          </cell>
          <cell r="O64">
            <v>0.372</v>
          </cell>
          <cell r="P64">
            <v>0.2195</v>
          </cell>
          <cell r="Q64">
            <v>0.14119999999999999</v>
          </cell>
          <cell r="R64">
            <v>8.8999999999999996E-2</v>
          </cell>
          <cell r="S64">
            <v>5.5199999999999999E-2</v>
          </cell>
          <cell r="T64">
            <v>3.39E-2</v>
          </cell>
          <cell r="U64">
            <v>2.07E-2</v>
          </cell>
        </row>
        <row r="65">
          <cell r="K65">
            <v>0.3901</v>
          </cell>
          <cell r="L65">
            <v>0.3901</v>
          </cell>
          <cell r="M65">
            <v>0.50800000000000001</v>
          </cell>
          <cell r="N65">
            <v>0.37209999999999999</v>
          </cell>
          <cell r="O65">
            <v>0.49220000000000003</v>
          </cell>
          <cell r="P65">
            <v>0.3014</v>
          </cell>
          <cell r="Q65">
            <v>0.21679999999999999</v>
          </cell>
          <cell r="R65">
            <v>0.14799999999999999</v>
          </cell>
          <cell r="S65">
            <v>9.8199999999999996E-2</v>
          </cell>
          <cell r="T65">
            <v>6.4000000000000001E-2</v>
          </cell>
          <cell r="U65">
            <v>4.1099999999999998E-2</v>
          </cell>
        </row>
        <row r="66">
          <cell r="K66">
            <v>41.999099999999999</v>
          </cell>
          <cell r="L66">
            <v>41.999099999999999</v>
          </cell>
          <cell r="M66">
            <v>37.487000000000002</v>
          </cell>
          <cell r="N66">
            <v>25.202100000000002</v>
          </cell>
          <cell r="O66">
            <v>16.2529</v>
          </cell>
          <cell r="P66">
            <v>10.5489</v>
          </cell>
          <cell r="Q66">
            <v>7.6890999999999998</v>
          </cell>
          <cell r="R66">
            <v>5.3053999999999997</v>
          </cell>
          <cell r="S66">
            <v>3.5173000000000001</v>
          </cell>
          <cell r="T66">
            <v>2.2763</v>
          </cell>
          <cell r="U66">
            <v>1.4487000000000001</v>
          </cell>
        </row>
        <row r="67">
          <cell r="K67">
            <v>52.942</v>
          </cell>
          <cell r="L67">
            <v>52.942</v>
          </cell>
          <cell r="M67">
            <v>33.133000000000003</v>
          </cell>
          <cell r="N67">
            <v>21.225100000000001</v>
          </cell>
          <cell r="O67">
            <v>13.255000000000001</v>
          </cell>
          <cell r="P67">
            <v>7.6585000000000001</v>
          </cell>
          <cell r="Q67">
            <v>4.8467000000000002</v>
          </cell>
          <cell r="R67">
            <v>3.0206</v>
          </cell>
          <cell r="S67">
            <v>1.8608</v>
          </cell>
          <cell r="T67">
            <v>1.1353</v>
          </cell>
          <cell r="U67">
            <v>0.68720000000000003</v>
          </cell>
        </row>
        <row r="68">
          <cell r="K68">
            <v>8.7760999999999996</v>
          </cell>
          <cell r="L68">
            <v>8.7760999999999996</v>
          </cell>
          <cell r="M68">
            <v>9.9651999999999994</v>
          </cell>
          <cell r="N68">
            <v>8.1929999999999996</v>
          </cell>
          <cell r="O68">
            <v>5.31</v>
          </cell>
          <cell r="P68">
            <v>5.0884999999999998</v>
          </cell>
          <cell r="Q68">
            <v>4.0987999999999998</v>
          </cell>
          <cell r="R68">
            <v>3.0171000000000001</v>
          </cell>
          <cell r="S68">
            <v>2.0888</v>
          </cell>
          <cell r="T68">
            <v>1.3986000000000001</v>
          </cell>
          <cell r="U68">
            <v>0.91639999999999999</v>
          </cell>
        </row>
        <row r="69">
          <cell r="K69">
            <v>17.571999999999999</v>
          </cell>
          <cell r="L69">
            <v>17.571999999999999</v>
          </cell>
          <cell r="M69">
            <v>22.601099999999999</v>
          </cell>
          <cell r="N69">
            <v>17.588999999999999</v>
          </cell>
          <cell r="O69">
            <v>15.4857</v>
          </cell>
          <cell r="P69">
            <v>13.9878</v>
          </cell>
          <cell r="Q69">
            <v>11.923999999999999</v>
          </cell>
          <cell r="R69">
            <v>9.7236999999999991</v>
          </cell>
          <cell r="S69">
            <v>7.4653</v>
          </cell>
          <cell r="T69">
            <v>5.4588999999999999</v>
          </cell>
          <cell r="U69">
            <v>3.8300999999999998</v>
          </cell>
        </row>
        <row r="70">
          <cell r="K70">
            <v>4.0869</v>
          </cell>
          <cell r="L70">
            <v>4.0869</v>
          </cell>
          <cell r="M70">
            <v>4.915</v>
          </cell>
          <cell r="N70">
            <v>2.847</v>
          </cell>
          <cell r="O70">
            <v>2.6602000000000001</v>
          </cell>
          <cell r="P70">
            <v>2.5219999999999998</v>
          </cell>
          <cell r="Q70">
            <v>2.2524000000000002</v>
          </cell>
          <cell r="R70">
            <v>1.9888999999999999</v>
          </cell>
          <cell r="S70">
            <v>1.6741999999999999</v>
          </cell>
          <cell r="T70">
            <v>1.3537999999999999</v>
          </cell>
          <cell r="U70">
            <v>1.0506</v>
          </cell>
        </row>
        <row r="71">
          <cell r="K71">
            <v>4.6109</v>
          </cell>
          <cell r="L71">
            <v>4.6109</v>
          </cell>
          <cell r="M71">
            <v>5.5549999999999997</v>
          </cell>
          <cell r="N71">
            <v>4.0030000000000001</v>
          </cell>
          <cell r="O71">
            <v>4.6670999999999996</v>
          </cell>
          <cell r="P71">
            <v>4.2066999999999997</v>
          </cell>
          <cell r="Q71">
            <v>3.2926000000000002</v>
          </cell>
          <cell r="R71">
            <v>2.3948999999999998</v>
          </cell>
          <cell r="S71">
            <v>1.6377999999999999</v>
          </cell>
          <cell r="T71">
            <v>1.0823</v>
          </cell>
          <cell r="U71">
            <v>0.70089999999999997</v>
          </cell>
        </row>
        <row r="72">
          <cell r="K72">
            <v>0.65010000000000001</v>
          </cell>
          <cell r="L72">
            <v>0.65010000000000001</v>
          </cell>
          <cell r="M72">
            <v>0.45600000000000002</v>
          </cell>
          <cell r="N72">
            <v>7.3099999999999998E-2</v>
          </cell>
          <cell r="O72">
            <v>0.12590000000000001</v>
          </cell>
          <cell r="P72">
            <v>8.8499999999999995E-2</v>
          </cell>
          <cell r="Q72">
            <v>6.1100000000000002E-2</v>
          </cell>
          <cell r="R72">
            <v>4.5100000000000001E-2</v>
          </cell>
          <cell r="S72">
            <v>3.4700000000000002E-2</v>
          </cell>
          <cell r="T72">
            <v>2.7799999999999998E-2</v>
          </cell>
          <cell r="U72">
            <v>2.23E-2</v>
          </cell>
        </row>
        <row r="73">
          <cell r="K73">
            <v>1.306</v>
          </cell>
          <cell r="L73">
            <v>1.306</v>
          </cell>
          <cell r="M73">
            <v>1.0629999999999999</v>
          </cell>
          <cell r="N73">
            <v>1.2929999999999999</v>
          </cell>
          <cell r="O73">
            <v>0.66300000000000003</v>
          </cell>
          <cell r="P73">
            <v>0.52139999999999997</v>
          </cell>
          <cell r="Q73">
            <v>0.37390000000000001</v>
          </cell>
          <cell r="R73">
            <v>0.3049</v>
          </cell>
          <cell r="S73">
            <v>0.25790000000000002</v>
          </cell>
          <cell r="T73">
            <v>0.2235</v>
          </cell>
          <cell r="U73">
            <v>0.1981</v>
          </cell>
        </row>
        <row r="74">
          <cell r="K74">
            <v>1E-3</v>
          </cell>
          <cell r="L74">
            <v>1E-3</v>
          </cell>
          <cell r="M74">
            <v>1E-3</v>
          </cell>
          <cell r="N74">
            <v>1E-3</v>
          </cell>
          <cell r="O74">
            <v>1E-3</v>
          </cell>
          <cell r="P74">
            <v>8.9999999999999998E-4</v>
          </cell>
          <cell r="Q74">
            <v>8.9999999999999998E-4</v>
          </cell>
          <cell r="R74">
            <v>8.0000000000000004E-4</v>
          </cell>
          <cell r="S74">
            <v>8.0000000000000004E-4</v>
          </cell>
          <cell r="T74">
            <v>8.9999999999999998E-4</v>
          </cell>
          <cell r="U74">
            <v>8.9999999999999998E-4</v>
          </cell>
        </row>
        <row r="75">
          <cell r="K75">
            <v>8.761474999999999</v>
          </cell>
          <cell r="L75">
            <v>8.761474999999999</v>
          </cell>
          <cell r="M75">
            <v>10.759074999999999</v>
          </cell>
          <cell r="N75">
            <v>8.1579999999999995</v>
          </cell>
          <cell r="O75">
            <v>7.0307499999999994</v>
          </cell>
          <cell r="P75">
            <v>6.4512499999999999</v>
          </cell>
          <cell r="Q75">
            <v>5.3919500000000005</v>
          </cell>
          <cell r="R75">
            <v>4.2811500000000002</v>
          </cell>
          <cell r="S75">
            <v>3.2165250000000003</v>
          </cell>
          <cell r="T75">
            <v>2.3233999999999999</v>
          </cell>
          <cell r="U75">
            <v>1.6245000000000001</v>
          </cell>
        </row>
        <row r="76">
          <cell r="K76">
            <v>0.65236666666666665</v>
          </cell>
          <cell r="L76">
            <v>0.65236666666666665</v>
          </cell>
          <cell r="M76">
            <v>0.5066666666666666</v>
          </cell>
          <cell r="N76">
            <v>0.45569999999999994</v>
          </cell>
          <cell r="O76">
            <v>0.26330000000000003</v>
          </cell>
          <cell r="P76">
            <v>0.2036</v>
          </cell>
          <cell r="Q76">
            <v>0.14530000000000001</v>
          </cell>
          <cell r="R76">
            <v>0.11693333333333333</v>
          </cell>
          <cell r="S76">
            <v>9.7800000000000012E-2</v>
          </cell>
          <cell r="T76">
            <v>8.4066666666666678E-2</v>
          </cell>
          <cell r="U76">
            <v>7.3766666666666661E-2</v>
          </cell>
        </row>
        <row r="79">
          <cell r="K79">
            <v>439.42949999999996</v>
          </cell>
          <cell r="L79">
            <v>439.42949999999996</v>
          </cell>
          <cell r="M79">
            <v>454.43790000000007</v>
          </cell>
          <cell r="N79">
            <v>501.53099999999989</v>
          </cell>
          <cell r="O79">
            <v>521.36699999999996</v>
          </cell>
          <cell r="P79">
            <v>592.20890000000009</v>
          </cell>
          <cell r="Q79">
            <v>655.85950000000003</v>
          </cell>
          <cell r="R79">
            <v>725.22169999999994</v>
          </cell>
          <cell r="S79">
            <v>791.56170000000009</v>
          </cell>
          <cell r="T79">
            <v>841.88330000000008</v>
          </cell>
          <cell r="U79">
            <v>879.03399999999999</v>
          </cell>
        </row>
        <row r="80">
          <cell r="K80">
            <v>52.682000000000002</v>
          </cell>
          <cell r="L80">
            <v>52.682000000000002</v>
          </cell>
          <cell r="M80">
            <v>53.971200000000003</v>
          </cell>
          <cell r="N80">
            <v>53.951500000000003</v>
          </cell>
          <cell r="O80">
            <v>52.053400000000003</v>
          </cell>
          <cell r="P80">
            <v>62.691499999999998</v>
          </cell>
          <cell r="Q80">
            <v>70.328199999999995</v>
          </cell>
          <cell r="R80">
            <v>77.290800000000004</v>
          </cell>
          <cell r="S80">
            <v>83.101699999999994</v>
          </cell>
          <cell r="T80">
            <v>87.624799999999993</v>
          </cell>
          <cell r="U80">
            <v>92.458100000000002</v>
          </cell>
        </row>
        <row r="81">
          <cell r="K81">
            <v>45.726799999999997</v>
          </cell>
          <cell r="L81">
            <v>45.726799999999997</v>
          </cell>
          <cell r="M81">
            <v>51.133099999999999</v>
          </cell>
          <cell r="N81">
            <v>60.236800000000002</v>
          </cell>
          <cell r="O81">
            <v>60.969299999999997</v>
          </cell>
          <cell r="P81">
            <v>65.790700000000001</v>
          </cell>
          <cell r="Q81">
            <v>72.006100000000004</v>
          </cell>
          <cell r="R81">
            <v>82.334999999999994</v>
          </cell>
          <cell r="S81">
            <v>94.417299999999997</v>
          </cell>
          <cell r="T81">
            <v>104.63249999999999</v>
          </cell>
          <cell r="U81">
            <v>113.76430000000001</v>
          </cell>
        </row>
        <row r="82">
          <cell r="K82">
            <v>18.6647</v>
          </cell>
          <cell r="L82">
            <v>18.6647</v>
          </cell>
          <cell r="M82">
            <v>19.6005</v>
          </cell>
          <cell r="N82">
            <v>23.610299999999999</v>
          </cell>
          <cell r="O82">
            <v>25.475000000000001</v>
          </cell>
          <cell r="P82">
            <v>29.397600000000001</v>
          </cell>
          <cell r="Q82">
            <v>31.809799999999999</v>
          </cell>
          <cell r="R82">
            <v>34.305599999999998</v>
          </cell>
          <cell r="S82">
            <v>36.258899999999997</v>
          </cell>
          <cell r="T82">
            <v>37.521999999999998</v>
          </cell>
          <cell r="U82">
            <v>37.813499999999998</v>
          </cell>
        </row>
        <row r="83">
          <cell r="K83">
            <v>20.542999999999999</v>
          </cell>
          <cell r="L83">
            <v>20.542999999999999</v>
          </cell>
          <cell r="M83">
            <v>18.489000000000001</v>
          </cell>
          <cell r="N83">
            <v>24.2699</v>
          </cell>
          <cell r="O83">
            <v>24.284199999999998</v>
          </cell>
          <cell r="P83">
            <v>27.257400000000001</v>
          </cell>
          <cell r="Q83">
            <v>29.717400000000001</v>
          </cell>
          <cell r="R83">
            <v>32.0047</v>
          </cell>
          <cell r="S83">
            <v>33.355800000000002</v>
          </cell>
          <cell r="T83">
            <v>33.862400000000001</v>
          </cell>
          <cell r="U83">
            <v>33.814799999999998</v>
          </cell>
        </row>
        <row r="84">
          <cell r="K84">
            <v>142.12309999999999</v>
          </cell>
          <cell r="L84">
            <v>142.12309999999999</v>
          </cell>
          <cell r="M84">
            <v>149.0291</v>
          </cell>
          <cell r="N84">
            <v>170.73599999999999</v>
          </cell>
          <cell r="O84">
            <v>185.57730000000001</v>
          </cell>
          <cell r="P84">
            <v>210.75280000000001</v>
          </cell>
          <cell r="Q84">
            <v>242.3409</v>
          </cell>
          <cell r="R84">
            <v>276.33949999999999</v>
          </cell>
          <cell r="S84">
            <v>310.52550000000002</v>
          </cell>
          <cell r="T84">
            <v>336.35610000000003</v>
          </cell>
          <cell r="U84">
            <v>352.23270000000002</v>
          </cell>
        </row>
        <row r="85">
          <cell r="K85">
            <v>127.259</v>
          </cell>
          <cell r="L85">
            <v>127.259</v>
          </cell>
          <cell r="M85">
            <v>129.28700000000001</v>
          </cell>
          <cell r="N85">
            <v>132.9059</v>
          </cell>
          <cell r="O85">
            <v>136.8023</v>
          </cell>
          <cell r="P85">
            <v>154.22130000000001</v>
          </cell>
          <cell r="Q85">
            <v>163.99340000000001</v>
          </cell>
          <cell r="R85">
            <v>174.83080000000001</v>
          </cell>
          <cell r="S85">
            <v>183.70820000000001</v>
          </cell>
          <cell r="T85">
            <v>190.65110000000001</v>
          </cell>
          <cell r="U85">
            <v>197.2338</v>
          </cell>
        </row>
        <row r="86">
          <cell r="K86">
            <v>9.9192</v>
          </cell>
          <cell r="L86">
            <v>9.9192</v>
          </cell>
          <cell r="M86">
            <v>10.037100000000001</v>
          </cell>
          <cell r="N86">
            <v>10.744899999999999</v>
          </cell>
          <cell r="O86">
            <v>10.807499999999999</v>
          </cell>
          <cell r="P86">
            <v>12.9999</v>
          </cell>
          <cell r="Q86">
            <v>14.5524</v>
          </cell>
          <cell r="R86">
            <v>15.4954</v>
          </cell>
          <cell r="S86">
            <v>16.2486</v>
          </cell>
          <cell r="T86">
            <v>16.5641</v>
          </cell>
          <cell r="U86">
            <v>16.396799999999999</v>
          </cell>
        </row>
        <row r="87">
          <cell r="K87">
            <v>11.5494</v>
          </cell>
          <cell r="L87">
            <v>11.5494</v>
          </cell>
          <cell r="M87">
            <v>11.510999999999999</v>
          </cell>
          <cell r="N87">
            <v>12.006</v>
          </cell>
          <cell r="O87">
            <v>12.304</v>
          </cell>
          <cell r="P87">
            <v>14.418900000000001</v>
          </cell>
          <cell r="Q87">
            <v>16.065899999999999</v>
          </cell>
          <cell r="R87">
            <v>17.491499999999998</v>
          </cell>
          <cell r="S87">
            <v>18.6906</v>
          </cell>
          <cell r="T87">
            <v>19.248799999999999</v>
          </cell>
          <cell r="U87">
            <v>19.6539</v>
          </cell>
        </row>
        <row r="88">
          <cell r="K88">
            <v>1.7452000000000001</v>
          </cell>
          <cell r="L88">
            <v>1.7452000000000001</v>
          </cell>
          <cell r="M88">
            <v>1.8170999999999999</v>
          </cell>
          <cell r="N88">
            <v>2.5619000000000001</v>
          </cell>
          <cell r="O88">
            <v>2.5486</v>
          </cell>
          <cell r="P88">
            <v>3.0788000000000002</v>
          </cell>
          <cell r="Q88">
            <v>3.2143000000000002</v>
          </cell>
          <cell r="R88">
            <v>3.3256999999999999</v>
          </cell>
          <cell r="S88">
            <v>3.4893999999999998</v>
          </cell>
          <cell r="T88">
            <v>3.6055999999999999</v>
          </cell>
          <cell r="U88">
            <v>3.7374000000000001</v>
          </cell>
        </row>
        <row r="89">
          <cell r="K89">
            <v>7.7180999999999997</v>
          </cell>
          <cell r="L89">
            <v>7.7180999999999997</v>
          </cell>
          <cell r="M89">
            <v>7.952</v>
          </cell>
          <cell r="N89">
            <v>9.0121000000000002</v>
          </cell>
          <cell r="O89">
            <v>8.8297000000000008</v>
          </cell>
          <cell r="P89">
            <v>9.5023999999999997</v>
          </cell>
          <cell r="Q89">
            <v>9.6952999999999996</v>
          </cell>
          <cell r="R89">
            <v>9.6738999999999997</v>
          </cell>
          <cell r="S89">
            <v>9.6357999999999997</v>
          </cell>
          <cell r="T89">
            <v>9.6738999999999997</v>
          </cell>
          <cell r="U89">
            <v>9.7605000000000004</v>
          </cell>
        </row>
        <row r="90">
          <cell r="K90">
            <v>0.57110000000000005</v>
          </cell>
          <cell r="L90">
            <v>0.57110000000000005</v>
          </cell>
          <cell r="M90">
            <v>0.63290000000000002</v>
          </cell>
          <cell r="N90">
            <v>0.69599999999999995</v>
          </cell>
          <cell r="O90">
            <v>0.6804</v>
          </cell>
          <cell r="P90">
            <v>0.95140000000000002</v>
          </cell>
          <cell r="Q90">
            <v>0.97499999999999998</v>
          </cell>
          <cell r="R90">
            <v>0.96889999999999998</v>
          </cell>
          <cell r="S90">
            <v>0.96560000000000001</v>
          </cell>
          <cell r="T90">
            <v>0.9647</v>
          </cell>
          <cell r="U90">
            <v>0.96630000000000005</v>
          </cell>
        </row>
        <row r="91">
          <cell r="K91">
            <v>0.63390000000000002</v>
          </cell>
          <cell r="L91">
            <v>0.63390000000000002</v>
          </cell>
          <cell r="M91">
            <v>0.67200000000000004</v>
          </cell>
          <cell r="N91">
            <v>0.67579999999999996</v>
          </cell>
          <cell r="O91">
            <v>0.64459999999999995</v>
          </cell>
          <cell r="P91">
            <v>0.72309999999999997</v>
          </cell>
          <cell r="Q91">
            <v>0.72609999999999997</v>
          </cell>
          <cell r="R91">
            <v>0.70930000000000004</v>
          </cell>
          <cell r="S91">
            <v>0.69810000000000005</v>
          </cell>
          <cell r="T91">
            <v>0.69189999999999996</v>
          </cell>
          <cell r="U91">
            <v>0.69369999999999998</v>
          </cell>
        </row>
        <row r="92">
          <cell r="K92">
            <v>0.29399999999999998</v>
          </cell>
          <cell r="L92">
            <v>0.29399999999999998</v>
          </cell>
          <cell r="M92">
            <v>0.30590000000000001</v>
          </cell>
          <cell r="N92">
            <v>0.1239</v>
          </cell>
          <cell r="O92">
            <v>0.39069999999999999</v>
          </cell>
          <cell r="P92">
            <v>0.42309999999999998</v>
          </cell>
          <cell r="Q92">
            <v>0.43469999999999998</v>
          </cell>
          <cell r="R92">
            <v>0.4506</v>
          </cell>
          <cell r="S92">
            <v>0.4662</v>
          </cell>
          <cell r="T92">
            <v>0.4854</v>
          </cell>
          <cell r="U92">
            <v>0.50819999999999999</v>
          </cell>
        </row>
        <row r="93">
          <cell r="K93">
            <v>7.7329750000000006</v>
          </cell>
          <cell r="L93">
            <v>7.7329750000000006</v>
          </cell>
          <cell r="M93">
            <v>7.8292999999999999</v>
          </cell>
          <cell r="N93">
            <v>8.5812249999999999</v>
          </cell>
          <cell r="O93">
            <v>8.6224500000000006</v>
          </cell>
          <cell r="P93">
            <v>10</v>
          </cell>
          <cell r="Q93">
            <v>10.881975000000001</v>
          </cell>
          <cell r="R93">
            <v>11.496624999999998</v>
          </cell>
          <cell r="S93">
            <v>12.016100000000002</v>
          </cell>
          <cell r="T93">
            <v>12.273099999999999</v>
          </cell>
          <cell r="U93">
            <v>12.38715</v>
          </cell>
        </row>
        <row r="94">
          <cell r="K94">
            <v>0.4996666666666667</v>
          </cell>
          <cell r="L94">
            <v>0.4996666666666667</v>
          </cell>
          <cell r="M94">
            <v>0.53693333333333337</v>
          </cell>
          <cell r="N94">
            <v>0.4985666666666666</v>
          </cell>
          <cell r="O94">
            <v>0.57189999999999996</v>
          </cell>
          <cell r="P94">
            <v>0.69919999999999993</v>
          </cell>
          <cell r="Q94">
            <v>0.7119333333333332</v>
          </cell>
          <cell r="R94">
            <v>0.70960000000000001</v>
          </cell>
          <cell r="S94">
            <v>0.70996666666666675</v>
          </cell>
          <cell r="T94">
            <v>0.71399999999999997</v>
          </cell>
          <cell r="U94">
            <v>0.72273333333333334</v>
          </cell>
        </row>
        <row r="95">
          <cell r="K95">
            <v>702.98199999999986</v>
          </cell>
          <cell r="L95">
            <v>702.98199999999986</v>
          </cell>
          <cell r="M95">
            <v>591.19830000000002</v>
          </cell>
          <cell r="N95">
            <v>668.20979999999997</v>
          </cell>
          <cell r="O95">
            <v>731.07420000000002</v>
          </cell>
          <cell r="P95">
            <v>731.44499999999994</v>
          </cell>
          <cell r="Q95">
            <v>651.57039999999995</v>
          </cell>
          <cell r="R95">
            <v>521.37569999999994</v>
          </cell>
          <cell r="S95">
            <v>392.72250000000003</v>
          </cell>
          <cell r="T95">
            <v>281.38599999999997</v>
          </cell>
          <cell r="U95">
            <v>199.48849999999999</v>
          </cell>
        </row>
        <row r="96">
          <cell r="K96">
            <v>72.186999999999998</v>
          </cell>
          <cell r="L96">
            <v>72.186999999999998</v>
          </cell>
          <cell r="M96">
            <v>63.362099999999998</v>
          </cell>
          <cell r="N96">
            <v>69.945999999999998</v>
          </cell>
          <cell r="O96">
            <v>72.605800000000002</v>
          </cell>
          <cell r="P96">
            <v>76.034199999999998</v>
          </cell>
          <cell r="Q96">
            <v>62.769199999999998</v>
          </cell>
          <cell r="R96">
            <v>51.8874</v>
          </cell>
          <cell r="S96">
            <v>41.511800000000001</v>
          </cell>
          <cell r="T96">
            <v>32.250599999999999</v>
          </cell>
          <cell r="U96">
            <v>24.638100000000001</v>
          </cell>
        </row>
        <row r="97">
          <cell r="K97">
            <v>164.113</v>
          </cell>
          <cell r="L97">
            <v>164.113</v>
          </cell>
          <cell r="M97">
            <v>127.4229</v>
          </cell>
          <cell r="N97">
            <v>153.9659</v>
          </cell>
          <cell r="O97">
            <v>229.79900000000001</v>
          </cell>
          <cell r="P97">
            <v>228.2055</v>
          </cell>
          <cell r="Q97">
            <v>206.5898</v>
          </cell>
          <cell r="R97">
            <v>166.77359999999999</v>
          </cell>
          <cell r="S97">
            <v>126.3984</v>
          </cell>
          <cell r="T97">
            <v>92.398499999999999</v>
          </cell>
          <cell r="U97">
            <v>68.339600000000004</v>
          </cell>
        </row>
        <row r="98">
          <cell r="K98">
            <v>65.757000000000005</v>
          </cell>
          <cell r="L98">
            <v>65.757000000000005</v>
          </cell>
          <cell r="M98">
            <v>69.779899999999998</v>
          </cell>
          <cell r="N98">
            <v>64.043999999999997</v>
          </cell>
          <cell r="O98">
            <v>57.846400000000003</v>
          </cell>
          <cell r="P98">
            <v>59.404899999999998</v>
          </cell>
          <cell r="Q98">
            <v>55.651499999999999</v>
          </cell>
          <cell r="R98">
            <v>46.402900000000002</v>
          </cell>
          <cell r="S98">
            <v>37.668399999999998</v>
          </cell>
          <cell r="T98">
            <v>29.025300000000001</v>
          </cell>
          <cell r="U98">
            <v>21.469200000000001</v>
          </cell>
        </row>
        <row r="99">
          <cell r="K99">
            <v>38.378900000000002</v>
          </cell>
          <cell r="L99">
            <v>38.378900000000002</v>
          </cell>
          <cell r="M99">
            <v>23.166</v>
          </cell>
          <cell r="N99">
            <v>31.763999999999999</v>
          </cell>
          <cell r="O99">
            <v>31.884899999999998</v>
          </cell>
          <cell r="P99">
            <v>29.6203</v>
          </cell>
          <cell r="Q99">
            <v>24.846399999999999</v>
          </cell>
          <cell r="R99">
            <v>18.993300000000001</v>
          </cell>
          <cell r="S99">
            <v>13.8033</v>
          </cell>
          <cell r="T99">
            <v>9.6743000000000006</v>
          </cell>
          <cell r="U99">
            <v>6.7037000000000004</v>
          </cell>
        </row>
        <row r="100">
          <cell r="K100">
            <v>281.56889999999999</v>
          </cell>
          <cell r="L100">
            <v>281.56889999999999</v>
          </cell>
          <cell r="M100">
            <v>214.99889999999999</v>
          </cell>
          <cell r="N100">
            <v>261.97989999999999</v>
          </cell>
          <cell r="O100">
            <v>255.69900000000001</v>
          </cell>
          <cell r="P100">
            <v>254.59559999999999</v>
          </cell>
          <cell r="Q100">
            <v>227.1232</v>
          </cell>
          <cell r="R100">
            <v>177.25049999999999</v>
          </cell>
          <cell r="S100">
            <v>128.6112</v>
          </cell>
          <cell r="T100">
            <v>86.519599999999997</v>
          </cell>
          <cell r="U100">
            <v>56.481099999999998</v>
          </cell>
        </row>
        <row r="101">
          <cell r="K101">
            <v>77.5291</v>
          </cell>
          <cell r="L101">
            <v>77.5291</v>
          </cell>
          <cell r="M101">
            <v>87.055099999999996</v>
          </cell>
          <cell r="N101">
            <v>78.066999999999993</v>
          </cell>
          <cell r="O101">
            <v>71.6768</v>
          </cell>
          <cell r="P101">
            <v>70.387699999999995</v>
          </cell>
          <cell r="Q101">
            <v>61.927700000000002</v>
          </cell>
          <cell r="R101">
            <v>49.385300000000001</v>
          </cell>
          <cell r="S101">
            <v>36.401899999999998</v>
          </cell>
          <cell r="T101">
            <v>25.3309</v>
          </cell>
          <cell r="U101">
            <v>17.351299999999998</v>
          </cell>
        </row>
        <row r="102">
          <cell r="K102">
            <v>1.1779999999999999</v>
          </cell>
          <cell r="L102">
            <v>1.1779999999999999</v>
          </cell>
          <cell r="M102">
            <v>2.1339000000000001</v>
          </cell>
          <cell r="N102">
            <v>2.8740000000000001</v>
          </cell>
          <cell r="O102">
            <v>2.5163000000000002</v>
          </cell>
          <cell r="P102">
            <v>3.1341000000000001</v>
          </cell>
          <cell r="Q102">
            <v>3.1789000000000001</v>
          </cell>
          <cell r="R102">
            <v>2.6655000000000002</v>
          </cell>
          <cell r="S102">
            <v>2.0251000000000001</v>
          </cell>
          <cell r="T102">
            <v>1.4467000000000001</v>
          </cell>
          <cell r="U102">
            <v>1.0016</v>
          </cell>
        </row>
        <row r="103">
          <cell r="K103">
            <v>1.1129</v>
          </cell>
          <cell r="L103">
            <v>1.1129</v>
          </cell>
          <cell r="M103">
            <v>2.1568999999999998</v>
          </cell>
          <cell r="N103">
            <v>4.5449000000000002</v>
          </cell>
          <cell r="O103">
            <v>8.0738000000000003</v>
          </cell>
          <cell r="P103">
            <v>8.8625000000000007</v>
          </cell>
          <cell r="Q103">
            <v>8.4692000000000007</v>
          </cell>
          <cell r="R103">
            <v>7.1984000000000004</v>
          </cell>
          <cell r="S103">
            <v>5.6531000000000002</v>
          </cell>
          <cell r="T103">
            <v>4.2275999999999998</v>
          </cell>
          <cell r="U103">
            <v>3.0998000000000001</v>
          </cell>
        </row>
        <row r="104"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06"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</row>
        <row r="107">
          <cell r="K107">
            <v>1.1572</v>
          </cell>
          <cell r="L107">
            <v>1.1572</v>
          </cell>
          <cell r="M107">
            <v>1.1226</v>
          </cell>
          <cell r="N107">
            <v>1.0241</v>
          </cell>
          <cell r="O107">
            <v>0.97219999999999995</v>
          </cell>
          <cell r="P107">
            <v>1.2001999999999999</v>
          </cell>
          <cell r="Q107">
            <v>1.0145</v>
          </cell>
          <cell r="R107">
            <v>0.81879999999999997</v>
          </cell>
          <cell r="S107">
            <v>0.64929999999999999</v>
          </cell>
          <cell r="T107">
            <v>0.51249999999999996</v>
          </cell>
          <cell r="U107">
            <v>0.40410000000000001</v>
          </cell>
        </row>
        <row r="108"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</row>
        <row r="109">
          <cell r="K109">
            <v>0.57272499999999993</v>
          </cell>
          <cell r="L109">
            <v>0.57272499999999993</v>
          </cell>
          <cell r="M109">
            <v>1.0727</v>
          </cell>
          <cell r="N109">
            <v>1.8547250000000002</v>
          </cell>
          <cell r="O109">
            <v>2.6475249999999999</v>
          </cell>
          <cell r="P109">
            <v>2.9991500000000002</v>
          </cell>
          <cell r="Q109">
            <v>2.9120250000000003</v>
          </cell>
          <cell r="R109">
            <v>2.4659750000000003</v>
          </cell>
          <cell r="S109">
            <v>1.9195500000000001</v>
          </cell>
          <cell r="T109">
            <v>1.4185749999999999</v>
          </cell>
          <cell r="U109">
            <v>1.02535</v>
          </cell>
        </row>
        <row r="110">
          <cell r="K110">
            <v>0.38573333333333332</v>
          </cell>
          <cell r="L110">
            <v>0.38573333333333332</v>
          </cell>
          <cell r="M110">
            <v>0.37420000000000003</v>
          </cell>
          <cell r="N110">
            <v>0.34136666666666665</v>
          </cell>
          <cell r="O110">
            <v>0.32406666666666667</v>
          </cell>
          <cell r="P110">
            <v>0.40006666666666663</v>
          </cell>
          <cell r="Q110">
            <v>0.33816666666666667</v>
          </cell>
          <cell r="R110">
            <v>0.27293333333333331</v>
          </cell>
          <cell r="S110">
            <v>0.21643333333333334</v>
          </cell>
          <cell r="T110">
            <v>0.17083333333333331</v>
          </cell>
          <cell r="U110">
            <v>0.13470000000000001</v>
          </cell>
        </row>
        <row r="111">
          <cell r="K111">
            <v>233.55540000000002</v>
          </cell>
          <cell r="L111">
            <v>233.55540000000002</v>
          </cell>
          <cell r="M111">
            <v>215.87079999999997</v>
          </cell>
          <cell r="N111">
            <v>222.58739999999997</v>
          </cell>
          <cell r="O111">
            <v>181.31980000000004</v>
          </cell>
          <cell r="P111">
            <v>176.48519999999999</v>
          </cell>
          <cell r="Q111">
            <v>178.98889999999997</v>
          </cell>
          <cell r="R111">
            <v>180.48149999999998</v>
          </cell>
          <cell r="S111">
            <v>184.57430000000002</v>
          </cell>
          <cell r="T111">
            <v>190.36869999999996</v>
          </cell>
          <cell r="U111">
            <v>198.9881</v>
          </cell>
        </row>
        <row r="112">
          <cell r="K112">
            <v>12.286199999999999</v>
          </cell>
          <cell r="L112">
            <v>12.286199999999999</v>
          </cell>
          <cell r="M112">
            <v>10.908300000000001</v>
          </cell>
          <cell r="N112">
            <v>7.0058999999999996</v>
          </cell>
          <cell r="O112">
            <v>6.2758000000000003</v>
          </cell>
          <cell r="P112">
            <v>6.3422999999999998</v>
          </cell>
          <cell r="Q112">
            <v>6.3956999999999997</v>
          </cell>
          <cell r="R112">
            <v>6.5033000000000003</v>
          </cell>
          <cell r="S112">
            <v>6.6520999999999999</v>
          </cell>
          <cell r="T112">
            <v>6.8860999999999999</v>
          </cell>
          <cell r="U112">
            <v>7.2896000000000001</v>
          </cell>
        </row>
        <row r="113">
          <cell r="K113">
            <v>75.364699999999999</v>
          </cell>
          <cell r="L113">
            <v>75.364699999999999</v>
          </cell>
          <cell r="M113">
            <v>103.70529999999999</v>
          </cell>
          <cell r="N113">
            <v>113.62520000000001</v>
          </cell>
          <cell r="O113">
            <v>82.782399999999996</v>
          </cell>
          <cell r="P113">
            <v>84.8249</v>
          </cell>
          <cell r="Q113">
            <v>89.848299999999995</v>
          </cell>
          <cell r="R113">
            <v>93.628699999999995</v>
          </cell>
          <cell r="S113">
            <v>98.3322</v>
          </cell>
          <cell r="T113">
            <v>103.2332</v>
          </cell>
          <cell r="U113">
            <v>109.4023</v>
          </cell>
        </row>
        <row r="114">
          <cell r="K114">
            <v>3.8549000000000002</v>
          </cell>
          <cell r="L114">
            <v>3.8549000000000002</v>
          </cell>
          <cell r="M114">
            <v>4.4013</v>
          </cell>
          <cell r="N114">
            <v>3.2608000000000001</v>
          </cell>
          <cell r="O114">
            <v>3.8622000000000001</v>
          </cell>
          <cell r="P114">
            <v>3.6812999999999998</v>
          </cell>
          <cell r="Q114">
            <v>3.7237</v>
          </cell>
          <cell r="R114">
            <v>3.7774000000000001</v>
          </cell>
          <cell r="S114">
            <v>3.8904999999999998</v>
          </cell>
          <cell r="T114">
            <v>4.0387000000000004</v>
          </cell>
          <cell r="U114">
            <v>4.1287000000000003</v>
          </cell>
        </row>
        <row r="115">
          <cell r="K115">
            <v>2.7444000000000002</v>
          </cell>
          <cell r="L115">
            <v>2.7444000000000002</v>
          </cell>
          <cell r="M115">
            <v>1.8826000000000001</v>
          </cell>
          <cell r="N115">
            <v>4.1441999999999997</v>
          </cell>
          <cell r="O115">
            <v>3.6173999999999999</v>
          </cell>
          <cell r="P115">
            <v>3.6006</v>
          </cell>
          <cell r="Q115">
            <v>3.4378000000000002</v>
          </cell>
          <cell r="R115">
            <v>3.2376</v>
          </cell>
          <cell r="S115">
            <v>3.077</v>
          </cell>
          <cell r="T115">
            <v>2.9767000000000001</v>
          </cell>
          <cell r="U115">
            <v>2.9468999999999999</v>
          </cell>
        </row>
        <row r="116">
          <cell r="K116">
            <v>62.793700000000001</v>
          </cell>
          <cell r="L116">
            <v>62.793700000000001</v>
          </cell>
          <cell r="M116">
            <v>44.416200000000003</v>
          </cell>
          <cell r="N116">
            <v>45.459000000000003</v>
          </cell>
          <cell r="O116">
            <v>53.412100000000002</v>
          </cell>
          <cell r="P116">
            <v>52.332999999999998</v>
          </cell>
          <cell r="Q116">
            <v>53.993299999999998</v>
          </cell>
          <cell r="R116">
            <v>54.881700000000002</v>
          </cell>
          <cell r="S116">
            <v>56.411700000000003</v>
          </cell>
          <cell r="T116">
            <v>58.392099999999999</v>
          </cell>
          <cell r="U116">
            <v>61.045000000000002</v>
          </cell>
        </row>
        <row r="117">
          <cell r="K117">
            <v>41.579500000000003</v>
          </cell>
          <cell r="L117">
            <v>41.579500000000003</v>
          </cell>
          <cell r="M117">
            <v>24.932600000000001</v>
          </cell>
          <cell r="N117">
            <v>23.706099999999999</v>
          </cell>
          <cell r="O117">
            <v>17.763200000000001</v>
          </cell>
          <cell r="P117">
            <v>13.7332</v>
          </cell>
          <cell r="Q117">
            <v>10.942500000000001</v>
          </cell>
          <cell r="R117">
            <v>9.1064000000000007</v>
          </cell>
          <cell r="S117">
            <v>7.9898999999999996</v>
          </cell>
          <cell r="T117">
            <v>7.4402999999999997</v>
          </cell>
          <cell r="U117">
            <v>7.3098000000000001</v>
          </cell>
        </row>
        <row r="118">
          <cell r="K118">
            <v>9.0500000000000007</v>
          </cell>
          <cell r="L118">
            <v>9.0500000000000007</v>
          </cell>
          <cell r="M118">
            <v>9.9159000000000006</v>
          </cell>
          <cell r="N118">
            <v>7.2024999999999997</v>
          </cell>
          <cell r="O118">
            <v>3.3433999999999999</v>
          </cell>
          <cell r="P118">
            <v>3.2418999999999998</v>
          </cell>
          <cell r="Q118">
            <v>2.9771000000000001</v>
          </cell>
          <cell r="R118">
            <v>2.5602999999999998</v>
          </cell>
          <cell r="S118">
            <v>2.1739999999999999</v>
          </cell>
          <cell r="T118">
            <v>1.8857999999999999</v>
          </cell>
          <cell r="U118">
            <v>1.6975</v>
          </cell>
        </row>
        <row r="119">
          <cell r="K119">
            <v>16.239999999999998</v>
          </cell>
          <cell r="L119">
            <v>16.239999999999998</v>
          </cell>
          <cell r="M119">
            <v>8.2860999999999994</v>
          </cell>
          <cell r="N119">
            <v>6.8456000000000001</v>
          </cell>
          <cell r="O119">
            <v>3.34</v>
          </cell>
          <cell r="P119">
            <v>2.4550999999999998</v>
          </cell>
          <cell r="Q119">
            <v>2.0630999999999999</v>
          </cell>
          <cell r="R119">
            <v>1.8236000000000001</v>
          </cell>
          <cell r="S119">
            <v>1.6896</v>
          </cell>
          <cell r="T119">
            <v>1.6028</v>
          </cell>
          <cell r="U119">
            <v>1.58</v>
          </cell>
        </row>
        <row r="120">
          <cell r="K120">
            <v>1.7766999999999999</v>
          </cell>
          <cell r="L120">
            <v>1.7766999999999999</v>
          </cell>
          <cell r="M120">
            <v>0.70679999999999998</v>
          </cell>
          <cell r="N120">
            <v>0.79669999999999996</v>
          </cell>
          <cell r="O120">
            <v>0.33169999999999999</v>
          </cell>
          <cell r="P120">
            <v>0.2288</v>
          </cell>
          <cell r="Q120">
            <v>0.1462</v>
          </cell>
          <cell r="R120">
            <v>9.4700000000000006E-2</v>
          </cell>
          <cell r="S120">
            <v>6.25E-2</v>
          </cell>
          <cell r="T120">
            <v>4.2700000000000002E-2</v>
          </cell>
          <cell r="U120">
            <v>3.09E-2</v>
          </cell>
        </row>
        <row r="121">
          <cell r="K121">
            <v>6.0197000000000003</v>
          </cell>
          <cell r="L121">
            <v>6.0197000000000003</v>
          </cell>
          <cell r="M121">
            <v>5.5147000000000004</v>
          </cell>
          <cell r="N121">
            <v>8.8937000000000008</v>
          </cell>
          <cell r="O121">
            <v>5.3095999999999997</v>
          </cell>
          <cell r="P121">
            <v>5.0490000000000004</v>
          </cell>
          <cell r="Q121">
            <v>4.5743999999999998</v>
          </cell>
          <cell r="R121">
            <v>3.9962</v>
          </cell>
          <cell r="S121">
            <v>3.4064000000000001</v>
          </cell>
          <cell r="T121">
            <v>2.9518</v>
          </cell>
          <cell r="U121">
            <v>2.6053000000000002</v>
          </cell>
        </row>
        <row r="122">
          <cell r="K122">
            <v>0.61860000000000004</v>
          </cell>
          <cell r="L122">
            <v>0.61860000000000004</v>
          </cell>
          <cell r="M122">
            <v>0.62919999999999998</v>
          </cell>
          <cell r="N122">
            <v>0.66249999999999998</v>
          </cell>
          <cell r="O122">
            <v>0.31309999999999999</v>
          </cell>
          <cell r="P122">
            <v>0.27179999999999999</v>
          </cell>
          <cell r="Q122">
            <v>0.25369999999999998</v>
          </cell>
          <cell r="R122">
            <v>0.26050000000000001</v>
          </cell>
          <cell r="S122">
            <v>0.2762</v>
          </cell>
          <cell r="T122">
            <v>0.29409999999999997</v>
          </cell>
          <cell r="U122">
            <v>0.31240000000000001</v>
          </cell>
        </row>
        <row r="123">
          <cell r="K123">
            <v>1.1008</v>
          </cell>
          <cell r="L123">
            <v>1.1008</v>
          </cell>
          <cell r="M123">
            <v>0.50560000000000005</v>
          </cell>
          <cell r="N123">
            <v>0.91900000000000004</v>
          </cell>
          <cell r="O123">
            <v>0.90939999999999999</v>
          </cell>
          <cell r="P123">
            <v>0.68879999999999997</v>
          </cell>
          <cell r="Q123">
            <v>0.60780000000000001</v>
          </cell>
          <cell r="R123">
            <v>0.58960000000000001</v>
          </cell>
          <cell r="S123">
            <v>0.5917</v>
          </cell>
          <cell r="T123">
            <v>0.6038</v>
          </cell>
          <cell r="U123">
            <v>0.61839999999999995</v>
          </cell>
        </row>
        <row r="124">
          <cell r="K124">
            <v>0.12620000000000001</v>
          </cell>
          <cell r="L124">
            <v>0.12620000000000001</v>
          </cell>
          <cell r="M124">
            <v>6.6199999999999995E-2</v>
          </cell>
          <cell r="N124">
            <v>6.6199999999999995E-2</v>
          </cell>
          <cell r="O124">
            <v>5.9499999999999997E-2</v>
          </cell>
          <cell r="P124">
            <v>3.4500000000000003E-2</v>
          </cell>
          <cell r="Q124">
            <v>2.53E-2</v>
          </cell>
          <cell r="R124">
            <v>2.1499999999999998E-2</v>
          </cell>
          <cell r="S124">
            <v>2.0500000000000001E-2</v>
          </cell>
          <cell r="T124">
            <v>2.06E-2</v>
          </cell>
          <cell r="U124">
            <v>2.1299999999999999E-2</v>
          </cell>
        </row>
        <row r="125">
          <cell r="K125">
            <v>8.2715999999999994</v>
          </cell>
          <cell r="L125">
            <v>8.2715999999999994</v>
          </cell>
          <cell r="M125">
            <v>6.1058750000000002</v>
          </cell>
          <cell r="N125">
            <v>5.9346250000000005</v>
          </cell>
          <cell r="O125">
            <v>3.081175</v>
          </cell>
          <cell r="P125">
            <v>2.7436999999999996</v>
          </cell>
          <cell r="Q125">
            <v>2.4401999999999999</v>
          </cell>
          <cell r="R125">
            <v>2.1187</v>
          </cell>
          <cell r="S125">
            <v>1.8331249999999999</v>
          </cell>
          <cell r="T125">
            <v>1.6207750000000001</v>
          </cell>
          <cell r="U125">
            <v>1.4784250000000001</v>
          </cell>
        </row>
        <row r="126">
          <cell r="K126">
            <v>0.61520000000000008</v>
          </cell>
          <cell r="L126">
            <v>0.61520000000000008</v>
          </cell>
          <cell r="M126">
            <v>0.40033333333333337</v>
          </cell>
          <cell r="N126">
            <v>0.54923333333333335</v>
          </cell>
          <cell r="O126">
            <v>0.42733333333333334</v>
          </cell>
          <cell r="P126">
            <v>0.33169999999999994</v>
          </cell>
          <cell r="Q126">
            <v>0.29559999999999997</v>
          </cell>
          <cell r="R126">
            <v>0.29053333333333337</v>
          </cell>
          <cell r="S126">
            <v>0.2961333333333333</v>
          </cell>
          <cell r="T126">
            <v>0.30616666666666664</v>
          </cell>
          <cell r="U126">
            <v>0.31736666666666663</v>
          </cell>
        </row>
        <row r="129">
          <cell r="K129">
            <v>888.25189999999998</v>
          </cell>
          <cell r="L129">
            <v>888.25189999999998</v>
          </cell>
          <cell r="M129">
            <v>807.84820000000002</v>
          </cell>
          <cell r="N129">
            <v>811.08560000000011</v>
          </cell>
          <cell r="O129">
            <v>828.6515999999998</v>
          </cell>
          <cell r="P129">
            <v>900.91730000000007</v>
          </cell>
          <cell r="Q129">
            <v>1018.4772829999999</v>
          </cell>
          <cell r="R129">
            <v>1096.1950239999999</v>
          </cell>
          <cell r="S129">
            <v>1151.010585</v>
          </cell>
          <cell r="T129">
            <v>1234.8065059999999</v>
          </cell>
          <cell r="U129">
            <v>1357.7124260000001</v>
          </cell>
        </row>
        <row r="130">
          <cell r="K130">
            <v>111.1965</v>
          </cell>
          <cell r="L130">
            <v>111.1965</v>
          </cell>
          <cell r="M130">
            <v>87.894099999999995</v>
          </cell>
          <cell r="N130">
            <v>78.724999999999994</v>
          </cell>
          <cell r="O130">
            <v>83.751499999999993</v>
          </cell>
          <cell r="P130">
            <v>108.46939999999999</v>
          </cell>
          <cell r="Q130">
            <v>142.12020699999999</v>
          </cell>
          <cell r="R130">
            <v>149.92735300000001</v>
          </cell>
          <cell r="S130">
            <v>155.72606500000001</v>
          </cell>
          <cell r="T130">
            <v>175.26743099999999</v>
          </cell>
          <cell r="U130">
            <v>209.00981100000001</v>
          </cell>
        </row>
        <row r="131">
          <cell r="K131">
            <v>137.60159999999999</v>
          </cell>
          <cell r="L131">
            <v>137.60159999999999</v>
          </cell>
          <cell r="M131">
            <v>142.1026</v>
          </cell>
          <cell r="N131">
            <v>171.42580000000001</v>
          </cell>
          <cell r="O131">
            <v>180.78620000000001</v>
          </cell>
          <cell r="P131">
            <v>183.18</v>
          </cell>
          <cell r="Q131">
            <v>206.92240699999999</v>
          </cell>
          <cell r="R131">
            <v>227.03525300000001</v>
          </cell>
          <cell r="S131">
            <v>229.009165</v>
          </cell>
          <cell r="T131">
            <v>251.75723099999999</v>
          </cell>
          <cell r="U131">
            <v>296.51081099999999</v>
          </cell>
        </row>
        <row r="132">
          <cell r="K132">
            <v>31.704000000000001</v>
          </cell>
          <cell r="L132">
            <v>31.704000000000001</v>
          </cell>
          <cell r="M132">
            <v>37.979399999999998</v>
          </cell>
          <cell r="N132">
            <v>43.036499999999997</v>
          </cell>
          <cell r="O132">
            <v>44.0413</v>
          </cell>
          <cell r="P132">
            <v>48.739600000000003</v>
          </cell>
          <cell r="Q132">
            <v>52.085669000000003</v>
          </cell>
          <cell r="R132">
            <v>55.491818000000002</v>
          </cell>
          <cell r="S132">
            <v>60.387754999999999</v>
          </cell>
          <cell r="T132">
            <v>69.053743999999995</v>
          </cell>
          <cell r="U132">
            <v>82.959503999999995</v>
          </cell>
        </row>
        <row r="133">
          <cell r="K133">
            <v>30.1568</v>
          </cell>
          <cell r="L133">
            <v>30.1568</v>
          </cell>
          <cell r="M133">
            <v>24.403500000000001</v>
          </cell>
          <cell r="N133">
            <v>23.784099999999999</v>
          </cell>
          <cell r="O133">
            <v>22.6615</v>
          </cell>
          <cell r="P133">
            <v>23.511399999999998</v>
          </cell>
          <cell r="Q133">
            <v>25.236599999999999</v>
          </cell>
          <cell r="R133">
            <v>26.955100000000002</v>
          </cell>
          <cell r="S133">
            <v>28.317299999999999</v>
          </cell>
          <cell r="T133">
            <v>29.853300000000001</v>
          </cell>
          <cell r="U133">
            <v>31.863399999999999</v>
          </cell>
        </row>
        <row r="134">
          <cell r="K134">
            <v>161.8193</v>
          </cell>
          <cell r="L134">
            <v>161.8193</v>
          </cell>
          <cell r="M134">
            <v>163.97239999999999</v>
          </cell>
          <cell r="N134">
            <v>153.83000000000001</v>
          </cell>
          <cell r="O134">
            <v>145.3783</v>
          </cell>
          <cell r="P134">
            <v>149.52699999999999</v>
          </cell>
          <cell r="Q134">
            <v>174.63319999999999</v>
          </cell>
          <cell r="R134">
            <v>203.0821</v>
          </cell>
          <cell r="S134">
            <v>237.4495</v>
          </cell>
          <cell r="T134">
            <v>265.03140000000002</v>
          </cell>
          <cell r="U134">
            <v>291.73379999999997</v>
          </cell>
        </row>
        <row r="135">
          <cell r="K135">
            <v>358.9744</v>
          </cell>
          <cell r="L135">
            <v>358.9744</v>
          </cell>
          <cell r="M135">
            <v>300.34269999999998</v>
          </cell>
          <cell r="N135">
            <v>301.00330000000002</v>
          </cell>
          <cell r="O135">
            <v>313.00940000000003</v>
          </cell>
          <cell r="P135">
            <v>336.43130000000002</v>
          </cell>
          <cell r="Q135">
            <v>365.47329999999999</v>
          </cell>
          <cell r="R135">
            <v>381.90109999999999</v>
          </cell>
          <cell r="S135">
            <v>388.14780000000002</v>
          </cell>
          <cell r="T135">
            <v>390.565</v>
          </cell>
          <cell r="U135">
            <v>391.24549999999999</v>
          </cell>
        </row>
        <row r="136">
          <cell r="K136">
            <v>23.0017</v>
          </cell>
          <cell r="L136">
            <v>23.0017</v>
          </cell>
          <cell r="M136">
            <v>18.375599999999999</v>
          </cell>
          <cell r="N136">
            <v>16.444500000000001</v>
          </cell>
          <cell r="O136">
            <v>16.4924</v>
          </cell>
          <cell r="P136">
            <v>19.738399999999999</v>
          </cell>
          <cell r="Q136">
            <v>19.0854</v>
          </cell>
          <cell r="R136">
            <v>19.369800000000001</v>
          </cell>
          <cell r="S136">
            <v>20.127500000000001</v>
          </cell>
          <cell r="T136">
            <v>21.372599999999998</v>
          </cell>
          <cell r="U136">
            <v>22.157800000000002</v>
          </cell>
        </row>
        <row r="137">
          <cell r="K137">
            <v>16.1494</v>
          </cell>
          <cell r="L137">
            <v>16.1494</v>
          </cell>
          <cell r="M137">
            <v>15.583600000000001</v>
          </cell>
          <cell r="N137">
            <v>8.2302999999999997</v>
          </cell>
          <cell r="O137">
            <v>7.0865999999999998</v>
          </cell>
          <cell r="P137">
            <v>8.3168000000000006</v>
          </cell>
          <cell r="Q137">
            <v>8.9870999999999999</v>
          </cell>
          <cell r="R137">
            <v>9.4674999999999994</v>
          </cell>
          <cell r="S137">
            <v>9.6958000000000002</v>
          </cell>
          <cell r="T137">
            <v>9.7310999999999996</v>
          </cell>
          <cell r="U137">
            <v>9.7545000000000002</v>
          </cell>
        </row>
        <row r="138">
          <cell r="K138">
            <v>1.6316999999999999</v>
          </cell>
          <cell r="L138">
            <v>1.6316999999999999</v>
          </cell>
          <cell r="M138">
            <v>1.8335999999999999</v>
          </cell>
          <cell r="N138">
            <v>2.3275000000000001</v>
          </cell>
          <cell r="O138">
            <v>2.2395999999999998</v>
          </cell>
          <cell r="P138">
            <v>2.4710999999999999</v>
          </cell>
          <cell r="Q138">
            <v>2.7282999999999999</v>
          </cell>
          <cell r="R138">
            <v>2.9767000000000001</v>
          </cell>
          <cell r="S138">
            <v>3.2492000000000001</v>
          </cell>
          <cell r="T138">
            <v>3.6320999999999999</v>
          </cell>
          <cell r="U138">
            <v>4.1632999999999996</v>
          </cell>
        </row>
        <row r="139">
          <cell r="K139">
            <v>15.6767</v>
          </cell>
          <cell r="L139">
            <v>15.6767</v>
          </cell>
          <cell r="M139">
            <v>14.993499999999999</v>
          </cell>
          <cell r="N139">
            <v>11.9076</v>
          </cell>
          <cell r="O139">
            <v>12.775499999999999</v>
          </cell>
          <cell r="P139">
            <v>18.645600000000002</v>
          </cell>
          <cell r="Q139">
            <v>18.742799999999999</v>
          </cell>
          <cell r="R139">
            <v>18.333100000000002</v>
          </cell>
          <cell r="S139">
            <v>17.6875</v>
          </cell>
          <cell r="T139">
            <v>17.3977</v>
          </cell>
          <cell r="U139">
            <v>17.1828</v>
          </cell>
        </row>
        <row r="140">
          <cell r="K140">
            <v>5.8099999999999999E-2</v>
          </cell>
          <cell r="L140">
            <v>5.8099999999999999E-2</v>
          </cell>
          <cell r="M140">
            <v>0.1391</v>
          </cell>
          <cell r="N140">
            <v>0.1371</v>
          </cell>
          <cell r="O140">
            <v>0.1981</v>
          </cell>
          <cell r="P140">
            <v>0.74</v>
          </cell>
          <cell r="Q140">
            <v>1.1845000000000001</v>
          </cell>
          <cell r="R140">
            <v>0.47820000000000001</v>
          </cell>
          <cell r="S140">
            <v>0.14019999999999999</v>
          </cell>
          <cell r="T140">
            <v>0.13789999999999999</v>
          </cell>
          <cell r="U140">
            <v>0.13639999999999999</v>
          </cell>
        </row>
        <row r="141">
          <cell r="K141">
            <v>7.7700000000000005E-2</v>
          </cell>
          <cell r="L141">
            <v>7.7700000000000005E-2</v>
          </cell>
          <cell r="M141">
            <v>2.41E-2</v>
          </cell>
          <cell r="N141">
            <v>2.9899999999999999E-2</v>
          </cell>
          <cell r="O141">
            <v>2.7199999999999998E-2</v>
          </cell>
          <cell r="P141">
            <v>0.88990000000000002</v>
          </cell>
          <cell r="Q141">
            <v>0.99199999999999999</v>
          </cell>
          <cell r="R141">
            <v>0.85870000000000002</v>
          </cell>
          <cell r="S141">
            <v>0.69330000000000003</v>
          </cell>
          <cell r="T141">
            <v>0.56599999999999995</v>
          </cell>
          <cell r="U141">
            <v>0.48309999999999997</v>
          </cell>
        </row>
        <row r="142">
          <cell r="K142">
            <v>0.20399999999999999</v>
          </cell>
          <cell r="L142">
            <v>0.20399999999999999</v>
          </cell>
          <cell r="M142">
            <v>0.20399999999999999</v>
          </cell>
          <cell r="N142">
            <v>0.20399999999999999</v>
          </cell>
          <cell r="O142">
            <v>0.20399999999999999</v>
          </cell>
          <cell r="P142">
            <v>0.25679999999999997</v>
          </cell>
          <cell r="Q142">
            <v>0.2858</v>
          </cell>
          <cell r="R142">
            <v>0.31830000000000003</v>
          </cell>
          <cell r="S142">
            <v>0.3795</v>
          </cell>
          <cell r="T142">
            <v>0.441</v>
          </cell>
          <cell r="U142">
            <v>0.51170000000000004</v>
          </cell>
        </row>
        <row r="143">
          <cell r="K143">
            <v>14.114875000000001</v>
          </cell>
          <cell r="L143">
            <v>14.114875000000001</v>
          </cell>
          <cell r="M143">
            <v>12.696574999999998</v>
          </cell>
          <cell r="N143">
            <v>9.7274750000000001</v>
          </cell>
          <cell r="O143">
            <v>9.6485249999999994</v>
          </cell>
          <cell r="P143">
            <v>12.292975</v>
          </cell>
          <cell r="Q143">
            <v>12.385899999999999</v>
          </cell>
          <cell r="R143">
            <v>12.536775</v>
          </cell>
          <cell r="S143">
            <v>12.690000000000001</v>
          </cell>
          <cell r="T143">
            <v>13.033374999999999</v>
          </cell>
          <cell r="U143">
            <v>13.3146</v>
          </cell>
        </row>
        <row r="144">
          <cell r="K144">
            <v>0.11326666666666667</v>
          </cell>
          <cell r="L144">
            <v>0.11326666666666667</v>
          </cell>
          <cell r="M144">
            <v>0.12239999999999999</v>
          </cell>
          <cell r="N144">
            <v>0.12366666666666666</v>
          </cell>
          <cell r="O144">
            <v>0.1431</v>
          </cell>
          <cell r="P144">
            <v>0.62890000000000001</v>
          </cell>
          <cell r="Q144">
            <v>0.82076666666666664</v>
          </cell>
          <cell r="R144">
            <v>0.5517333333333333</v>
          </cell>
          <cell r="S144">
            <v>0.40433333333333338</v>
          </cell>
          <cell r="T144">
            <v>0.38163333333333332</v>
          </cell>
          <cell r="U144">
            <v>0.37706666666666666</v>
          </cell>
        </row>
        <row r="145">
          <cell r="K145">
            <v>1932.1078000000002</v>
          </cell>
          <cell r="L145">
            <v>1932.1078000000002</v>
          </cell>
          <cell r="M145">
            <v>2215.530099999999</v>
          </cell>
          <cell r="N145">
            <v>2769.3811999999994</v>
          </cell>
          <cell r="O145">
            <v>2778.7100999999998</v>
          </cell>
          <cell r="P145">
            <v>2930.9638000000004</v>
          </cell>
          <cell r="Q145">
            <v>2822.200229</v>
          </cell>
          <cell r="R145">
            <v>2483.9134510000008</v>
          </cell>
          <cell r="S145">
            <v>2073.4119719999999</v>
          </cell>
          <cell r="T145">
            <v>1819.5613060000001</v>
          </cell>
          <cell r="U145">
            <v>1792.2106569999999</v>
          </cell>
        </row>
        <row r="146">
          <cell r="K146">
            <v>214.5421</v>
          </cell>
          <cell r="L146">
            <v>214.5421</v>
          </cell>
          <cell r="M146">
            <v>174.54499999999999</v>
          </cell>
          <cell r="N146">
            <v>195.26300000000001</v>
          </cell>
          <cell r="O146">
            <v>207.40729999999999</v>
          </cell>
          <cell r="P146">
            <v>243.47470000000001</v>
          </cell>
          <cell r="Q146">
            <v>257.50279799999998</v>
          </cell>
          <cell r="R146">
            <v>238.101236</v>
          </cell>
          <cell r="S146">
            <v>223.69468800000001</v>
          </cell>
          <cell r="T146">
            <v>258.53477400000003</v>
          </cell>
          <cell r="U146">
            <v>349.44965300000001</v>
          </cell>
        </row>
        <row r="147">
          <cell r="K147">
            <v>1027.607</v>
          </cell>
          <cell r="L147">
            <v>1027.607</v>
          </cell>
          <cell r="M147">
            <v>1363.8547000000001</v>
          </cell>
          <cell r="N147">
            <v>1782.2746</v>
          </cell>
          <cell r="O147">
            <v>1852.3152</v>
          </cell>
          <cell r="P147">
            <v>1967.752</v>
          </cell>
          <cell r="Q147">
            <v>1880.8282979999999</v>
          </cell>
          <cell r="R147">
            <v>1625.6031359999999</v>
          </cell>
          <cell r="S147">
            <v>1290.2757879999999</v>
          </cell>
          <cell r="T147">
            <v>1071.7155740000001</v>
          </cell>
          <cell r="U147">
            <v>984.68805299999997</v>
          </cell>
        </row>
        <row r="148">
          <cell r="K148">
            <v>216.09030000000001</v>
          </cell>
          <cell r="L148">
            <v>216.09030000000001</v>
          </cell>
          <cell r="M148">
            <v>217.18219999999999</v>
          </cell>
          <cell r="N148">
            <v>257.81479999999999</v>
          </cell>
          <cell r="O148">
            <v>206.5772</v>
          </cell>
          <cell r="P148">
            <v>223.62729999999999</v>
          </cell>
          <cell r="Q148">
            <v>219.06903299999999</v>
          </cell>
          <cell r="R148">
            <v>206.73857899999999</v>
          </cell>
          <cell r="S148">
            <v>194.377296</v>
          </cell>
          <cell r="T148">
            <v>189.69325799999999</v>
          </cell>
          <cell r="U148">
            <v>211.01315099999999</v>
          </cell>
        </row>
        <row r="149">
          <cell r="K149">
            <v>32.581299999999999</v>
          </cell>
          <cell r="L149">
            <v>32.581299999999999</v>
          </cell>
          <cell r="M149">
            <v>31.101600000000001</v>
          </cell>
          <cell r="N149">
            <v>43.758800000000001</v>
          </cell>
          <cell r="O149">
            <v>34.583300000000001</v>
          </cell>
          <cell r="P149">
            <v>39.682600000000001</v>
          </cell>
          <cell r="Q149">
            <v>39.727800000000002</v>
          </cell>
          <cell r="R149">
            <v>40.499200000000002</v>
          </cell>
          <cell r="S149">
            <v>39.207099999999997</v>
          </cell>
          <cell r="T149">
            <v>37.330800000000004</v>
          </cell>
          <cell r="U149">
            <v>35.7913</v>
          </cell>
        </row>
        <row r="150">
          <cell r="K150">
            <v>310.01060000000001</v>
          </cell>
          <cell r="L150">
            <v>310.01060000000001</v>
          </cell>
          <cell r="M150">
            <v>264.8938</v>
          </cell>
          <cell r="N150">
            <v>284.53190000000001</v>
          </cell>
          <cell r="O150">
            <v>287.99110000000002</v>
          </cell>
          <cell r="P150">
            <v>276.55779999999999</v>
          </cell>
          <cell r="Q150">
            <v>268.8021</v>
          </cell>
          <cell r="R150">
            <v>244.5675</v>
          </cell>
          <cell r="S150">
            <v>223.6437</v>
          </cell>
          <cell r="T150">
            <v>173.21129999999999</v>
          </cell>
          <cell r="U150">
            <v>136.79650000000001</v>
          </cell>
        </row>
        <row r="151">
          <cell r="K151">
            <v>95.424300000000002</v>
          </cell>
          <cell r="L151">
            <v>95.424300000000002</v>
          </cell>
          <cell r="M151">
            <v>116.6006</v>
          </cell>
          <cell r="N151">
            <v>153.39760000000001</v>
          </cell>
          <cell r="O151">
            <v>136.53469999999999</v>
          </cell>
          <cell r="P151">
            <v>123.9323</v>
          </cell>
          <cell r="Q151">
            <v>98.486800000000002</v>
          </cell>
          <cell r="R151">
            <v>79.204700000000003</v>
          </cell>
          <cell r="S151">
            <v>67.763099999999994</v>
          </cell>
          <cell r="T151">
            <v>60.334800000000001</v>
          </cell>
          <cell r="U151">
            <v>50.278300000000002</v>
          </cell>
        </row>
        <row r="152">
          <cell r="K152">
            <v>7.7012</v>
          </cell>
          <cell r="L152">
            <v>7.7012</v>
          </cell>
          <cell r="M152">
            <v>17.114799999999999</v>
          </cell>
          <cell r="N152">
            <v>18.8187</v>
          </cell>
          <cell r="O152">
            <v>25.4682</v>
          </cell>
          <cell r="P152">
            <v>28.2163</v>
          </cell>
          <cell r="Q152">
            <v>25.2393</v>
          </cell>
          <cell r="R152">
            <v>21.732099999999999</v>
          </cell>
          <cell r="S152">
            <v>18.564399999999999</v>
          </cell>
          <cell r="T152">
            <v>16.864899999999999</v>
          </cell>
          <cell r="U152">
            <v>14.6218</v>
          </cell>
        </row>
        <row r="153">
          <cell r="K153">
            <v>4.6820000000000004</v>
          </cell>
          <cell r="L153">
            <v>4.6820000000000004</v>
          </cell>
          <cell r="M153">
            <v>7.1874000000000002</v>
          </cell>
          <cell r="N153">
            <v>11.480399999999999</v>
          </cell>
          <cell r="O153">
            <v>1.9188000000000001</v>
          </cell>
          <cell r="P153">
            <v>2.7214999999999998</v>
          </cell>
          <cell r="Q153">
            <v>2.3351999999999999</v>
          </cell>
          <cell r="R153">
            <v>1.9306000000000001</v>
          </cell>
          <cell r="S153">
            <v>1.5531999999999999</v>
          </cell>
          <cell r="T153">
            <v>1.4397</v>
          </cell>
          <cell r="U153">
            <v>1.4578</v>
          </cell>
        </row>
        <row r="154">
          <cell r="K154">
            <v>0.75800000000000001</v>
          </cell>
          <cell r="L154">
            <v>0.75800000000000001</v>
          </cell>
          <cell r="M154">
            <v>0.75800000000000001</v>
          </cell>
          <cell r="N154">
            <v>1.1099000000000001</v>
          </cell>
          <cell r="O154">
            <v>2.149</v>
          </cell>
          <cell r="P154">
            <v>1.2575000000000001</v>
          </cell>
          <cell r="Q154">
            <v>1.2853000000000001</v>
          </cell>
          <cell r="R154">
            <v>1.25</v>
          </cell>
          <cell r="S154">
            <v>1.1820999999999999</v>
          </cell>
          <cell r="T154">
            <v>1.0818000000000001</v>
          </cell>
          <cell r="U154">
            <v>0.94920000000000004</v>
          </cell>
        </row>
        <row r="155">
          <cell r="K155">
            <v>19.588999999999999</v>
          </cell>
          <cell r="L155">
            <v>19.588999999999999</v>
          </cell>
          <cell r="M155">
            <v>19.047999999999998</v>
          </cell>
          <cell r="N155">
            <v>18.431000000000001</v>
          </cell>
          <cell r="O155">
            <v>21.54</v>
          </cell>
          <cell r="P155">
            <v>20.9453</v>
          </cell>
          <cell r="Q155">
            <v>26.3535</v>
          </cell>
          <cell r="R155">
            <v>21.891100000000002</v>
          </cell>
          <cell r="S155">
            <v>10.901999999999999</v>
          </cell>
          <cell r="T155">
            <v>7.2047999999999996</v>
          </cell>
          <cell r="U155">
            <v>5.0686</v>
          </cell>
        </row>
        <row r="156">
          <cell r="K156">
            <v>1.048</v>
          </cell>
          <cell r="L156">
            <v>1.048</v>
          </cell>
          <cell r="M156">
            <v>0.35</v>
          </cell>
          <cell r="N156">
            <v>0.1993</v>
          </cell>
          <cell r="O156">
            <v>0.1993</v>
          </cell>
          <cell r="P156">
            <v>0.1769</v>
          </cell>
          <cell r="Q156">
            <v>0.1666</v>
          </cell>
          <cell r="R156">
            <v>0.159</v>
          </cell>
          <cell r="S156">
            <v>0.15329999999999999</v>
          </cell>
          <cell r="T156">
            <v>0.15</v>
          </cell>
          <cell r="U156">
            <v>0.15840000000000001</v>
          </cell>
        </row>
        <row r="157">
          <cell r="K157">
            <v>2.0739999999999998</v>
          </cell>
          <cell r="L157">
            <v>2.0739999999999998</v>
          </cell>
          <cell r="M157">
            <v>2.8940000000000001</v>
          </cell>
          <cell r="N157">
            <v>2.3012000000000001</v>
          </cell>
          <cell r="O157">
            <v>2.0259999999999998</v>
          </cell>
          <cell r="P157">
            <v>2.6196000000000002</v>
          </cell>
          <cell r="Q157">
            <v>2.4035000000000002</v>
          </cell>
          <cell r="R157">
            <v>2.2363</v>
          </cell>
          <cell r="S157">
            <v>2.0952999999999999</v>
          </cell>
          <cell r="T157">
            <v>1.9996</v>
          </cell>
          <cell r="U157">
            <v>1.9369000000000001</v>
          </cell>
        </row>
        <row r="158"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1E-3</v>
          </cell>
        </row>
        <row r="159">
          <cell r="K159">
            <v>8.1825499999999991</v>
          </cell>
          <cell r="L159">
            <v>8.1825499999999991</v>
          </cell>
          <cell r="M159">
            <v>11.027049999999999</v>
          </cell>
          <cell r="N159">
            <v>12.46</v>
          </cell>
          <cell r="O159">
            <v>12.769</v>
          </cell>
          <cell r="P159">
            <v>13.285149999999998</v>
          </cell>
          <cell r="Q159">
            <v>13.803325000000001</v>
          </cell>
          <cell r="R159">
            <v>11.700950000000001</v>
          </cell>
          <cell r="S159">
            <v>8.0504249999999988</v>
          </cell>
          <cell r="T159">
            <v>6.6477999999999993</v>
          </cell>
          <cell r="U159">
            <v>5.5243500000000001</v>
          </cell>
        </row>
        <row r="160">
          <cell r="K160">
            <v>1.0406666666666666</v>
          </cell>
          <cell r="L160">
            <v>1.0406666666666666</v>
          </cell>
          <cell r="M160">
            <v>1.0813333333333335</v>
          </cell>
          <cell r="N160">
            <v>0.83350000000000002</v>
          </cell>
          <cell r="O160">
            <v>0.74176666666666657</v>
          </cell>
          <cell r="P160">
            <v>0.9321666666666667</v>
          </cell>
          <cell r="Q160">
            <v>0.85670000000000002</v>
          </cell>
          <cell r="R160">
            <v>0.79843333333333322</v>
          </cell>
          <cell r="S160">
            <v>0.74953333333333327</v>
          </cell>
          <cell r="T160">
            <v>0.71653333333333336</v>
          </cell>
          <cell r="U160">
            <v>0.69876666666666665</v>
          </cell>
        </row>
        <row r="161">
          <cell r="K161">
            <v>1757.9968999999999</v>
          </cell>
          <cell r="L161">
            <v>1757.9968999999999</v>
          </cell>
          <cell r="M161">
            <v>1794.0907999999999</v>
          </cell>
          <cell r="N161">
            <v>1858.8947999999998</v>
          </cell>
          <cell r="O161">
            <v>1715.1753999999999</v>
          </cell>
          <cell r="P161">
            <v>1666.096</v>
          </cell>
          <cell r="Q161">
            <v>1633.3837999999996</v>
          </cell>
          <cell r="R161">
            <v>1533.3933000000004</v>
          </cell>
          <cell r="S161">
            <v>1400.6596</v>
          </cell>
          <cell r="T161">
            <v>1266.6981000000003</v>
          </cell>
          <cell r="U161">
            <v>1172.2755999999997</v>
          </cell>
        </row>
        <row r="162">
          <cell r="K162">
            <v>88.866299999999995</v>
          </cell>
          <cell r="L162">
            <v>88.866299999999995</v>
          </cell>
          <cell r="M162">
            <v>88.24</v>
          </cell>
          <cell r="N162">
            <v>100.3439</v>
          </cell>
          <cell r="O162">
            <v>95.847200000000001</v>
          </cell>
          <cell r="P162">
            <v>97.174899999999994</v>
          </cell>
          <cell r="Q162">
            <v>97.513599999999997</v>
          </cell>
          <cell r="R162">
            <v>89.554500000000004</v>
          </cell>
          <cell r="S162">
            <v>85.263300000000001</v>
          </cell>
          <cell r="T162">
            <v>82.188699999999997</v>
          </cell>
          <cell r="U162">
            <v>80.963200000000001</v>
          </cell>
        </row>
        <row r="163">
          <cell r="K163">
            <v>679.4461</v>
          </cell>
          <cell r="L163">
            <v>679.4461</v>
          </cell>
          <cell r="M163">
            <v>695.47619999999995</v>
          </cell>
          <cell r="N163">
            <v>736.62469999999996</v>
          </cell>
          <cell r="O163">
            <v>784.85820000000001</v>
          </cell>
          <cell r="P163">
            <v>745.94799999999998</v>
          </cell>
          <cell r="Q163">
            <v>705.50919999999996</v>
          </cell>
          <cell r="R163">
            <v>658.51300000000003</v>
          </cell>
          <cell r="S163">
            <v>591.88620000000003</v>
          </cell>
          <cell r="T163">
            <v>542.83140000000003</v>
          </cell>
          <cell r="U163">
            <v>509.97649999999999</v>
          </cell>
        </row>
        <row r="164">
          <cell r="K164">
            <v>85.230500000000006</v>
          </cell>
          <cell r="L164">
            <v>85.230500000000006</v>
          </cell>
          <cell r="M164">
            <v>85.058899999999994</v>
          </cell>
          <cell r="N164">
            <v>130.07249999999999</v>
          </cell>
          <cell r="O164">
            <v>132.4589</v>
          </cell>
          <cell r="P164">
            <v>117.4522</v>
          </cell>
          <cell r="Q164">
            <v>117.4299</v>
          </cell>
          <cell r="R164">
            <v>112.3373</v>
          </cell>
          <cell r="S164">
            <v>107.2243</v>
          </cell>
          <cell r="T164">
            <v>100.9958</v>
          </cell>
          <cell r="U164">
            <v>94.875100000000003</v>
          </cell>
        </row>
        <row r="165">
          <cell r="K165">
            <v>31.3565</v>
          </cell>
          <cell r="L165">
            <v>31.3565</v>
          </cell>
          <cell r="M165">
            <v>27.050599999999999</v>
          </cell>
          <cell r="N165">
            <v>37.342399999999998</v>
          </cell>
          <cell r="O165">
            <v>38.646700000000003</v>
          </cell>
          <cell r="P165">
            <v>36.055799999999998</v>
          </cell>
          <cell r="Q165">
            <v>36.237900000000003</v>
          </cell>
          <cell r="R165">
            <v>33.710900000000002</v>
          </cell>
          <cell r="S165">
            <v>30.685300000000002</v>
          </cell>
          <cell r="T165">
            <v>27.706800000000001</v>
          </cell>
          <cell r="U165">
            <v>25.216799999999999</v>
          </cell>
        </row>
        <row r="166">
          <cell r="K166">
            <v>445.26830000000001</v>
          </cell>
          <cell r="L166">
            <v>445.26830000000001</v>
          </cell>
          <cell r="M166">
            <v>511.05840000000001</v>
          </cell>
          <cell r="N166">
            <v>560.11540000000002</v>
          </cell>
          <cell r="O166">
            <v>405.58980000000003</v>
          </cell>
          <cell r="P166">
            <v>414.3098</v>
          </cell>
          <cell r="Q166">
            <v>425.82780000000002</v>
          </cell>
          <cell r="R166">
            <v>400.70139999999998</v>
          </cell>
          <cell r="S166">
            <v>366.82920000000001</v>
          </cell>
          <cell r="T166">
            <v>318.25220000000002</v>
          </cell>
          <cell r="U166">
            <v>284.32960000000003</v>
          </cell>
        </row>
        <row r="167">
          <cell r="K167">
            <v>263.27870000000001</v>
          </cell>
          <cell r="L167">
            <v>263.27870000000001</v>
          </cell>
          <cell r="M167">
            <v>216.55260000000001</v>
          </cell>
          <cell r="N167">
            <v>176.0187</v>
          </cell>
          <cell r="O167">
            <v>163.75960000000001</v>
          </cell>
          <cell r="P167">
            <v>157.76480000000001</v>
          </cell>
          <cell r="Q167">
            <v>160.09630000000001</v>
          </cell>
          <cell r="R167">
            <v>157.77590000000001</v>
          </cell>
          <cell r="S167">
            <v>146.0051</v>
          </cell>
          <cell r="T167">
            <v>125.46899999999999</v>
          </cell>
          <cell r="U167">
            <v>112.0236</v>
          </cell>
        </row>
        <row r="168">
          <cell r="K168">
            <v>76.223299999999995</v>
          </cell>
          <cell r="L168">
            <v>76.223299999999995</v>
          </cell>
          <cell r="M168">
            <v>95.094999999999999</v>
          </cell>
          <cell r="N168">
            <v>63.704799999999999</v>
          </cell>
          <cell r="O168">
            <v>51.772300000000001</v>
          </cell>
          <cell r="P168">
            <v>42.5291</v>
          </cell>
          <cell r="Q168">
            <v>39.127200000000002</v>
          </cell>
          <cell r="R168">
            <v>35.957299999999996</v>
          </cell>
          <cell r="S168">
            <v>32.997399999999999</v>
          </cell>
          <cell r="T168">
            <v>31.5901</v>
          </cell>
          <cell r="U168">
            <v>29.308399999999999</v>
          </cell>
        </row>
        <row r="169">
          <cell r="K169">
            <v>41.2273</v>
          </cell>
          <cell r="L169">
            <v>41.2273</v>
          </cell>
          <cell r="M169">
            <v>35.478999999999999</v>
          </cell>
          <cell r="N169">
            <v>10.980499999999999</v>
          </cell>
          <cell r="O169">
            <v>13.747400000000001</v>
          </cell>
          <cell r="P169">
            <v>18.7302</v>
          </cell>
          <cell r="Q169">
            <v>19.6922</v>
          </cell>
          <cell r="R169">
            <v>19.815300000000001</v>
          </cell>
          <cell r="S169">
            <v>18.7074</v>
          </cell>
          <cell r="T169">
            <v>17.8062</v>
          </cell>
          <cell r="U169">
            <v>17.159700000000001</v>
          </cell>
        </row>
        <row r="170">
          <cell r="K170">
            <v>3.6240000000000001</v>
          </cell>
          <cell r="L170">
            <v>3.6240000000000001</v>
          </cell>
          <cell r="M170">
            <v>4.4598000000000004</v>
          </cell>
          <cell r="N170">
            <v>1.3279000000000001</v>
          </cell>
          <cell r="O170">
            <v>2.2012999999999998</v>
          </cell>
          <cell r="P170">
            <v>1.8992</v>
          </cell>
          <cell r="Q170">
            <v>1.9144000000000001</v>
          </cell>
          <cell r="R170">
            <v>1.67</v>
          </cell>
          <cell r="S170">
            <v>1.4409000000000001</v>
          </cell>
          <cell r="T170">
            <v>1.2139</v>
          </cell>
          <cell r="U170">
            <v>1.0173000000000001</v>
          </cell>
        </row>
        <row r="171">
          <cell r="K171">
            <v>34.625300000000003</v>
          </cell>
          <cell r="L171">
            <v>34.625300000000003</v>
          </cell>
          <cell r="M171">
            <v>27.552700000000002</v>
          </cell>
          <cell r="N171">
            <v>31.55</v>
          </cell>
          <cell r="O171">
            <v>17.619700000000002</v>
          </cell>
          <cell r="P171">
            <v>24.6342</v>
          </cell>
          <cell r="Q171">
            <v>20.1906</v>
          </cell>
          <cell r="R171">
            <v>16.912600000000001</v>
          </cell>
          <cell r="S171">
            <v>14.7332</v>
          </cell>
          <cell r="T171">
            <v>13.843</v>
          </cell>
          <cell r="U171">
            <v>12.654199999999999</v>
          </cell>
        </row>
        <row r="172">
          <cell r="K172">
            <v>0.76400000000000001</v>
          </cell>
          <cell r="L172">
            <v>0.76400000000000001</v>
          </cell>
          <cell r="M172">
            <v>0.97589999999999999</v>
          </cell>
          <cell r="N172">
            <v>0.60640000000000005</v>
          </cell>
          <cell r="O172">
            <v>1.6910000000000001</v>
          </cell>
          <cell r="P172">
            <v>4.3102999999999998</v>
          </cell>
          <cell r="Q172">
            <v>5.6303000000000001</v>
          </cell>
          <cell r="R172">
            <v>2.7793000000000001</v>
          </cell>
          <cell r="S172">
            <v>1.4387000000000001</v>
          </cell>
          <cell r="T172">
            <v>1.4273</v>
          </cell>
          <cell r="U172">
            <v>1.4152</v>
          </cell>
        </row>
        <row r="173">
          <cell r="K173">
            <v>6.9085999999999999</v>
          </cell>
          <cell r="L173">
            <v>6.9085999999999999</v>
          </cell>
          <cell r="M173">
            <v>5.2466999999999997</v>
          </cell>
          <cell r="N173">
            <v>8.5202000000000009</v>
          </cell>
          <cell r="O173">
            <v>5.8337000000000003</v>
          </cell>
          <cell r="P173">
            <v>3.0998999999999999</v>
          </cell>
          <cell r="Q173">
            <v>2.0760000000000001</v>
          </cell>
          <cell r="R173">
            <v>1.6164000000000001</v>
          </cell>
          <cell r="S173">
            <v>1.3937999999999999</v>
          </cell>
          <cell r="T173">
            <v>1.284</v>
          </cell>
          <cell r="U173">
            <v>1.2109000000000001</v>
          </cell>
        </row>
        <row r="174">
          <cell r="K174">
            <v>1.1779999999999999</v>
          </cell>
          <cell r="L174">
            <v>1.1779999999999999</v>
          </cell>
          <cell r="M174">
            <v>1.845</v>
          </cell>
          <cell r="N174">
            <v>1.6874</v>
          </cell>
          <cell r="O174">
            <v>1.1496</v>
          </cell>
          <cell r="P174">
            <v>2.1876000000000002</v>
          </cell>
          <cell r="Q174">
            <v>2.1383999999999999</v>
          </cell>
          <cell r="R174">
            <v>2.0493999999999999</v>
          </cell>
          <cell r="S174">
            <v>2.0548000000000002</v>
          </cell>
          <cell r="T174">
            <v>2.0897000000000001</v>
          </cell>
          <cell r="U174">
            <v>2.1251000000000002</v>
          </cell>
        </row>
        <row r="175">
          <cell r="K175">
            <v>38.924974999999996</v>
          </cell>
          <cell r="L175">
            <v>38.924974999999996</v>
          </cell>
          <cell r="M175">
            <v>40.646625</v>
          </cell>
          <cell r="N175">
            <v>26.890799999999999</v>
          </cell>
          <cell r="O175">
            <v>21.335175</v>
          </cell>
          <cell r="P175">
            <v>21.948174999999999</v>
          </cell>
          <cell r="Q175">
            <v>20.231100000000001</v>
          </cell>
          <cell r="R175">
            <v>18.588799999999999</v>
          </cell>
          <cell r="S175">
            <v>16.969725</v>
          </cell>
          <cell r="T175">
            <v>16.113299999999999</v>
          </cell>
          <cell r="U175">
            <v>15.0349</v>
          </cell>
        </row>
        <row r="176">
          <cell r="K176">
            <v>2.9502000000000002</v>
          </cell>
          <cell r="L176">
            <v>2.9502000000000002</v>
          </cell>
          <cell r="M176">
            <v>2.6892</v>
          </cell>
          <cell r="N176">
            <v>3.6046666666666671</v>
          </cell>
          <cell r="O176">
            <v>2.8914333333333335</v>
          </cell>
          <cell r="P176">
            <v>3.1992666666666665</v>
          </cell>
          <cell r="Q176">
            <v>3.2815666666666665</v>
          </cell>
          <cell r="R176">
            <v>2.1483666666666665</v>
          </cell>
          <cell r="S176">
            <v>1.6291</v>
          </cell>
          <cell r="T176">
            <v>1.6003333333333334</v>
          </cell>
          <cell r="U176">
            <v>1.5837333333333337</v>
          </cell>
        </row>
        <row r="179">
          <cell r="K179">
            <v>1365.7584999999999</v>
          </cell>
          <cell r="L179">
            <v>1365.7584999999999</v>
          </cell>
          <cell r="M179">
            <v>1376.6768</v>
          </cell>
          <cell r="N179">
            <v>1337.8242000000002</v>
          </cell>
          <cell r="O179">
            <v>1186.4656</v>
          </cell>
          <cell r="P179">
            <v>1264.1028999999999</v>
          </cell>
          <cell r="Q179">
            <v>1053.8937000000001</v>
          </cell>
          <cell r="R179">
            <v>758.0293999999999</v>
          </cell>
          <cell r="S179">
            <v>454.95620000000002</v>
          </cell>
          <cell r="T179">
            <v>211.10519999999997</v>
          </cell>
          <cell r="U179">
            <v>32.846699999999998</v>
          </cell>
        </row>
        <row r="180">
          <cell r="K180">
            <v>158.4186</v>
          </cell>
          <cell r="L180">
            <v>158.4186</v>
          </cell>
          <cell r="M180">
            <v>147.958</v>
          </cell>
          <cell r="N180">
            <v>151.05350000000001</v>
          </cell>
          <cell r="O180">
            <v>139.21209999999999</v>
          </cell>
          <cell r="P180">
            <v>135.94399999999999</v>
          </cell>
          <cell r="Q180">
            <v>99.884200000000007</v>
          </cell>
          <cell r="R180">
            <v>71.141000000000005</v>
          </cell>
          <cell r="S180">
            <v>42.350499999999997</v>
          </cell>
          <cell r="T180">
            <v>18.856100000000001</v>
          </cell>
          <cell r="U180">
            <v>2.0501</v>
          </cell>
        </row>
        <row r="181">
          <cell r="K181">
            <v>174.3648</v>
          </cell>
          <cell r="L181">
            <v>174.3648</v>
          </cell>
          <cell r="M181">
            <v>186.12479999999999</v>
          </cell>
          <cell r="N181">
            <v>183.95949999999999</v>
          </cell>
          <cell r="O181">
            <v>176.17840000000001</v>
          </cell>
          <cell r="P181">
            <v>214.8476</v>
          </cell>
          <cell r="Q181">
            <v>193.69550000000001</v>
          </cell>
          <cell r="R181">
            <v>134.0197</v>
          </cell>
          <cell r="S181">
            <v>76.309100000000001</v>
          </cell>
          <cell r="T181">
            <v>34.894500000000001</v>
          </cell>
          <cell r="U181">
            <v>8.0914000000000001</v>
          </cell>
        </row>
        <row r="182">
          <cell r="K182">
            <v>52.941299999999998</v>
          </cell>
          <cell r="L182">
            <v>52.941299999999998</v>
          </cell>
          <cell r="M182">
            <v>66.792500000000004</v>
          </cell>
          <cell r="N182">
            <v>68.037400000000005</v>
          </cell>
          <cell r="O182">
            <v>57.531399999999998</v>
          </cell>
          <cell r="P182">
            <v>66.745800000000003</v>
          </cell>
          <cell r="Q182">
            <v>61.689500000000002</v>
          </cell>
          <cell r="R182">
            <v>44.752699999999997</v>
          </cell>
          <cell r="S182">
            <v>26.195399999999999</v>
          </cell>
          <cell r="T182">
            <v>12.092000000000001</v>
          </cell>
          <cell r="U182">
            <v>2.6764999999999999</v>
          </cell>
        </row>
        <row r="183">
          <cell r="K183">
            <v>43.201300000000003</v>
          </cell>
          <cell r="L183">
            <v>43.201300000000003</v>
          </cell>
          <cell r="M183">
            <v>42.931199999999997</v>
          </cell>
          <cell r="N183">
            <v>49.680399999999999</v>
          </cell>
          <cell r="O183">
            <v>45.206099999999999</v>
          </cell>
          <cell r="P183">
            <v>49.677799999999998</v>
          </cell>
          <cell r="Q183">
            <v>44.390500000000003</v>
          </cell>
          <cell r="R183">
            <v>32.606499999999997</v>
          </cell>
          <cell r="S183">
            <v>19.300599999999999</v>
          </cell>
          <cell r="T183">
            <v>8.7452000000000005</v>
          </cell>
          <cell r="U183">
            <v>1.4750000000000001</v>
          </cell>
        </row>
        <row r="184">
          <cell r="K184">
            <v>531.53970000000004</v>
          </cell>
          <cell r="L184">
            <v>531.53970000000004</v>
          </cell>
          <cell r="M184">
            <v>520.48479999999995</v>
          </cell>
          <cell r="N184">
            <v>486.435</v>
          </cell>
          <cell r="O184">
            <v>418.92770000000002</v>
          </cell>
          <cell r="P184">
            <v>453.54860000000002</v>
          </cell>
          <cell r="Q184">
            <v>387.03129999999999</v>
          </cell>
          <cell r="R184">
            <v>280.74930000000001</v>
          </cell>
          <cell r="S184">
            <v>170.1687</v>
          </cell>
          <cell r="T184">
            <v>79.043899999999994</v>
          </cell>
          <cell r="U184">
            <v>9.7706999999999997</v>
          </cell>
        </row>
        <row r="185">
          <cell r="K185">
            <v>293.17469999999997</v>
          </cell>
          <cell r="L185">
            <v>293.17469999999997</v>
          </cell>
          <cell r="M185">
            <v>299.08569999999997</v>
          </cell>
          <cell r="N185">
            <v>275.20800000000003</v>
          </cell>
          <cell r="O185">
            <v>245.137</v>
          </cell>
          <cell r="P185">
            <v>239.32210000000001</v>
          </cell>
          <cell r="Q185">
            <v>184.21449999999999</v>
          </cell>
          <cell r="R185">
            <v>134.15010000000001</v>
          </cell>
          <cell r="S185">
            <v>82.512799999999999</v>
          </cell>
          <cell r="T185">
            <v>38.630099999999999</v>
          </cell>
          <cell r="U185">
            <v>5.3905000000000003</v>
          </cell>
        </row>
        <row r="186">
          <cell r="K186">
            <v>36.241</v>
          </cell>
          <cell r="L186">
            <v>36.241</v>
          </cell>
          <cell r="M186">
            <v>35.32</v>
          </cell>
          <cell r="N186">
            <v>35.1021</v>
          </cell>
          <cell r="O186">
            <v>28.5593</v>
          </cell>
          <cell r="P186">
            <v>28.563500000000001</v>
          </cell>
          <cell r="Q186">
            <v>22.664899999999999</v>
          </cell>
          <cell r="R186">
            <v>16.226099999999999</v>
          </cell>
          <cell r="S186">
            <v>9.9217999999999993</v>
          </cell>
          <cell r="T186">
            <v>4.5777999999999999</v>
          </cell>
          <cell r="U186">
            <v>0.46639999999999998</v>
          </cell>
        </row>
        <row r="187">
          <cell r="K187">
            <v>42.695999999999998</v>
          </cell>
          <cell r="L187">
            <v>42.695999999999998</v>
          </cell>
          <cell r="M187">
            <v>40.307099999999998</v>
          </cell>
          <cell r="N187">
            <v>43.258699999999997</v>
          </cell>
          <cell r="O187">
            <v>38.0852</v>
          </cell>
          <cell r="P187">
            <v>37.436</v>
          </cell>
          <cell r="Q187">
            <v>29.402999999999999</v>
          </cell>
          <cell r="R187">
            <v>21.166599999999999</v>
          </cell>
          <cell r="S187">
            <v>13.039899999999999</v>
          </cell>
          <cell r="T187">
            <v>6.0148000000000001</v>
          </cell>
          <cell r="U187">
            <v>0.50349999999999995</v>
          </cell>
        </row>
        <row r="188">
          <cell r="K188">
            <v>7.907</v>
          </cell>
          <cell r="L188">
            <v>7.907</v>
          </cell>
          <cell r="M188">
            <v>7.7649999999999997</v>
          </cell>
          <cell r="N188">
            <v>7.1959999999999997</v>
          </cell>
          <cell r="O188">
            <v>6.2957999999999998</v>
          </cell>
          <cell r="P188">
            <v>6.4958999999999998</v>
          </cell>
          <cell r="Q188">
            <v>5.1581000000000001</v>
          </cell>
          <cell r="R188">
            <v>3.6812999999999998</v>
          </cell>
          <cell r="S188">
            <v>2.2745000000000002</v>
          </cell>
          <cell r="T188">
            <v>1.0548999999999999</v>
          </cell>
          <cell r="U188">
            <v>7.0199999999999999E-2</v>
          </cell>
        </row>
        <row r="189">
          <cell r="K189">
            <v>21.155000000000001</v>
          </cell>
          <cell r="L189">
            <v>21.155000000000001</v>
          </cell>
          <cell r="M189">
            <v>25.184999999999999</v>
          </cell>
          <cell r="N189">
            <v>33.119900000000001</v>
          </cell>
          <cell r="O189">
            <v>26.4651</v>
          </cell>
          <cell r="P189">
            <v>25.8779</v>
          </cell>
          <cell r="Q189">
            <v>20.747800000000002</v>
          </cell>
          <cell r="R189">
            <v>15.327199999999999</v>
          </cell>
          <cell r="S189">
            <v>9.6240000000000006</v>
          </cell>
          <cell r="T189">
            <v>4.8216000000000001</v>
          </cell>
          <cell r="U189">
            <v>0.75760000000000005</v>
          </cell>
        </row>
        <row r="190">
          <cell r="K190">
            <v>2.101</v>
          </cell>
          <cell r="L190">
            <v>2.101</v>
          </cell>
          <cell r="M190">
            <v>2.3527</v>
          </cell>
          <cell r="N190">
            <v>2.3656999999999999</v>
          </cell>
          <cell r="O190">
            <v>2.6680999999999999</v>
          </cell>
          <cell r="P190">
            <v>3.1213000000000002</v>
          </cell>
          <cell r="Q190">
            <v>2.6530999999999998</v>
          </cell>
          <cell r="R190">
            <v>2.0828000000000002</v>
          </cell>
          <cell r="S190">
            <v>1.5153000000000001</v>
          </cell>
          <cell r="T190">
            <v>0.99980000000000002</v>
          </cell>
          <cell r="U190">
            <v>0.55249999999999999</v>
          </cell>
        </row>
        <row r="191">
          <cell r="K191">
            <v>1.5971</v>
          </cell>
          <cell r="L191">
            <v>1.5971</v>
          </cell>
          <cell r="M191">
            <v>1.7390000000000001</v>
          </cell>
          <cell r="N191">
            <v>1.6719999999999999</v>
          </cell>
          <cell r="O191">
            <v>1.5563</v>
          </cell>
          <cell r="P191">
            <v>1.7663</v>
          </cell>
          <cell r="Q191">
            <v>1.6825000000000001</v>
          </cell>
          <cell r="R191">
            <v>1.5462</v>
          </cell>
          <cell r="S191">
            <v>1.2824</v>
          </cell>
          <cell r="T191">
            <v>1.0297000000000001</v>
          </cell>
          <cell r="U191">
            <v>0.80130000000000001</v>
          </cell>
        </row>
        <row r="192">
          <cell r="K192">
            <v>0.42099999999999999</v>
          </cell>
          <cell r="L192">
            <v>0.42099999999999999</v>
          </cell>
          <cell r="M192">
            <v>0.63100000000000001</v>
          </cell>
          <cell r="N192">
            <v>0.73599999999999999</v>
          </cell>
          <cell r="O192">
            <v>0.6431</v>
          </cell>
          <cell r="P192">
            <v>0.75609999999999999</v>
          </cell>
          <cell r="Q192">
            <v>0.67879999999999996</v>
          </cell>
          <cell r="R192">
            <v>0.57989999999999997</v>
          </cell>
          <cell r="S192">
            <v>0.4612</v>
          </cell>
          <cell r="T192">
            <v>0.3448</v>
          </cell>
          <cell r="U192">
            <v>0.24099999999999999</v>
          </cell>
        </row>
        <row r="193">
          <cell r="K193">
            <v>26.999749999999999</v>
          </cell>
          <cell r="L193">
            <v>26.999749999999999</v>
          </cell>
          <cell r="M193">
            <v>27.144275</v>
          </cell>
          <cell r="N193">
            <v>29.669174999999999</v>
          </cell>
          <cell r="O193">
            <v>24.851349999999996</v>
          </cell>
          <cell r="P193">
            <v>24.593325</v>
          </cell>
          <cell r="Q193">
            <v>19.493449999999999</v>
          </cell>
          <cell r="R193">
            <v>14.100299999999999</v>
          </cell>
          <cell r="S193">
            <v>8.7150499999999997</v>
          </cell>
          <cell r="T193">
            <v>4.1172750000000002</v>
          </cell>
          <cell r="U193">
            <v>0.44942500000000002</v>
          </cell>
        </row>
        <row r="194">
          <cell r="K194">
            <v>1.3730333333333335</v>
          </cell>
          <cell r="L194">
            <v>1.3730333333333335</v>
          </cell>
          <cell r="M194">
            <v>1.5742333333333336</v>
          </cell>
          <cell r="N194">
            <v>1.5912333333333333</v>
          </cell>
          <cell r="O194">
            <v>1.6224999999999998</v>
          </cell>
          <cell r="P194">
            <v>1.8812333333333333</v>
          </cell>
          <cell r="Q194">
            <v>1.6714666666666664</v>
          </cell>
          <cell r="R194">
            <v>1.4029666666666669</v>
          </cell>
          <cell r="S194">
            <v>1.0862999999999998</v>
          </cell>
          <cell r="T194">
            <v>0.79143333333333332</v>
          </cell>
          <cell r="U194">
            <v>0.53160000000000007</v>
          </cell>
        </row>
        <row r="195">
          <cell r="K195">
            <v>745.27150000000006</v>
          </cell>
          <cell r="L195">
            <v>745.27150000000006</v>
          </cell>
          <cell r="M195">
            <v>818.83259999999984</v>
          </cell>
          <cell r="N195">
            <v>804.21490000000017</v>
          </cell>
          <cell r="O195">
            <v>716.82319999999982</v>
          </cell>
          <cell r="P195">
            <v>784.94689999999991</v>
          </cell>
          <cell r="Q195">
            <v>723.25790000000006</v>
          </cell>
          <cell r="R195">
            <v>500.3888</v>
          </cell>
          <cell r="S195">
            <v>300.1404</v>
          </cell>
          <cell r="T195">
            <v>170.47240000000002</v>
          </cell>
          <cell r="U195">
            <v>93.292699999999996</v>
          </cell>
        </row>
        <row r="196">
          <cell r="K196">
            <v>92.06</v>
          </cell>
          <cell r="L196">
            <v>92.06</v>
          </cell>
          <cell r="M196">
            <v>90.617999999999995</v>
          </cell>
          <cell r="N196">
            <v>95.216999999999999</v>
          </cell>
          <cell r="O196">
            <v>102.2332</v>
          </cell>
          <cell r="P196">
            <v>93.570099999999996</v>
          </cell>
          <cell r="Q196">
            <v>77.540499999999994</v>
          </cell>
          <cell r="R196">
            <v>59.958100000000002</v>
          </cell>
          <cell r="S196">
            <v>45.297600000000003</v>
          </cell>
          <cell r="T196">
            <v>31.4254</v>
          </cell>
          <cell r="U196">
            <v>19.153099999999998</v>
          </cell>
        </row>
        <row r="197">
          <cell r="K197">
            <v>159.31299999999999</v>
          </cell>
          <cell r="L197">
            <v>159.31299999999999</v>
          </cell>
          <cell r="M197">
            <v>211.52799999999999</v>
          </cell>
          <cell r="N197">
            <v>211.86699999999999</v>
          </cell>
          <cell r="O197">
            <v>171.6523</v>
          </cell>
          <cell r="P197">
            <v>198.0959</v>
          </cell>
          <cell r="Q197">
            <v>177.7636</v>
          </cell>
          <cell r="R197">
            <v>111.35850000000001</v>
          </cell>
          <cell r="S197">
            <v>59.312399999999997</v>
          </cell>
          <cell r="T197">
            <v>29.997800000000002</v>
          </cell>
          <cell r="U197">
            <v>15.1408</v>
          </cell>
        </row>
        <row r="198">
          <cell r="K198">
            <v>38.103999999999999</v>
          </cell>
          <cell r="L198">
            <v>38.103999999999999</v>
          </cell>
          <cell r="M198">
            <v>53.235999999999997</v>
          </cell>
          <cell r="N198">
            <v>59.064900000000002</v>
          </cell>
          <cell r="O198">
            <v>56.6633</v>
          </cell>
          <cell r="P198">
            <v>66.857200000000006</v>
          </cell>
          <cell r="Q198">
            <v>64.264200000000002</v>
          </cell>
          <cell r="R198">
            <v>44.909799999999997</v>
          </cell>
          <cell r="S198">
            <v>25.946200000000001</v>
          </cell>
          <cell r="T198">
            <v>14.2399</v>
          </cell>
          <cell r="U198">
            <v>7.8836000000000004</v>
          </cell>
        </row>
        <row r="199">
          <cell r="K199">
            <v>25.465</v>
          </cell>
          <cell r="L199">
            <v>25.465</v>
          </cell>
          <cell r="M199">
            <v>29.725000000000001</v>
          </cell>
          <cell r="N199">
            <v>28.786999999999999</v>
          </cell>
          <cell r="O199">
            <v>29.2926</v>
          </cell>
          <cell r="P199">
            <v>32.6282</v>
          </cell>
          <cell r="Q199">
            <v>31.4221</v>
          </cell>
          <cell r="R199">
            <v>22.560199999999998</v>
          </cell>
          <cell r="S199">
            <v>13.453099999999999</v>
          </cell>
          <cell r="T199">
            <v>7.6372</v>
          </cell>
          <cell r="U199">
            <v>4.5377999999999998</v>
          </cell>
        </row>
        <row r="200">
          <cell r="K200">
            <v>227.88300000000001</v>
          </cell>
          <cell r="L200">
            <v>227.88300000000001</v>
          </cell>
          <cell r="M200">
            <v>226.61799999999999</v>
          </cell>
          <cell r="N200">
            <v>216.27600000000001</v>
          </cell>
          <cell r="O200">
            <v>191.4332</v>
          </cell>
          <cell r="P200">
            <v>223.077</v>
          </cell>
          <cell r="Q200">
            <v>216.94069999999999</v>
          </cell>
          <cell r="R200">
            <v>143.7971</v>
          </cell>
          <cell r="S200">
            <v>78.025800000000004</v>
          </cell>
          <cell r="T200">
            <v>39.870899999999999</v>
          </cell>
          <cell r="U200">
            <v>19.913699999999999</v>
          </cell>
        </row>
        <row r="201">
          <cell r="K201">
            <v>122.002</v>
          </cell>
          <cell r="L201">
            <v>122.002</v>
          </cell>
          <cell r="M201">
            <v>134.113</v>
          </cell>
          <cell r="N201">
            <v>130.06200000000001</v>
          </cell>
          <cell r="O201">
            <v>114.1808</v>
          </cell>
          <cell r="P201">
            <v>120.16589999999999</v>
          </cell>
          <cell r="Q201">
            <v>109.0561</v>
          </cell>
          <cell r="R201">
            <v>80.744</v>
          </cell>
          <cell r="S201">
            <v>51.376800000000003</v>
          </cell>
          <cell r="T201">
            <v>29.1938</v>
          </cell>
          <cell r="U201">
            <v>14.5952</v>
          </cell>
        </row>
        <row r="202">
          <cell r="K202">
            <v>30.204999999999998</v>
          </cell>
          <cell r="L202">
            <v>30.204999999999998</v>
          </cell>
          <cell r="M202">
            <v>26.007000000000001</v>
          </cell>
          <cell r="N202">
            <v>17.936900000000001</v>
          </cell>
          <cell r="O202">
            <v>12.7317</v>
          </cell>
          <cell r="P202">
            <v>12.5617</v>
          </cell>
          <cell r="Q202">
            <v>11.2104</v>
          </cell>
          <cell r="R202">
            <v>8.4648000000000003</v>
          </cell>
          <cell r="S202">
            <v>5.7165999999999997</v>
          </cell>
          <cell r="T202">
            <v>3.2927</v>
          </cell>
          <cell r="U202">
            <v>1.5286999999999999</v>
          </cell>
        </row>
        <row r="203">
          <cell r="K203">
            <v>23.536000000000001</v>
          </cell>
          <cell r="L203">
            <v>23.536000000000001</v>
          </cell>
          <cell r="M203">
            <v>20.898</v>
          </cell>
          <cell r="N203">
            <v>19.786999999999999</v>
          </cell>
          <cell r="O203">
            <v>17.9938</v>
          </cell>
          <cell r="P203">
            <v>17.314399999999999</v>
          </cell>
          <cell r="Q203">
            <v>15.3309</v>
          </cell>
          <cell r="R203">
            <v>11.6031</v>
          </cell>
          <cell r="S203">
            <v>7.5987</v>
          </cell>
          <cell r="T203">
            <v>4.2446999999999999</v>
          </cell>
          <cell r="U203">
            <v>1.8732</v>
          </cell>
        </row>
        <row r="204">
          <cell r="K204">
            <v>3.0230000000000001</v>
          </cell>
          <cell r="L204">
            <v>3.0230000000000001</v>
          </cell>
          <cell r="M204">
            <v>2.5539999999999998</v>
          </cell>
          <cell r="N204">
            <v>3.827</v>
          </cell>
          <cell r="O204">
            <v>3.4512</v>
          </cell>
          <cell r="P204">
            <v>3.4392</v>
          </cell>
          <cell r="Q204">
            <v>3.3149000000000002</v>
          </cell>
          <cell r="R204">
            <v>2.8675000000000002</v>
          </cell>
          <cell r="S204">
            <v>2.1524999999999999</v>
          </cell>
          <cell r="T204">
            <v>1.3846000000000001</v>
          </cell>
          <cell r="U204">
            <v>0.88859999999999995</v>
          </cell>
        </row>
        <row r="205">
          <cell r="K205">
            <v>20.013000000000002</v>
          </cell>
          <cell r="L205">
            <v>20.013000000000002</v>
          </cell>
          <cell r="M205">
            <v>19.193999999999999</v>
          </cell>
          <cell r="N205">
            <v>15.893000000000001</v>
          </cell>
          <cell r="O205">
            <v>12.709899999999999</v>
          </cell>
          <cell r="P205">
            <v>11.9293</v>
          </cell>
          <cell r="Q205">
            <v>10.538600000000001</v>
          </cell>
          <cell r="R205">
            <v>7.9821999999999997</v>
          </cell>
          <cell r="S205">
            <v>5.3818999999999999</v>
          </cell>
          <cell r="T205">
            <v>3.5449000000000002</v>
          </cell>
          <cell r="U205">
            <v>2.3481000000000001</v>
          </cell>
        </row>
        <row r="206">
          <cell r="K206">
            <v>1.4530000000000001</v>
          </cell>
          <cell r="L206">
            <v>1.4530000000000001</v>
          </cell>
          <cell r="M206">
            <v>2.6021000000000001</v>
          </cell>
          <cell r="N206">
            <v>1.7721</v>
          </cell>
          <cell r="O206">
            <v>1.1791</v>
          </cell>
          <cell r="P206">
            <v>1.4420999999999999</v>
          </cell>
          <cell r="Q206">
            <v>1.5515000000000001</v>
          </cell>
          <cell r="R206">
            <v>1.4705999999999999</v>
          </cell>
          <cell r="S206">
            <v>1.3829</v>
          </cell>
          <cell r="T206">
            <v>1.3424</v>
          </cell>
          <cell r="U206">
            <v>1.3248</v>
          </cell>
        </row>
        <row r="207">
          <cell r="K207">
            <v>1.5940000000000001</v>
          </cell>
          <cell r="L207">
            <v>1.5940000000000001</v>
          </cell>
          <cell r="M207">
            <v>0.98099999999999998</v>
          </cell>
          <cell r="N207">
            <v>2.7610000000000001</v>
          </cell>
          <cell r="O207">
            <v>2.7244999999999999</v>
          </cell>
          <cell r="P207">
            <v>3.2174999999999998</v>
          </cell>
          <cell r="Q207">
            <v>3.6339999999999999</v>
          </cell>
          <cell r="R207">
            <v>3.9278</v>
          </cell>
          <cell r="S207">
            <v>3.7103999999999999</v>
          </cell>
          <cell r="T207">
            <v>3.4731999999999998</v>
          </cell>
          <cell r="U207">
            <v>3.2328999999999999</v>
          </cell>
        </row>
        <row r="208">
          <cell r="K208">
            <v>0.62050000000000005</v>
          </cell>
          <cell r="L208">
            <v>0.62050000000000005</v>
          </cell>
          <cell r="M208">
            <v>0.75849999999999995</v>
          </cell>
          <cell r="N208">
            <v>0.96399999999999997</v>
          </cell>
          <cell r="O208">
            <v>0.5776</v>
          </cell>
          <cell r="P208">
            <v>0.64839999999999998</v>
          </cell>
          <cell r="Q208">
            <v>0.69040000000000001</v>
          </cell>
          <cell r="R208">
            <v>0.74509999999999998</v>
          </cell>
          <cell r="S208">
            <v>0.78549999999999998</v>
          </cell>
          <cell r="T208">
            <v>0.82489999999999997</v>
          </cell>
          <cell r="U208">
            <v>0.87219999999999998</v>
          </cell>
        </row>
        <row r="209">
          <cell r="K209">
            <v>19.19425</v>
          </cell>
          <cell r="L209">
            <v>19.19425</v>
          </cell>
          <cell r="M209">
            <v>17.163250000000001</v>
          </cell>
          <cell r="N209">
            <v>14.360975</v>
          </cell>
          <cell r="O209">
            <v>11.721649999999999</v>
          </cell>
          <cell r="P209">
            <v>11.31115</v>
          </cell>
          <cell r="Q209">
            <v>10.098700000000001</v>
          </cell>
          <cell r="R209">
            <v>7.7294</v>
          </cell>
          <cell r="S209">
            <v>5.2124249999999996</v>
          </cell>
          <cell r="T209">
            <v>3.1167250000000002</v>
          </cell>
          <cell r="U209">
            <v>1.6596500000000001</v>
          </cell>
        </row>
        <row r="210">
          <cell r="K210">
            <v>1.2225000000000001</v>
          </cell>
          <cell r="L210">
            <v>1.2225000000000001</v>
          </cell>
          <cell r="M210">
            <v>1.4471999999999998</v>
          </cell>
          <cell r="N210">
            <v>1.8323666666666665</v>
          </cell>
          <cell r="O210">
            <v>1.4937333333333334</v>
          </cell>
          <cell r="P210">
            <v>1.769333333333333</v>
          </cell>
          <cell r="Q210">
            <v>1.9586333333333334</v>
          </cell>
          <cell r="R210">
            <v>2.0478333333333332</v>
          </cell>
          <cell r="S210">
            <v>1.9596</v>
          </cell>
          <cell r="T210">
            <v>1.8801666666666665</v>
          </cell>
          <cell r="U210">
            <v>1.8099666666666667</v>
          </cell>
        </row>
      </sheetData>
      <sheetData sheetId="5">
        <row r="11">
          <cell r="K11">
            <v>24.680510237764171</v>
          </cell>
          <cell r="L11">
            <v>25.872230739230403</v>
          </cell>
          <cell r="M11">
            <v>26.691279337312114</v>
          </cell>
          <cell r="N11">
            <v>27.034028067375754</v>
          </cell>
          <cell r="O11">
            <v>27.337907595903662</v>
          </cell>
          <cell r="P11">
            <v>27.983685183796911</v>
          </cell>
          <cell r="Q11">
            <v>28.675576915779612</v>
          </cell>
          <cell r="R11">
            <v>29.417269220995323</v>
          </cell>
          <cell r="S11">
            <v>29.965137676021026</v>
          </cell>
          <cell r="T11">
            <v>30.286580006313802</v>
          </cell>
          <cell r="U11">
            <v>30.017551629111804</v>
          </cell>
        </row>
        <row r="12">
          <cell r="K12">
            <v>20.058160261081596</v>
          </cell>
          <cell r="L12">
            <v>20.523715667276761</v>
          </cell>
          <cell r="M12">
            <v>20.834470499952019</v>
          </cell>
          <cell r="N12">
            <v>21.162706572015999</v>
          </cell>
          <cell r="O12">
            <v>21.689470223628984</v>
          </cell>
          <cell r="P12">
            <v>22.328044109143288</v>
          </cell>
          <cell r="Q12">
            <v>22.796986513591765</v>
          </cell>
          <cell r="R12">
            <v>23.003396031916907</v>
          </cell>
          <cell r="S12">
            <v>23.00504968758116</v>
          </cell>
          <cell r="T12">
            <v>22.858629438697303</v>
          </cell>
          <cell r="U12">
            <v>22.738540727117996</v>
          </cell>
        </row>
        <row r="13">
          <cell r="K13">
            <v>17.029867624028089</v>
          </cell>
          <cell r="L13">
            <v>17.246162874513328</v>
          </cell>
          <cell r="M13">
            <v>17.623009133985107</v>
          </cell>
          <cell r="N13">
            <v>17.917474491621416</v>
          </cell>
          <cell r="O13">
            <v>18.521513956689969</v>
          </cell>
          <cell r="P13">
            <v>19.140477974986471</v>
          </cell>
          <cell r="Q13">
            <v>19.883347256895416</v>
          </cell>
          <cell r="R13">
            <v>20.681271879553687</v>
          </cell>
          <cell r="S13">
            <v>21.548560788410374</v>
          </cell>
          <cell r="T13">
            <v>22.421196419131359</v>
          </cell>
          <cell r="U13">
            <v>23.194837393679148</v>
          </cell>
        </row>
        <row r="14">
          <cell r="K14">
            <v>20.183542423256238</v>
          </cell>
          <cell r="L14">
            <v>20.439892909795432</v>
          </cell>
          <cell r="M14">
            <v>20.88652629368875</v>
          </cell>
          <cell r="N14">
            <v>21.235522969372514</v>
          </cell>
          <cell r="O14">
            <v>21.951422186204912</v>
          </cell>
          <cell r="P14">
            <v>22.685009636350809</v>
          </cell>
          <cell r="Q14">
            <v>23.565448018671912</v>
          </cell>
          <cell r="R14">
            <v>24.511136146233184</v>
          </cell>
          <cell r="S14">
            <v>25.53903370146617</v>
          </cell>
          <cell r="T14">
            <v>26.573269639647553</v>
          </cell>
          <cell r="U14">
            <v>27.490177223632511</v>
          </cell>
        </row>
        <row r="15">
          <cell r="K15">
            <v>20.183542423256238</v>
          </cell>
          <cell r="L15">
            <v>20.439892909795432</v>
          </cell>
          <cell r="M15">
            <v>20.88652629368875</v>
          </cell>
          <cell r="N15">
            <v>21.235522969372514</v>
          </cell>
          <cell r="O15">
            <v>21.951422186204912</v>
          </cell>
          <cell r="P15">
            <v>22.685009636350809</v>
          </cell>
          <cell r="Q15">
            <v>23.565448018671912</v>
          </cell>
          <cell r="R15">
            <v>24.511136146233184</v>
          </cell>
          <cell r="S15">
            <v>25.53903370146617</v>
          </cell>
          <cell r="T15">
            <v>26.573269639647553</v>
          </cell>
          <cell r="U15">
            <v>27.490177223632511</v>
          </cell>
        </row>
        <row r="16">
          <cell r="K16">
            <v>21.255928527363917</v>
          </cell>
          <cell r="L16">
            <v>21.937266625662073</v>
          </cell>
          <cell r="M16">
            <v>22.455700357765892</v>
          </cell>
          <cell r="N16">
            <v>22.902954191124465</v>
          </cell>
          <cell r="O16">
            <v>23.438176499958029</v>
          </cell>
          <cell r="P16">
            <v>24.091181398625451</v>
          </cell>
          <cell r="Q16">
            <v>24.731587821493207</v>
          </cell>
          <cell r="R16">
            <v>25.163285572090135</v>
          </cell>
          <cell r="S16">
            <v>25.472376888620317</v>
          </cell>
          <cell r="T16">
            <v>25.707911658046324</v>
          </cell>
          <cell r="U16">
            <v>25.707042181454018</v>
          </cell>
        </row>
        <row r="17">
          <cell r="K17">
            <v>19.132317490180185</v>
          </cell>
          <cell r="L17">
            <v>19.375316231368064</v>
          </cell>
          <cell r="M17">
            <v>19.7986872404542</v>
          </cell>
          <cell r="N17">
            <v>20.129506810122148</v>
          </cell>
          <cell r="O17">
            <v>20.808119443033267</v>
          </cell>
          <cell r="P17">
            <v>21.503499082562694</v>
          </cell>
          <cell r="Q17">
            <v>22.338081098079744</v>
          </cell>
          <cell r="R17">
            <v>23.234514724006683</v>
          </cell>
          <cell r="S17">
            <v>24.208876063780902</v>
          </cell>
          <cell r="T17">
            <v>25.189245232808826</v>
          </cell>
          <cell r="U17">
            <v>26.058397280314722</v>
          </cell>
        </row>
        <row r="20">
          <cell r="K20">
            <v>2004</v>
          </cell>
          <cell r="L20">
            <v>2005</v>
          </cell>
          <cell r="M20">
            <v>2006</v>
          </cell>
          <cell r="N20">
            <v>2007</v>
          </cell>
          <cell r="O20">
            <v>2008</v>
          </cell>
          <cell r="P20">
            <v>2009</v>
          </cell>
          <cell r="Q20">
            <v>2010</v>
          </cell>
          <cell r="R20">
            <v>2011</v>
          </cell>
          <cell r="S20">
            <v>2012</v>
          </cell>
          <cell r="T20">
            <v>2013</v>
          </cell>
          <cell r="U20">
            <v>2014</v>
          </cell>
        </row>
        <row r="21">
          <cell r="K21">
            <v>21.218572796755851</v>
          </cell>
          <cell r="L21">
            <v>21.592320910233035</v>
          </cell>
          <cell r="M21">
            <v>22.13773911764077</v>
          </cell>
          <cell r="N21">
            <v>22.758969947220358</v>
          </cell>
          <cell r="O21">
            <v>23.343346696919973</v>
          </cell>
          <cell r="P21">
            <v>24.065393858791815</v>
          </cell>
          <cell r="Q21">
            <v>24.907679682357671</v>
          </cell>
          <cell r="R21">
            <v>25.356983104674974</v>
          </cell>
          <cell r="S21">
            <v>25.826881283710755</v>
          </cell>
          <cell r="T21">
            <v>26.648418938430943</v>
          </cell>
          <cell r="U21">
            <v>27.548569821440612</v>
          </cell>
        </row>
        <row r="22">
          <cell r="K22">
            <v>22.804299799664093</v>
          </cell>
          <cell r="L22">
            <v>22.906636756758918</v>
          </cell>
          <cell r="M22">
            <v>23.114932226486012</v>
          </cell>
          <cell r="N22">
            <v>23.424425059716516</v>
          </cell>
          <cell r="O22">
            <v>23.69760617291297</v>
          </cell>
          <cell r="P22">
            <v>24.069741788637899</v>
          </cell>
          <cell r="Q22">
            <v>24.569549116890794</v>
          </cell>
          <cell r="R22">
            <v>24.949766230090052</v>
          </cell>
          <cell r="S22">
            <v>25.37377302832682</v>
          </cell>
          <cell r="T22">
            <v>26.124922653481761</v>
          </cell>
          <cell r="U22">
            <v>26.945557872438641</v>
          </cell>
        </row>
        <row r="23">
          <cell r="K23">
            <v>20.92820270530947</v>
          </cell>
          <cell r="L23">
            <v>21.309114277539354</v>
          </cell>
          <cell r="M23">
            <v>21.811915878222962</v>
          </cell>
          <cell r="N23">
            <v>22.36922850642047</v>
          </cell>
          <cell r="O23">
            <v>22.89091673292171</v>
          </cell>
          <cell r="P23">
            <v>23.507252174210983</v>
          </cell>
          <cell r="Q23">
            <v>24.287317864528632</v>
          </cell>
          <cell r="R23">
            <v>24.685217503189087</v>
          </cell>
          <cell r="S23">
            <v>25.122014052215775</v>
          </cell>
          <cell r="T23">
            <v>25.88415968712275</v>
          </cell>
          <cell r="U23">
            <v>26.717473623253522</v>
          </cell>
        </row>
        <row r="43">
          <cell r="K43">
            <v>2004</v>
          </cell>
          <cell r="L43">
            <v>2005</v>
          </cell>
          <cell r="M43">
            <v>2006</v>
          </cell>
          <cell r="N43">
            <v>2007</v>
          </cell>
          <cell r="O43">
            <v>2008</v>
          </cell>
          <cell r="P43">
            <v>2009</v>
          </cell>
          <cell r="Q43">
            <v>2010</v>
          </cell>
          <cell r="R43">
            <v>2011</v>
          </cell>
          <cell r="S43">
            <v>2012</v>
          </cell>
          <cell r="T43">
            <v>2013</v>
          </cell>
          <cell r="U43">
            <v>2014</v>
          </cell>
        </row>
        <row r="44">
          <cell r="K44">
            <v>42.437145593511701</v>
          </cell>
          <cell r="L44">
            <v>43.184641820466069</v>
          </cell>
          <cell r="M44">
            <v>44.27547823528154</v>
          </cell>
          <cell r="N44">
            <v>45.517939894440715</v>
          </cell>
          <cell r="O44">
            <v>46.686693393839946</v>
          </cell>
          <cell r="P44">
            <v>48.13078771758363</v>
          </cell>
          <cell r="Q44">
            <v>49.815359364715341</v>
          </cell>
          <cell r="R44">
            <v>50.713966209349948</v>
          </cell>
          <cell r="S44">
            <v>51.653762567421509</v>
          </cell>
          <cell r="T44">
            <v>53.296837876861886</v>
          </cell>
          <cell r="U44">
            <v>55.097139642881224</v>
          </cell>
        </row>
        <row r="45">
          <cell r="K45">
            <v>43.300716867819609</v>
          </cell>
          <cell r="L45">
            <v>43.872047963020869</v>
          </cell>
          <cell r="M45">
            <v>44.709724814899829</v>
          </cell>
          <cell r="N45">
            <v>45.701749008904898</v>
          </cell>
          <cell r="O45">
            <v>46.621246401836437</v>
          </cell>
          <cell r="P45">
            <v>47.7615918810938</v>
          </cell>
          <cell r="Q45">
            <v>49.176364442518064</v>
          </cell>
          <cell r="R45">
            <v>49.994644558636082</v>
          </cell>
          <cell r="S45">
            <v>50.881778909502231</v>
          </cell>
          <cell r="T45">
            <v>52.438334186023638</v>
          </cell>
          <cell r="U45">
            <v>54.141067544755181</v>
          </cell>
        </row>
        <row r="46">
          <cell r="K46">
            <v>39.846569858541599</v>
          </cell>
          <cell r="L46">
            <v>39.846569858541599</v>
          </cell>
          <cell r="M46">
            <v>48.022141129013001</v>
          </cell>
          <cell r="N46">
            <v>48.160856181478202</v>
          </cell>
          <cell r="O46">
            <v>46.671893879864498</v>
          </cell>
          <cell r="P46">
            <v>46.574035901130898</v>
          </cell>
          <cell r="Q46">
            <v>49.664097591880797</v>
          </cell>
          <cell r="R46">
            <v>51.028724790974202</v>
          </cell>
          <cell r="S46">
            <v>50.365351353134699</v>
          </cell>
          <cell r="T46">
            <v>52.843418772234699</v>
          </cell>
          <cell r="U46">
            <v>55.007714682726998</v>
          </cell>
        </row>
        <row r="48">
          <cell r="K48">
            <v>2004</v>
          </cell>
          <cell r="L48">
            <v>2005</v>
          </cell>
          <cell r="M48">
            <v>2006</v>
          </cell>
          <cell r="N48">
            <v>2007</v>
          </cell>
          <cell r="O48">
            <v>2008</v>
          </cell>
          <cell r="P48">
            <v>2009</v>
          </cell>
          <cell r="Q48">
            <v>2010</v>
          </cell>
          <cell r="R48">
            <v>2011</v>
          </cell>
          <cell r="S48">
            <v>2012</v>
          </cell>
          <cell r="T48">
            <v>2013</v>
          </cell>
          <cell r="U48">
            <v>2014</v>
          </cell>
        </row>
        <row r="49">
          <cell r="K49">
            <v>31.926019719529727</v>
          </cell>
          <cell r="L49">
            <v>32.069291459462484</v>
          </cell>
          <cell r="M49">
            <v>32.360905117080414</v>
          </cell>
          <cell r="N49">
            <v>32.794195083603121</v>
          </cell>
          <cell r="O49">
            <v>33.176648642078156</v>
          </cell>
          <cell r="P49">
            <v>33.697638504093057</v>
          </cell>
          <cell r="Q49">
            <v>34.397368763647108</v>
          </cell>
          <cell r="R49">
            <v>34.929672722126071</v>
          </cell>
          <cell r="S49">
            <v>35.523282239657547</v>
          </cell>
          <cell r="T49">
            <v>36.574891714874461</v>
          </cell>
          <cell r="U49">
            <v>37.723781021414098</v>
          </cell>
        </row>
        <row r="50">
          <cell r="K50">
            <v>30.310501807473724</v>
          </cell>
          <cell r="L50">
            <v>30.710433574114607</v>
          </cell>
          <cell r="M50">
            <v>31.296807370429878</v>
          </cell>
          <cell r="N50">
            <v>31.991224306233427</v>
          </cell>
          <cell r="O50">
            <v>32.634872481285505</v>
          </cell>
          <cell r="P50">
            <v>33.433114316765661</v>
          </cell>
          <cell r="Q50">
            <v>34.423455109762642</v>
          </cell>
          <cell r="R50">
            <v>34.996251191045253</v>
          </cell>
          <cell r="S50">
            <v>35.617245236651556</v>
          </cell>
          <cell r="T50">
            <v>36.706833930216547</v>
          </cell>
          <cell r="U50">
            <v>37.898747281328625</v>
          </cell>
        </row>
        <row r="51">
          <cell r="K51">
            <v>31.2948258166466</v>
          </cell>
          <cell r="L51">
            <v>31.2948258166466</v>
          </cell>
          <cell r="M51">
            <v>33.537179673340503</v>
          </cell>
          <cell r="N51">
            <v>33.375303712475997</v>
          </cell>
          <cell r="O51">
            <v>32.652739190071401</v>
          </cell>
          <cell r="P51">
            <v>32.584271476041401</v>
          </cell>
          <cell r="Q51">
            <v>33.919348735207997</v>
          </cell>
          <cell r="R51">
            <v>35.194435515351003</v>
          </cell>
          <cell r="S51">
            <v>34.736907842921902</v>
          </cell>
          <cell r="T51">
            <v>35.983734574780698</v>
          </cell>
          <cell r="U51">
            <v>37.592398152633102</v>
          </cell>
        </row>
        <row r="53">
          <cell r="K53">
            <v>2004</v>
          </cell>
          <cell r="L53">
            <v>2005</v>
          </cell>
          <cell r="M53">
            <v>2006</v>
          </cell>
          <cell r="N53">
            <v>2007</v>
          </cell>
          <cell r="O53">
            <v>2008</v>
          </cell>
          <cell r="P53">
            <v>2009</v>
          </cell>
          <cell r="Q53">
            <v>2010</v>
          </cell>
          <cell r="R53">
            <v>2011</v>
          </cell>
          <cell r="S53">
            <v>2012</v>
          </cell>
          <cell r="T53">
            <v>2013</v>
          </cell>
          <cell r="U53">
            <v>2014</v>
          </cell>
        </row>
        <row r="54">
          <cell r="K54">
            <v>21.974612840574945</v>
          </cell>
          <cell r="L54">
            <v>22.374569991416323</v>
          </cell>
          <cell r="M54">
            <v>22.902511672134111</v>
          </cell>
          <cell r="N54">
            <v>23.487689931741496</v>
          </cell>
          <cell r="O54">
            <v>24.035462569567798</v>
          </cell>
          <cell r="P54">
            <v>24.682614782921533</v>
          </cell>
          <cell r="Q54">
            <v>25.501683757755064</v>
          </cell>
          <cell r="R54">
            <v>25.919478378348543</v>
          </cell>
          <cell r="S54">
            <v>26.378114754826566</v>
          </cell>
          <cell r="T54">
            <v>27.178367671478888</v>
          </cell>
          <cell r="U54">
            <v>28.053347304416199</v>
          </cell>
        </row>
        <row r="55">
          <cell r="K55">
            <v>22.732876355605296</v>
          </cell>
          <cell r="L55">
            <v>23.032825180585956</v>
          </cell>
          <cell r="M55">
            <v>23.472605527822409</v>
          </cell>
          <cell r="N55">
            <v>23.993418229675072</v>
          </cell>
          <cell r="O55">
            <v>24.476154360964131</v>
          </cell>
          <cell r="P55">
            <v>25.074835737574247</v>
          </cell>
          <cell r="Q55">
            <v>25.817591332321985</v>
          </cell>
          <cell r="R55">
            <v>26.247188393283945</v>
          </cell>
          <cell r="S55">
            <v>26.712933927488674</v>
          </cell>
          <cell r="T55">
            <v>27.53012544766241</v>
          </cell>
          <cell r="U55">
            <v>28.424060460996472</v>
          </cell>
        </row>
        <row r="56">
          <cell r="K56">
            <v>20.6305727102779</v>
          </cell>
          <cell r="L56">
            <v>20.6305727102779</v>
          </cell>
          <cell r="M56">
            <v>24.886850178369698</v>
          </cell>
          <cell r="N56">
            <v>24.8201382972162</v>
          </cell>
          <cell r="O56">
            <v>24.281090827921201</v>
          </cell>
          <cell r="P56">
            <v>24.230187067850299</v>
          </cell>
          <cell r="Q56">
            <v>25.382047836738</v>
          </cell>
          <cell r="R56">
            <v>25.8971770467444</v>
          </cell>
          <cell r="S56">
            <v>25.560526450714601</v>
          </cell>
          <cell r="T56">
            <v>26.454942630461499</v>
          </cell>
          <cell r="U56">
            <v>28.002193483779699</v>
          </cell>
        </row>
      </sheetData>
      <sheetData sheetId="6">
        <row r="2">
          <cell r="K2" t="str">
            <v>Year</v>
          </cell>
          <cell r="L2" t="str">
            <v>currency</v>
          </cell>
          <cell r="M2" t="str">
            <v>Commodity</v>
          </cell>
        </row>
        <row r="17">
          <cell r="K17">
            <v>2022</v>
          </cell>
          <cell r="L17" t="str">
            <v>CAD</v>
          </cell>
          <cell r="M17" t="str">
            <v>GJ</v>
          </cell>
        </row>
        <row r="18">
          <cell r="K18">
            <v>2022</v>
          </cell>
          <cell r="L18" t="str">
            <v>CAD</v>
          </cell>
          <cell r="M18" t="str">
            <v>GJ</v>
          </cell>
        </row>
        <row r="19">
          <cell r="K19">
            <v>2022</v>
          </cell>
          <cell r="L19" t="str">
            <v>CAD</v>
          </cell>
          <cell r="M19" t="str">
            <v>GJ</v>
          </cell>
        </row>
        <row r="20">
          <cell r="K20">
            <v>2022</v>
          </cell>
          <cell r="L20" t="str">
            <v>CAD</v>
          </cell>
          <cell r="M20" t="str">
            <v>GJ</v>
          </cell>
        </row>
        <row r="21">
          <cell r="K21">
            <v>2022</v>
          </cell>
          <cell r="L21" t="str">
            <v>CAD</v>
          </cell>
          <cell r="M21" t="str">
            <v>GJ</v>
          </cell>
        </row>
        <row r="22">
          <cell r="K22">
            <v>2022</v>
          </cell>
          <cell r="L22" t="str">
            <v>CAD</v>
          </cell>
          <cell r="M22" t="str">
            <v>GJ</v>
          </cell>
        </row>
        <row r="23">
          <cell r="K23">
            <v>2022</v>
          </cell>
          <cell r="L23" t="str">
            <v>CAD</v>
          </cell>
          <cell r="M23" t="str">
            <v>GJ</v>
          </cell>
        </row>
        <row r="26">
          <cell r="K26" t="str">
            <v>Nominal</v>
          </cell>
          <cell r="L26" t="str">
            <v>CAD</v>
          </cell>
          <cell r="M26" t="str">
            <v>tCO2</v>
          </cell>
        </row>
        <row r="27">
          <cell r="K27" t="str">
            <v>Nominal</v>
          </cell>
          <cell r="L27" t="str">
            <v>CAD</v>
          </cell>
          <cell r="M27" t="str">
            <v>tCO2</v>
          </cell>
        </row>
        <row r="30">
          <cell r="N30">
            <v>24.5610527749201</v>
          </cell>
          <cell r="O30">
            <v>24.5610527749201</v>
          </cell>
          <cell r="P30">
            <v>24.5610527749201</v>
          </cell>
          <cell r="Q30">
            <v>24.5610527749201</v>
          </cell>
          <cell r="R30">
            <v>24.5610527749201</v>
          </cell>
          <cell r="S30">
            <v>24.5610527749201</v>
          </cell>
          <cell r="T30">
            <v>24.5610527749201</v>
          </cell>
          <cell r="U30">
            <v>24.5610527749201</v>
          </cell>
        </row>
        <row r="31">
          <cell r="N31">
            <v>33.2112636388797</v>
          </cell>
          <cell r="O31">
            <v>33.2112636388797</v>
          </cell>
          <cell r="P31">
            <v>33.2112636388797</v>
          </cell>
          <cell r="Q31">
            <v>33.2112636388797</v>
          </cell>
          <cell r="R31">
            <v>33.2112636388797</v>
          </cell>
          <cell r="S31">
            <v>33.2112636388797</v>
          </cell>
          <cell r="T31">
            <v>33.2112636388797</v>
          </cell>
          <cell r="U31">
            <v>33.2112636388797</v>
          </cell>
        </row>
        <row r="32">
          <cell r="N32">
            <v>39.846569858541599</v>
          </cell>
          <cell r="O32">
            <v>39.846569858541599</v>
          </cell>
          <cell r="P32">
            <v>39.846569858541599</v>
          </cell>
          <cell r="Q32">
            <v>39.846569858541599</v>
          </cell>
          <cell r="R32">
            <v>39.846569858541599</v>
          </cell>
          <cell r="S32">
            <v>39.846569858541599</v>
          </cell>
          <cell r="T32">
            <v>39.846569858541599</v>
          </cell>
          <cell r="U32">
            <v>39.846569858541599</v>
          </cell>
        </row>
        <row r="33">
          <cell r="N33">
            <v>25.4990121965131</v>
          </cell>
          <cell r="O33">
            <v>25.4990121965131</v>
          </cell>
          <cell r="P33">
            <v>25.4990121965131</v>
          </cell>
          <cell r="Q33">
            <v>25.4990121965131</v>
          </cell>
          <cell r="R33">
            <v>25.4990121965131</v>
          </cell>
          <cell r="S33">
            <v>25.4990121965131</v>
          </cell>
          <cell r="T33">
            <v>25.4990121965131</v>
          </cell>
          <cell r="U33">
            <v>25.4990121965131</v>
          </cell>
        </row>
        <row r="34">
          <cell r="N34">
            <v>40.784529280134599</v>
          </cell>
          <cell r="O34">
            <v>40.784529280134599</v>
          </cell>
          <cell r="P34">
            <v>40.784529280134599</v>
          </cell>
          <cell r="Q34">
            <v>40.784529280134599</v>
          </cell>
          <cell r="R34">
            <v>40.784529280134599</v>
          </cell>
          <cell r="S34">
            <v>40.784529280134599</v>
          </cell>
          <cell r="T34">
            <v>40.784529280134599</v>
          </cell>
          <cell r="U34">
            <v>40.784529280134599</v>
          </cell>
        </row>
        <row r="35">
          <cell r="N35">
            <v>25.464293565651001</v>
          </cell>
          <cell r="O35">
            <v>25.464293565651001</v>
          </cell>
          <cell r="P35">
            <v>25.464293565651001</v>
          </cell>
          <cell r="Q35">
            <v>25.464293565651001</v>
          </cell>
          <cell r="R35">
            <v>25.464293565651001</v>
          </cell>
          <cell r="S35">
            <v>25.464293565651001</v>
          </cell>
          <cell r="T35">
            <v>25.464293565651001</v>
          </cell>
          <cell r="U35">
            <v>25.464293565651001</v>
          </cell>
        </row>
        <row r="36">
          <cell r="N36">
            <v>39.360203012898303</v>
          </cell>
          <cell r="O36">
            <v>39.360203012898303</v>
          </cell>
          <cell r="P36">
            <v>39.360203012898303</v>
          </cell>
          <cell r="Q36">
            <v>39.360203012898303</v>
          </cell>
          <cell r="R36">
            <v>39.360203012898303</v>
          </cell>
          <cell r="S36">
            <v>39.360203012898303</v>
          </cell>
          <cell r="T36">
            <v>39.360203012898303</v>
          </cell>
          <cell r="U36">
            <v>39.360203012898303</v>
          </cell>
        </row>
        <row r="37">
          <cell r="N37">
            <v>41.166670684652097</v>
          </cell>
          <cell r="O37">
            <v>41.166670684652097</v>
          </cell>
          <cell r="P37">
            <v>41.166670684652097</v>
          </cell>
          <cell r="Q37">
            <v>41.166670684652097</v>
          </cell>
          <cell r="R37">
            <v>41.166670684652097</v>
          </cell>
          <cell r="S37">
            <v>41.166670684652097</v>
          </cell>
          <cell r="T37">
            <v>41.166670684652097</v>
          </cell>
          <cell r="U37">
            <v>41.166670684652097</v>
          </cell>
        </row>
        <row r="38">
          <cell r="N38">
            <v>45.8565512508643</v>
          </cell>
          <cell r="O38">
            <v>45.8565512508643</v>
          </cell>
          <cell r="P38">
            <v>45.8565512508643</v>
          </cell>
          <cell r="Q38">
            <v>45.8565512508643</v>
          </cell>
          <cell r="R38">
            <v>45.8565512508643</v>
          </cell>
          <cell r="S38">
            <v>45.8565512508643</v>
          </cell>
          <cell r="T38">
            <v>45.8565512508643</v>
          </cell>
          <cell r="U38">
            <v>45.8565512508643</v>
          </cell>
        </row>
        <row r="39">
          <cell r="N39">
            <v>37.588481791422304</v>
          </cell>
          <cell r="O39">
            <v>37.588481791422304</v>
          </cell>
          <cell r="P39">
            <v>37.588481791422304</v>
          </cell>
          <cell r="Q39">
            <v>37.588481791422304</v>
          </cell>
          <cell r="R39">
            <v>37.588481791422304</v>
          </cell>
          <cell r="S39">
            <v>37.588481791422304</v>
          </cell>
          <cell r="T39">
            <v>37.588481791422304</v>
          </cell>
          <cell r="U39">
            <v>37.588481791422304</v>
          </cell>
        </row>
        <row r="40">
          <cell r="N40">
            <v>33.157419159686</v>
          </cell>
          <cell r="O40">
            <v>33.157419159686</v>
          </cell>
          <cell r="P40">
            <v>33.157419159686</v>
          </cell>
          <cell r="Q40">
            <v>33.157419159686</v>
          </cell>
          <cell r="R40">
            <v>33.157419159686</v>
          </cell>
          <cell r="S40">
            <v>33.157419159686</v>
          </cell>
          <cell r="T40">
            <v>33.157419159686</v>
          </cell>
          <cell r="U40">
            <v>33.157419159686</v>
          </cell>
        </row>
        <row r="41">
          <cell r="N41">
            <v>39.297664966281197</v>
          </cell>
          <cell r="O41">
            <v>39.297664966281197</v>
          </cell>
          <cell r="P41">
            <v>39.297664966281197</v>
          </cell>
          <cell r="Q41">
            <v>39.297664966281197</v>
          </cell>
          <cell r="R41">
            <v>39.297664966281197</v>
          </cell>
          <cell r="S41">
            <v>39.297664966281197</v>
          </cell>
          <cell r="T41">
            <v>39.297664966281197</v>
          </cell>
          <cell r="U41">
            <v>39.297664966281197</v>
          </cell>
        </row>
        <row r="42">
          <cell r="N42">
            <v>39.297664966281197</v>
          </cell>
          <cell r="O42">
            <v>39.297664966281197</v>
          </cell>
          <cell r="P42">
            <v>39.297664966281197</v>
          </cell>
          <cell r="Q42">
            <v>39.297664966281197</v>
          </cell>
          <cell r="R42">
            <v>39.297664966281197</v>
          </cell>
          <cell r="S42">
            <v>39.297664966281197</v>
          </cell>
          <cell r="T42">
            <v>39.297664966281197</v>
          </cell>
          <cell r="U42">
            <v>39.297664966281197</v>
          </cell>
        </row>
        <row r="46">
          <cell r="K46">
            <v>2022</v>
          </cell>
          <cell r="L46" t="str">
            <v>CAD</v>
          </cell>
          <cell r="M46" t="str">
            <v>GJ</v>
          </cell>
          <cell r="N46">
            <v>17.358244383565602</v>
          </cell>
          <cell r="O46">
            <v>17.358244383565602</v>
          </cell>
          <cell r="P46">
            <v>17.358244383565602</v>
          </cell>
          <cell r="Q46">
            <v>17.358244383565602</v>
          </cell>
          <cell r="R46">
            <v>17.358244383565602</v>
          </cell>
          <cell r="S46">
            <v>17.358244383565602</v>
          </cell>
          <cell r="T46">
            <v>17.358244383565602</v>
          </cell>
          <cell r="U46">
            <v>17.358244383565602</v>
          </cell>
        </row>
        <row r="47">
          <cell r="K47">
            <v>2022</v>
          </cell>
          <cell r="L47" t="str">
            <v>CAD</v>
          </cell>
          <cell r="M47" t="str">
            <v>GJ</v>
          </cell>
          <cell r="N47">
            <v>14.3336757735667</v>
          </cell>
          <cell r="O47">
            <v>14.3336757735667</v>
          </cell>
          <cell r="P47">
            <v>14.3336757735667</v>
          </cell>
          <cell r="Q47">
            <v>14.3336757735667</v>
          </cell>
          <cell r="R47">
            <v>14.3336757735667</v>
          </cell>
          <cell r="S47">
            <v>14.3336757735667</v>
          </cell>
          <cell r="T47">
            <v>14.3336757735667</v>
          </cell>
          <cell r="U47">
            <v>14.3336757735667</v>
          </cell>
        </row>
        <row r="48">
          <cell r="K48">
            <v>2022</v>
          </cell>
          <cell r="L48" t="str">
            <v>CAD</v>
          </cell>
          <cell r="M48" t="str">
            <v>GJ</v>
          </cell>
          <cell r="N48">
            <v>15.587635938719901</v>
          </cell>
          <cell r="O48">
            <v>15.587635938719901</v>
          </cell>
          <cell r="P48">
            <v>15.587635938719901</v>
          </cell>
          <cell r="Q48">
            <v>15.587635938719901</v>
          </cell>
          <cell r="R48">
            <v>15.587635938719901</v>
          </cell>
          <cell r="S48">
            <v>15.587635938719901</v>
          </cell>
          <cell r="T48">
            <v>15.587635938719901</v>
          </cell>
          <cell r="U48">
            <v>15.587635938719901</v>
          </cell>
        </row>
        <row r="49">
          <cell r="K49">
            <v>2022</v>
          </cell>
          <cell r="L49" t="str">
            <v>CAD</v>
          </cell>
          <cell r="M49" t="str">
            <v>GJ</v>
          </cell>
          <cell r="N49">
            <v>17.904089140092999</v>
          </cell>
          <cell r="O49">
            <v>17.904089140092999</v>
          </cell>
          <cell r="P49">
            <v>17.904089140092999</v>
          </cell>
          <cell r="Q49">
            <v>17.904089140092999</v>
          </cell>
          <cell r="R49">
            <v>17.904089140092999</v>
          </cell>
          <cell r="S49">
            <v>17.904089140092999</v>
          </cell>
          <cell r="T49">
            <v>17.904089140092999</v>
          </cell>
          <cell r="U49">
            <v>17.904089140092999</v>
          </cell>
        </row>
        <row r="50">
          <cell r="K50">
            <v>2022</v>
          </cell>
          <cell r="L50" t="str">
            <v>CAD</v>
          </cell>
          <cell r="M50" t="str">
            <v>GJ</v>
          </cell>
          <cell r="N50">
            <v>18.490494604790999</v>
          </cell>
          <cell r="O50">
            <v>18.490494604790999</v>
          </cell>
          <cell r="P50">
            <v>18.490494604790999</v>
          </cell>
          <cell r="Q50">
            <v>18.490494604790999</v>
          </cell>
          <cell r="R50">
            <v>18.490494604790999</v>
          </cell>
          <cell r="S50">
            <v>18.490494604790999</v>
          </cell>
          <cell r="T50">
            <v>18.490494604790999</v>
          </cell>
          <cell r="U50">
            <v>18.490494604790999</v>
          </cell>
        </row>
        <row r="51">
          <cell r="K51">
            <v>2022</v>
          </cell>
          <cell r="L51" t="str">
            <v>CAD</v>
          </cell>
          <cell r="M51" t="str">
            <v>GJ</v>
          </cell>
          <cell r="N51">
            <v>22.444941096106099</v>
          </cell>
          <cell r="O51">
            <v>22.444941096106099</v>
          </cell>
          <cell r="P51">
            <v>22.444941096106099</v>
          </cell>
          <cell r="Q51">
            <v>22.444941096106099</v>
          </cell>
          <cell r="R51">
            <v>22.444941096106099</v>
          </cell>
          <cell r="S51">
            <v>22.444941096106099</v>
          </cell>
          <cell r="T51">
            <v>22.444941096106099</v>
          </cell>
          <cell r="U51">
            <v>22.444941096106099</v>
          </cell>
        </row>
        <row r="52">
          <cell r="K52">
            <v>2022</v>
          </cell>
          <cell r="L52" t="str">
            <v>CAD</v>
          </cell>
          <cell r="M52" t="str">
            <v>GJ</v>
          </cell>
          <cell r="N52">
            <v>20.879014002677199</v>
          </cell>
          <cell r="O52">
            <v>20.879014002677199</v>
          </cell>
          <cell r="P52">
            <v>20.879014002677199</v>
          </cell>
          <cell r="Q52">
            <v>20.879014002677199</v>
          </cell>
          <cell r="R52">
            <v>20.879014002677199</v>
          </cell>
          <cell r="S52">
            <v>20.879014002677199</v>
          </cell>
          <cell r="T52">
            <v>20.879014002677199</v>
          </cell>
          <cell r="U52">
            <v>20.879014002677199</v>
          </cell>
        </row>
        <row r="53">
          <cell r="K53">
            <v>2022</v>
          </cell>
          <cell r="L53" t="str">
            <v>CAD</v>
          </cell>
          <cell r="M53" t="str">
            <v>GJ</v>
          </cell>
          <cell r="N53">
            <v>53.545086641299797</v>
          </cell>
          <cell r="O53">
            <v>53.545086641299797</v>
          </cell>
          <cell r="P53">
            <v>53.545086641299797</v>
          </cell>
          <cell r="Q53">
            <v>53.545086641299797</v>
          </cell>
          <cell r="R53">
            <v>53.545086641299797</v>
          </cell>
          <cell r="S53">
            <v>53.545086641299797</v>
          </cell>
          <cell r="T53">
            <v>53.545086641299797</v>
          </cell>
          <cell r="U53">
            <v>53.545086641299797</v>
          </cell>
        </row>
        <row r="54">
          <cell r="K54">
            <v>2022</v>
          </cell>
          <cell r="L54" t="str">
            <v>CAD</v>
          </cell>
          <cell r="M54" t="str">
            <v>GJ</v>
          </cell>
          <cell r="N54">
            <v>20.879014002677199</v>
          </cell>
          <cell r="O54">
            <v>20.879014002677199</v>
          </cell>
          <cell r="P54">
            <v>20.879014002677199</v>
          </cell>
          <cell r="Q54">
            <v>20.879014002677199</v>
          </cell>
          <cell r="R54">
            <v>20.879014002677199</v>
          </cell>
          <cell r="S54">
            <v>20.879014002677199</v>
          </cell>
          <cell r="T54">
            <v>20.879014002677199</v>
          </cell>
          <cell r="U54">
            <v>20.879014002677199</v>
          </cell>
        </row>
        <row r="55">
          <cell r="K55">
            <v>2022</v>
          </cell>
          <cell r="L55" t="str">
            <v>CAD</v>
          </cell>
          <cell r="M55" t="str">
            <v>GJ</v>
          </cell>
          <cell r="N55">
            <v>20.879014002677199</v>
          </cell>
          <cell r="O55">
            <v>20.879014002677199</v>
          </cell>
          <cell r="P55">
            <v>20.879014002677199</v>
          </cell>
          <cell r="Q55">
            <v>20.879014002677199</v>
          </cell>
          <cell r="R55">
            <v>20.879014002677199</v>
          </cell>
          <cell r="S55">
            <v>20.879014002677199</v>
          </cell>
          <cell r="T55">
            <v>20.879014002677199</v>
          </cell>
          <cell r="U55">
            <v>20.879014002677199</v>
          </cell>
        </row>
        <row r="56">
          <cell r="K56">
            <v>2022</v>
          </cell>
          <cell r="L56" t="str">
            <v>CAD</v>
          </cell>
          <cell r="M56" t="str">
            <v>GJ</v>
          </cell>
          <cell r="N56">
            <v>17.358244383565602</v>
          </cell>
          <cell r="O56">
            <v>17.358244383565602</v>
          </cell>
          <cell r="P56">
            <v>17.358244383565602</v>
          </cell>
          <cell r="Q56">
            <v>17.358244383565602</v>
          </cell>
          <cell r="R56">
            <v>17.358244383565602</v>
          </cell>
          <cell r="S56">
            <v>17.358244383565602</v>
          </cell>
          <cell r="T56">
            <v>17.358244383565602</v>
          </cell>
          <cell r="U56">
            <v>17.358244383565602</v>
          </cell>
        </row>
        <row r="57">
          <cell r="K57">
            <v>2022</v>
          </cell>
          <cell r="L57" t="str">
            <v>CAD</v>
          </cell>
          <cell r="M57" t="str">
            <v>GJ</v>
          </cell>
          <cell r="N57">
            <v>17.358244383565602</v>
          </cell>
          <cell r="O57">
            <v>17.358244383565602</v>
          </cell>
          <cell r="P57">
            <v>17.358244383565602</v>
          </cell>
          <cell r="Q57">
            <v>17.358244383565602</v>
          </cell>
          <cell r="R57">
            <v>17.358244383565602</v>
          </cell>
          <cell r="S57">
            <v>17.358244383565602</v>
          </cell>
          <cell r="T57">
            <v>17.358244383565602</v>
          </cell>
          <cell r="U57">
            <v>17.358244383565602</v>
          </cell>
        </row>
        <row r="58">
          <cell r="K58">
            <v>2022</v>
          </cell>
          <cell r="L58" t="str">
            <v>CAD</v>
          </cell>
          <cell r="M58" t="str">
            <v>GJ</v>
          </cell>
          <cell r="N58">
            <v>17.358244383565602</v>
          </cell>
          <cell r="O58">
            <v>17.358244383565602</v>
          </cell>
          <cell r="P58">
            <v>17.358244383565602</v>
          </cell>
          <cell r="Q58">
            <v>17.358244383565602</v>
          </cell>
          <cell r="R58">
            <v>17.358244383565602</v>
          </cell>
          <cell r="S58">
            <v>17.358244383565602</v>
          </cell>
          <cell r="T58">
            <v>17.358244383565602</v>
          </cell>
          <cell r="U58">
            <v>17.358244383565602</v>
          </cell>
        </row>
        <row r="62">
          <cell r="K62">
            <v>2022</v>
          </cell>
          <cell r="L62" t="str">
            <v>CAD</v>
          </cell>
          <cell r="M62" t="str">
            <v>GJ</v>
          </cell>
          <cell r="N62">
            <v>31.673392426239602</v>
          </cell>
          <cell r="O62">
            <v>31.673392426239602</v>
          </cell>
          <cell r="P62">
            <v>31.673392426239602</v>
          </cell>
          <cell r="Q62">
            <v>31.673392426239602</v>
          </cell>
          <cell r="R62">
            <v>31.673392426239602</v>
          </cell>
          <cell r="S62">
            <v>31.673392426239602</v>
          </cell>
          <cell r="T62">
            <v>31.673392426239602</v>
          </cell>
          <cell r="U62">
            <v>31.673392426239602</v>
          </cell>
        </row>
        <row r="63">
          <cell r="K63">
            <v>2022</v>
          </cell>
          <cell r="L63" t="str">
            <v>CAD</v>
          </cell>
          <cell r="M63" t="str">
            <v>GJ</v>
          </cell>
          <cell r="N63">
            <v>27.008549334206801</v>
          </cell>
          <cell r="O63">
            <v>27.008549334206801</v>
          </cell>
          <cell r="P63">
            <v>27.008549334206801</v>
          </cell>
          <cell r="Q63">
            <v>27.008549334206801</v>
          </cell>
          <cell r="R63">
            <v>27.008549334206801</v>
          </cell>
          <cell r="S63">
            <v>27.008549334206801</v>
          </cell>
          <cell r="T63">
            <v>27.008549334206801</v>
          </cell>
          <cell r="U63">
            <v>27.008549334206801</v>
          </cell>
        </row>
        <row r="64">
          <cell r="K64">
            <v>2022</v>
          </cell>
          <cell r="L64" t="str">
            <v>CAD</v>
          </cell>
          <cell r="M64" t="str">
            <v>GJ</v>
          </cell>
          <cell r="N64">
            <v>28.775457796757099</v>
          </cell>
          <cell r="O64">
            <v>28.775457796757099</v>
          </cell>
          <cell r="P64">
            <v>28.775457796757099</v>
          </cell>
          <cell r="Q64">
            <v>28.775457796757099</v>
          </cell>
          <cell r="R64">
            <v>28.775457796757099</v>
          </cell>
          <cell r="S64">
            <v>28.775457796757099</v>
          </cell>
          <cell r="T64">
            <v>28.775457796757099</v>
          </cell>
          <cell r="U64">
            <v>28.775457796757099</v>
          </cell>
        </row>
        <row r="65">
          <cell r="K65">
            <v>2022</v>
          </cell>
          <cell r="L65" t="str">
            <v>CAD</v>
          </cell>
          <cell r="M65" t="str">
            <v>GJ</v>
          </cell>
          <cell r="N65">
            <v>29.352571576593</v>
          </cell>
          <cell r="O65">
            <v>29.352571576593</v>
          </cell>
          <cell r="P65">
            <v>29.352571576593</v>
          </cell>
          <cell r="Q65">
            <v>29.352571576593</v>
          </cell>
          <cell r="R65">
            <v>29.352571576593</v>
          </cell>
          <cell r="S65">
            <v>29.352571576593</v>
          </cell>
          <cell r="T65">
            <v>29.352571576593</v>
          </cell>
          <cell r="U65">
            <v>29.352571576593</v>
          </cell>
        </row>
        <row r="66">
          <cell r="K66">
            <v>2022</v>
          </cell>
          <cell r="L66" t="str">
            <v>CAD</v>
          </cell>
          <cell r="M66" t="str">
            <v>GJ</v>
          </cell>
          <cell r="N66">
            <v>28.047242860248399</v>
          </cell>
          <cell r="O66">
            <v>28.047242860248399</v>
          </cell>
          <cell r="P66">
            <v>28.047242860248399</v>
          </cell>
          <cell r="Q66">
            <v>28.047242860248399</v>
          </cell>
          <cell r="R66">
            <v>28.047242860248399</v>
          </cell>
          <cell r="S66">
            <v>28.047242860248399</v>
          </cell>
          <cell r="T66">
            <v>28.047242860248399</v>
          </cell>
          <cell r="U66">
            <v>28.047242860248399</v>
          </cell>
        </row>
        <row r="67">
          <cell r="K67">
            <v>2022</v>
          </cell>
          <cell r="L67" t="str">
            <v>CAD</v>
          </cell>
          <cell r="M67" t="str">
            <v>GJ</v>
          </cell>
          <cell r="N67">
            <v>26.9441056576105</v>
          </cell>
          <cell r="O67">
            <v>26.9441056576105</v>
          </cell>
          <cell r="P67">
            <v>26.9441056576105</v>
          </cell>
          <cell r="Q67">
            <v>26.9441056576105</v>
          </cell>
          <cell r="R67">
            <v>26.9441056576105</v>
          </cell>
          <cell r="S67">
            <v>26.9441056576105</v>
          </cell>
          <cell r="T67">
            <v>26.9441056576105</v>
          </cell>
          <cell r="U67">
            <v>26.9441056576105</v>
          </cell>
        </row>
        <row r="68">
          <cell r="K68">
            <v>2022</v>
          </cell>
          <cell r="L68" t="str">
            <v>CAD</v>
          </cell>
          <cell r="M68" t="str">
            <v>GJ</v>
          </cell>
          <cell r="N68">
            <v>29.902255412494501</v>
          </cell>
          <cell r="O68">
            <v>29.902255412494501</v>
          </cell>
          <cell r="P68">
            <v>29.902255412494501</v>
          </cell>
          <cell r="Q68">
            <v>29.902255412494501</v>
          </cell>
          <cell r="R68">
            <v>29.902255412494501</v>
          </cell>
          <cell r="S68">
            <v>29.902255412494501</v>
          </cell>
          <cell r="T68">
            <v>29.902255412494501</v>
          </cell>
          <cell r="U68">
            <v>29.902255412494501</v>
          </cell>
        </row>
        <row r="69">
          <cell r="K69">
            <v>2022</v>
          </cell>
          <cell r="L69" t="str">
            <v>CAD</v>
          </cell>
          <cell r="M69" t="str">
            <v>GJ</v>
          </cell>
          <cell r="N69">
            <v>30.076085031839199</v>
          </cell>
          <cell r="O69">
            <v>30.076085031839199</v>
          </cell>
          <cell r="P69">
            <v>30.076085031839199</v>
          </cell>
          <cell r="Q69">
            <v>30.076085031839199</v>
          </cell>
          <cell r="R69">
            <v>30.076085031839199</v>
          </cell>
          <cell r="S69">
            <v>30.076085031839199</v>
          </cell>
          <cell r="T69">
            <v>30.076085031839199</v>
          </cell>
          <cell r="U69">
            <v>30.076085031839199</v>
          </cell>
        </row>
        <row r="70">
          <cell r="K70">
            <v>2022</v>
          </cell>
          <cell r="L70" t="str">
            <v>CAD</v>
          </cell>
          <cell r="M70" t="str">
            <v>GJ</v>
          </cell>
          <cell r="N70">
            <v>26.545842901663001</v>
          </cell>
          <cell r="O70">
            <v>26.545842901663001</v>
          </cell>
          <cell r="P70">
            <v>26.545842901663001</v>
          </cell>
          <cell r="Q70">
            <v>26.545842901663001</v>
          </cell>
          <cell r="R70">
            <v>26.545842901663001</v>
          </cell>
          <cell r="S70">
            <v>26.545842901663001</v>
          </cell>
          <cell r="T70">
            <v>26.545842901663001</v>
          </cell>
          <cell r="U70">
            <v>26.545842901663001</v>
          </cell>
        </row>
        <row r="71">
          <cell r="K71">
            <v>2022</v>
          </cell>
          <cell r="L71" t="str">
            <v>CAD</v>
          </cell>
          <cell r="M71" t="str">
            <v>GJ</v>
          </cell>
          <cell r="N71">
            <v>28.2630102488435</v>
          </cell>
          <cell r="O71">
            <v>28.2630102488435</v>
          </cell>
          <cell r="P71">
            <v>28.2630102488435</v>
          </cell>
          <cell r="Q71">
            <v>28.2630102488435</v>
          </cell>
          <cell r="R71">
            <v>28.2630102488435</v>
          </cell>
          <cell r="S71">
            <v>28.2630102488435</v>
          </cell>
          <cell r="T71">
            <v>28.2630102488435</v>
          </cell>
          <cell r="U71">
            <v>28.2630102488435</v>
          </cell>
        </row>
        <row r="72">
          <cell r="K72">
            <v>2022</v>
          </cell>
          <cell r="L72" t="str">
            <v>CAD</v>
          </cell>
          <cell r="M72" t="str">
            <v>GJ</v>
          </cell>
          <cell r="N72">
            <v>31.7872712046324</v>
          </cell>
          <cell r="O72">
            <v>31.7872712046324</v>
          </cell>
          <cell r="P72">
            <v>31.7872712046324</v>
          </cell>
          <cell r="Q72">
            <v>31.7872712046324</v>
          </cell>
          <cell r="R72">
            <v>31.7872712046324</v>
          </cell>
          <cell r="S72">
            <v>31.7872712046324</v>
          </cell>
          <cell r="T72">
            <v>31.7872712046324</v>
          </cell>
          <cell r="U72">
            <v>31.7872712046324</v>
          </cell>
        </row>
        <row r="73">
          <cell r="K73">
            <v>2022</v>
          </cell>
          <cell r="L73" t="str">
            <v>CAD</v>
          </cell>
          <cell r="M73" t="str">
            <v>GJ</v>
          </cell>
          <cell r="N73">
            <v>29.2279962328425</v>
          </cell>
          <cell r="O73">
            <v>29.2279962328425</v>
          </cell>
          <cell r="P73">
            <v>29.2279962328425</v>
          </cell>
          <cell r="Q73">
            <v>29.2279962328425</v>
          </cell>
          <cell r="R73">
            <v>29.2279962328425</v>
          </cell>
          <cell r="S73">
            <v>29.2279962328425</v>
          </cell>
          <cell r="T73">
            <v>29.2279962328425</v>
          </cell>
          <cell r="U73">
            <v>29.2279962328425</v>
          </cell>
        </row>
        <row r="74">
          <cell r="K74">
            <v>2022</v>
          </cell>
          <cell r="L74" t="str">
            <v>CAD</v>
          </cell>
          <cell r="M74" t="str">
            <v>GJ</v>
          </cell>
          <cell r="N74">
            <v>29.2279962328425</v>
          </cell>
          <cell r="O74">
            <v>29.2279962328425</v>
          </cell>
          <cell r="P74">
            <v>29.2279962328425</v>
          </cell>
          <cell r="Q74">
            <v>29.2279962328425</v>
          </cell>
          <cell r="R74">
            <v>29.2279962328425</v>
          </cell>
          <cell r="S74">
            <v>29.2279962328425</v>
          </cell>
          <cell r="T74">
            <v>29.2279962328425</v>
          </cell>
          <cell r="U74">
            <v>29.2279962328425</v>
          </cell>
        </row>
        <row r="80">
          <cell r="K80">
            <v>2022</v>
          </cell>
          <cell r="L80" t="str">
            <v>CAD</v>
          </cell>
          <cell r="M80" t="str">
            <v>GJ</v>
          </cell>
          <cell r="N80">
            <v>21.0291275700908</v>
          </cell>
          <cell r="O80">
            <v>21.0291275700908</v>
          </cell>
          <cell r="P80">
            <v>21.0291275700908</v>
          </cell>
          <cell r="Q80">
            <v>21.0291275700908</v>
          </cell>
          <cell r="R80">
            <v>21.0291275700908</v>
          </cell>
          <cell r="S80">
            <v>21.0291275700908</v>
          </cell>
          <cell r="T80">
            <v>21.0291275700908</v>
          </cell>
          <cell r="U80">
            <v>21.0291275700908</v>
          </cell>
        </row>
        <row r="81">
          <cell r="K81">
            <v>2022</v>
          </cell>
          <cell r="L81" t="str">
            <v>CAD</v>
          </cell>
          <cell r="M81" t="str">
            <v>GJ</v>
          </cell>
          <cell r="N81">
            <v>26.443731736134598</v>
          </cell>
          <cell r="O81">
            <v>26.443731736134598</v>
          </cell>
          <cell r="P81">
            <v>26.443731736134598</v>
          </cell>
          <cell r="Q81">
            <v>26.443731736134598</v>
          </cell>
          <cell r="R81">
            <v>26.443731736134598</v>
          </cell>
          <cell r="S81">
            <v>26.443731736134598</v>
          </cell>
          <cell r="T81">
            <v>26.443731736134598</v>
          </cell>
          <cell r="U81">
            <v>26.443731736134598</v>
          </cell>
        </row>
        <row r="82">
          <cell r="K82">
            <v>2022</v>
          </cell>
          <cell r="L82" t="str">
            <v>CAD</v>
          </cell>
          <cell r="M82" t="str">
            <v>GJ</v>
          </cell>
          <cell r="N82">
            <v>31.2948258166466</v>
          </cell>
          <cell r="O82">
            <v>31.2948258166466</v>
          </cell>
          <cell r="P82">
            <v>31.2948258166466</v>
          </cell>
          <cell r="Q82">
            <v>31.2948258166466</v>
          </cell>
          <cell r="R82">
            <v>31.2948258166466</v>
          </cell>
          <cell r="S82">
            <v>31.2948258166466</v>
          </cell>
          <cell r="T82">
            <v>31.2948258166466</v>
          </cell>
          <cell r="U82">
            <v>31.2948258166466</v>
          </cell>
        </row>
        <row r="83">
          <cell r="K83">
            <v>2022</v>
          </cell>
          <cell r="L83" t="str">
            <v>CAD</v>
          </cell>
          <cell r="M83" t="str">
            <v>GJ</v>
          </cell>
          <cell r="N83">
            <v>20.006624944018601</v>
          </cell>
          <cell r="O83">
            <v>20.006624944018601</v>
          </cell>
          <cell r="P83">
            <v>20.006624944018601</v>
          </cell>
          <cell r="Q83">
            <v>20.006624944018601</v>
          </cell>
          <cell r="R83">
            <v>20.006624944018601</v>
          </cell>
          <cell r="S83">
            <v>20.006624944018601</v>
          </cell>
          <cell r="T83">
            <v>20.006624944018601</v>
          </cell>
          <cell r="U83">
            <v>20.006624944018601</v>
          </cell>
        </row>
        <row r="84">
          <cell r="K84">
            <v>2022</v>
          </cell>
          <cell r="L84" t="str">
            <v>CAD</v>
          </cell>
          <cell r="M84" t="str">
            <v>GJ</v>
          </cell>
          <cell r="N84">
            <v>39.279415429545999</v>
          </cell>
          <cell r="O84">
            <v>39.279415429545999</v>
          </cell>
          <cell r="P84">
            <v>39.279415429545999</v>
          </cell>
          <cell r="Q84">
            <v>39.279415429545999</v>
          </cell>
          <cell r="R84">
            <v>39.279415429545999</v>
          </cell>
          <cell r="S84">
            <v>39.279415429545999</v>
          </cell>
          <cell r="T84">
            <v>39.279415429545999</v>
          </cell>
          <cell r="U84">
            <v>39.279415429545999</v>
          </cell>
        </row>
        <row r="85">
          <cell r="K85">
            <v>2022</v>
          </cell>
          <cell r="L85" t="str">
            <v>CAD</v>
          </cell>
          <cell r="M85" t="str">
            <v>GJ</v>
          </cell>
          <cell r="N85">
            <v>25.4696070740602</v>
          </cell>
          <cell r="O85">
            <v>25.4696070740602</v>
          </cell>
          <cell r="P85">
            <v>25.4696070740602</v>
          </cell>
          <cell r="Q85">
            <v>25.4696070740602</v>
          </cell>
          <cell r="R85">
            <v>25.4696070740602</v>
          </cell>
          <cell r="S85">
            <v>25.4696070740602</v>
          </cell>
          <cell r="T85">
            <v>25.4696070740602</v>
          </cell>
          <cell r="U85">
            <v>25.4696070740602</v>
          </cell>
        </row>
        <row r="86">
          <cell r="K86">
            <v>2022</v>
          </cell>
          <cell r="L86" t="str">
            <v>CAD</v>
          </cell>
          <cell r="M86" t="str">
            <v>GJ</v>
          </cell>
          <cell r="N86">
            <v>35.9089262943425</v>
          </cell>
          <cell r="O86">
            <v>35.9089262943425</v>
          </cell>
          <cell r="P86">
            <v>35.9089262943425</v>
          </cell>
          <cell r="Q86">
            <v>35.9089262943425</v>
          </cell>
          <cell r="R86">
            <v>35.9089262943425</v>
          </cell>
          <cell r="S86">
            <v>35.9089262943425</v>
          </cell>
          <cell r="T86">
            <v>35.9089262943425</v>
          </cell>
          <cell r="U86">
            <v>35.9089262943425</v>
          </cell>
        </row>
        <row r="87">
          <cell r="K87">
            <v>2022</v>
          </cell>
          <cell r="L87" t="str">
            <v>CAD</v>
          </cell>
          <cell r="M87" t="str">
            <v>GJ</v>
          </cell>
          <cell r="N87">
            <v>31.934060351863199</v>
          </cell>
          <cell r="O87">
            <v>31.934060351863199</v>
          </cell>
          <cell r="P87">
            <v>31.934060351863199</v>
          </cell>
          <cell r="Q87">
            <v>31.934060351863199</v>
          </cell>
          <cell r="R87">
            <v>31.934060351863199</v>
          </cell>
          <cell r="S87">
            <v>31.934060351863199</v>
          </cell>
          <cell r="T87">
            <v>31.934060351863199</v>
          </cell>
          <cell r="U87">
            <v>31.934060351863199</v>
          </cell>
        </row>
        <row r="88">
          <cell r="K88">
            <v>2022</v>
          </cell>
          <cell r="L88" t="str">
            <v>CAD</v>
          </cell>
          <cell r="M88" t="str">
            <v>GJ</v>
          </cell>
          <cell r="N88">
            <v>40.585648276902603</v>
          </cell>
          <cell r="O88">
            <v>40.585648276902603</v>
          </cell>
          <cell r="P88">
            <v>40.585648276902603</v>
          </cell>
          <cell r="Q88">
            <v>40.585648276902603</v>
          </cell>
          <cell r="R88">
            <v>40.585648276902603</v>
          </cell>
          <cell r="S88">
            <v>40.585648276902603</v>
          </cell>
          <cell r="T88">
            <v>40.585648276902603</v>
          </cell>
          <cell r="U88">
            <v>40.585648276902603</v>
          </cell>
        </row>
        <row r="89">
          <cell r="K89">
            <v>2022</v>
          </cell>
          <cell r="L89" t="str">
            <v>CAD</v>
          </cell>
          <cell r="M89" t="str">
            <v>GJ</v>
          </cell>
          <cell r="N89">
            <v>29.1190971298698</v>
          </cell>
          <cell r="O89">
            <v>29.1190971298698</v>
          </cell>
          <cell r="P89">
            <v>29.1190971298698</v>
          </cell>
          <cell r="Q89">
            <v>29.1190971298698</v>
          </cell>
          <cell r="R89">
            <v>29.1190971298698</v>
          </cell>
          <cell r="S89">
            <v>29.1190971298698</v>
          </cell>
          <cell r="T89">
            <v>29.1190971298698</v>
          </cell>
          <cell r="U89">
            <v>29.1190971298698</v>
          </cell>
        </row>
        <row r="90">
          <cell r="K90">
            <v>2022</v>
          </cell>
          <cell r="L90" t="str">
            <v>CAD</v>
          </cell>
          <cell r="M90" t="str">
            <v>GJ</v>
          </cell>
          <cell r="N90">
            <v>25.9168041823206</v>
          </cell>
          <cell r="O90">
            <v>25.9168041823206</v>
          </cell>
          <cell r="P90">
            <v>25.9168041823206</v>
          </cell>
          <cell r="Q90">
            <v>25.9168041823206</v>
          </cell>
          <cell r="R90">
            <v>25.9168041823206</v>
          </cell>
          <cell r="S90">
            <v>25.9168041823206</v>
          </cell>
          <cell r="T90">
            <v>25.9168041823206</v>
          </cell>
          <cell r="U90">
            <v>25.9168041823206</v>
          </cell>
        </row>
        <row r="91">
          <cell r="K91">
            <v>2022</v>
          </cell>
          <cell r="L91" t="str">
            <v>CAD</v>
          </cell>
          <cell r="M91" t="str">
            <v>GJ</v>
          </cell>
          <cell r="N91">
            <v>30.71620978836</v>
          </cell>
          <cell r="O91">
            <v>30.71620978836</v>
          </cell>
          <cell r="P91">
            <v>30.71620978836</v>
          </cell>
          <cell r="Q91">
            <v>30.71620978836</v>
          </cell>
          <cell r="R91">
            <v>30.71620978836</v>
          </cell>
          <cell r="S91">
            <v>30.71620978836</v>
          </cell>
          <cell r="T91">
            <v>30.71620978836</v>
          </cell>
          <cell r="U91">
            <v>30.71620978836</v>
          </cell>
        </row>
        <row r="92">
          <cell r="K92">
            <v>2022</v>
          </cell>
          <cell r="L92" t="str">
            <v>CAD</v>
          </cell>
          <cell r="M92" t="str">
            <v>GJ</v>
          </cell>
          <cell r="N92">
            <v>30.71620978836</v>
          </cell>
          <cell r="O92">
            <v>30.71620978836</v>
          </cell>
          <cell r="P92">
            <v>30.71620978836</v>
          </cell>
          <cell r="Q92">
            <v>30.71620978836</v>
          </cell>
          <cell r="R92">
            <v>30.71620978836</v>
          </cell>
          <cell r="S92">
            <v>30.71620978836</v>
          </cell>
          <cell r="T92">
            <v>30.71620978836</v>
          </cell>
          <cell r="U92">
            <v>30.71620978836</v>
          </cell>
        </row>
        <row r="96">
          <cell r="K96">
            <v>2022</v>
          </cell>
          <cell r="L96" t="str">
            <v>CAD</v>
          </cell>
          <cell r="M96" t="str">
            <v>GJ</v>
          </cell>
          <cell r="N96">
            <v>14.631719084257099</v>
          </cell>
          <cell r="O96">
            <v>14.631719084257099</v>
          </cell>
          <cell r="P96">
            <v>14.631719084257099</v>
          </cell>
          <cell r="Q96">
            <v>14.631719084257099</v>
          </cell>
          <cell r="R96">
            <v>14.631719084257099</v>
          </cell>
          <cell r="S96">
            <v>14.631719084257099</v>
          </cell>
          <cell r="T96">
            <v>14.631719084257099</v>
          </cell>
          <cell r="U96">
            <v>14.631719084257099</v>
          </cell>
        </row>
        <row r="97">
          <cell r="K97">
            <v>2022</v>
          </cell>
          <cell r="L97" t="str">
            <v>CAD</v>
          </cell>
          <cell r="M97" t="str">
            <v>GJ</v>
          </cell>
          <cell r="N97">
            <v>11.807574064093799</v>
          </cell>
          <cell r="O97">
            <v>11.807574064093799</v>
          </cell>
          <cell r="P97">
            <v>11.807574064093799</v>
          </cell>
          <cell r="Q97">
            <v>11.807574064093799</v>
          </cell>
          <cell r="R97">
            <v>11.807574064093799</v>
          </cell>
          <cell r="S97">
            <v>11.807574064093799</v>
          </cell>
          <cell r="T97">
            <v>11.807574064093799</v>
          </cell>
          <cell r="U97">
            <v>11.807574064093799</v>
          </cell>
        </row>
        <row r="98">
          <cell r="K98">
            <v>2022</v>
          </cell>
          <cell r="L98" t="str">
            <v>CAD</v>
          </cell>
          <cell r="M98" t="str">
            <v>GJ</v>
          </cell>
          <cell r="N98">
            <v>8.8151716535614906</v>
          </cell>
          <cell r="O98">
            <v>8.8151716535614906</v>
          </cell>
          <cell r="P98">
            <v>8.8151716535614906</v>
          </cell>
          <cell r="Q98">
            <v>8.8151716535614906</v>
          </cell>
          <cell r="R98">
            <v>8.8151716535614906</v>
          </cell>
          <cell r="S98">
            <v>8.8151716535614906</v>
          </cell>
          <cell r="T98">
            <v>8.8151716535614906</v>
          </cell>
          <cell r="U98">
            <v>8.8151716535614906</v>
          </cell>
        </row>
        <row r="99">
          <cell r="K99">
            <v>2022</v>
          </cell>
          <cell r="L99" t="str">
            <v>CAD</v>
          </cell>
          <cell r="M99" t="str">
            <v>GJ</v>
          </cell>
          <cell r="N99">
            <v>12.6573362009481</v>
          </cell>
          <cell r="O99">
            <v>12.6573362009481</v>
          </cell>
          <cell r="P99">
            <v>12.6573362009481</v>
          </cell>
          <cell r="Q99">
            <v>12.6573362009481</v>
          </cell>
          <cell r="R99">
            <v>12.6573362009481</v>
          </cell>
          <cell r="S99">
            <v>12.6573362009481</v>
          </cell>
          <cell r="T99">
            <v>12.6573362009481</v>
          </cell>
          <cell r="U99">
            <v>12.6573362009481</v>
          </cell>
        </row>
        <row r="100">
          <cell r="K100">
            <v>2022</v>
          </cell>
          <cell r="L100" t="str">
            <v>CAD</v>
          </cell>
          <cell r="M100" t="str">
            <v>GJ</v>
          </cell>
          <cell r="N100">
            <v>13.2084082256958</v>
          </cell>
          <cell r="O100">
            <v>13.2084082256958</v>
          </cell>
          <cell r="P100">
            <v>13.2084082256958</v>
          </cell>
          <cell r="Q100">
            <v>13.2084082256958</v>
          </cell>
          <cell r="R100">
            <v>13.2084082256958</v>
          </cell>
          <cell r="S100">
            <v>13.2084082256958</v>
          </cell>
          <cell r="T100">
            <v>13.2084082256958</v>
          </cell>
          <cell r="U100">
            <v>13.2084082256958</v>
          </cell>
        </row>
        <row r="101">
          <cell r="K101">
            <v>2022</v>
          </cell>
          <cell r="L101" t="str">
            <v>CAD</v>
          </cell>
          <cell r="M101" t="str">
            <v>GJ</v>
          </cell>
          <cell r="N101">
            <v>14.862189034078799</v>
          </cell>
          <cell r="O101">
            <v>14.862189034078799</v>
          </cell>
          <cell r="P101">
            <v>14.862189034078799</v>
          </cell>
          <cell r="Q101">
            <v>14.862189034078799</v>
          </cell>
          <cell r="R101">
            <v>14.862189034078799</v>
          </cell>
          <cell r="S101">
            <v>14.862189034078799</v>
          </cell>
          <cell r="T101">
            <v>14.862189034078799</v>
          </cell>
          <cell r="U101">
            <v>14.862189034078799</v>
          </cell>
        </row>
        <row r="102">
          <cell r="K102">
            <v>2022</v>
          </cell>
          <cell r="L102" t="str">
            <v>CAD</v>
          </cell>
          <cell r="M102" t="str">
            <v>GJ</v>
          </cell>
          <cell r="N102">
            <v>13.733840485912999</v>
          </cell>
          <cell r="O102">
            <v>13.733840485912999</v>
          </cell>
          <cell r="P102">
            <v>13.733840485912999</v>
          </cell>
          <cell r="Q102">
            <v>13.733840485912999</v>
          </cell>
          <cell r="R102">
            <v>13.733840485912999</v>
          </cell>
          <cell r="S102">
            <v>13.733840485912999</v>
          </cell>
          <cell r="T102">
            <v>13.733840485912999</v>
          </cell>
          <cell r="U102">
            <v>13.733840485912999</v>
          </cell>
        </row>
        <row r="103">
          <cell r="K103">
            <v>2022</v>
          </cell>
          <cell r="L103" t="str">
            <v>CAD</v>
          </cell>
          <cell r="M103" t="str">
            <v>GJ</v>
          </cell>
          <cell r="N103">
            <v>19.513108508526301</v>
          </cell>
          <cell r="O103">
            <v>19.513108508526301</v>
          </cell>
          <cell r="P103">
            <v>19.513108508526301</v>
          </cell>
          <cell r="Q103">
            <v>19.513108508526301</v>
          </cell>
          <cell r="R103">
            <v>19.513108508526301</v>
          </cell>
          <cell r="S103">
            <v>19.513108508526301</v>
          </cell>
          <cell r="T103">
            <v>19.513108508526301</v>
          </cell>
          <cell r="U103">
            <v>19.513108508526301</v>
          </cell>
        </row>
        <row r="104">
          <cell r="K104">
            <v>2022</v>
          </cell>
          <cell r="L104" t="str">
            <v>CAD</v>
          </cell>
          <cell r="M104" t="str">
            <v>GJ</v>
          </cell>
          <cell r="N104">
            <v>14.760675985989099</v>
          </cell>
          <cell r="O104">
            <v>14.760675985989099</v>
          </cell>
          <cell r="P104">
            <v>14.760675985989099</v>
          </cell>
          <cell r="Q104">
            <v>14.760675985989099</v>
          </cell>
          <cell r="R104">
            <v>14.760675985989099</v>
          </cell>
          <cell r="S104">
            <v>14.760675985989099</v>
          </cell>
          <cell r="T104">
            <v>14.760675985989099</v>
          </cell>
          <cell r="U104">
            <v>14.760675985989099</v>
          </cell>
        </row>
        <row r="105">
          <cell r="K105">
            <v>2022</v>
          </cell>
          <cell r="L105" t="str">
            <v>CAD</v>
          </cell>
          <cell r="M105" t="str">
            <v>GJ</v>
          </cell>
          <cell r="N105">
            <v>13.733840485912999</v>
          </cell>
          <cell r="O105">
            <v>13.733840485912999</v>
          </cell>
          <cell r="P105">
            <v>13.733840485912999</v>
          </cell>
          <cell r="Q105">
            <v>13.733840485912999</v>
          </cell>
          <cell r="R105">
            <v>13.733840485912999</v>
          </cell>
          <cell r="S105">
            <v>13.733840485912999</v>
          </cell>
          <cell r="T105">
            <v>13.733840485912999</v>
          </cell>
          <cell r="U105">
            <v>13.733840485912999</v>
          </cell>
        </row>
        <row r="106">
          <cell r="K106">
            <v>2022</v>
          </cell>
          <cell r="L106" t="str">
            <v>CAD</v>
          </cell>
          <cell r="M106" t="str">
            <v>GJ</v>
          </cell>
          <cell r="N106">
            <v>14.631719084257099</v>
          </cell>
          <cell r="O106">
            <v>14.631719084257099</v>
          </cell>
          <cell r="P106">
            <v>14.631719084257099</v>
          </cell>
          <cell r="Q106">
            <v>14.631719084257099</v>
          </cell>
          <cell r="R106">
            <v>14.631719084257099</v>
          </cell>
          <cell r="S106">
            <v>14.631719084257099</v>
          </cell>
          <cell r="T106">
            <v>14.631719084257099</v>
          </cell>
          <cell r="U106">
            <v>14.631719084257099</v>
          </cell>
        </row>
        <row r="107">
          <cell r="K107">
            <v>2022</v>
          </cell>
          <cell r="L107" t="str">
            <v>CAD</v>
          </cell>
          <cell r="M107" t="str">
            <v>GJ</v>
          </cell>
          <cell r="N107">
            <v>14.631719084257099</v>
          </cell>
          <cell r="O107">
            <v>14.631719084257099</v>
          </cell>
          <cell r="P107">
            <v>14.631719084257099</v>
          </cell>
          <cell r="Q107">
            <v>14.631719084257099</v>
          </cell>
          <cell r="R107">
            <v>14.631719084257099</v>
          </cell>
          <cell r="S107">
            <v>14.631719084257099</v>
          </cell>
          <cell r="T107">
            <v>14.631719084257099</v>
          </cell>
          <cell r="U107">
            <v>14.631719084257099</v>
          </cell>
        </row>
        <row r="108">
          <cell r="K108">
            <v>2022</v>
          </cell>
          <cell r="L108" t="str">
            <v>CAD</v>
          </cell>
          <cell r="M108" t="str">
            <v>GJ</v>
          </cell>
          <cell r="N108">
            <v>14.631719084257099</v>
          </cell>
          <cell r="O108">
            <v>14.631719084257099</v>
          </cell>
          <cell r="P108">
            <v>14.631719084257099</v>
          </cell>
          <cell r="Q108">
            <v>14.631719084257099</v>
          </cell>
          <cell r="R108">
            <v>14.631719084257099</v>
          </cell>
          <cell r="S108">
            <v>14.631719084257099</v>
          </cell>
          <cell r="T108">
            <v>14.631719084257099</v>
          </cell>
          <cell r="U108">
            <v>14.631719084257099</v>
          </cell>
        </row>
        <row r="112">
          <cell r="K112">
            <v>2022</v>
          </cell>
          <cell r="L112" t="str">
            <v>CAD</v>
          </cell>
          <cell r="M112" t="str">
            <v>GJ</v>
          </cell>
          <cell r="N112">
            <v>29.6013049728578</v>
          </cell>
          <cell r="O112">
            <v>29.6013049728578</v>
          </cell>
          <cell r="P112">
            <v>29.6013049728578</v>
          </cell>
          <cell r="Q112">
            <v>29.6013049728578</v>
          </cell>
          <cell r="R112">
            <v>29.6013049728578</v>
          </cell>
          <cell r="S112">
            <v>29.6013049728578</v>
          </cell>
          <cell r="T112">
            <v>29.6013049728578</v>
          </cell>
          <cell r="U112">
            <v>29.6013049728578</v>
          </cell>
        </row>
        <row r="113">
          <cell r="K113">
            <v>2022</v>
          </cell>
          <cell r="L113" t="str">
            <v>CAD</v>
          </cell>
          <cell r="M113" t="str">
            <v>GJ</v>
          </cell>
          <cell r="N113">
            <v>25.2416408716565</v>
          </cell>
          <cell r="O113">
            <v>25.2416408716565</v>
          </cell>
          <cell r="P113">
            <v>25.2416408716565</v>
          </cell>
          <cell r="Q113">
            <v>25.2416408716565</v>
          </cell>
          <cell r="R113">
            <v>25.2416408716565</v>
          </cell>
          <cell r="S113">
            <v>25.2416408716565</v>
          </cell>
          <cell r="T113">
            <v>25.2416408716565</v>
          </cell>
          <cell r="U113">
            <v>25.2416408716565</v>
          </cell>
        </row>
        <row r="114">
          <cell r="K114">
            <v>2022</v>
          </cell>
          <cell r="L114" t="str">
            <v>CAD</v>
          </cell>
          <cell r="M114" t="str">
            <v>GJ</v>
          </cell>
          <cell r="N114">
            <v>25.2416408716565</v>
          </cell>
          <cell r="O114">
            <v>25.2416408716565</v>
          </cell>
          <cell r="P114">
            <v>25.2416408716565</v>
          </cell>
          <cell r="Q114">
            <v>25.2416408716565</v>
          </cell>
          <cell r="R114">
            <v>25.2416408716565</v>
          </cell>
          <cell r="S114">
            <v>25.2416408716565</v>
          </cell>
          <cell r="T114">
            <v>25.2416408716565</v>
          </cell>
          <cell r="U114">
            <v>25.2416408716565</v>
          </cell>
        </row>
        <row r="115">
          <cell r="K115">
            <v>2022</v>
          </cell>
          <cell r="L115" t="str">
            <v>CAD</v>
          </cell>
          <cell r="M115" t="str">
            <v>GJ</v>
          </cell>
          <cell r="N115">
            <v>24.931969045180502</v>
          </cell>
          <cell r="O115">
            <v>24.931969045180502</v>
          </cell>
          <cell r="P115">
            <v>24.931969045180502</v>
          </cell>
          <cell r="Q115">
            <v>24.931969045180502</v>
          </cell>
          <cell r="R115">
            <v>24.931969045180502</v>
          </cell>
          <cell r="S115">
            <v>24.931969045180502</v>
          </cell>
          <cell r="T115">
            <v>24.931969045180502</v>
          </cell>
          <cell r="U115">
            <v>24.931969045180502</v>
          </cell>
        </row>
        <row r="116">
          <cell r="K116">
            <v>2022</v>
          </cell>
          <cell r="L116" t="str">
            <v>CAD</v>
          </cell>
          <cell r="M116" t="str">
            <v>GJ</v>
          </cell>
          <cell r="N116">
            <v>24.388906230228699</v>
          </cell>
          <cell r="O116">
            <v>24.388906230228699</v>
          </cell>
          <cell r="P116">
            <v>24.388906230228699</v>
          </cell>
          <cell r="Q116">
            <v>24.388906230228699</v>
          </cell>
          <cell r="R116">
            <v>24.388906230228699</v>
          </cell>
          <cell r="S116">
            <v>24.388906230228699</v>
          </cell>
          <cell r="T116">
            <v>24.388906230228699</v>
          </cell>
          <cell r="U116">
            <v>24.388906230228699</v>
          </cell>
        </row>
        <row r="117">
          <cell r="K117">
            <v>2022</v>
          </cell>
          <cell r="L117" t="str">
            <v>CAD</v>
          </cell>
          <cell r="M117" t="str">
            <v>GJ</v>
          </cell>
          <cell r="N117">
            <v>21.9847245012724</v>
          </cell>
          <cell r="O117">
            <v>21.9847245012724</v>
          </cell>
          <cell r="P117">
            <v>21.9847245012724</v>
          </cell>
          <cell r="Q117">
            <v>21.9847245012724</v>
          </cell>
          <cell r="R117">
            <v>21.9847245012724</v>
          </cell>
          <cell r="S117">
            <v>21.9847245012724</v>
          </cell>
          <cell r="T117">
            <v>21.9847245012724</v>
          </cell>
          <cell r="U117">
            <v>21.9847245012724</v>
          </cell>
        </row>
        <row r="118">
          <cell r="K118">
            <v>2022</v>
          </cell>
          <cell r="L118" t="str">
            <v>CAD</v>
          </cell>
          <cell r="M118" t="str">
            <v>GJ</v>
          </cell>
          <cell r="N118">
            <v>26.001973323654301</v>
          </cell>
          <cell r="O118">
            <v>26.001973323654301</v>
          </cell>
          <cell r="P118">
            <v>26.001973323654301</v>
          </cell>
          <cell r="Q118">
            <v>26.001973323654301</v>
          </cell>
          <cell r="R118">
            <v>26.001973323654301</v>
          </cell>
          <cell r="S118">
            <v>26.001973323654301</v>
          </cell>
          <cell r="T118">
            <v>26.001973323654301</v>
          </cell>
          <cell r="U118">
            <v>26.001973323654301</v>
          </cell>
        </row>
        <row r="119">
          <cell r="K119">
            <v>2022</v>
          </cell>
          <cell r="L119" t="str">
            <v>CAD</v>
          </cell>
          <cell r="M119" t="str">
            <v>GJ</v>
          </cell>
          <cell r="N119">
            <v>26.153116209450801</v>
          </cell>
          <cell r="O119">
            <v>26.153116209450801</v>
          </cell>
          <cell r="P119">
            <v>26.153116209450801</v>
          </cell>
          <cell r="Q119">
            <v>26.153116209450801</v>
          </cell>
          <cell r="R119">
            <v>26.153116209450801</v>
          </cell>
          <cell r="S119">
            <v>26.153116209450801</v>
          </cell>
          <cell r="T119">
            <v>26.153116209450801</v>
          </cell>
          <cell r="U119">
            <v>26.153116209450801</v>
          </cell>
        </row>
        <row r="120">
          <cell r="K120">
            <v>2022</v>
          </cell>
          <cell r="L120" t="str">
            <v>CAD</v>
          </cell>
          <cell r="M120" t="str">
            <v>GJ</v>
          </cell>
          <cell r="N120">
            <v>24.809188053746201</v>
          </cell>
          <cell r="O120">
            <v>24.809188053746201</v>
          </cell>
          <cell r="P120">
            <v>24.809188053746201</v>
          </cell>
          <cell r="Q120">
            <v>24.809188053746201</v>
          </cell>
          <cell r="R120">
            <v>24.809188053746201</v>
          </cell>
          <cell r="S120">
            <v>24.809188053746201</v>
          </cell>
          <cell r="T120">
            <v>24.809188053746201</v>
          </cell>
          <cell r="U120">
            <v>24.809188053746201</v>
          </cell>
        </row>
        <row r="121">
          <cell r="K121">
            <v>2022</v>
          </cell>
          <cell r="L121" t="str">
            <v>CAD</v>
          </cell>
          <cell r="M121" t="str">
            <v>GJ</v>
          </cell>
          <cell r="N121">
            <v>24.576534279787801</v>
          </cell>
          <cell r="O121">
            <v>24.576534279787801</v>
          </cell>
          <cell r="P121">
            <v>24.576534279787801</v>
          </cell>
          <cell r="Q121">
            <v>24.576534279787801</v>
          </cell>
          <cell r="R121">
            <v>24.576534279787801</v>
          </cell>
          <cell r="S121">
            <v>24.576534279787801</v>
          </cell>
          <cell r="T121">
            <v>24.576534279787801</v>
          </cell>
          <cell r="U121">
            <v>24.576534279787801</v>
          </cell>
        </row>
        <row r="122">
          <cell r="K122">
            <v>2022</v>
          </cell>
          <cell r="L122" t="str">
            <v>CAD</v>
          </cell>
          <cell r="M122" t="str">
            <v>GJ</v>
          </cell>
          <cell r="N122">
            <v>29.707742057536102</v>
          </cell>
          <cell r="O122">
            <v>29.707742057536102</v>
          </cell>
          <cell r="P122">
            <v>29.707742057536102</v>
          </cell>
          <cell r="Q122">
            <v>29.707742057536102</v>
          </cell>
          <cell r="R122">
            <v>29.707742057536102</v>
          </cell>
          <cell r="S122">
            <v>29.707742057536102</v>
          </cell>
          <cell r="T122">
            <v>29.707742057536102</v>
          </cell>
          <cell r="U122">
            <v>29.707742057536102</v>
          </cell>
        </row>
        <row r="123">
          <cell r="K123">
            <v>2022</v>
          </cell>
          <cell r="L123" t="str">
            <v>CAD</v>
          </cell>
          <cell r="M123" t="str">
            <v>GJ</v>
          </cell>
          <cell r="N123">
            <v>27.3158704200514</v>
          </cell>
          <cell r="O123">
            <v>27.3158704200514</v>
          </cell>
          <cell r="P123">
            <v>27.3158704200514</v>
          </cell>
          <cell r="Q123">
            <v>27.3158704200514</v>
          </cell>
          <cell r="R123">
            <v>27.3158704200514</v>
          </cell>
          <cell r="S123">
            <v>27.3158704200514</v>
          </cell>
          <cell r="T123">
            <v>27.3158704200514</v>
          </cell>
          <cell r="U123">
            <v>27.3158704200514</v>
          </cell>
        </row>
        <row r="124">
          <cell r="K124">
            <v>2022</v>
          </cell>
          <cell r="L124" t="str">
            <v>CAD</v>
          </cell>
          <cell r="M124" t="str">
            <v>GJ</v>
          </cell>
          <cell r="N124">
            <v>27.3158704200514</v>
          </cell>
          <cell r="O124">
            <v>27.3158704200514</v>
          </cell>
          <cell r="P124">
            <v>27.3158704200514</v>
          </cell>
          <cell r="Q124">
            <v>27.3158704200514</v>
          </cell>
          <cell r="R124">
            <v>27.3158704200514</v>
          </cell>
          <cell r="S124">
            <v>27.3158704200514</v>
          </cell>
          <cell r="T124">
            <v>27.3158704200514</v>
          </cell>
          <cell r="U124">
            <v>27.3158704200514</v>
          </cell>
        </row>
        <row r="130">
          <cell r="K130">
            <v>2022</v>
          </cell>
          <cell r="L130" t="str">
            <v>CAD</v>
          </cell>
          <cell r="M130" t="str">
            <v>GJ</v>
          </cell>
          <cell r="N130">
            <v>16.848815242261502</v>
          </cell>
          <cell r="O130">
            <v>16.848815242261502</v>
          </cell>
          <cell r="P130">
            <v>16.848815242261502</v>
          </cell>
          <cell r="Q130">
            <v>16.848815242261502</v>
          </cell>
          <cell r="R130">
            <v>16.848815242261502</v>
          </cell>
          <cell r="S130">
            <v>16.848815242261502</v>
          </cell>
          <cell r="T130">
            <v>16.848815242261502</v>
          </cell>
          <cell r="U130">
            <v>16.848815242261502</v>
          </cell>
        </row>
        <row r="131">
          <cell r="K131">
            <v>2022</v>
          </cell>
          <cell r="L131" t="str">
            <v>CAD</v>
          </cell>
          <cell r="M131" t="str">
            <v>GJ</v>
          </cell>
          <cell r="N131">
            <v>21.915301149255999</v>
          </cell>
          <cell r="O131">
            <v>21.915301149255999</v>
          </cell>
          <cell r="P131">
            <v>21.915301149255999</v>
          </cell>
          <cell r="Q131">
            <v>21.915301149255999</v>
          </cell>
          <cell r="R131">
            <v>21.915301149255999</v>
          </cell>
          <cell r="S131">
            <v>21.915301149255999</v>
          </cell>
          <cell r="T131">
            <v>21.915301149255999</v>
          </cell>
          <cell r="U131">
            <v>21.915301149255999</v>
          </cell>
        </row>
        <row r="132">
          <cell r="K132">
            <v>2022</v>
          </cell>
          <cell r="L132" t="str">
            <v>CAD</v>
          </cell>
          <cell r="M132" t="str">
            <v>GJ</v>
          </cell>
          <cell r="N132">
            <v>20.6305727102779</v>
          </cell>
          <cell r="O132">
            <v>20.6305727102779</v>
          </cell>
          <cell r="P132">
            <v>20.6305727102779</v>
          </cell>
          <cell r="Q132">
            <v>20.6305727102779</v>
          </cell>
          <cell r="R132">
            <v>20.6305727102779</v>
          </cell>
          <cell r="S132">
            <v>20.6305727102779</v>
          </cell>
          <cell r="T132">
            <v>20.6305727102779</v>
          </cell>
          <cell r="U132">
            <v>20.6305727102779</v>
          </cell>
        </row>
        <row r="133">
          <cell r="K133">
            <v>2022</v>
          </cell>
          <cell r="L133" t="str">
            <v>CAD</v>
          </cell>
          <cell r="M133" t="str">
            <v>GJ</v>
          </cell>
          <cell r="N133">
            <v>13.538784652347401</v>
          </cell>
          <cell r="O133">
            <v>13.538784652347401</v>
          </cell>
          <cell r="P133">
            <v>13.538784652347401</v>
          </cell>
          <cell r="Q133">
            <v>13.538784652347401</v>
          </cell>
          <cell r="R133">
            <v>13.538784652347401</v>
          </cell>
          <cell r="S133">
            <v>13.538784652347401</v>
          </cell>
          <cell r="T133">
            <v>13.538784652347401</v>
          </cell>
          <cell r="U133">
            <v>13.538784652347401</v>
          </cell>
        </row>
        <row r="134">
          <cell r="K134">
            <v>2022</v>
          </cell>
          <cell r="L134" t="str">
            <v>CAD</v>
          </cell>
          <cell r="M134" t="str">
            <v>GJ</v>
          </cell>
          <cell r="N134">
            <v>29.755396716724299</v>
          </cell>
          <cell r="O134">
            <v>29.755396716724299</v>
          </cell>
          <cell r="P134">
            <v>29.755396716724299</v>
          </cell>
          <cell r="Q134">
            <v>29.755396716724299</v>
          </cell>
          <cell r="R134">
            <v>29.755396716724299</v>
          </cell>
          <cell r="S134">
            <v>29.755396716724299</v>
          </cell>
          <cell r="T134">
            <v>29.755396716724299</v>
          </cell>
          <cell r="U134">
            <v>29.755396716724299</v>
          </cell>
        </row>
        <row r="135">
          <cell r="K135">
            <v>2022</v>
          </cell>
          <cell r="L135" t="str">
            <v>CAD</v>
          </cell>
          <cell r="M135" t="str">
            <v>GJ</v>
          </cell>
          <cell r="N135">
            <v>14.8895772488895</v>
          </cell>
          <cell r="O135">
            <v>14.8895772488895</v>
          </cell>
          <cell r="P135">
            <v>14.8895772488895</v>
          </cell>
          <cell r="Q135">
            <v>14.8895772488895</v>
          </cell>
          <cell r="R135">
            <v>14.8895772488895</v>
          </cell>
          <cell r="S135">
            <v>14.8895772488895</v>
          </cell>
          <cell r="T135">
            <v>14.8895772488895</v>
          </cell>
          <cell r="U135">
            <v>14.8895772488895</v>
          </cell>
        </row>
        <row r="136">
          <cell r="K136">
            <v>2022</v>
          </cell>
          <cell r="L136" t="str">
            <v>CAD</v>
          </cell>
          <cell r="M136" t="str">
            <v>GJ</v>
          </cell>
          <cell r="N136">
            <v>19.273040860269099</v>
          </cell>
          <cell r="O136">
            <v>19.273040860269099</v>
          </cell>
          <cell r="P136">
            <v>19.273040860269099</v>
          </cell>
          <cell r="Q136">
            <v>19.273040860269099</v>
          </cell>
          <cell r="R136">
            <v>19.273040860269099</v>
          </cell>
          <cell r="S136">
            <v>19.273040860269099</v>
          </cell>
          <cell r="T136">
            <v>19.273040860269099</v>
          </cell>
          <cell r="U136">
            <v>19.273040860269099</v>
          </cell>
        </row>
        <row r="137">
          <cell r="K137">
            <v>2022</v>
          </cell>
          <cell r="L137" t="str">
            <v>CAD</v>
          </cell>
          <cell r="M137" t="str">
            <v>GJ</v>
          </cell>
          <cell r="N137">
            <v>21.176181001771301</v>
          </cell>
          <cell r="O137">
            <v>21.176181001771301</v>
          </cell>
          <cell r="P137">
            <v>21.176181001771301</v>
          </cell>
          <cell r="Q137">
            <v>21.176181001771301</v>
          </cell>
          <cell r="R137">
            <v>21.176181001771301</v>
          </cell>
          <cell r="S137">
            <v>21.176181001771301</v>
          </cell>
          <cell r="T137">
            <v>21.176181001771301</v>
          </cell>
          <cell r="U137">
            <v>21.176181001771301</v>
          </cell>
        </row>
        <row r="138">
          <cell r="K138">
            <v>2022</v>
          </cell>
          <cell r="L138" t="str">
            <v>CAD</v>
          </cell>
          <cell r="M138" t="str">
            <v>GJ</v>
          </cell>
          <cell r="N138">
            <v>23.181529676757101</v>
          </cell>
          <cell r="O138">
            <v>23.181529676757101</v>
          </cell>
          <cell r="P138">
            <v>23.181529676757101</v>
          </cell>
          <cell r="Q138">
            <v>23.181529676757101</v>
          </cell>
          <cell r="R138">
            <v>23.181529676757101</v>
          </cell>
          <cell r="S138">
            <v>23.181529676757101</v>
          </cell>
          <cell r="T138">
            <v>23.181529676757101</v>
          </cell>
          <cell r="U138">
            <v>23.181529676757101</v>
          </cell>
        </row>
        <row r="139">
          <cell r="K139">
            <v>2022</v>
          </cell>
          <cell r="L139" t="str">
            <v>CAD</v>
          </cell>
          <cell r="M139" t="str">
            <v>GJ</v>
          </cell>
          <cell r="N139">
            <v>21.2668166583009</v>
          </cell>
          <cell r="O139">
            <v>21.2668166583009</v>
          </cell>
          <cell r="P139">
            <v>21.2668166583009</v>
          </cell>
          <cell r="Q139">
            <v>21.2668166583009</v>
          </cell>
          <cell r="R139">
            <v>21.2668166583009</v>
          </cell>
          <cell r="S139">
            <v>21.2668166583009</v>
          </cell>
          <cell r="T139">
            <v>21.2668166583009</v>
          </cell>
          <cell r="U139">
            <v>21.2668166583009</v>
          </cell>
        </row>
        <row r="140">
          <cell r="K140">
            <v>2022</v>
          </cell>
          <cell r="L140" t="str">
            <v>CAD</v>
          </cell>
          <cell r="M140" t="str">
            <v>GJ</v>
          </cell>
          <cell r="N140">
            <v>21.257844896719899</v>
          </cell>
          <cell r="O140">
            <v>21.257844896719899</v>
          </cell>
          <cell r="P140">
            <v>21.257844896719899</v>
          </cell>
          <cell r="Q140">
            <v>21.257844896719899</v>
          </cell>
          <cell r="R140">
            <v>21.257844896719899</v>
          </cell>
          <cell r="S140">
            <v>21.257844896719899</v>
          </cell>
          <cell r="T140">
            <v>21.257844896719899</v>
          </cell>
          <cell r="U140">
            <v>21.257844896719899</v>
          </cell>
        </row>
        <row r="141">
          <cell r="K141">
            <v>2022</v>
          </cell>
          <cell r="L141" t="str">
            <v>CAD</v>
          </cell>
          <cell r="M141" t="str">
            <v>GJ</v>
          </cell>
          <cell r="N141">
            <v>25.194473052244</v>
          </cell>
          <cell r="O141">
            <v>25.194473052244</v>
          </cell>
          <cell r="P141">
            <v>25.194473052244</v>
          </cell>
          <cell r="Q141">
            <v>25.194473052244</v>
          </cell>
          <cell r="R141">
            <v>25.194473052244</v>
          </cell>
          <cell r="S141">
            <v>25.194473052244</v>
          </cell>
          <cell r="T141">
            <v>25.194473052244</v>
          </cell>
          <cell r="U141">
            <v>25.194473052244</v>
          </cell>
        </row>
        <row r="142">
          <cell r="K142">
            <v>2022</v>
          </cell>
          <cell r="L142" t="str">
            <v>CAD</v>
          </cell>
          <cell r="M142" t="str">
            <v>GJ</v>
          </cell>
          <cell r="N142">
            <v>25.194473052244</v>
          </cell>
          <cell r="O142">
            <v>25.194473052244</v>
          </cell>
          <cell r="P142">
            <v>25.194473052244</v>
          </cell>
          <cell r="Q142">
            <v>25.194473052244</v>
          </cell>
          <cell r="R142">
            <v>25.194473052244</v>
          </cell>
          <cell r="S142">
            <v>25.194473052244</v>
          </cell>
          <cell r="T142">
            <v>25.194473052244</v>
          </cell>
          <cell r="U142">
            <v>25.194473052244</v>
          </cell>
        </row>
        <row r="146">
          <cell r="K146">
            <v>2022</v>
          </cell>
          <cell r="L146" t="str">
            <v>CAD</v>
          </cell>
          <cell r="M146" t="str">
            <v>GJ</v>
          </cell>
          <cell r="N146">
            <v>11.2191030077759</v>
          </cell>
          <cell r="O146">
            <v>11.2191030077759</v>
          </cell>
          <cell r="P146">
            <v>11.2191030077759</v>
          </cell>
          <cell r="Q146">
            <v>11.2191030077759</v>
          </cell>
          <cell r="R146">
            <v>11.2191030077759</v>
          </cell>
          <cell r="S146">
            <v>11.2191030077759</v>
          </cell>
          <cell r="T146">
            <v>11.2191030077759</v>
          </cell>
          <cell r="U146">
            <v>11.2191030077759</v>
          </cell>
        </row>
        <row r="147">
          <cell r="K147">
            <v>2022</v>
          </cell>
          <cell r="L147" t="str">
            <v>CAD</v>
          </cell>
          <cell r="M147" t="str">
            <v>GJ</v>
          </cell>
          <cell r="N147">
            <v>10.4380590007486</v>
          </cell>
          <cell r="O147">
            <v>10.4380590007486</v>
          </cell>
          <cell r="P147">
            <v>10.4380590007486</v>
          </cell>
          <cell r="Q147">
            <v>10.4380590007486</v>
          </cell>
          <cell r="R147">
            <v>10.4380590007486</v>
          </cell>
          <cell r="S147">
            <v>10.4380590007486</v>
          </cell>
          <cell r="T147">
            <v>10.4380590007486</v>
          </cell>
          <cell r="U147">
            <v>10.4380590007486</v>
          </cell>
        </row>
        <row r="148">
          <cell r="K148">
            <v>2022</v>
          </cell>
          <cell r="L148" t="str">
            <v>CAD</v>
          </cell>
          <cell r="M148" t="str">
            <v>GJ</v>
          </cell>
          <cell r="N148">
            <v>6.7686766717033899</v>
          </cell>
          <cell r="O148">
            <v>6.7686766717033899</v>
          </cell>
          <cell r="P148">
            <v>6.7686766717033899</v>
          </cell>
          <cell r="Q148">
            <v>6.7686766717033899</v>
          </cell>
          <cell r="R148">
            <v>6.7686766717033899</v>
          </cell>
          <cell r="S148">
            <v>6.7686766717033899</v>
          </cell>
          <cell r="T148">
            <v>6.7686766717033899</v>
          </cell>
          <cell r="U148">
            <v>6.7686766717033899</v>
          </cell>
        </row>
        <row r="149">
          <cell r="K149">
            <v>2022</v>
          </cell>
          <cell r="L149" t="str">
            <v>CAD</v>
          </cell>
          <cell r="M149" t="str">
            <v>GJ</v>
          </cell>
          <cell r="N149">
            <v>11.5932240747313</v>
          </cell>
          <cell r="O149">
            <v>11.5932240747313</v>
          </cell>
          <cell r="P149">
            <v>11.5932240747313</v>
          </cell>
          <cell r="Q149">
            <v>11.5932240747313</v>
          </cell>
          <cell r="R149">
            <v>11.5932240747313</v>
          </cell>
          <cell r="S149">
            <v>11.5932240747313</v>
          </cell>
          <cell r="T149">
            <v>11.5932240747313</v>
          </cell>
          <cell r="U149">
            <v>11.5932240747313</v>
          </cell>
        </row>
        <row r="150">
          <cell r="K150">
            <v>2022</v>
          </cell>
          <cell r="L150" t="str">
            <v>CAD</v>
          </cell>
          <cell r="M150" t="str">
            <v>GJ</v>
          </cell>
          <cell r="N150">
            <v>12.063087051978</v>
          </cell>
          <cell r="O150">
            <v>12.063087051978</v>
          </cell>
          <cell r="P150">
            <v>12.063087051978</v>
          </cell>
          <cell r="Q150">
            <v>12.063087051978</v>
          </cell>
          <cell r="R150">
            <v>12.063087051978</v>
          </cell>
          <cell r="S150">
            <v>12.063087051978</v>
          </cell>
          <cell r="T150">
            <v>12.063087051978</v>
          </cell>
          <cell r="U150">
            <v>12.063087051978</v>
          </cell>
        </row>
        <row r="151">
          <cell r="K151">
            <v>2022</v>
          </cell>
          <cell r="L151" t="str">
            <v>CAD</v>
          </cell>
          <cell r="M151" t="str">
            <v>GJ</v>
          </cell>
          <cell r="N151">
            <v>14.5392473462877</v>
          </cell>
          <cell r="O151">
            <v>14.5392473462877</v>
          </cell>
          <cell r="P151">
            <v>14.5392473462877</v>
          </cell>
          <cell r="Q151">
            <v>14.5392473462877</v>
          </cell>
          <cell r="R151">
            <v>14.5392473462877</v>
          </cell>
          <cell r="S151">
            <v>14.5392473462877</v>
          </cell>
          <cell r="T151">
            <v>14.5392473462877</v>
          </cell>
          <cell r="U151">
            <v>14.5392473462877</v>
          </cell>
        </row>
        <row r="152">
          <cell r="K152">
            <v>2022</v>
          </cell>
          <cell r="L152" t="str">
            <v>CAD</v>
          </cell>
          <cell r="M152" t="str">
            <v>GJ</v>
          </cell>
          <cell r="N152">
            <v>12.680608533197899</v>
          </cell>
          <cell r="O152">
            <v>12.680608533197899</v>
          </cell>
          <cell r="P152">
            <v>12.680608533197899</v>
          </cell>
          <cell r="Q152">
            <v>12.680608533197899</v>
          </cell>
          <cell r="R152">
            <v>12.680608533197899</v>
          </cell>
          <cell r="S152">
            <v>12.680608533197899</v>
          </cell>
          <cell r="T152">
            <v>12.680608533197899</v>
          </cell>
          <cell r="U152">
            <v>12.680608533197899</v>
          </cell>
        </row>
        <row r="153">
          <cell r="K153">
            <v>2022</v>
          </cell>
          <cell r="L153" t="str">
            <v>CAD</v>
          </cell>
          <cell r="M153" t="str">
            <v>GJ</v>
          </cell>
          <cell r="N153">
            <v>15.1350696832188</v>
          </cell>
          <cell r="O153">
            <v>15.1350696832188</v>
          </cell>
          <cell r="P153">
            <v>15.1350696832188</v>
          </cell>
          <cell r="Q153">
            <v>15.1350696832188</v>
          </cell>
          <cell r="R153">
            <v>15.1350696832188</v>
          </cell>
          <cell r="S153">
            <v>15.1350696832188</v>
          </cell>
          <cell r="T153">
            <v>15.1350696832188</v>
          </cell>
          <cell r="U153">
            <v>15.1350696832188</v>
          </cell>
        </row>
        <row r="154">
          <cell r="K154">
            <v>2022</v>
          </cell>
          <cell r="L154" t="str">
            <v>CAD</v>
          </cell>
          <cell r="M154" t="str">
            <v>GJ</v>
          </cell>
          <cell r="N154">
            <v>13.628691440184101</v>
          </cell>
          <cell r="O154">
            <v>13.628691440184101</v>
          </cell>
          <cell r="P154">
            <v>13.628691440184101</v>
          </cell>
          <cell r="Q154">
            <v>13.628691440184101</v>
          </cell>
          <cell r="R154">
            <v>13.628691440184101</v>
          </cell>
          <cell r="S154">
            <v>13.628691440184101</v>
          </cell>
          <cell r="T154">
            <v>13.628691440184101</v>
          </cell>
          <cell r="U154">
            <v>13.628691440184101</v>
          </cell>
        </row>
        <row r="155">
          <cell r="K155">
            <v>2022</v>
          </cell>
          <cell r="L155" t="str">
            <v>CAD</v>
          </cell>
          <cell r="M155" t="str">
            <v>GJ</v>
          </cell>
          <cell r="N155">
            <v>12.680608533197899</v>
          </cell>
          <cell r="O155">
            <v>12.680608533197899</v>
          </cell>
          <cell r="P155">
            <v>12.680608533197899</v>
          </cell>
          <cell r="Q155">
            <v>12.680608533197899</v>
          </cell>
          <cell r="R155">
            <v>12.680608533197899</v>
          </cell>
          <cell r="S155">
            <v>12.680608533197899</v>
          </cell>
          <cell r="T155">
            <v>12.680608533197899</v>
          </cell>
          <cell r="U155">
            <v>12.680608533197899</v>
          </cell>
        </row>
        <row r="156">
          <cell r="K156">
            <v>2022</v>
          </cell>
          <cell r="L156" t="str">
            <v>CAD</v>
          </cell>
          <cell r="M156" t="str">
            <v>GJ</v>
          </cell>
          <cell r="N156">
            <v>11.2191030077759</v>
          </cell>
          <cell r="O156">
            <v>11.2191030077759</v>
          </cell>
          <cell r="P156">
            <v>11.2191030077759</v>
          </cell>
          <cell r="Q156">
            <v>11.2191030077759</v>
          </cell>
          <cell r="R156">
            <v>11.2191030077759</v>
          </cell>
          <cell r="S156">
            <v>11.2191030077759</v>
          </cell>
          <cell r="T156">
            <v>11.2191030077759</v>
          </cell>
          <cell r="U156">
            <v>11.2191030077759</v>
          </cell>
        </row>
        <row r="157">
          <cell r="K157">
            <v>2022</v>
          </cell>
          <cell r="L157" t="str">
            <v>CAD</v>
          </cell>
          <cell r="M157" t="str">
            <v>GJ</v>
          </cell>
          <cell r="N157">
            <v>11.2191030077759</v>
          </cell>
          <cell r="O157">
            <v>11.2191030077759</v>
          </cell>
          <cell r="P157">
            <v>11.2191030077759</v>
          </cell>
          <cell r="Q157">
            <v>11.2191030077759</v>
          </cell>
          <cell r="R157">
            <v>11.2191030077759</v>
          </cell>
          <cell r="S157">
            <v>11.2191030077759</v>
          </cell>
          <cell r="T157">
            <v>11.2191030077759</v>
          </cell>
          <cell r="U157">
            <v>11.2191030077759</v>
          </cell>
        </row>
        <row r="158">
          <cell r="K158">
            <v>2022</v>
          </cell>
          <cell r="L158" t="str">
            <v>CAD</v>
          </cell>
          <cell r="M158" t="str">
            <v>GJ</v>
          </cell>
          <cell r="N158">
            <v>11.2191030077759</v>
          </cell>
          <cell r="O158">
            <v>11.2191030077759</v>
          </cell>
          <cell r="P158">
            <v>11.2191030077759</v>
          </cell>
          <cell r="Q158">
            <v>11.2191030077759</v>
          </cell>
          <cell r="R158">
            <v>11.2191030077759</v>
          </cell>
          <cell r="S158">
            <v>11.2191030077759</v>
          </cell>
          <cell r="T158">
            <v>11.2191030077759</v>
          </cell>
          <cell r="U158">
            <v>11.2191030077759</v>
          </cell>
        </row>
        <row r="162">
          <cell r="K162">
            <v>2022</v>
          </cell>
          <cell r="L162" t="str">
            <v>CAD</v>
          </cell>
          <cell r="M162" t="str">
            <v>GJ</v>
          </cell>
          <cell r="N162">
            <v>16.424179680178302</v>
          </cell>
          <cell r="O162">
            <v>16.424179680178302</v>
          </cell>
          <cell r="P162">
            <v>16.424179680178302</v>
          </cell>
          <cell r="Q162">
            <v>16.424179680178302</v>
          </cell>
          <cell r="R162">
            <v>16.424179680178302</v>
          </cell>
          <cell r="S162">
            <v>16.424179680178302</v>
          </cell>
          <cell r="T162">
            <v>16.424179680178302</v>
          </cell>
          <cell r="U162">
            <v>16.424179680178302</v>
          </cell>
        </row>
        <row r="163">
          <cell r="K163">
            <v>2022</v>
          </cell>
          <cell r="L163" t="str">
            <v>CAD</v>
          </cell>
          <cell r="M163" t="str">
            <v>GJ</v>
          </cell>
          <cell r="N163">
            <v>16.159672675180499</v>
          </cell>
          <cell r="O163">
            <v>16.159672675180499</v>
          </cell>
          <cell r="P163">
            <v>16.159672675180499</v>
          </cell>
          <cell r="Q163">
            <v>16.159672675180499</v>
          </cell>
          <cell r="R163">
            <v>16.159672675180499</v>
          </cell>
          <cell r="S163">
            <v>16.159672675180499</v>
          </cell>
          <cell r="T163">
            <v>16.159672675180499</v>
          </cell>
          <cell r="U163">
            <v>16.159672675180499</v>
          </cell>
        </row>
        <row r="164">
          <cell r="K164">
            <v>2022</v>
          </cell>
          <cell r="L164" t="str">
            <v>CAD</v>
          </cell>
          <cell r="M164" t="str">
            <v>GJ</v>
          </cell>
          <cell r="N164">
            <v>16.154108792029501</v>
          </cell>
          <cell r="O164">
            <v>16.154108792029501</v>
          </cell>
          <cell r="P164">
            <v>16.154108792029501</v>
          </cell>
          <cell r="Q164">
            <v>16.154108792029501</v>
          </cell>
          <cell r="R164">
            <v>16.154108792029501</v>
          </cell>
          <cell r="S164">
            <v>16.154108792029501</v>
          </cell>
          <cell r="T164">
            <v>16.154108792029501</v>
          </cell>
          <cell r="U164">
            <v>16.154108792029501</v>
          </cell>
        </row>
        <row r="165">
          <cell r="K165">
            <v>2022</v>
          </cell>
          <cell r="L165" t="str">
            <v>CAD</v>
          </cell>
          <cell r="M165" t="str">
            <v>GJ</v>
          </cell>
          <cell r="N165">
            <v>16.161689582822799</v>
          </cell>
          <cell r="O165">
            <v>16.161689582822799</v>
          </cell>
          <cell r="P165">
            <v>16.161689582822799</v>
          </cell>
          <cell r="Q165">
            <v>16.161689582822799</v>
          </cell>
          <cell r="R165">
            <v>16.161689582822799</v>
          </cell>
          <cell r="S165">
            <v>16.161689582822799</v>
          </cell>
          <cell r="T165">
            <v>16.161689582822799</v>
          </cell>
          <cell r="U165">
            <v>16.161689582822799</v>
          </cell>
        </row>
        <row r="166">
          <cell r="K166">
            <v>2022</v>
          </cell>
          <cell r="L166" t="str">
            <v>CAD</v>
          </cell>
          <cell r="M166" t="str">
            <v>GJ</v>
          </cell>
          <cell r="N166">
            <v>16.154108792029501</v>
          </cell>
          <cell r="O166">
            <v>16.154108792029501</v>
          </cell>
          <cell r="P166">
            <v>16.154108792029501</v>
          </cell>
          <cell r="Q166">
            <v>16.154108792029501</v>
          </cell>
          <cell r="R166">
            <v>16.154108792029501</v>
          </cell>
          <cell r="S166">
            <v>16.154108792029501</v>
          </cell>
          <cell r="T166">
            <v>16.154108792029501</v>
          </cell>
          <cell r="U166">
            <v>16.154108792029501</v>
          </cell>
        </row>
        <row r="167">
          <cell r="K167">
            <v>2022</v>
          </cell>
          <cell r="L167" t="str">
            <v>CAD</v>
          </cell>
          <cell r="M167" t="str">
            <v>GJ</v>
          </cell>
          <cell r="N167">
            <v>16.154108792029501</v>
          </cell>
          <cell r="O167">
            <v>16.154108792029501</v>
          </cell>
          <cell r="P167">
            <v>16.154108792029501</v>
          </cell>
          <cell r="Q167">
            <v>16.154108792029501</v>
          </cell>
          <cell r="R167">
            <v>16.154108792029501</v>
          </cell>
          <cell r="S167">
            <v>16.154108792029501</v>
          </cell>
          <cell r="T167">
            <v>16.154108792029501</v>
          </cell>
          <cell r="U167">
            <v>16.154108792029501</v>
          </cell>
        </row>
        <row r="168">
          <cell r="K168">
            <v>2022</v>
          </cell>
          <cell r="L168" t="str">
            <v>CAD</v>
          </cell>
          <cell r="M168" t="str">
            <v>GJ</v>
          </cell>
          <cell r="N168">
            <v>16.361405168527401</v>
          </cell>
          <cell r="O168">
            <v>16.361405168527401</v>
          </cell>
          <cell r="P168">
            <v>16.361405168527401</v>
          </cell>
          <cell r="Q168">
            <v>16.361405168527401</v>
          </cell>
          <cell r="R168">
            <v>16.361405168527401</v>
          </cell>
          <cell r="S168">
            <v>16.361405168527401</v>
          </cell>
          <cell r="T168">
            <v>16.361405168527401</v>
          </cell>
          <cell r="U168">
            <v>16.361405168527401</v>
          </cell>
        </row>
        <row r="169">
          <cell r="K169">
            <v>2022</v>
          </cell>
          <cell r="L169" t="str">
            <v>CAD</v>
          </cell>
          <cell r="M169" t="str">
            <v>GJ</v>
          </cell>
          <cell r="N169">
            <v>16.154108792029501</v>
          </cell>
          <cell r="O169">
            <v>16.154108792029501</v>
          </cell>
          <cell r="P169">
            <v>16.154108792029501</v>
          </cell>
          <cell r="Q169">
            <v>16.154108792029501</v>
          </cell>
          <cell r="R169">
            <v>16.154108792029501</v>
          </cell>
          <cell r="S169">
            <v>16.154108792029501</v>
          </cell>
          <cell r="T169">
            <v>16.154108792029501</v>
          </cell>
          <cell r="U169">
            <v>16.154108792029501</v>
          </cell>
        </row>
        <row r="170">
          <cell r="K170">
            <v>2022</v>
          </cell>
          <cell r="L170" t="str">
            <v>CAD</v>
          </cell>
          <cell r="M170" t="str">
            <v>GJ</v>
          </cell>
          <cell r="N170">
            <v>16.231571955199101</v>
          </cell>
          <cell r="O170">
            <v>16.231571955199101</v>
          </cell>
          <cell r="P170">
            <v>16.231571955199101</v>
          </cell>
          <cell r="Q170">
            <v>16.231571955199101</v>
          </cell>
          <cell r="R170">
            <v>16.231571955199101</v>
          </cell>
          <cell r="S170">
            <v>16.231571955199101</v>
          </cell>
          <cell r="T170">
            <v>16.231571955199101</v>
          </cell>
          <cell r="U170">
            <v>16.231571955199101</v>
          </cell>
        </row>
        <row r="171">
          <cell r="K171">
            <v>2022</v>
          </cell>
          <cell r="L171" t="str">
            <v>CAD</v>
          </cell>
          <cell r="M171" t="str">
            <v>GJ</v>
          </cell>
          <cell r="N171">
            <v>17.363599621098501</v>
          </cell>
          <cell r="O171">
            <v>17.363599621098501</v>
          </cell>
          <cell r="P171">
            <v>17.363599621098501</v>
          </cell>
          <cell r="Q171">
            <v>17.363599621098501</v>
          </cell>
          <cell r="R171">
            <v>17.363599621098501</v>
          </cell>
          <cell r="S171">
            <v>17.363599621098501</v>
          </cell>
          <cell r="T171">
            <v>17.363599621098501</v>
          </cell>
          <cell r="U171">
            <v>17.363599621098501</v>
          </cell>
        </row>
        <row r="172">
          <cell r="K172">
            <v>2022</v>
          </cell>
          <cell r="L172" t="str">
            <v>CAD</v>
          </cell>
          <cell r="M172" t="str">
            <v>GJ</v>
          </cell>
          <cell r="N172">
            <v>20.248292208681601</v>
          </cell>
          <cell r="O172">
            <v>20.248292208681601</v>
          </cell>
          <cell r="P172">
            <v>20.248292208681601</v>
          </cell>
          <cell r="Q172">
            <v>20.248292208681601</v>
          </cell>
          <cell r="R172">
            <v>20.248292208681601</v>
          </cell>
          <cell r="S172">
            <v>20.248292208681601</v>
          </cell>
          <cell r="T172">
            <v>20.248292208681601</v>
          </cell>
          <cell r="U172">
            <v>20.248292208681601</v>
          </cell>
        </row>
        <row r="173">
          <cell r="K173">
            <v>2022</v>
          </cell>
          <cell r="L173" t="str">
            <v>CAD</v>
          </cell>
          <cell r="M173" t="str">
            <v>GJ</v>
          </cell>
          <cell r="N173">
            <v>18.747532096658599</v>
          </cell>
          <cell r="O173">
            <v>18.747532096658599</v>
          </cell>
          <cell r="P173">
            <v>18.747532096658599</v>
          </cell>
          <cell r="Q173">
            <v>18.747532096658599</v>
          </cell>
          <cell r="R173">
            <v>18.747532096658599</v>
          </cell>
          <cell r="S173">
            <v>18.747532096658599</v>
          </cell>
          <cell r="T173">
            <v>18.747532096658599</v>
          </cell>
          <cell r="U173">
            <v>18.747532096658599</v>
          </cell>
        </row>
        <row r="174">
          <cell r="K174">
            <v>2022</v>
          </cell>
          <cell r="L174" t="str">
            <v>CAD</v>
          </cell>
          <cell r="M174" t="str">
            <v>GJ</v>
          </cell>
          <cell r="N174">
            <v>20.248292208681601</v>
          </cell>
          <cell r="O174">
            <v>20.248292208681601</v>
          </cell>
          <cell r="P174">
            <v>20.248292208681601</v>
          </cell>
          <cell r="Q174">
            <v>20.248292208681601</v>
          </cell>
          <cell r="R174">
            <v>20.248292208681601</v>
          </cell>
          <cell r="S174">
            <v>20.248292208681601</v>
          </cell>
          <cell r="T174">
            <v>20.248292208681601</v>
          </cell>
          <cell r="U174">
            <v>20.248292208681601</v>
          </cell>
        </row>
        <row r="180">
          <cell r="K180">
            <v>2022</v>
          </cell>
          <cell r="L180" t="str">
            <v>CAD</v>
          </cell>
          <cell r="M180" t="str">
            <v>GJ</v>
          </cell>
          <cell r="N180">
            <v>40.028856580275701</v>
          </cell>
          <cell r="O180">
            <v>40.028856580275701</v>
          </cell>
          <cell r="P180">
            <v>40.028856580275701</v>
          </cell>
          <cell r="Q180">
            <v>40.028856580275701</v>
          </cell>
          <cell r="R180">
            <v>40.028856580275701</v>
          </cell>
          <cell r="S180">
            <v>40.028856580275701</v>
          </cell>
          <cell r="T180">
            <v>40.028856580275701</v>
          </cell>
          <cell r="U180">
            <v>40.028856580275701</v>
          </cell>
        </row>
        <row r="181">
          <cell r="K181">
            <v>2022</v>
          </cell>
          <cell r="L181" t="str">
            <v>CAD</v>
          </cell>
          <cell r="M181" t="str">
            <v>GJ</v>
          </cell>
          <cell r="N181">
            <v>35.379286347492297</v>
          </cell>
          <cell r="O181">
            <v>35.379286347492297</v>
          </cell>
          <cell r="P181">
            <v>35.379286347492297</v>
          </cell>
          <cell r="Q181">
            <v>35.379286347492297</v>
          </cell>
          <cell r="R181">
            <v>35.379286347492297</v>
          </cell>
          <cell r="S181">
            <v>35.379286347492297</v>
          </cell>
          <cell r="T181">
            <v>35.379286347492297</v>
          </cell>
          <cell r="U181">
            <v>35.379286347492297</v>
          </cell>
        </row>
        <row r="182">
          <cell r="K182">
            <v>2022</v>
          </cell>
          <cell r="L182" t="str">
            <v>CAD</v>
          </cell>
          <cell r="M182" t="str">
            <v>GJ</v>
          </cell>
          <cell r="N182">
            <v>41.226092956704598</v>
          </cell>
          <cell r="O182">
            <v>41.226092956704598</v>
          </cell>
          <cell r="P182">
            <v>41.226092956704598</v>
          </cell>
          <cell r="Q182">
            <v>41.226092956704598</v>
          </cell>
          <cell r="R182">
            <v>41.226092956704598</v>
          </cell>
          <cell r="S182">
            <v>41.226092956704598</v>
          </cell>
          <cell r="T182">
            <v>41.226092956704598</v>
          </cell>
          <cell r="U182">
            <v>41.226092956704598</v>
          </cell>
        </row>
        <row r="183">
          <cell r="K183">
            <v>2022</v>
          </cell>
          <cell r="L183" t="str">
            <v>CAD</v>
          </cell>
          <cell r="M183" t="str">
            <v>GJ</v>
          </cell>
          <cell r="N183">
            <v>39.637952059795403</v>
          </cell>
          <cell r="O183">
            <v>39.637952059795403</v>
          </cell>
          <cell r="P183">
            <v>39.637952059795403</v>
          </cell>
          <cell r="Q183">
            <v>39.637952059795403</v>
          </cell>
          <cell r="R183">
            <v>39.637952059795403</v>
          </cell>
          <cell r="S183">
            <v>39.637952059795403</v>
          </cell>
          <cell r="T183">
            <v>39.637952059795403</v>
          </cell>
          <cell r="U183">
            <v>39.637952059795403</v>
          </cell>
        </row>
        <row r="184">
          <cell r="K184">
            <v>2022</v>
          </cell>
          <cell r="L184" t="str">
            <v>CAD</v>
          </cell>
          <cell r="M184" t="str">
            <v>GJ</v>
          </cell>
          <cell r="N184">
            <v>37.398822924513098</v>
          </cell>
          <cell r="O184">
            <v>37.398822924513098</v>
          </cell>
          <cell r="P184">
            <v>37.398822924513098</v>
          </cell>
          <cell r="Q184">
            <v>37.398822924513098</v>
          </cell>
          <cell r="R184">
            <v>37.398822924513098</v>
          </cell>
          <cell r="S184">
            <v>37.398822924513098</v>
          </cell>
          <cell r="T184">
            <v>37.398822924513098</v>
          </cell>
          <cell r="U184">
            <v>37.398822924513098</v>
          </cell>
        </row>
        <row r="185">
          <cell r="K185">
            <v>2022</v>
          </cell>
          <cell r="L185" t="str">
            <v>CAD</v>
          </cell>
          <cell r="M185" t="str">
            <v>GJ</v>
          </cell>
          <cell r="N185">
            <v>40.209585414727599</v>
          </cell>
          <cell r="O185">
            <v>40.209585414727599</v>
          </cell>
          <cell r="P185">
            <v>40.209585414727599</v>
          </cell>
          <cell r="Q185">
            <v>40.209585414727599</v>
          </cell>
          <cell r="R185">
            <v>40.209585414727599</v>
          </cell>
          <cell r="S185">
            <v>40.209585414727599</v>
          </cell>
          <cell r="T185">
            <v>40.209585414727599</v>
          </cell>
          <cell r="U185">
            <v>40.209585414727599</v>
          </cell>
        </row>
        <row r="186">
          <cell r="K186">
            <v>2022</v>
          </cell>
          <cell r="L186" t="str">
            <v>CAD</v>
          </cell>
          <cell r="M186" t="str">
            <v>GJ</v>
          </cell>
          <cell r="N186">
            <v>40.8063536117943</v>
          </cell>
          <cell r="O186">
            <v>40.8063536117943</v>
          </cell>
          <cell r="P186">
            <v>40.8063536117943</v>
          </cell>
          <cell r="Q186">
            <v>40.8063536117943</v>
          </cell>
          <cell r="R186">
            <v>40.8063536117943</v>
          </cell>
          <cell r="S186">
            <v>40.8063536117943</v>
          </cell>
          <cell r="T186">
            <v>40.8063536117943</v>
          </cell>
          <cell r="U186">
            <v>40.8063536117943</v>
          </cell>
        </row>
        <row r="187">
          <cell r="K187">
            <v>2022</v>
          </cell>
          <cell r="L187" t="str">
            <v>CAD</v>
          </cell>
          <cell r="M187" t="str">
            <v>GJ</v>
          </cell>
          <cell r="N187">
            <v>40.9167966923414</v>
          </cell>
          <cell r="O187">
            <v>40.9167966923414</v>
          </cell>
          <cell r="P187">
            <v>40.9167966923414</v>
          </cell>
          <cell r="Q187">
            <v>40.9167966923414</v>
          </cell>
          <cell r="R187">
            <v>40.9167966923414</v>
          </cell>
          <cell r="S187">
            <v>40.9167966923414</v>
          </cell>
          <cell r="T187">
            <v>40.9167966923414</v>
          </cell>
          <cell r="U187">
            <v>40.9167966923414</v>
          </cell>
        </row>
        <row r="188">
          <cell r="K188">
            <v>2022</v>
          </cell>
          <cell r="L188" t="str">
            <v>CAD</v>
          </cell>
          <cell r="M188" t="str">
            <v>GJ</v>
          </cell>
          <cell r="N188">
            <v>40.205231676161901</v>
          </cell>
          <cell r="O188">
            <v>40.205231676161901</v>
          </cell>
          <cell r="P188">
            <v>40.205231676161901</v>
          </cell>
          <cell r="Q188">
            <v>40.205231676161901</v>
          </cell>
          <cell r="R188">
            <v>40.205231676161901</v>
          </cell>
          <cell r="S188">
            <v>40.205231676161901</v>
          </cell>
          <cell r="T188">
            <v>40.205231676161901</v>
          </cell>
          <cell r="U188">
            <v>40.205231676161901</v>
          </cell>
        </row>
        <row r="189">
          <cell r="K189">
            <v>2022</v>
          </cell>
          <cell r="L189" t="str">
            <v>CAD</v>
          </cell>
          <cell r="M189" t="str">
            <v>GJ</v>
          </cell>
          <cell r="N189">
            <v>42.617369758024097</v>
          </cell>
          <cell r="O189">
            <v>42.617369758024097</v>
          </cell>
          <cell r="P189">
            <v>42.617369758024097</v>
          </cell>
          <cell r="Q189">
            <v>42.617369758024097</v>
          </cell>
          <cell r="R189">
            <v>42.617369758024097</v>
          </cell>
          <cell r="S189">
            <v>42.617369758024097</v>
          </cell>
          <cell r="T189">
            <v>42.617369758024097</v>
          </cell>
          <cell r="U189">
            <v>42.617369758024097</v>
          </cell>
        </row>
        <row r="190">
          <cell r="K190">
            <v>2022</v>
          </cell>
          <cell r="L190" t="str">
            <v>CAD</v>
          </cell>
          <cell r="M190" t="str">
            <v>GJ</v>
          </cell>
          <cell r="N190">
            <v>43.710491970990198</v>
          </cell>
          <cell r="O190">
            <v>43.710491970990198</v>
          </cell>
          <cell r="P190">
            <v>43.710491970990198</v>
          </cell>
          <cell r="Q190">
            <v>43.710491970990198</v>
          </cell>
          <cell r="R190">
            <v>43.710491970990198</v>
          </cell>
          <cell r="S190">
            <v>43.710491970990198</v>
          </cell>
          <cell r="T190">
            <v>43.710491970990198</v>
          </cell>
          <cell r="U190">
            <v>43.710491970990198</v>
          </cell>
        </row>
        <row r="191">
          <cell r="K191">
            <v>2022</v>
          </cell>
          <cell r="L191" t="str">
            <v>CAD</v>
          </cell>
          <cell r="M191" t="str">
            <v>GJ</v>
          </cell>
          <cell r="N191">
            <v>43.840408642565599</v>
          </cell>
          <cell r="O191">
            <v>43.840408642565599</v>
          </cell>
          <cell r="P191">
            <v>43.840408642565599</v>
          </cell>
          <cell r="Q191">
            <v>43.840408642565599</v>
          </cell>
          <cell r="R191">
            <v>43.840408642565599</v>
          </cell>
          <cell r="S191">
            <v>43.840408642565599</v>
          </cell>
          <cell r="T191">
            <v>43.840408642565599</v>
          </cell>
          <cell r="U191">
            <v>43.840408642565599</v>
          </cell>
        </row>
        <row r="192">
          <cell r="K192">
            <v>2022</v>
          </cell>
          <cell r="L192" t="str">
            <v>CAD</v>
          </cell>
          <cell r="M192" t="str">
            <v>GJ</v>
          </cell>
          <cell r="N192">
            <v>43.799055081045999</v>
          </cell>
          <cell r="O192">
            <v>43.799055081045999</v>
          </cell>
          <cell r="P192">
            <v>43.799055081045999</v>
          </cell>
          <cell r="Q192">
            <v>43.799055081045999</v>
          </cell>
          <cell r="R192">
            <v>43.799055081045999</v>
          </cell>
          <cell r="S192">
            <v>43.799055081045999</v>
          </cell>
          <cell r="T192">
            <v>43.799055081045999</v>
          </cell>
          <cell r="U192">
            <v>43.799055081045999</v>
          </cell>
        </row>
        <row r="196">
          <cell r="K196">
            <v>2022</v>
          </cell>
          <cell r="L196" t="str">
            <v>CAD</v>
          </cell>
          <cell r="M196" t="str">
            <v>GJ</v>
          </cell>
          <cell r="N196">
            <v>38.1299032608446</v>
          </cell>
          <cell r="O196">
            <v>38.1299032608446</v>
          </cell>
          <cell r="P196">
            <v>38.1299032608446</v>
          </cell>
          <cell r="Q196">
            <v>38.1299032608446</v>
          </cell>
          <cell r="R196">
            <v>38.1299032608446</v>
          </cell>
          <cell r="S196">
            <v>38.1299032608446</v>
          </cell>
          <cell r="T196">
            <v>38.1299032608446</v>
          </cell>
          <cell r="U196">
            <v>38.1299032608446</v>
          </cell>
        </row>
        <row r="197">
          <cell r="K197">
            <v>2022</v>
          </cell>
          <cell r="L197" t="str">
            <v>CAD</v>
          </cell>
          <cell r="M197" t="str">
            <v>GJ</v>
          </cell>
          <cell r="N197">
            <v>32.977594456246202</v>
          </cell>
          <cell r="O197">
            <v>32.977594456246202</v>
          </cell>
          <cell r="P197">
            <v>32.977594456246202</v>
          </cell>
          <cell r="Q197">
            <v>32.977594456246202</v>
          </cell>
          <cell r="R197">
            <v>32.977594456246202</v>
          </cell>
          <cell r="S197">
            <v>32.977594456246202</v>
          </cell>
          <cell r="T197">
            <v>32.977594456246202</v>
          </cell>
          <cell r="U197">
            <v>32.977594456246202</v>
          </cell>
        </row>
        <row r="198">
          <cell r="K198">
            <v>2022</v>
          </cell>
          <cell r="L198" t="str">
            <v>CAD</v>
          </cell>
          <cell r="M198" t="str">
            <v>GJ</v>
          </cell>
          <cell r="N198">
            <v>38.086991812042697</v>
          </cell>
          <cell r="O198">
            <v>38.086991812042697</v>
          </cell>
          <cell r="P198">
            <v>38.086991812042697</v>
          </cell>
          <cell r="Q198">
            <v>38.086991812042697</v>
          </cell>
          <cell r="R198">
            <v>38.086991812042697</v>
          </cell>
          <cell r="S198">
            <v>38.086991812042697</v>
          </cell>
          <cell r="T198">
            <v>38.086991812042697</v>
          </cell>
          <cell r="U198">
            <v>38.086991812042697</v>
          </cell>
        </row>
        <row r="199">
          <cell r="K199">
            <v>2022</v>
          </cell>
          <cell r="L199" t="str">
            <v>CAD</v>
          </cell>
          <cell r="M199" t="str">
            <v>GJ</v>
          </cell>
          <cell r="N199">
            <v>36.932694703831501</v>
          </cell>
          <cell r="O199">
            <v>36.932694703831501</v>
          </cell>
          <cell r="P199">
            <v>36.932694703831501</v>
          </cell>
          <cell r="Q199">
            <v>36.932694703831501</v>
          </cell>
          <cell r="R199">
            <v>36.932694703831501</v>
          </cell>
          <cell r="S199">
            <v>36.932694703831501</v>
          </cell>
          <cell r="T199">
            <v>36.932694703831501</v>
          </cell>
          <cell r="U199">
            <v>36.932694703831501</v>
          </cell>
        </row>
        <row r="200">
          <cell r="K200">
            <v>2022</v>
          </cell>
          <cell r="L200" t="str">
            <v>CAD</v>
          </cell>
          <cell r="M200" t="str">
            <v>GJ</v>
          </cell>
          <cell r="N200">
            <v>34.484558297982502</v>
          </cell>
          <cell r="O200">
            <v>34.484558297982502</v>
          </cell>
          <cell r="P200">
            <v>34.484558297982502</v>
          </cell>
          <cell r="Q200">
            <v>34.484558297982502</v>
          </cell>
          <cell r="R200">
            <v>34.484558297982502</v>
          </cell>
          <cell r="S200">
            <v>34.484558297982502</v>
          </cell>
          <cell r="T200">
            <v>34.484558297982502</v>
          </cell>
          <cell r="U200">
            <v>34.484558297982502</v>
          </cell>
        </row>
        <row r="201">
          <cell r="K201">
            <v>2022</v>
          </cell>
          <cell r="L201" t="str">
            <v>CAD</v>
          </cell>
          <cell r="M201" t="str">
            <v>GJ</v>
          </cell>
          <cell r="N201">
            <v>38.819769132735203</v>
          </cell>
          <cell r="O201">
            <v>38.819769132735203</v>
          </cell>
          <cell r="P201">
            <v>38.819769132735203</v>
          </cell>
          <cell r="Q201">
            <v>38.819769132735203</v>
          </cell>
          <cell r="R201">
            <v>38.819769132735203</v>
          </cell>
          <cell r="S201">
            <v>38.819769132735203</v>
          </cell>
          <cell r="T201">
            <v>38.819769132735203</v>
          </cell>
          <cell r="U201">
            <v>38.819769132735203</v>
          </cell>
        </row>
        <row r="202">
          <cell r="K202">
            <v>2022</v>
          </cell>
          <cell r="L202" t="str">
            <v>CAD</v>
          </cell>
          <cell r="M202" t="str">
            <v>GJ</v>
          </cell>
          <cell r="N202">
            <v>39.543101761778999</v>
          </cell>
          <cell r="O202">
            <v>39.543101761778999</v>
          </cell>
          <cell r="P202">
            <v>39.543101761778999</v>
          </cell>
          <cell r="Q202">
            <v>39.543101761778999</v>
          </cell>
          <cell r="R202">
            <v>39.543101761778999</v>
          </cell>
          <cell r="S202">
            <v>39.543101761778999</v>
          </cell>
          <cell r="T202">
            <v>39.543101761778999</v>
          </cell>
          <cell r="U202">
            <v>39.543101761778999</v>
          </cell>
        </row>
        <row r="203">
          <cell r="K203">
            <v>2022</v>
          </cell>
          <cell r="L203" t="str">
            <v>CAD</v>
          </cell>
          <cell r="M203" t="str">
            <v>GJ</v>
          </cell>
          <cell r="N203">
            <v>37.907417483344702</v>
          </cell>
          <cell r="O203">
            <v>37.907417483344702</v>
          </cell>
          <cell r="P203">
            <v>37.907417483344702</v>
          </cell>
          <cell r="Q203">
            <v>37.907417483344702</v>
          </cell>
          <cell r="R203">
            <v>37.907417483344702</v>
          </cell>
          <cell r="S203">
            <v>37.907417483344702</v>
          </cell>
          <cell r="T203">
            <v>37.907417483344702</v>
          </cell>
          <cell r="U203">
            <v>37.907417483344702</v>
          </cell>
        </row>
        <row r="204">
          <cell r="K204">
            <v>2022</v>
          </cell>
          <cell r="L204" t="str">
            <v>CAD</v>
          </cell>
          <cell r="M204" t="str">
            <v>GJ</v>
          </cell>
          <cell r="N204">
            <v>38.077658398056897</v>
          </cell>
          <cell r="O204">
            <v>38.077658398056897</v>
          </cell>
          <cell r="P204">
            <v>38.077658398056897</v>
          </cell>
          <cell r="Q204">
            <v>38.077658398056897</v>
          </cell>
          <cell r="R204">
            <v>38.077658398056897</v>
          </cell>
          <cell r="S204">
            <v>38.077658398056897</v>
          </cell>
          <cell r="T204">
            <v>38.077658398056897</v>
          </cell>
          <cell r="U204">
            <v>38.077658398056897</v>
          </cell>
        </row>
        <row r="205">
          <cell r="K205">
            <v>2022</v>
          </cell>
          <cell r="L205" t="str">
            <v>CAD</v>
          </cell>
          <cell r="M205" t="str">
            <v>GJ</v>
          </cell>
          <cell r="N205">
            <v>41.048618993896099</v>
          </cell>
          <cell r="O205">
            <v>41.048618993896099</v>
          </cell>
          <cell r="P205">
            <v>41.048618993896099</v>
          </cell>
          <cell r="Q205">
            <v>41.048618993896099</v>
          </cell>
          <cell r="R205">
            <v>41.048618993896099</v>
          </cell>
          <cell r="S205">
            <v>41.048618993896099</v>
          </cell>
          <cell r="T205">
            <v>41.048618993896099</v>
          </cell>
          <cell r="U205">
            <v>41.048618993896099</v>
          </cell>
        </row>
        <row r="206">
          <cell r="K206">
            <v>2022</v>
          </cell>
          <cell r="L206" t="str">
            <v>CAD</v>
          </cell>
          <cell r="M206" t="str">
            <v>GJ</v>
          </cell>
          <cell r="N206">
            <v>38.738133057202397</v>
          </cell>
          <cell r="O206">
            <v>38.738133057202397</v>
          </cell>
          <cell r="P206">
            <v>38.738133057202397</v>
          </cell>
          <cell r="Q206">
            <v>38.738133057202397</v>
          </cell>
          <cell r="R206">
            <v>38.738133057202397</v>
          </cell>
          <cell r="S206">
            <v>38.738133057202397</v>
          </cell>
          <cell r="T206">
            <v>38.738133057202397</v>
          </cell>
          <cell r="U206">
            <v>38.738133057202397</v>
          </cell>
        </row>
        <row r="207">
          <cell r="K207">
            <v>2022</v>
          </cell>
          <cell r="L207" t="str">
            <v>CAD</v>
          </cell>
          <cell r="M207" t="str">
            <v>GJ</v>
          </cell>
          <cell r="N207">
            <v>37.252743172384001</v>
          </cell>
          <cell r="O207">
            <v>37.252743172384001</v>
          </cell>
          <cell r="P207">
            <v>37.252743172384001</v>
          </cell>
          <cell r="Q207">
            <v>37.252743172384001</v>
          </cell>
          <cell r="R207">
            <v>37.252743172384001</v>
          </cell>
          <cell r="S207">
            <v>37.252743172384001</v>
          </cell>
          <cell r="T207">
            <v>37.252743172384001</v>
          </cell>
          <cell r="U207">
            <v>37.252743172384001</v>
          </cell>
        </row>
        <row r="208">
          <cell r="K208">
            <v>2022</v>
          </cell>
          <cell r="L208" t="str">
            <v>CAD</v>
          </cell>
          <cell r="M208" t="str">
            <v>GJ</v>
          </cell>
          <cell r="N208">
            <v>39.702562652886201</v>
          </cell>
          <cell r="O208">
            <v>39.702562652886201</v>
          </cell>
          <cell r="P208">
            <v>39.702562652886201</v>
          </cell>
          <cell r="Q208">
            <v>39.702562652886201</v>
          </cell>
          <cell r="R208">
            <v>39.702562652886201</v>
          </cell>
          <cell r="S208">
            <v>39.702562652886201</v>
          </cell>
          <cell r="T208">
            <v>39.702562652886201</v>
          </cell>
          <cell r="U208">
            <v>39.702562652886201</v>
          </cell>
        </row>
        <row r="795">
          <cell r="E795" t="str">
            <v>Black Liquor</v>
          </cell>
        </row>
        <row r="796">
          <cell r="E796" t="str">
            <v>Coal</v>
          </cell>
        </row>
        <row r="797">
          <cell r="E797" t="str">
            <v>Coke</v>
          </cell>
        </row>
        <row r="798">
          <cell r="E798" t="str">
            <v>Hydrogen</v>
          </cell>
        </row>
        <row r="799">
          <cell r="E799" t="str">
            <v>Jet Fuel</v>
          </cell>
        </row>
        <row r="800">
          <cell r="E800" t="str">
            <v>LPG</v>
          </cell>
        </row>
        <row r="801">
          <cell r="E801" t="str">
            <v>Petroleum Coke</v>
          </cell>
        </row>
        <row r="802">
          <cell r="E802" t="str">
            <v>Propane</v>
          </cell>
        </row>
        <row r="803">
          <cell r="E803" t="str">
            <v>Refinery Fuel Gas</v>
          </cell>
        </row>
        <row r="804">
          <cell r="E804" t="str">
            <v>Solid Biomass</v>
          </cell>
        </row>
        <row r="805">
          <cell r="E805" t="str">
            <v>Uranium</v>
          </cell>
        </row>
        <row r="806">
          <cell r="E806" t="str">
            <v>Waste Fuel</v>
          </cell>
        </row>
      </sheetData>
      <sheetData sheetId="7">
        <row r="42">
          <cell r="M42" t="str">
            <v>USD -&gt; CAD</v>
          </cell>
          <cell r="N42">
            <v>1.35</v>
          </cell>
          <cell r="P42">
            <v>3.88</v>
          </cell>
        </row>
        <row r="43">
          <cell r="M43" t="str">
            <v>Gallon -&gt; L</v>
          </cell>
          <cell r="N43">
            <v>0.26420079260237778</v>
          </cell>
          <cell r="P43">
            <v>39.539535761464428</v>
          </cell>
        </row>
        <row r="44">
          <cell r="M44" t="str">
            <v>L -&gt; GJ</v>
          </cell>
          <cell r="N44">
            <v>28.571428571428573</v>
          </cell>
        </row>
        <row r="46">
          <cell r="U46" t="str">
            <v>CIMS Prod cost</v>
          </cell>
        </row>
        <row r="47">
          <cell r="N47" t="str">
            <v>Gasoline</v>
          </cell>
          <cell r="O47" t="str">
            <v>Diesel</v>
          </cell>
          <cell r="P47" t="str">
            <v>CNG</v>
          </cell>
          <cell r="Q47" t="str">
            <v>Propane</v>
          </cell>
          <cell r="R47" t="str">
            <v>E85</v>
          </cell>
          <cell r="S47" t="str">
            <v>B100</v>
          </cell>
          <cell r="U47" t="str">
            <v>Gasoline</v>
          </cell>
        </row>
        <row r="48">
          <cell r="M48">
            <v>2000</v>
          </cell>
          <cell r="N48">
            <v>15.28845065106624</v>
          </cell>
          <cell r="O48">
            <v>13.524913423664254</v>
          </cell>
          <cell r="P48">
            <v>11.209662200415176</v>
          </cell>
          <cell r="Q48">
            <v>17.120211360634084</v>
          </cell>
          <cell r="R48">
            <v>18.215701075674659</v>
          </cell>
          <cell r="S48">
            <v>33.871171322160656</v>
          </cell>
        </row>
        <row r="49">
          <cell r="M49">
            <v>2005</v>
          </cell>
          <cell r="N49">
            <v>22.740522516954311</v>
          </cell>
          <cell r="O49">
            <v>21.505639395845705</v>
          </cell>
          <cell r="P49">
            <v>17.462183902696065</v>
          </cell>
          <cell r="Q49">
            <v>28.546590183162298</v>
          </cell>
          <cell r="R49">
            <v>26.253759143028354</v>
          </cell>
          <cell r="S49">
            <v>33.871171322160656</v>
          </cell>
        </row>
        <row r="50">
          <cell r="M50">
            <v>2010</v>
          </cell>
          <cell r="N50">
            <v>28.745989809398004</v>
          </cell>
          <cell r="O50">
            <v>28.321381392715612</v>
          </cell>
          <cell r="P50">
            <v>19.19230043404416</v>
          </cell>
          <cell r="Q50">
            <v>40.473674278165689</v>
          </cell>
          <cell r="R50">
            <v>36.040762408001513</v>
          </cell>
          <cell r="S50">
            <v>37.212681638044913</v>
          </cell>
        </row>
        <row r="51">
          <cell r="M51">
            <v>2015</v>
          </cell>
          <cell r="N51">
            <v>27.548594074353652</v>
          </cell>
          <cell r="O51">
            <v>27.557086242687291</v>
          </cell>
          <cell r="P51">
            <v>21.400264200792602</v>
          </cell>
          <cell r="Q51">
            <v>41.204000754859401</v>
          </cell>
          <cell r="R51">
            <v>33.501604076240795</v>
          </cell>
          <cell r="S51">
            <v>36.669182864691443</v>
          </cell>
        </row>
        <row r="52">
          <cell r="M52">
            <v>2020</v>
          </cell>
          <cell r="N52">
            <v>33.181024721645599</v>
          </cell>
          <cell r="O52">
            <v>34.586478580864309</v>
          </cell>
          <cell r="P52">
            <v>25.138941309681073</v>
          </cell>
          <cell r="Q52">
            <v>45.148612945838835</v>
          </cell>
          <cell r="R52">
            <v>37.756180411398375</v>
          </cell>
          <cell r="S52">
            <v>42.938526137006974</v>
          </cell>
        </row>
        <row r="53">
          <cell r="M53">
            <v>2023</v>
          </cell>
          <cell r="N53">
            <v>38.813455368937539</v>
          </cell>
          <cell r="O53">
            <v>41.615870919041335</v>
          </cell>
          <cell r="P53">
            <v>28.877618418569547</v>
          </cell>
          <cell r="Q53">
            <v>49.093225136818269</v>
          </cell>
          <cell r="R53">
            <v>42.010756746555948</v>
          </cell>
          <cell r="S53">
            <v>49.207869409322505</v>
          </cell>
        </row>
        <row r="55">
          <cell r="M55">
            <v>2000</v>
          </cell>
          <cell r="N55" t="str">
            <v>CER</v>
          </cell>
          <cell r="O55" t="str">
            <v>CER</v>
          </cell>
          <cell r="P55">
            <v>0.93478918687277646</v>
          </cell>
          <cell r="Q55">
            <v>1</v>
          </cell>
          <cell r="R55">
            <v>1</v>
          </cell>
          <cell r="S55">
            <v>1</v>
          </cell>
          <cell r="U55">
            <v>34.935162957516454</v>
          </cell>
        </row>
        <row r="56">
          <cell r="M56">
            <v>2005</v>
          </cell>
          <cell r="N56" t="str">
            <v>CER</v>
          </cell>
          <cell r="O56" t="str">
            <v>CER</v>
          </cell>
          <cell r="P56">
            <v>1.4561955926575167</v>
          </cell>
          <cell r="Q56">
            <v>1</v>
          </cell>
          <cell r="R56">
            <v>1</v>
          </cell>
          <cell r="S56">
            <v>1</v>
          </cell>
          <cell r="U56">
            <v>35.28730912083784</v>
          </cell>
        </row>
        <row r="57">
          <cell r="M57">
            <v>2010</v>
          </cell>
          <cell r="N57" t="str">
            <v>CER</v>
          </cell>
          <cell r="O57" t="str">
            <v>CER</v>
          </cell>
          <cell r="P57">
            <v>3.7342245219274619</v>
          </cell>
          <cell r="Q57">
            <v>1</v>
          </cell>
          <cell r="R57">
            <v>1</v>
          </cell>
          <cell r="S57">
            <v>1</v>
          </cell>
          <cell r="U57">
            <v>37.36272450709253</v>
          </cell>
        </row>
        <row r="58">
          <cell r="M58">
            <v>2015</v>
          </cell>
          <cell r="N58" t="str">
            <v>CER</v>
          </cell>
          <cell r="O58" t="str">
            <v>CER</v>
          </cell>
          <cell r="P58">
            <v>7.3894892187748518</v>
          </cell>
          <cell r="Q58">
            <v>1</v>
          </cell>
          <cell r="R58">
            <v>1</v>
          </cell>
          <cell r="S58">
            <v>1</v>
          </cell>
          <cell r="U58">
            <v>36.038285527617056</v>
          </cell>
        </row>
        <row r="59">
          <cell r="M59">
            <v>2020</v>
          </cell>
          <cell r="N59" t="str">
            <v>CER</v>
          </cell>
          <cell r="O59" t="str">
            <v>CER</v>
          </cell>
          <cell r="P59">
            <v>7.1186454440220404</v>
          </cell>
          <cell r="Q59">
            <v>1</v>
          </cell>
          <cell r="R59">
            <v>1</v>
          </cell>
          <cell r="S59">
            <v>1</v>
          </cell>
          <cell r="U59">
            <v>35.948089924721742</v>
          </cell>
        </row>
        <row r="60">
          <cell r="M60">
            <v>2025</v>
          </cell>
          <cell r="N60" t="str">
            <v>CER</v>
          </cell>
          <cell r="O60" t="str">
            <v>CER</v>
          </cell>
          <cell r="P60">
            <v>9.5786484905872715</v>
          </cell>
          <cell r="Q60">
            <v>1</v>
          </cell>
          <cell r="R60">
            <v>1</v>
          </cell>
          <cell r="S60">
            <v>1</v>
          </cell>
          <cell r="U60">
            <v>37.696392147969974</v>
          </cell>
        </row>
        <row r="61">
          <cell r="M61">
            <v>2030</v>
          </cell>
          <cell r="N61" t="str">
            <v>CER</v>
          </cell>
          <cell r="O61" t="str">
            <v>CER</v>
          </cell>
          <cell r="P61">
            <v>9.5786484905872715</v>
          </cell>
          <cell r="Q61">
            <v>1</v>
          </cell>
          <cell r="R61">
            <v>1</v>
          </cell>
          <cell r="S61">
            <v>1</v>
          </cell>
          <cell r="U61">
            <v>37.568688525900612</v>
          </cell>
        </row>
        <row r="62">
          <cell r="M62">
            <v>2035</v>
          </cell>
          <cell r="N62" t="str">
            <v>CER</v>
          </cell>
          <cell r="O62" t="str">
            <v>CER</v>
          </cell>
          <cell r="P62">
            <v>9.5786484905872715</v>
          </cell>
          <cell r="Q62">
            <v>1</v>
          </cell>
          <cell r="R62">
            <v>1</v>
          </cell>
          <cell r="S62">
            <v>1</v>
          </cell>
          <cell r="U62">
            <v>39.649225798846864</v>
          </cell>
        </row>
        <row r="63">
          <cell r="M63">
            <v>2040</v>
          </cell>
          <cell r="N63" t="str">
            <v>CER</v>
          </cell>
          <cell r="O63" t="str">
            <v>CER</v>
          </cell>
          <cell r="P63">
            <v>9.5786484905872715</v>
          </cell>
          <cell r="Q63">
            <v>1</v>
          </cell>
          <cell r="R63">
            <v>1</v>
          </cell>
          <cell r="S63">
            <v>1</v>
          </cell>
          <cell r="U63">
            <v>43.858133902904299</v>
          </cell>
        </row>
        <row r="64">
          <cell r="M64">
            <v>2045</v>
          </cell>
          <cell r="N64" t="str">
            <v>CER</v>
          </cell>
          <cell r="O64" t="str">
            <v>CER</v>
          </cell>
          <cell r="P64">
            <v>9.5786484905872715</v>
          </cell>
          <cell r="Q64">
            <v>1</v>
          </cell>
          <cell r="R64">
            <v>1</v>
          </cell>
          <cell r="S64">
            <v>1</v>
          </cell>
          <cell r="U64">
            <v>48.534474710615157</v>
          </cell>
        </row>
        <row r="65">
          <cell r="M65">
            <v>2050</v>
          </cell>
          <cell r="N65" t="str">
            <v>CER</v>
          </cell>
          <cell r="O65" t="str">
            <v>CER</v>
          </cell>
          <cell r="P65">
            <v>9.5786484905872715</v>
          </cell>
          <cell r="Q65">
            <v>1</v>
          </cell>
          <cell r="R65">
            <v>1</v>
          </cell>
          <cell r="S65">
            <v>1</v>
          </cell>
          <cell r="U65">
            <v>50.893596744679691</v>
          </cell>
        </row>
        <row r="68">
          <cell r="R68" t="str">
            <v>Assume ethanol and biodiesel production costs approximately equal retail prices (i.e., price multiplier = 1) based on average net profit roughly equal to zero</v>
          </cell>
        </row>
        <row r="69">
          <cell r="R69" t="str">
            <v>Ethanol</v>
          </cell>
          <cell r="S69" t="str">
            <v>https://farmdocdaily.illinois.edu/2022/02/ethanol-production-profits-in-2021-what-a-ride.html</v>
          </cell>
        </row>
        <row r="70">
          <cell r="R70" t="str">
            <v>Biodiesel</v>
          </cell>
          <cell r="S70" t="str">
            <v>https://farmdocdaily.illinois.edu/2024/03/biodiesel-prices-and-profits-again.html</v>
          </cell>
        </row>
      </sheetData>
      <sheetData sheetId="8"/>
      <sheetData sheetId="9">
        <row r="1"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  <cell r="S1">
            <v>2012</v>
          </cell>
          <cell r="T1">
            <v>2013</v>
          </cell>
          <cell r="U1">
            <v>2014</v>
          </cell>
          <cell r="V1">
            <v>2015</v>
          </cell>
          <cell r="W1">
            <v>2016</v>
          </cell>
          <cell r="X1">
            <v>2017</v>
          </cell>
          <cell r="Y1">
            <v>2018</v>
          </cell>
          <cell r="Z1">
            <v>2019</v>
          </cell>
          <cell r="AA1">
            <v>2020</v>
          </cell>
          <cell r="AB1">
            <v>2021</v>
          </cell>
          <cell r="AC1">
            <v>2022</v>
          </cell>
          <cell r="AD1">
            <v>2023</v>
          </cell>
          <cell r="AE1">
            <v>2024</v>
          </cell>
          <cell r="AF1">
            <v>2025</v>
          </cell>
          <cell r="AG1">
            <v>2026</v>
          </cell>
          <cell r="AH1">
            <v>2027</v>
          </cell>
          <cell r="AI1">
            <v>2028</v>
          </cell>
          <cell r="AJ1">
            <v>2029</v>
          </cell>
          <cell r="AK1">
            <v>2030</v>
          </cell>
          <cell r="AL1">
            <v>2031</v>
          </cell>
          <cell r="AM1">
            <v>2032</v>
          </cell>
          <cell r="AN1">
            <v>2033</v>
          </cell>
          <cell r="AO1">
            <v>2034</v>
          </cell>
          <cell r="AP1">
            <v>2035</v>
          </cell>
          <cell r="AQ1">
            <v>2036</v>
          </cell>
          <cell r="AR1">
            <v>2037</v>
          </cell>
          <cell r="AS1">
            <v>2038</v>
          </cell>
          <cell r="AT1">
            <v>2039</v>
          </cell>
          <cell r="AU1">
            <v>2040</v>
          </cell>
          <cell r="AV1">
            <v>2041</v>
          </cell>
          <cell r="AW1">
            <v>2042</v>
          </cell>
          <cell r="AX1">
            <v>2043</v>
          </cell>
          <cell r="AY1">
            <v>2044</v>
          </cell>
          <cell r="AZ1">
            <v>2045</v>
          </cell>
          <cell r="BA1">
            <v>2046</v>
          </cell>
          <cell r="BB1">
            <v>2047</v>
          </cell>
          <cell r="BC1">
            <v>2048</v>
          </cell>
          <cell r="BD1">
            <v>2049</v>
          </cell>
          <cell r="BE1">
            <v>2050</v>
          </cell>
          <cell r="BF1">
            <v>2051</v>
          </cell>
          <cell r="BG1">
            <v>2052</v>
          </cell>
          <cell r="BH1">
            <v>2053</v>
          </cell>
          <cell r="BI1">
            <v>2054</v>
          </cell>
          <cell r="BJ1">
            <v>2055</v>
          </cell>
          <cell r="BK1">
            <v>2056</v>
          </cell>
          <cell r="BL1">
            <v>2057</v>
          </cell>
          <cell r="BM1">
            <v>2058</v>
          </cell>
          <cell r="BN1">
            <v>2059</v>
          </cell>
          <cell r="BO1">
            <v>2060</v>
          </cell>
        </row>
        <row r="11">
          <cell r="K11">
            <v>3.6</v>
          </cell>
          <cell r="L11">
            <v>3.6</v>
          </cell>
          <cell r="M11">
            <v>3.6</v>
          </cell>
          <cell r="N11">
            <v>3.6</v>
          </cell>
          <cell r="O11">
            <v>3.6</v>
          </cell>
          <cell r="P11">
            <v>3.6</v>
          </cell>
          <cell r="Q11">
            <v>3.6</v>
          </cell>
          <cell r="R11">
            <v>3.6</v>
          </cell>
          <cell r="S11">
            <v>3.6</v>
          </cell>
          <cell r="T11">
            <v>3.6</v>
          </cell>
          <cell r="U11">
            <v>3.6</v>
          </cell>
        </row>
        <row r="12">
          <cell r="K12">
            <v>21.275601056803168</v>
          </cell>
          <cell r="L12">
            <v>21.275601056803168</v>
          </cell>
          <cell r="M12">
            <v>21.275601056803168</v>
          </cell>
          <cell r="N12">
            <v>21.275601056803168</v>
          </cell>
          <cell r="O12">
            <v>21.275601056803168</v>
          </cell>
          <cell r="P12">
            <v>21.275601056803168</v>
          </cell>
          <cell r="Q12">
            <v>21.275601056803168</v>
          </cell>
          <cell r="R12">
            <v>21.275601056803168</v>
          </cell>
          <cell r="S12">
            <v>21.275601056803168</v>
          </cell>
          <cell r="T12">
            <v>21.275601056803168</v>
          </cell>
          <cell r="U12">
            <v>21.275601056803168</v>
          </cell>
        </row>
        <row r="13">
          <cell r="K13">
            <v>42.500001555910814</v>
          </cell>
          <cell r="L13">
            <v>42.49999462158479</v>
          </cell>
          <cell r="M13">
            <v>42.499993198406727</v>
          </cell>
          <cell r="N13">
            <v>42.500007934339692</v>
          </cell>
          <cell r="O13">
            <v>42.500003902539113</v>
          </cell>
          <cell r="P13">
            <v>42.500005927963393</v>
          </cell>
          <cell r="Q13">
            <v>42.499996053265143</v>
          </cell>
          <cell r="R13">
            <v>42.500008082757489</v>
          </cell>
          <cell r="S13">
            <v>42.500026715920242</v>
          </cell>
          <cell r="T13">
            <v>42.500005546759979</v>
          </cell>
          <cell r="U13">
            <v>42.500005546759979</v>
          </cell>
        </row>
        <row r="14">
          <cell r="K14">
            <v>35</v>
          </cell>
          <cell r="L14">
            <v>34.999987755571823</v>
          </cell>
          <cell r="M14">
            <v>35</v>
          </cell>
          <cell r="N14">
            <v>35</v>
          </cell>
          <cell r="O14">
            <v>35.000011988021569</v>
          </cell>
          <cell r="P14">
            <v>34.999976328671657</v>
          </cell>
          <cell r="Q14">
            <v>35.000023044660551</v>
          </cell>
          <cell r="R14">
            <v>35</v>
          </cell>
          <cell r="S14">
            <v>34.999988381090922</v>
          </cell>
          <cell r="T14">
            <v>34.999988640675021</v>
          </cell>
          <cell r="U14">
            <v>34.999977954144619</v>
          </cell>
        </row>
        <row r="15">
          <cell r="K15">
            <v>120</v>
          </cell>
          <cell r="L15">
            <v>120</v>
          </cell>
          <cell r="M15">
            <v>120</v>
          </cell>
          <cell r="N15">
            <v>120</v>
          </cell>
          <cell r="O15">
            <v>120</v>
          </cell>
          <cell r="P15">
            <v>120</v>
          </cell>
          <cell r="Q15">
            <v>120</v>
          </cell>
          <cell r="R15">
            <v>120</v>
          </cell>
          <cell r="S15">
            <v>120</v>
          </cell>
          <cell r="T15">
            <v>120</v>
          </cell>
          <cell r="U15">
            <v>120</v>
          </cell>
        </row>
        <row r="16">
          <cell r="K16">
            <v>37.399981406303262</v>
          </cell>
          <cell r="L16">
            <v>37.400184612679674</v>
          </cell>
          <cell r="M16">
            <v>37.400059355987537</v>
          </cell>
          <cell r="N16">
            <v>37.400157760962927</v>
          </cell>
          <cell r="O16">
            <v>37.40004043482994</v>
          </cell>
          <cell r="P16">
            <v>37.400068271036012</v>
          </cell>
          <cell r="Q16">
            <v>37.400177462289257</v>
          </cell>
          <cell r="R16">
            <v>37.400238829734313</v>
          </cell>
          <cell r="S16">
            <v>37.39993851829081</v>
          </cell>
          <cell r="T16">
            <v>37.400161140754918</v>
          </cell>
          <cell r="U16">
            <v>37.400081034931837</v>
          </cell>
        </row>
        <row r="17">
          <cell r="K17">
            <v>26.799897075220859</v>
          </cell>
          <cell r="L17">
            <v>26.799897075220859</v>
          </cell>
          <cell r="M17">
            <v>26.799897075220859</v>
          </cell>
          <cell r="N17">
            <v>26.799897075220859</v>
          </cell>
          <cell r="O17">
            <v>26.799897075220859</v>
          </cell>
          <cell r="P17">
            <v>26.799897075220859</v>
          </cell>
          <cell r="Q17">
            <v>26.799897075220859</v>
          </cell>
          <cell r="R17">
            <v>26.799897075220859</v>
          </cell>
          <cell r="S17">
            <v>26.799897075220859</v>
          </cell>
          <cell r="T17">
            <v>26.799897075220859</v>
          </cell>
          <cell r="U17">
            <v>26.799897075220859</v>
          </cell>
        </row>
        <row r="18">
          <cell r="K18">
            <v>38.21000005608883</v>
          </cell>
          <cell r="L18">
            <v>38.259998958056819</v>
          </cell>
          <cell r="M18">
            <v>38.260000180720937</v>
          </cell>
          <cell r="N18">
            <v>38.110000608339433</v>
          </cell>
          <cell r="O18">
            <v>38.409998944225379</v>
          </cell>
          <cell r="P18">
            <v>38.430000915151403</v>
          </cell>
          <cell r="Q18">
            <v>38.51999993949601</v>
          </cell>
          <cell r="R18">
            <v>38.560001088530569</v>
          </cell>
          <cell r="S18">
            <v>38.740000970806207</v>
          </cell>
          <cell r="T18">
            <v>38.85000097656868</v>
          </cell>
          <cell r="U18">
            <v>38.999999222988272</v>
          </cell>
        </row>
        <row r="19">
          <cell r="K19">
            <v>38.647544562117609</v>
          </cell>
          <cell r="L19">
            <v>38.647544328371573</v>
          </cell>
          <cell r="M19">
            <v>38.647538364410053</v>
          </cell>
          <cell r="N19">
            <v>38.647532379989407</v>
          </cell>
          <cell r="O19">
            <v>38.647536489743572</v>
          </cell>
          <cell r="P19">
            <v>38.647537590620253</v>
          </cell>
          <cell r="Q19">
            <v>38.647532447156081</v>
          </cell>
          <cell r="R19">
            <v>38.647541819225708</v>
          </cell>
          <cell r="S19">
            <v>38.647535763672678</v>
          </cell>
          <cell r="T19">
            <v>38.647553606699262</v>
          </cell>
          <cell r="U19">
            <v>38.649998943212829</v>
          </cell>
        </row>
        <row r="20">
          <cell r="K20">
            <v>25.309999732126119</v>
          </cell>
          <cell r="L20">
            <v>25.310004648873331</v>
          </cell>
          <cell r="M20">
            <v>25.310008937742619</v>
          </cell>
          <cell r="N20">
            <v>25.309965026132161</v>
          </cell>
          <cell r="O20">
            <v>25.310016100068111</v>
          </cell>
          <cell r="P20">
            <v>25.30995543220482</v>
          </cell>
          <cell r="Q20">
            <v>25.30998020375646</v>
          </cell>
          <cell r="R20">
            <v>25.31001367760754</v>
          </cell>
          <cell r="S20">
            <v>25.309978730946469</v>
          </cell>
          <cell r="T20">
            <v>25.309978730946469</v>
          </cell>
          <cell r="U20">
            <v>25.309978730946469</v>
          </cell>
        </row>
        <row r="21">
          <cell r="K21">
            <v>36.08</v>
          </cell>
          <cell r="L21">
            <v>36.08</v>
          </cell>
          <cell r="M21">
            <v>36.08</v>
          </cell>
          <cell r="N21">
            <v>36.08</v>
          </cell>
          <cell r="O21">
            <v>36.08</v>
          </cell>
          <cell r="P21">
            <v>36.08</v>
          </cell>
          <cell r="Q21">
            <v>36.08</v>
          </cell>
          <cell r="R21">
            <v>36.08</v>
          </cell>
          <cell r="S21">
            <v>36.08</v>
          </cell>
          <cell r="T21">
            <v>36.08</v>
          </cell>
          <cell r="U21">
            <v>36.08</v>
          </cell>
        </row>
        <row r="22">
          <cell r="K22">
            <v>18</v>
          </cell>
          <cell r="L22">
            <v>18.000000170755111</v>
          </cell>
          <cell r="M22">
            <v>18.000000343487219</v>
          </cell>
          <cell r="N22">
            <v>17.999999715692439</v>
          </cell>
          <cell r="O22">
            <v>17.999999523496939</v>
          </cell>
          <cell r="P22">
            <v>17.999999577905282</v>
          </cell>
          <cell r="Q22">
            <v>17.999999701146169</v>
          </cell>
          <cell r="R22">
            <v>17.999999899867031</v>
          </cell>
          <cell r="S22">
            <v>18.000000620051409</v>
          </cell>
          <cell r="T22">
            <v>18.00000041061995</v>
          </cell>
          <cell r="U22">
            <v>17.999999697412122</v>
          </cell>
        </row>
        <row r="23">
          <cell r="K23">
            <v>704.54700000000003</v>
          </cell>
          <cell r="L23">
            <v>704.54700000000003</v>
          </cell>
          <cell r="M23">
            <v>704.54700000000003</v>
          </cell>
          <cell r="N23">
            <v>704.54700000000003</v>
          </cell>
          <cell r="O23">
            <v>704.54700000000003</v>
          </cell>
          <cell r="P23">
            <v>704.54700000000003</v>
          </cell>
          <cell r="Q23">
            <v>704.54700000000003</v>
          </cell>
          <cell r="R23">
            <v>704.54700000000003</v>
          </cell>
          <cell r="S23">
            <v>704.54700000000003</v>
          </cell>
          <cell r="T23">
            <v>704.54700000000003</v>
          </cell>
          <cell r="U23">
            <v>704.54700000000003</v>
          </cell>
        </row>
        <row r="29">
          <cell r="B29" t="str">
            <v>Biodiesel</v>
          </cell>
          <cell r="G29">
            <v>33.322391017173047</v>
          </cell>
          <cell r="H29">
            <v>33.322391017173047</v>
          </cell>
          <cell r="I29">
            <v>33.322391017173047</v>
          </cell>
          <cell r="J29">
            <v>33.322391017173047</v>
          </cell>
          <cell r="K29">
            <v>33.322391017173047</v>
          </cell>
          <cell r="L29">
            <v>33.322391017173047</v>
          </cell>
          <cell r="M29">
            <v>33.322391017173047</v>
          </cell>
          <cell r="N29">
            <v>33.322391017173047</v>
          </cell>
          <cell r="O29">
            <v>33.322391017173047</v>
          </cell>
          <cell r="P29">
            <v>33.322391017173047</v>
          </cell>
          <cell r="Q29">
            <v>33.322391017173047</v>
          </cell>
          <cell r="R29">
            <v>33.322391017173047</v>
          </cell>
          <cell r="S29">
            <v>33.322391017173047</v>
          </cell>
          <cell r="T29">
            <v>33.322391017173047</v>
          </cell>
          <cell r="U29">
            <v>33.322391017173047</v>
          </cell>
          <cell r="V29">
            <v>33.322391017173047</v>
          </cell>
          <cell r="W29">
            <v>33.322391017173047</v>
          </cell>
          <cell r="X29">
            <v>33.322391017173047</v>
          </cell>
          <cell r="Y29">
            <v>33.322391017173047</v>
          </cell>
          <cell r="Z29">
            <v>33.322391017173047</v>
          </cell>
          <cell r="AA29">
            <v>33.322391017173047</v>
          </cell>
          <cell r="AB29">
            <v>33.322391017173047</v>
          </cell>
          <cell r="AC29">
            <v>33.322391017173047</v>
          </cell>
          <cell r="AD29">
            <v>33.322391017173047</v>
          </cell>
          <cell r="AE29">
            <v>33.322391017173047</v>
          </cell>
          <cell r="AF29">
            <v>33.322391017173047</v>
          </cell>
          <cell r="AG29">
            <v>33.322391017173047</v>
          </cell>
          <cell r="AH29">
            <v>33.322391017173047</v>
          </cell>
          <cell r="AI29">
            <v>33.322391017173047</v>
          </cell>
          <cell r="AJ29">
            <v>33.322391017173047</v>
          </cell>
          <cell r="AK29">
            <v>33.322391017173047</v>
          </cell>
          <cell r="AL29">
            <v>33.322391017173047</v>
          </cell>
          <cell r="AM29">
            <v>33.322391017173047</v>
          </cell>
          <cell r="AN29">
            <v>33.322391017173047</v>
          </cell>
          <cell r="AO29">
            <v>33.322391017173047</v>
          </cell>
          <cell r="AP29">
            <v>33.322391017173047</v>
          </cell>
          <cell r="AQ29">
            <v>33.322391017173047</v>
          </cell>
          <cell r="AR29">
            <v>33.322391017173047</v>
          </cell>
          <cell r="AS29">
            <v>33.322391017173047</v>
          </cell>
          <cell r="AT29">
            <v>33.322391017173047</v>
          </cell>
          <cell r="AU29">
            <v>33.322391017173047</v>
          </cell>
          <cell r="AV29">
            <v>33.322391017173047</v>
          </cell>
          <cell r="AW29">
            <v>33.322391017173047</v>
          </cell>
          <cell r="AX29">
            <v>33.322391017173047</v>
          </cell>
          <cell r="AY29">
            <v>33.322391017173047</v>
          </cell>
          <cell r="AZ29">
            <v>33.322391017173047</v>
          </cell>
          <cell r="BA29">
            <v>33.322391017173047</v>
          </cell>
          <cell r="BB29">
            <v>33.322391017173047</v>
          </cell>
          <cell r="BC29">
            <v>33.322391017173047</v>
          </cell>
          <cell r="BD29">
            <v>33.322391017173047</v>
          </cell>
          <cell r="BE29">
            <v>33.322391017173047</v>
          </cell>
          <cell r="BF29">
            <v>33.322391017173047</v>
          </cell>
          <cell r="BG29">
            <v>33.322391017173047</v>
          </cell>
          <cell r="BH29">
            <v>33.322391017173047</v>
          </cell>
          <cell r="BI29">
            <v>33.322391017173047</v>
          </cell>
          <cell r="BJ29">
            <v>33.322391017173047</v>
          </cell>
          <cell r="BK29">
            <v>33.322391017173047</v>
          </cell>
          <cell r="BL29">
            <v>33.322391017173047</v>
          </cell>
          <cell r="BM29">
            <v>33.322391017173047</v>
          </cell>
          <cell r="BN29">
            <v>33.322391017173047</v>
          </cell>
          <cell r="BO29">
            <v>33.322391017173047</v>
          </cell>
        </row>
        <row r="30">
          <cell r="B30" t="str">
            <v>Biogas</v>
          </cell>
          <cell r="G30">
            <v>37.989999934966512</v>
          </cell>
          <cell r="H30">
            <v>38.090000067537588</v>
          </cell>
          <cell r="I30">
            <v>38.089999943885992</v>
          </cell>
          <cell r="J30">
            <v>38.200000000000003</v>
          </cell>
          <cell r="K30">
            <v>38.21000005608883</v>
          </cell>
          <cell r="L30">
            <v>38.259998958056819</v>
          </cell>
          <cell r="M30">
            <v>38.260000180720937</v>
          </cell>
          <cell r="N30">
            <v>38.110000608339433</v>
          </cell>
          <cell r="O30">
            <v>38.409998944225379</v>
          </cell>
          <cell r="P30">
            <v>38.430000915151403</v>
          </cell>
          <cell r="Q30">
            <v>38.51999993949601</v>
          </cell>
          <cell r="R30">
            <v>38.560001088530569</v>
          </cell>
          <cell r="S30">
            <v>38.740000970806207</v>
          </cell>
          <cell r="T30">
            <v>38.85000097656868</v>
          </cell>
          <cell r="U30">
            <v>38.999999222988272</v>
          </cell>
          <cell r="V30">
            <v>39.239999484440993</v>
          </cell>
          <cell r="W30">
            <v>39.029993050258099</v>
          </cell>
          <cell r="X30">
            <v>39.219991692165777</v>
          </cell>
          <cell r="Y30">
            <v>39.11000062547992</v>
          </cell>
          <cell r="Z30">
            <v>39.28004057736554</v>
          </cell>
          <cell r="AA30">
            <v>39.279978463639132</v>
          </cell>
          <cell r="AB30">
            <v>39.279978463639132</v>
          </cell>
          <cell r="AC30">
            <v>39.279978463639132</v>
          </cell>
          <cell r="AD30">
            <v>39.279978463639132</v>
          </cell>
          <cell r="AE30">
            <v>39.279978463639132</v>
          </cell>
          <cell r="AF30">
            <v>39.279978463639132</v>
          </cell>
          <cell r="AG30">
            <v>39.279978463639132</v>
          </cell>
          <cell r="AH30">
            <v>39.279978463639132</v>
          </cell>
          <cell r="AI30">
            <v>39.279978463639132</v>
          </cell>
          <cell r="AJ30">
            <v>39.279978463639132</v>
          </cell>
          <cell r="AK30">
            <v>39.279978463639132</v>
          </cell>
          <cell r="AL30">
            <v>39.279978463639132</v>
          </cell>
          <cell r="AM30">
            <v>39.279978463639132</v>
          </cell>
          <cell r="AN30">
            <v>39.279978463639132</v>
          </cell>
          <cell r="AO30">
            <v>39.279978463639132</v>
          </cell>
          <cell r="AP30">
            <v>39.279978463639132</v>
          </cell>
          <cell r="AQ30">
            <v>39.279978463639132</v>
          </cell>
          <cell r="AR30">
            <v>39.279978463639132</v>
          </cell>
          <cell r="AS30">
            <v>39.279978463639132</v>
          </cell>
          <cell r="AT30">
            <v>39.279978463639132</v>
          </cell>
          <cell r="AU30">
            <v>39.279978463639132</v>
          </cell>
          <cell r="AV30">
            <v>39.279978463639132</v>
          </cell>
          <cell r="AW30">
            <v>39.279978463639132</v>
          </cell>
          <cell r="AX30">
            <v>39.279978463639132</v>
          </cell>
          <cell r="AY30">
            <v>39.279978463639132</v>
          </cell>
          <cell r="AZ30">
            <v>39.279978463639132</v>
          </cell>
          <cell r="BA30">
            <v>39.279978463639132</v>
          </cell>
          <cell r="BB30">
            <v>39.279978463639132</v>
          </cell>
          <cell r="BC30">
            <v>39.279978463639132</v>
          </cell>
          <cell r="BD30">
            <v>39.279978463639132</v>
          </cell>
          <cell r="BE30">
            <v>39.279978463639132</v>
          </cell>
          <cell r="BF30">
            <v>39.279978463639132</v>
          </cell>
          <cell r="BG30">
            <v>39.279978463639132</v>
          </cell>
          <cell r="BH30">
            <v>39.279978463639132</v>
          </cell>
          <cell r="BI30">
            <v>39.279978463639132</v>
          </cell>
          <cell r="BJ30">
            <v>39.279978463639132</v>
          </cell>
          <cell r="BK30">
            <v>39.279978463639132</v>
          </cell>
          <cell r="BL30">
            <v>39.279978463639132</v>
          </cell>
          <cell r="BM30">
            <v>39.279978463639132</v>
          </cell>
          <cell r="BN30">
            <v>39.279978463639132</v>
          </cell>
          <cell r="BO30">
            <v>39.279978463639132</v>
          </cell>
        </row>
        <row r="31">
          <cell r="B31" t="str">
            <v>Black liquor</v>
          </cell>
          <cell r="G31">
            <v>14</v>
          </cell>
          <cell r="H31">
            <v>14</v>
          </cell>
          <cell r="I31">
            <v>14</v>
          </cell>
          <cell r="J31">
            <v>14</v>
          </cell>
          <cell r="K31">
            <v>14</v>
          </cell>
          <cell r="L31">
            <v>14.000000108315</v>
          </cell>
          <cell r="M31">
            <v>13.999999806108629</v>
          </cell>
          <cell r="N31">
            <v>13.999999748986671</v>
          </cell>
          <cell r="O31">
            <v>14.000000379920181</v>
          </cell>
          <cell r="P31">
            <v>14.00000029309423</v>
          </cell>
          <cell r="Q31">
            <v>13.99999950904845</v>
          </cell>
          <cell r="R31">
            <v>13.99999957606494</v>
          </cell>
          <cell r="S31">
            <v>13.999999862124479</v>
          </cell>
          <cell r="T31">
            <v>14.000000358891681</v>
          </cell>
          <cell r="U31">
            <v>13.9999999301182</v>
          </cell>
          <cell r="V31">
            <v>14.000000263165051</v>
          </cell>
          <cell r="W31">
            <v>13.999999650391191</v>
          </cell>
          <cell r="X31">
            <v>14.000000177847671</v>
          </cell>
          <cell r="Y31">
            <v>14.000000287867151</v>
          </cell>
          <cell r="Z31">
            <v>14.00000005791571</v>
          </cell>
          <cell r="AA31">
            <v>13.99999957188089</v>
          </cell>
          <cell r="AB31">
            <v>13.99999957188089</v>
          </cell>
          <cell r="AC31">
            <v>13.99999957188089</v>
          </cell>
          <cell r="AD31">
            <v>13.99999957188089</v>
          </cell>
          <cell r="AE31">
            <v>13.99999957188089</v>
          </cell>
          <cell r="AF31">
            <v>13.99999957188089</v>
          </cell>
          <cell r="AG31">
            <v>13.99999957188089</v>
          </cell>
          <cell r="AH31">
            <v>13.99999957188089</v>
          </cell>
          <cell r="AI31">
            <v>13.99999957188089</v>
          </cell>
          <cell r="AJ31">
            <v>13.99999957188089</v>
          </cell>
          <cell r="AK31">
            <v>13.99999957188089</v>
          </cell>
          <cell r="AL31">
            <v>13.99999957188089</v>
          </cell>
          <cell r="AM31">
            <v>13.99999957188089</v>
          </cell>
          <cell r="AN31">
            <v>13.99999957188089</v>
          </cell>
          <cell r="AO31">
            <v>13.99999957188089</v>
          </cell>
          <cell r="AP31">
            <v>13.99999957188089</v>
          </cell>
          <cell r="AQ31">
            <v>13.99999957188089</v>
          </cell>
          <cell r="AR31">
            <v>13.99999957188089</v>
          </cell>
          <cell r="AS31">
            <v>13.99999957188089</v>
          </cell>
          <cell r="AT31">
            <v>13.99999957188089</v>
          </cell>
          <cell r="AU31">
            <v>13.99999957188089</v>
          </cell>
          <cell r="AV31">
            <v>13.99999957188089</v>
          </cell>
          <cell r="AW31">
            <v>13.99999957188089</v>
          </cell>
          <cell r="AX31">
            <v>13.99999957188089</v>
          </cell>
          <cell r="AY31">
            <v>13.99999957188089</v>
          </cell>
          <cell r="AZ31">
            <v>13.99999957188089</v>
          </cell>
          <cell r="BA31">
            <v>13.99999957188089</v>
          </cell>
          <cell r="BB31">
            <v>13.99999957188089</v>
          </cell>
          <cell r="BC31">
            <v>13.99999957188089</v>
          </cell>
          <cell r="BD31">
            <v>13.99999957188089</v>
          </cell>
          <cell r="BE31">
            <v>13.99999957188089</v>
          </cell>
          <cell r="BF31">
            <v>13.99999957188089</v>
          </cell>
          <cell r="BG31">
            <v>13.99999957188089</v>
          </cell>
          <cell r="BH31">
            <v>13.99999957188089</v>
          </cell>
          <cell r="BI31">
            <v>13.99999957188089</v>
          </cell>
          <cell r="BJ31">
            <v>13.99999957188089</v>
          </cell>
          <cell r="BK31">
            <v>13.99999957188089</v>
          </cell>
          <cell r="BL31">
            <v>13.99999957188089</v>
          </cell>
          <cell r="BM31">
            <v>13.99999957188089</v>
          </cell>
          <cell r="BN31">
            <v>13.99999957188089</v>
          </cell>
          <cell r="BO31">
            <v>13.99999957188089</v>
          </cell>
        </row>
        <row r="32">
          <cell r="B32" t="str">
            <v>Coal</v>
          </cell>
          <cell r="G32">
            <v>27.281135001993739</v>
          </cell>
          <cell r="H32">
            <v>27.326522347523991</v>
          </cell>
          <cell r="I32">
            <v>27.26900553429919</v>
          </cell>
          <cell r="J32">
            <v>26.649636115461789</v>
          </cell>
          <cell r="K32">
            <v>26.436665511450489</v>
          </cell>
          <cell r="L32">
            <v>26.065005050848569</v>
          </cell>
          <cell r="M32">
            <v>25.961495108007071</v>
          </cell>
          <cell r="N32">
            <v>25.531014474531759</v>
          </cell>
          <cell r="O32">
            <v>25.843172868753481</v>
          </cell>
          <cell r="P32">
            <v>26.79302164835546</v>
          </cell>
          <cell r="Q32">
            <v>26.78631824388107</v>
          </cell>
          <cell r="R32">
            <v>26.168637600813259</v>
          </cell>
          <cell r="S32">
            <v>26.65996599342116</v>
          </cell>
          <cell r="T32">
            <v>27.016240445692489</v>
          </cell>
          <cell r="U32">
            <v>26.97744551111462</v>
          </cell>
          <cell r="V32">
            <v>27.05312103004179</v>
          </cell>
          <cell r="W32">
            <v>27.163362076755089</v>
          </cell>
          <cell r="X32">
            <v>26.765276773307829</v>
          </cell>
          <cell r="Y32">
            <v>26.964276060526931</v>
          </cell>
          <cell r="Z32">
            <v>27.16868741484414</v>
          </cell>
          <cell r="AA32">
            <v>26.836304091575101</v>
          </cell>
          <cell r="AB32">
            <v>26.836304091575101</v>
          </cell>
          <cell r="AC32">
            <v>26.836304091575101</v>
          </cell>
          <cell r="AD32">
            <v>26.836304091575101</v>
          </cell>
          <cell r="AE32">
            <v>26.836304091575101</v>
          </cell>
          <cell r="AF32">
            <v>26.836304091575101</v>
          </cell>
          <cell r="AG32">
            <v>26.836304091575101</v>
          </cell>
          <cell r="AH32">
            <v>26.836304091575101</v>
          </cell>
          <cell r="AI32">
            <v>26.836304091575101</v>
          </cell>
          <cell r="AJ32">
            <v>26.836304091575101</v>
          </cell>
          <cell r="AK32">
            <v>26.836304091575101</v>
          </cell>
          <cell r="AL32">
            <v>26.836304091575101</v>
          </cell>
          <cell r="AM32">
            <v>26.836304091575101</v>
          </cell>
          <cell r="AN32">
            <v>26.836304091575101</v>
          </cell>
          <cell r="AO32">
            <v>26.836304091575101</v>
          </cell>
          <cell r="AP32">
            <v>26.836304091575101</v>
          </cell>
          <cell r="AQ32">
            <v>26.836304091575101</v>
          </cell>
          <cell r="AR32">
            <v>26.836304091575101</v>
          </cell>
          <cell r="AS32">
            <v>26.836304091575101</v>
          </cell>
          <cell r="AT32">
            <v>26.836304091575101</v>
          </cell>
          <cell r="AU32">
            <v>26.836304091575101</v>
          </cell>
          <cell r="AV32">
            <v>26.836304091575101</v>
          </cell>
          <cell r="AW32">
            <v>26.836304091575101</v>
          </cell>
          <cell r="AX32">
            <v>26.836304091575101</v>
          </cell>
          <cell r="AY32">
            <v>26.836304091575101</v>
          </cell>
          <cell r="AZ32">
            <v>26.836304091575101</v>
          </cell>
          <cell r="BA32">
            <v>26.836304091575101</v>
          </cell>
          <cell r="BB32">
            <v>26.836304091575101</v>
          </cell>
          <cell r="BC32">
            <v>26.836304091575101</v>
          </cell>
          <cell r="BD32">
            <v>26.836304091575101</v>
          </cell>
          <cell r="BE32">
            <v>26.836304091575101</v>
          </cell>
          <cell r="BF32">
            <v>26.836304091575101</v>
          </cell>
          <cell r="BG32">
            <v>26.836304091575101</v>
          </cell>
          <cell r="BH32">
            <v>26.836304091575101</v>
          </cell>
          <cell r="BI32">
            <v>26.836304091575101</v>
          </cell>
          <cell r="BJ32">
            <v>26.836304091575101</v>
          </cell>
          <cell r="BK32">
            <v>26.836304091575101</v>
          </cell>
          <cell r="BL32">
            <v>26.836304091575101</v>
          </cell>
          <cell r="BM32">
            <v>26.836304091575101</v>
          </cell>
          <cell r="BN32">
            <v>26.836304091575101</v>
          </cell>
          <cell r="BO32">
            <v>26.836304091575101</v>
          </cell>
        </row>
        <row r="33">
          <cell r="B33" t="str">
            <v>Coke</v>
          </cell>
          <cell r="G33">
            <v>28.830000239717378</v>
          </cell>
          <cell r="H33">
            <v>28.82999995511139</v>
          </cell>
          <cell r="I33">
            <v>28.830000015450391</v>
          </cell>
          <cell r="J33">
            <v>28.82999994686336</v>
          </cell>
          <cell r="K33">
            <v>28.829999901213348</v>
          </cell>
          <cell r="L33">
            <v>28.83000006208751</v>
          </cell>
          <cell r="M33">
            <v>28.8299967913592</v>
          </cell>
          <cell r="N33">
            <v>28.82999629784835</v>
          </cell>
          <cell r="O33">
            <v>28.82999821530845</v>
          </cell>
          <cell r="P33">
            <v>28.83000207582332</v>
          </cell>
          <cell r="Q33">
            <v>28.829995050999781</v>
          </cell>
          <cell r="R33">
            <v>28.82999675459855</v>
          </cell>
          <cell r="S33">
            <v>28.829999073505029</v>
          </cell>
          <cell r="T33">
            <v>28.830005119721349</v>
          </cell>
          <cell r="U33">
            <v>28.83000240658091</v>
          </cell>
          <cell r="V33">
            <v>28.829999136977442</v>
          </cell>
          <cell r="W33">
            <v>28.83000465533738</v>
          </cell>
          <cell r="X33">
            <v>28.82999851086289</v>
          </cell>
          <cell r="Y33">
            <v>28.830003049454579</v>
          </cell>
          <cell r="Z33">
            <v>28.82999652522469</v>
          </cell>
          <cell r="AA33">
            <v>28.830000581498819</v>
          </cell>
          <cell r="AB33">
            <v>28.830000581498819</v>
          </cell>
          <cell r="AC33">
            <v>28.830000581498819</v>
          </cell>
          <cell r="AD33">
            <v>28.830000581498819</v>
          </cell>
          <cell r="AE33">
            <v>28.830000581498819</v>
          </cell>
          <cell r="AF33">
            <v>28.830000581498819</v>
          </cell>
          <cell r="AG33">
            <v>28.830000581498819</v>
          </cell>
          <cell r="AH33">
            <v>28.830000581498819</v>
          </cell>
          <cell r="AI33">
            <v>28.830000581498819</v>
          </cell>
          <cell r="AJ33">
            <v>28.830000581498819</v>
          </cell>
          <cell r="AK33">
            <v>28.830000581498819</v>
          </cell>
          <cell r="AL33">
            <v>28.830000581498819</v>
          </cell>
          <cell r="AM33">
            <v>28.830000581498819</v>
          </cell>
          <cell r="AN33">
            <v>28.830000581498819</v>
          </cell>
          <cell r="AO33">
            <v>28.830000581498819</v>
          </cell>
          <cell r="AP33">
            <v>28.830000581498819</v>
          </cell>
          <cell r="AQ33">
            <v>28.830000581498819</v>
          </cell>
          <cell r="AR33">
            <v>28.830000581498819</v>
          </cell>
          <cell r="AS33">
            <v>28.830000581498819</v>
          </cell>
          <cell r="AT33">
            <v>28.830000581498819</v>
          </cell>
          <cell r="AU33">
            <v>28.830000581498819</v>
          </cell>
          <cell r="AV33">
            <v>28.830000581498819</v>
          </cell>
          <cell r="AW33">
            <v>28.830000581498819</v>
          </cell>
          <cell r="AX33">
            <v>28.830000581498819</v>
          </cell>
          <cell r="AY33">
            <v>28.830000581498819</v>
          </cell>
          <cell r="AZ33">
            <v>28.830000581498819</v>
          </cell>
          <cell r="BA33">
            <v>28.830000581498819</v>
          </cell>
          <cell r="BB33">
            <v>28.830000581498819</v>
          </cell>
          <cell r="BC33">
            <v>28.830000581498819</v>
          </cell>
          <cell r="BD33">
            <v>28.830000581498819</v>
          </cell>
          <cell r="BE33">
            <v>28.830000581498819</v>
          </cell>
          <cell r="BF33">
            <v>28.830000581498819</v>
          </cell>
          <cell r="BG33">
            <v>28.830000581498819</v>
          </cell>
          <cell r="BH33">
            <v>28.830000581498819</v>
          </cell>
          <cell r="BI33">
            <v>28.830000581498819</v>
          </cell>
          <cell r="BJ33">
            <v>28.830000581498819</v>
          </cell>
          <cell r="BK33">
            <v>28.830000581498819</v>
          </cell>
          <cell r="BL33">
            <v>28.830000581498819</v>
          </cell>
          <cell r="BM33">
            <v>28.830000581498819</v>
          </cell>
          <cell r="BN33">
            <v>28.830000581498819</v>
          </cell>
          <cell r="BO33">
            <v>28.830000581498819</v>
          </cell>
        </row>
        <row r="34">
          <cell r="B34" t="str">
            <v>Diesel</v>
          </cell>
          <cell r="G34">
            <v>38.679925435948498</v>
          </cell>
          <cell r="H34">
            <v>38.680065473475189</v>
          </cell>
          <cell r="I34">
            <v>38.299955672007968</v>
          </cell>
          <cell r="J34">
            <v>38.300019365322598</v>
          </cell>
          <cell r="K34">
            <v>38.299998399923197</v>
          </cell>
          <cell r="L34">
            <v>38.299931844114482</v>
          </cell>
          <cell r="M34">
            <v>38.300002287300153</v>
          </cell>
          <cell r="N34">
            <v>38.300022546602378</v>
          </cell>
          <cell r="O34">
            <v>38.299933175988848</v>
          </cell>
          <cell r="P34">
            <v>38.299956398350787</v>
          </cell>
          <cell r="Q34">
            <v>38.299949311917914</v>
          </cell>
          <cell r="R34">
            <v>38.300029726613161</v>
          </cell>
          <cell r="S34">
            <v>38.300027818991097</v>
          </cell>
          <cell r="T34">
            <v>38.299954894000898</v>
          </cell>
          <cell r="U34">
            <v>38.300025305449751</v>
          </cell>
          <cell r="V34">
            <v>38.299949988288397</v>
          </cell>
          <cell r="W34">
            <v>38.299968511111558</v>
          </cell>
          <cell r="X34">
            <v>38.300038616220696</v>
          </cell>
          <cell r="Y34">
            <v>38.29996720005623</v>
          </cell>
          <cell r="Z34">
            <v>38.299964686095301</v>
          </cell>
          <cell r="AA34">
            <v>38.299928248342923</v>
          </cell>
          <cell r="AB34">
            <v>38.299928248342923</v>
          </cell>
          <cell r="AC34">
            <v>38.299928248342923</v>
          </cell>
          <cell r="AD34">
            <v>38.299928248342923</v>
          </cell>
          <cell r="AE34">
            <v>38.299928248342923</v>
          </cell>
          <cell r="AF34">
            <v>38.299928248342923</v>
          </cell>
          <cell r="AG34">
            <v>38.299928248342923</v>
          </cell>
          <cell r="AH34">
            <v>38.299928248342923</v>
          </cell>
          <cell r="AI34">
            <v>38.299928248342923</v>
          </cell>
          <cell r="AJ34">
            <v>38.299928248342923</v>
          </cell>
          <cell r="AK34">
            <v>38.299928248342923</v>
          </cell>
          <cell r="AL34">
            <v>38.299928248342923</v>
          </cell>
          <cell r="AM34">
            <v>38.299928248342923</v>
          </cell>
          <cell r="AN34">
            <v>38.299928248342923</v>
          </cell>
          <cell r="AO34">
            <v>38.299928248342923</v>
          </cell>
          <cell r="AP34">
            <v>38.299928248342923</v>
          </cell>
          <cell r="AQ34">
            <v>38.299928248342923</v>
          </cell>
          <cell r="AR34">
            <v>38.299928248342923</v>
          </cell>
          <cell r="AS34">
            <v>38.299928248342923</v>
          </cell>
          <cell r="AT34">
            <v>38.299928248342923</v>
          </cell>
          <cell r="AU34">
            <v>38.299928248342923</v>
          </cell>
          <cell r="AV34">
            <v>38.299928248342923</v>
          </cell>
          <cell r="AW34">
            <v>38.299928248342923</v>
          </cell>
          <cell r="AX34">
            <v>38.299928248342923</v>
          </cell>
          <cell r="AY34">
            <v>38.299928248342923</v>
          </cell>
          <cell r="AZ34">
            <v>38.299928248342923</v>
          </cell>
          <cell r="BA34">
            <v>38.299928248342923</v>
          </cell>
          <cell r="BB34">
            <v>38.299928248342923</v>
          </cell>
          <cell r="BC34">
            <v>38.299928248342923</v>
          </cell>
          <cell r="BD34">
            <v>38.299928248342923</v>
          </cell>
          <cell r="BE34">
            <v>38.299928248342923</v>
          </cell>
          <cell r="BF34">
            <v>38.299928248342923</v>
          </cell>
          <cell r="BG34">
            <v>38.299928248342923</v>
          </cell>
          <cell r="BH34">
            <v>38.299928248342923</v>
          </cell>
          <cell r="BI34">
            <v>38.299928248342923</v>
          </cell>
          <cell r="BJ34">
            <v>38.299928248342923</v>
          </cell>
          <cell r="BK34">
            <v>38.299928248342923</v>
          </cell>
          <cell r="BL34">
            <v>38.299928248342923</v>
          </cell>
          <cell r="BM34">
            <v>38.299928248342923</v>
          </cell>
          <cell r="BN34">
            <v>38.299928248342923</v>
          </cell>
          <cell r="BO34">
            <v>38.299928248342923</v>
          </cell>
        </row>
        <row r="35">
          <cell r="B35" t="str">
            <v>Electricity</v>
          </cell>
          <cell r="G35">
            <v>3.6</v>
          </cell>
          <cell r="H35">
            <v>3.6</v>
          </cell>
          <cell r="I35">
            <v>3.6</v>
          </cell>
          <cell r="J35">
            <v>3.6</v>
          </cell>
          <cell r="K35">
            <v>3.6</v>
          </cell>
          <cell r="L35">
            <v>3.6</v>
          </cell>
          <cell r="M35">
            <v>3.6</v>
          </cell>
          <cell r="N35">
            <v>3.6</v>
          </cell>
          <cell r="O35">
            <v>3.6</v>
          </cell>
          <cell r="P35">
            <v>3.6</v>
          </cell>
          <cell r="Q35">
            <v>3.6</v>
          </cell>
          <cell r="R35">
            <v>3.6</v>
          </cell>
          <cell r="S35">
            <v>3.6</v>
          </cell>
          <cell r="T35">
            <v>3.6</v>
          </cell>
          <cell r="U35">
            <v>3.6</v>
          </cell>
          <cell r="V35">
            <v>3.6</v>
          </cell>
          <cell r="W35">
            <v>3.6</v>
          </cell>
          <cell r="X35">
            <v>3.6</v>
          </cell>
          <cell r="Y35">
            <v>3.6</v>
          </cell>
          <cell r="Z35">
            <v>3.6</v>
          </cell>
          <cell r="AA35">
            <v>3.6</v>
          </cell>
          <cell r="AB35">
            <v>3.6</v>
          </cell>
          <cell r="AC35">
            <v>3.6</v>
          </cell>
          <cell r="AD35">
            <v>3.6</v>
          </cell>
          <cell r="AE35">
            <v>3.6</v>
          </cell>
          <cell r="AF35">
            <v>3.6</v>
          </cell>
          <cell r="AG35">
            <v>3.6</v>
          </cell>
          <cell r="AH35">
            <v>3.6</v>
          </cell>
          <cell r="AI35">
            <v>3.6</v>
          </cell>
          <cell r="AJ35">
            <v>3.6</v>
          </cell>
          <cell r="AK35">
            <v>3.6</v>
          </cell>
          <cell r="AL35">
            <v>3.6</v>
          </cell>
          <cell r="AM35">
            <v>3.6</v>
          </cell>
          <cell r="AN35">
            <v>3.6</v>
          </cell>
          <cell r="AO35">
            <v>3.6</v>
          </cell>
          <cell r="AP35">
            <v>3.6</v>
          </cell>
          <cell r="AQ35">
            <v>3.6</v>
          </cell>
          <cell r="AR35">
            <v>3.6</v>
          </cell>
          <cell r="AS35">
            <v>3.6</v>
          </cell>
          <cell r="AT35">
            <v>3.6</v>
          </cell>
          <cell r="AU35">
            <v>3.6</v>
          </cell>
          <cell r="AV35">
            <v>3.6</v>
          </cell>
          <cell r="AW35">
            <v>3.6</v>
          </cell>
          <cell r="AX35">
            <v>3.6</v>
          </cell>
          <cell r="AY35">
            <v>3.6</v>
          </cell>
          <cell r="AZ35">
            <v>3.6</v>
          </cell>
          <cell r="BA35">
            <v>3.6</v>
          </cell>
          <cell r="BB35">
            <v>3.6</v>
          </cell>
          <cell r="BC35">
            <v>3.6</v>
          </cell>
          <cell r="BD35">
            <v>3.6</v>
          </cell>
          <cell r="BE35">
            <v>3.6</v>
          </cell>
          <cell r="BF35">
            <v>3.6</v>
          </cell>
          <cell r="BG35">
            <v>3.6</v>
          </cell>
          <cell r="BH35">
            <v>3.6</v>
          </cell>
          <cell r="BI35">
            <v>3.6</v>
          </cell>
          <cell r="BJ35">
            <v>3.6</v>
          </cell>
          <cell r="BK35">
            <v>3.6</v>
          </cell>
          <cell r="BL35">
            <v>3.6</v>
          </cell>
          <cell r="BM35">
            <v>3.6</v>
          </cell>
          <cell r="BN35">
            <v>3.6</v>
          </cell>
          <cell r="BO35">
            <v>3.6</v>
          </cell>
        </row>
        <row r="36">
          <cell r="B36" t="str">
            <v>Ethanol</v>
          </cell>
          <cell r="G36">
            <v>21.275601056803168</v>
          </cell>
          <cell r="H36">
            <v>21.275601056803168</v>
          </cell>
          <cell r="I36">
            <v>21.275601056803168</v>
          </cell>
          <cell r="J36">
            <v>21.275601056803168</v>
          </cell>
          <cell r="K36">
            <v>21.275601056803168</v>
          </cell>
          <cell r="L36">
            <v>21.275601056803168</v>
          </cell>
          <cell r="M36">
            <v>21.275601056803168</v>
          </cell>
          <cell r="N36">
            <v>21.275601056803168</v>
          </cell>
          <cell r="O36">
            <v>21.275601056803168</v>
          </cell>
          <cell r="P36">
            <v>21.275601056803168</v>
          </cell>
          <cell r="Q36">
            <v>21.275601056803168</v>
          </cell>
          <cell r="R36">
            <v>21.275601056803168</v>
          </cell>
          <cell r="S36">
            <v>21.275601056803168</v>
          </cell>
          <cell r="T36">
            <v>21.275601056803168</v>
          </cell>
          <cell r="U36">
            <v>21.275601056803168</v>
          </cell>
          <cell r="V36">
            <v>21.275601056803168</v>
          </cell>
          <cell r="W36">
            <v>21.275601056803168</v>
          </cell>
          <cell r="X36">
            <v>21.275601056803168</v>
          </cell>
          <cell r="Y36">
            <v>21.275601056803168</v>
          </cell>
          <cell r="Z36">
            <v>21.275601056803168</v>
          </cell>
          <cell r="AA36">
            <v>21.275601056803168</v>
          </cell>
          <cell r="AB36">
            <v>21.275601056803168</v>
          </cell>
          <cell r="AC36">
            <v>21.275601056803168</v>
          </cell>
          <cell r="AD36">
            <v>21.275601056803168</v>
          </cell>
          <cell r="AE36">
            <v>21.275601056803168</v>
          </cell>
          <cell r="AF36">
            <v>21.275601056803168</v>
          </cell>
          <cell r="AG36">
            <v>21.275601056803168</v>
          </cell>
          <cell r="AH36">
            <v>21.275601056803168</v>
          </cell>
          <cell r="AI36">
            <v>21.275601056803168</v>
          </cell>
          <cell r="AJ36">
            <v>21.275601056803168</v>
          </cell>
          <cell r="AK36">
            <v>21.275601056803168</v>
          </cell>
          <cell r="AL36">
            <v>21.275601056803168</v>
          </cell>
          <cell r="AM36">
            <v>21.275601056803168</v>
          </cell>
          <cell r="AN36">
            <v>21.275601056803168</v>
          </cell>
          <cell r="AO36">
            <v>21.275601056803168</v>
          </cell>
          <cell r="AP36">
            <v>21.275601056803168</v>
          </cell>
          <cell r="AQ36">
            <v>21.275601056803168</v>
          </cell>
          <cell r="AR36">
            <v>21.275601056803168</v>
          </cell>
          <cell r="AS36">
            <v>21.275601056803168</v>
          </cell>
          <cell r="AT36">
            <v>21.275601056803168</v>
          </cell>
          <cell r="AU36">
            <v>21.275601056803168</v>
          </cell>
          <cell r="AV36">
            <v>21.275601056803168</v>
          </cell>
          <cell r="AW36">
            <v>21.275601056803168</v>
          </cell>
          <cell r="AX36">
            <v>21.275601056803168</v>
          </cell>
          <cell r="AY36">
            <v>21.275601056803168</v>
          </cell>
          <cell r="AZ36">
            <v>21.275601056803168</v>
          </cell>
          <cell r="BA36">
            <v>21.275601056803168</v>
          </cell>
          <cell r="BB36">
            <v>21.275601056803168</v>
          </cell>
          <cell r="BC36">
            <v>21.275601056803168</v>
          </cell>
          <cell r="BD36">
            <v>21.275601056803168</v>
          </cell>
          <cell r="BE36">
            <v>21.275601056803168</v>
          </cell>
          <cell r="BF36">
            <v>21.275601056803168</v>
          </cell>
          <cell r="BG36">
            <v>21.275601056803168</v>
          </cell>
          <cell r="BH36">
            <v>21.275601056803168</v>
          </cell>
          <cell r="BI36">
            <v>21.275601056803168</v>
          </cell>
          <cell r="BJ36">
            <v>21.275601056803168</v>
          </cell>
          <cell r="BK36">
            <v>21.275601056803168</v>
          </cell>
          <cell r="BL36">
            <v>21.275601056803168</v>
          </cell>
          <cell r="BM36">
            <v>21.275601056803168</v>
          </cell>
          <cell r="BN36">
            <v>21.275601056803168</v>
          </cell>
          <cell r="BO36">
            <v>21.275601056803168</v>
          </cell>
        </row>
        <row r="37">
          <cell r="B37" t="str">
            <v>Fuel oil</v>
          </cell>
          <cell r="G37">
            <v>42.500001679681141</v>
          </cell>
          <cell r="H37">
            <v>42.500001372430312</v>
          </cell>
          <cell r="I37">
            <v>42.500001853421082</v>
          </cell>
          <cell r="J37">
            <v>42.500000153212333</v>
          </cell>
          <cell r="K37">
            <v>42.500001555910814</v>
          </cell>
          <cell r="L37">
            <v>42.49999462158479</v>
          </cell>
          <cell r="M37">
            <v>42.499993198406727</v>
          </cell>
          <cell r="N37">
            <v>42.500007934339692</v>
          </cell>
          <cell r="O37">
            <v>42.500003902539113</v>
          </cell>
          <cell r="P37">
            <v>42.500005927963393</v>
          </cell>
          <cell r="Q37">
            <v>42.499996053265143</v>
          </cell>
          <cell r="R37">
            <v>42.500008082757489</v>
          </cell>
          <cell r="S37">
            <v>42.500026715920242</v>
          </cell>
          <cell r="T37">
            <v>42.500005546759979</v>
          </cell>
          <cell r="U37">
            <v>42.500005546759979</v>
          </cell>
          <cell r="V37">
            <v>42.500005546759979</v>
          </cell>
          <cell r="W37">
            <v>42.500021461699902</v>
          </cell>
          <cell r="X37">
            <v>42.500030396341863</v>
          </cell>
          <cell r="Y37">
            <v>42.500030396341863</v>
          </cell>
          <cell r="Z37">
            <v>42.500007804183667</v>
          </cell>
          <cell r="AA37">
            <v>42.499812906568422</v>
          </cell>
          <cell r="AB37">
            <v>42.499812906568422</v>
          </cell>
          <cell r="AC37">
            <v>42.499812906568422</v>
          </cell>
          <cell r="AD37">
            <v>42.499812906568422</v>
          </cell>
          <cell r="AE37">
            <v>42.499812906568422</v>
          </cell>
          <cell r="AF37">
            <v>42.499812906568422</v>
          </cell>
          <cell r="AG37">
            <v>42.499812906568422</v>
          </cell>
          <cell r="AH37">
            <v>42.499812906568422</v>
          </cell>
          <cell r="AI37">
            <v>42.499812906568422</v>
          </cell>
          <cell r="AJ37">
            <v>42.499812906568422</v>
          </cell>
          <cell r="AK37">
            <v>42.499812906568422</v>
          </cell>
          <cell r="AL37">
            <v>42.499812906568422</v>
          </cell>
          <cell r="AM37">
            <v>42.499812906568422</v>
          </cell>
          <cell r="AN37">
            <v>42.499812906568422</v>
          </cell>
          <cell r="AO37">
            <v>42.499812906568422</v>
          </cell>
          <cell r="AP37">
            <v>42.499812906568422</v>
          </cell>
          <cell r="AQ37">
            <v>42.499812906568422</v>
          </cell>
          <cell r="AR37">
            <v>42.499812906568422</v>
          </cell>
          <cell r="AS37">
            <v>42.499812906568422</v>
          </cell>
          <cell r="AT37">
            <v>42.499812906568422</v>
          </cell>
          <cell r="AU37">
            <v>42.499812906568422</v>
          </cell>
          <cell r="AV37">
            <v>42.499812906568422</v>
          </cell>
          <cell r="AW37">
            <v>42.499812906568422</v>
          </cell>
          <cell r="AX37">
            <v>42.499812906568422</v>
          </cell>
          <cell r="AY37">
            <v>42.499812906568422</v>
          </cell>
          <cell r="AZ37">
            <v>42.499812906568422</v>
          </cell>
          <cell r="BA37">
            <v>42.499812906568422</v>
          </cell>
          <cell r="BB37">
            <v>42.499812906568422</v>
          </cell>
          <cell r="BC37">
            <v>42.499812906568422</v>
          </cell>
          <cell r="BD37">
            <v>42.499812906568422</v>
          </cell>
          <cell r="BE37">
            <v>42.499812906568422</v>
          </cell>
          <cell r="BF37">
            <v>42.499812906568422</v>
          </cell>
          <cell r="BG37">
            <v>42.499812906568422</v>
          </cell>
          <cell r="BH37">
            <v>42.499812906568422</v>
          </cell>
          <cell r="BI37">
            <v>42.499812906568422</v>
          </cell>
          <cell r="BJ37">
            <v>42.499812906568422</v>
          </cell>
          <cell r="BK37">
            <v>42.499812906568422</v>
          </cell>
          <cell r="BL37">
            <v>42.499812906568422</v>
          </cell>
          <cell r="BM37">
            <v>42.499812906568422</v>
          </cell>
          <cell r="BN37">
            <v>42.499812906568422</v>
          </cell>
          <cell r="BO37">
            <v>42.499812906568422</v>
          </cell>
        </row>
        <row r="38">
          <cell r="B38" t="str">
            <v>Gasoline</v>
          </cell>
          <cell r="G38">
            <v>34.659999168511533</v>
          </cell>
          <cell r="H38">
            <v>34.659952530630569</v>
          </cell>
          <cell r="I38">
            <v>34.99994930856888</v>
          </cell>
          <cell r="J38">
            <v>35.000024944125158</v>
          </cell>
          <cell r="K38">
            <v>35</v>
          </cell>
          <cell r="L38">
            <v>34.999987755571823</v>
          </cell>
          <cell r="M38">
            <v>35</v>
          </cell>
          <cell r="N38">
            <v>35</v>
          </cell>
          <cell r="O38">
            <v>35.000011988021569</v>
          </cell>
          <cell r="P38">
            <v>34.999976328671657</v>
          </cell>
          <cell r="Q38">
            <v>35.000023044660551</v>
          </cell>
          <cell r="R38">
            <v>35</v>
          </cell>
          <cell r="S38">
            <v>34.999988381090922</v>
          </cell>
          <cell r="T38">
            <v>34.999988640675021</v>
          </cell>
          <cell r="U38">
            <v>34.999977954144619</v>
          </cell>
          <cell r="V38">
            <v>34.99996661703733</v>
          </cell>
          <cell r="W38">
            <v>35.000010793145059</v>
          </cell>
          <cell r="X38">
            <v>34.999967894728947</v>
          </cell>
          <cell r="Y38">
            <v>35</v>
          </cell>
          <cell r="Z38">
            <v>34.999968542313738</v>
          </cell>
          <cell r="AA38">
            <v>34.999962880015843</v>
          </cell>
          <cell r="AB38">
            <v>34.999962880015843</v>
          </cell>
          <cell r="AC38">
            <v>34.999962880015843</v>
          </cell>
          <cell r="AD38">
            <v>34.999962880015843</v>
          </cell>
          <cell r="AE38">
            <v>34.999962880015843</v>
          </cell>
          <cell r="AF38">
            <v>34.999962880015843</v>
          </cell>
          <cell r="AG38">
            <v>34.999962880015843</v>
          </cell>
          <cell r="AH38">
            <v>34.999962880015843</v>
          </cell>
          <cell r="AI38">
            <v>34.999962880015843</v>
          </cell>
          <cell r="AJ38">
            <v>34.999962880015843</v>
          </cell>
          <cell r="AK38">
            <v>34.999962880015843</v>
          </cell>
          <cell r="AL38">
            <v>34.999962880015843</v>
          </cell>
          <cell r="AM38">
            <v>34.999962880015843</v>
          </cell>
          <cell r="AN38">
            <v>34.999962880015843</v>
          </cell>
          <cell r="AO38">
            <v>34.999962880015843</v>
          </cell>
          <cell r="AP38">
            <v>34.999962880015843</v>
          </cell>
          <cell r="AQ38">
            <v>34.999962880015843</v>
          </cell>
          <cell r="AR38">
            <v>34.999962880015843</v>
          </cell>
          <cell r="AS38">
            <v>34.999962880015843</v>
          </cell>
          <cell r="AT38">
            <v>34.999962880015843</v>
          </cell>
          <cell r="AU38">
            <v>34.999962880015843</v>
          </cell>
          <cell r="AV38">
            <v>34.999962880015843</v>
          </cell>
          <cell r="AW38">
            <v>34.999962880015843</v>
          </cell>
          <cell r="AX38">
            <v>34.999962880015843</v>
          </cell>
          <cell r="AY38">
            <v>34.999962880015843</v>
          </cell>
          <cell r="AZ38">
            <v>34.999962880015843</v>
          </cell>
          <cell r="BA38">
            <v>34.999962880015843</v>
          </cell>
          <cell r="BB38">
            <v>34.999962880015843</v>
          </cell>
          <cell r="BC38">
            <v>34.999962880015843</v>
          </cell>
          <cell r="BD38">
            <v>34.999962880015843</v>
          </cell>
          <cell r="BE38">
            <v>34.999962880015843</v>
          </cell>
          <cell r="BF38">
            <v>34.999962880015843</v>
          </cell>
          <cell r="BG38">
            <v>34.999962880015843</v>
          </cell>
          <cell r="BH38">
            <v>34.999962880015843</v>
          </cell>
          <cell r="BI38">
            <v>34.999962880015843</v>
          </cell>
          <cell r="BJ38">
            <v>34.999962880015843</v>
          </cell>
          <cell r="BK38">
            <v>34.999962880015843</v>
          </cell>
          <cell r="BL38">
            <v>34.999962880015843</v>
          </cell>
          <cell r="BM38">
            <v>34.999962880015843</v>
          </cell>
          <cell r="BN38">
            <v>34.999962880015843</v>
          </cell>
          <cell r="BO38">
            <v>34.999962880015843</v>
          </cell>
        </row>
        <row r="39">
          <cell r="B39" t="str">
            <v>Hydrogen</v>
          </cell>
          <cell r="G39">
            <v>142</v>
          </cell>
          <cell r="H39">
            <v>142</v>
          </cell>
          <cell r="I39">
            <v>142</v>
          </cell>
          <cell r="J39">
            <v>142</v>
          </cell>
          <cell r="K39">
            <v>142</v>
          </cell>
          <cell r="L39">
            <v>142</v>
          </cell>
          <cell r="M39">
            <v>142</v>
          </cell>
          <cell r="N39">
            <v>142</v>
          </cell>
          <cell r="O39">
            <v>142</v>
          </cell>
          <cell r="P39">
            <v>142</v>
          </cell>
          <cell r="Q39">
            <v>142</v>
          </cell>
          <cell r="R39">
            <v>142</v>
          </cell>
          <cell r="S39">
            <v>142</v>
          </cell>
          <cell r="T39">
            <v>142</v>
          </cell>
          <cell r="U39">
            <v>142</v>
          </cell>
          <cell r="V39">
            <v>142</v>
          </cell>
          <cell r="W39">
            <v>142</v>
          </cell>
          <cell r="X39">
            <v>142</v>
          </cell>
          <cell r="Y39">
            <v>142</v>
          </cell>
          <cell r="Z39">
            <v>142</v>
          </cell>
          <cell r="AA39">
            <v>142</v>
          </cell>
          <cell r="AB39">
            <v>142</v>
          </cell>
          <cell r="AC39">
            <v>142</v>
          </cell>
          <cell r="AD39">
            <v>142</v>
          </cell>
          <cell r="AE39">
            <v>142</v>
          </cell>
          <cell r="AF39">
            <v>142</v>
          </cell>
          <cell r="AG39">
            <v>142</v>
          </cell>
          <cell r="AH39">
            <v>142</v>
          </cell>
          <cell r="AI39">
            <v>142</v>
          </cell>
          <cell r="AJ39">
            <v>142</v>
          </cell>
          <cell r="AK39">
            <v>142</v>
          </cell>
          <cell r="AL39">
            <v>142</v>
          </cell>
          <cell r="AM39">
            <v>142</v>
          </cell>
          <cell r="AN39">
            <v>142</v>
          </cell>
          <cell r="AO39">
            <v>142</v>
          </cell>
          <cell r="AP39">
            <v>142</v>
          </cell>
          <cell r="AQ39">
            <v>142</v>
          </cell>
          <cell r="AR39">
            <v>142</v>
          </cell>
          <cell r="AS39">
            <v>142</v>
          </cell>
          <cell r="AT39">
            <v>142</v>
          </cell>
          <cell r="AU39">
            <v>142</v>
          </cell>
          <cell r="AV39">
            <v>142</v>
          </cell>
          <cell r="AW39">
            <v>142</v>
          </cell>
          <cell r="AX39">
            <v>142</v>
          </cell>
          <cell r="AY39">
            <v>142</v>
          </cell>
          <cell r="AZ39">
            <v>142</v>
          </cell>
          <cell r="BA39">
            <v>142</v>
          </cell>
          <cell r="BB39">
            <v>142</v>
          </cell>
          <cell r="BC39">
            <v>142</v>
          </cell>
          <cell r="BD39">
            <v>142</v>
          </cell>
          <cell r="BE39">
            <v>142</v>
          </cell>
          <cell r="BF39">
            <v>142</v>
          </cell>
          <cell r="BG39">
            <v>142</v>
          </cell>
          <cell r="BH39">
            <v>142</v>
          </cell>
          <cell r="BI39">
            <v>142</v>
          </cell>
          <cell r="BJ39">
            <v>142</v>
          </cell>
          <cell r="BK39">
            <v>142</v>
          </cell>
          <cell r="BL39">
            <v>142</v>
          </cell>
          <cell r="BM39">
            <v>142</v>
          </cell>
          <cell r="BN39">
            <v>142</v>
          </cell>
          <cell r="BO39">
            <v>142</v>
          </cell>
        </row>
        <row r="40">
          <cell r="B40" t="str">
            <v>Jet fuel</v>
          </cell>
          <cell r="G40">
            <v>36.369907239712113</v>
          </cell>
          <cell r="H40">
            <v>36.370010596962203</v>
          </cell>
          <cell r="I40">
            <v>37.40004995420864</v>
          </cell>
          <cell r="J40">
            <v>37.400067238191291</v>
          </cell>
          <cell r="K40">
            <v>37.399981406303262</v>
          </cell>
          <cell r="L40">
            <v>37.400184612679674</v>
          </cell>
          <cell r="M40">
            <v>37.400059355987537</v>
          </cell>
          <cell r="N40">
            <v>37.400157760962927</v>
          </cell>
          <cell r="O40">
            <v>37.40004043482994</v>
          </cell>
          <cell r="P40">
            <v>37.400068271036012</v>
          </cell>
          <cell r="Q40">
            <v>37.400177462289257</v>
          </cell>
          <cell r="R40">
            <v>37.400238829734313</v>
          </cell>
          <cell r="S40">
            <v>37.39993851829081</v>
          </cell>
          <cell r="T40">
            <v>37.400161140754918</v>
          </cell>
          <cell r="U40">
            <v>37.400081034931837</v>
          </cell>
          <cell r="V40">
            <v>37.400171193326173</v>
          </cell>
          <cell r="W40">
            <v>37.400183235298023</v>
          </cell>
          <cell r="X40">
            <v>37.400138080678573</v>
          </cell>
          <cell r="Y40">
            <v>37.400039523088068</v>
          </cell>
          <cell r="Z40">
            <v>37.399874740416003</v>
          </cell>
          <cell r="AA40">
            <v>37.399790709313443</v>
          </cell>
          <cell r="AB40">
            <v>37.399790709313443</v>
          </cell>
          <cell r="AC40">
            <v>37.399790709313443</v>
          </cell>
          <cell r="AD40">
            <v>37.399790709313443</v>
          </cell>
          <cell r="AE40">
            <v>37.399790709313443</v>
          </cell>
          <cell r="AF40">
            <v>37.399790709313443</v>
          </cell>
          <cell r="AG40">
            <v>37.399790709313443</v>
          </cell>
          <cell r="AH40">
            <v>37.399790709313443</v>
          </cell>
          <cell r="AI40">
            <v>37.399790709313443</v>
          </cell>
          <cell r="AJ40">
            <v>37.399790709313443</v>
          </cell>
          <cell r="AK40">
            <v>37.399790709313443</v>
          </cell>
          <cell r="AL40">
            <v>37.399790709313443</v>
          </cell>
          <cell r="AM40">
            <v>37.399790709313443</v>
          </cell>
          <cell r="AN40">
            <v>37.399790709313443</v>
          </cell>
          <cell r="AO40">
            <v>37.399790709313443</v>
          </cell>
          <cell r="AP40">
            <v>37.399790709313443</v>
          </cell>
          <cell r="AQ40">
            <v>37.399790709313443</v>
          </cell>
          <cell r="AR40">
            <v>37.399790709313443</v>
          </cell>
          <cell r="AS40">
            <v>37.399790709313443</v>
          </cell>
          <cell r="AT40">
            <v>37.399790709313443</v>
          </cell>
          <cell r="AU40">
            <v>37.399790709313443</v>
          </cell>
          <cell r="AV40">
            <v>37.399790709313443</v>
          </cell>
          <cell r="AW40">
            <v>37.399790709313443</v>
          </cell>
          <cell r="AX40">
            <v>37.399790709313443</v>
          </cell>
          <cell r="AY40">
            <v>37.399790709313443</v>
          </cell>
          <cell r="AZ40">
            <v>37.399790709313443</v>
          </cell>
          <cell r="BA40">
            <v>37.399790709313443</v>
          </cell>
          <cell r="BB40">
            <v>37.399790709313443</v>
          </cell>
          <cell r="BC40">
            <v>37.399790709313443</v>
          </cell>
          <cell r="BD40">
            <v>37.399790709313443</v>
          </cell>
          <cell r="BE40">
            <v>37.399790709313443</v>
          </cell>
          <cell r="BF40">
            <v>37.399790709313443</v>
          </cell>
          <cell r="BG40">
            <v>37.399790709313443</v>
          </cell>
          <cell r="BH40">
            <v>37.399790709313443</v>
          </cell>
          <cell r="BI40">
            <v>37.399790709313443</v>
          </cell>
          <cell r="BJ40">
            <v>37.399790709313443</v>
          </cell>
          <cell r="BK40">
            <v>37.399790709313443</v>
          </cell>
          <cell r="BL40">
            <v>37.399790709313443</v>
          </cell>
          <cell r="BM40">
            <v>37.399790709313443</v>
          </cell>
          <cell r="BN40">
            <v>37.399790709313443</v>
          </cell>
          <cell r="BO40">
            <v>37.399790709313443</v>
          </cell>
        </row>
        <row r="41">
          <cell r="B41" t="str">
            <v>LPG</v>
          </cell>
          <cell r="G41">
            <v>26.84811029236986</v>
          </cell>
          <cell r="H41">
            <v>26.84811029236986</v>
          </cell>
          <cell r="I41">
            <v>26.84811029236986</v>
          </cell>
          <cell r="J41">
            <v>26.800082610491529</v>
          </cell>
          <cell r="K41">
            <v>26.799897075220859</v>
          </cell>
          <cell r="L41">
            <v>26.799897075220859</v>
          </cell>
          <cell r="M41">
            <v>26.799897075220859</v>
          </cell>
          <cell r="N41">
            <v>26.799897075220859</v>
          </cell>
          <cell r="O41">
            <v>26.799897075220859</v>
          </cell>
          <cell r="P41">
            <v>26.799897075220859</v>
          </cell>
          <cell r="Q41">
            <v>26.799897075220859</v>
          </cell>
          <cell r="R41">
            <v>26.799897075220859</v>
          </cell>
          <cell r="S41">
            <v>26.799897075220859</v>
          </cell>
          <cell r="T41">
            <v>26.799897075220859</v>
          </cell>
          <cell r="U41">
            <v>26.799897075220859</v>
          </cell>
          <cell r="V41">
            <v>26.799897075220859</v>
          </cell>
          <cell r="W41">
            <v>26.799897075220859</v>
          </cell>
          <cell r="X41">
            <v>26.799897075220859</v>
          </cell>
          <cell r="Y41">
            <v>26.799897075220859</v>
          </cell>
          <cell r="Z41">
            <v>26.799897075220859</v>
          </cell>
          <cell r="AA41">
            <v>26.799897075220859</v>
          </cell>
          <cell r="AB41">
            <v>26.799897075220859</v>
          </cell>
          <cell r="AC41">
            <v>26.799897075220859</v>
          </cell>
          <cell r="AD41">
            <v>26.799897075220859</v>
          </cell>
          <cell r="AE41">
            <v>26.799897075220859</v>
          </cell>
          <cell r="AF41">
            <v>26.799897075220859</v>
          </cell>
          <cell r="AG41">
            <v>26.799897075220859</v>
          </cell>
          <cell r="AH41">
            <v>26.799897075220859</v>
          </cell>
          <cell r="AI41">
            <v>26.799897075220859</v>
          </cell>
          <cell r="AJ41">
            <v>26.799897075220859</v>
          </cell>
          <cell r="AK41">
            <v>26.799897075220859</v>
          </cell>
          <cell r="AL41">
            <v>26.799897075220859</v>
          </cell>
          <cell r="AM41">
            <v>26.799897075220859</v>
          </cell>
          <cell r="AN41">
            <v>26.799897075220859</v>
          </cell>
          <cell r="AO41">
            <v>26.799897075220859</v>
          </cell>
          <cell r="AP41">
            <v>26.799897075220859</v>
          </cell>
          <cell r="AQ41">
            <v>26.799897075220859</v>
          </cell>
          <cell r="AR41">
            <v>26.799897075220859</v>
          </cell>
          <cell r="AS41">
            <v>26.799897075220859</v>
          </cell>
          <cell r="AT41">
            <v>26.799897075220859</v>
          </cell>
          <cell r="AU41">
            <v>26.799897075220859</v>
          </cell>
          <cell r="AV41">
            <v>26.799897075220859</v>
          </cell>
          <cell r="AW41">
            <v>26.799897075220859</v>
          </cell>
          <cell r="AX41">
            <v>26.799897075220859</v>
          </cell>
          <cell r="AY41">
            <v>26.799897075220859</v>
          </cell>
          <cell r="AZ41">
            <v>26.799897075220859</v>
          </cell>
          <cell r="BA41">
            <v>26.799897075220859</v>
          </cell>
          <cell r="BB41">
            <v>26.799897075220859</v>
          </cell>
          <cell r="BC41">
            <v>26.799897075220859</v>
          </cell>
          <cell r="BD41">
            <v>26.799897075220859</v>
          </cell>
          <cell r="BE41">
            <v>26.799897075220859</v>
          </cell>
          <cell r="BF41">
            <v>26.799897075220859</v>
          </cell>
          <cell r="BG41">
            <v>26.799897075220859</v>
          </cell>
          <cell r="BH41">
            <v>26.799897075220859</v>
          </cell>
          <cell r="BI41">
            <v>26.799897075220859</v>
          </cell>
          <cell r="BJ41">
            <v>26.799897075220859</v>
          </cell>
          <cell r="BK41">
            <v>26.799897075220859</v>
          </cell>
          <cell r="BL41">
            <v>26.799897075220859</v>
          </cell>
          <cell r="BM41">
            <v>26.799897075220859</v>
          </cell>
          <cell r="BN41">
            <v>26.799897075220859</v>
          </cell>
          <cell r="BO41">
            <v>26.799897075220859</v>
          </cell>
        </row>
        <row r="42">
          <cell r="B42" t="str">
            <v>Natural gas</v>
          </cell>
          <cell r="G42">
            <v>37.989999934966512</v>
          </cell>
          <cell r="H42">
            <v>38.090000067537588</v>
          </cell>
          <cell r="I42">
            <v>38.089999943885992</v>
          </cell>
          <cell r="J42">
            <v>38.200000000000003</v>
          </cell>
          <cell r="K42">
            <v>38.21000005608883</v>
          </cell>
          <cell r="L42">
            <v>38.259998958056819</v>
          </cell>
          <cell r="M42">
            <v>38.260000180720937</v>
          </cell>
          <cell r="N42">
            <v>38.110000608339433</v>
          </cell>
          <cell r="O42">
            <v>38.409998944225379</v>
          </cell>
          <cell r="P42">
            <v>38.430000915151403</v>
          </cell>
          <cell r="Q42">
            <v>38.51999993949601</v>
          </cell>
          <cell r="R42">
            <v>38.560001088530569</v>
          </cell>
          <cell r="S42">
            <v>38.740000970806207</v>
          </cell>
          <cell r="T42">
            <v>38.85000097656868</v>
          </cell>
          <cell r="U42">
            <v>38.999999222988272</v>
          </cell>
          <cell r="V42">
            <v>39.239999484440993</v>
          </cell>
          <cell r="W42">
            <v>39.029993050258099</v>
          </cell>
          <cell r="X42">
            <v>39.219991692165777</v>
          </cell>
          <cell r="Y42">
            <v>39.11000062547992</v>
          </cell>
          <cell r="Z42">
            <v>39.28004057736554</v>
          </cell>
          <cell r="AA42">
            <v>39.279978463639132</v>
          </cell>
          <cell r="AB42">
            <v>39.279978463639132</v>
          </cell>
          <cell r="AC42">
            <v>39.279978463639132</v>
          </cell>
          <cell r="AD42">
            <v>39.279978463639132</v>
          </cell>
          <cell r="AE42">
            <v>39.279978463639132</v>
          </cell>
          <cell r="AF42">
            <v>39.279978463639132</v>
          </cell>
          <cell r="AG42">
            <v>39.279978463639132</v>
          </cell>
          <cell r="AH42">
            <v>39.279978463639132</v>
          </cell>
          <cell r="AI42">
            <v>39.279978463639132</v>
          </cell>
          <cell r="AJ42">
            <v>39.279978463639132</v>
          </cell>
          <cell r="AK42">
            <v>39.279978463639132</v>
          </cell>
          <cell r="AL42">
            <v>39.279978463639132</v>
          </cell>
          <cell r="AM42">
            <v>39.279978463639132</v>
          </cell>
          <cell r="AN42">
            <v>39.279978463639132</v>
          </cell>
          <cell r="AO42">
            <v>39.279978463639132</v>
          </cell>
          <cell r="AP42">
            <v>39.279978463639132</v>
          </cell>
          <cell r="AQ42">
            <v>39.279978463639132</v>
          </cell>
          <cell r="AR42">
            <v>39.279978463639132</v>
          </cell>
          <cell r="AS42">
            <v>39.279978463639132</v>
          </cell>
          <cell r="AT42">
            <v>39.279978463639132</v>
          </cell>
          <cell r="AU42">
            <v>39.279978463639132</v>
          </cell>
          <cell r="AV42">
            <v>39.279978463639132</v>
          </cell>
          <cell r="AW42">
            <v>39.279978463639132</v>
          </cell>
          <cell r="AX42">
            <v>39.279978463639132</v>
          </cell>
          <cell r="AY42">
            <v>39.279978463639132</v>
          </cell>
          <cell r="AZ42">
            <v>39.279978463639132</v>
          </cell>
          <cell r="BA42">
            <v>39.279978463639132</v>
          </cell>
          <cell r="BB42">
            <v>39.279978463639132</v>
          </cell>
          <cell r="BC42">
            <v>39.279978463639132</v>
          </cell>
          <cell r="BD42">
            <v>39.279978463639132</v>
          </cell>
          <cell r="BE42">
            <v>39.279978463639132</v>
          </cell>
          <cell r="BF42">
            <v>39.279978463639132</v>
          </cell>
          <cell r="BG42">
            <v>39.279978463639132</v>
          </cell>
          <cell r="BH42">
            <v>39.279978463639132</v>
          </cell>
          <cell r="BI42">
            <v>39.279978463639132</v>
          </cell>
          <cell r="BJ42">
            <v>39.279978463639132</v>
          </cell>
          <cell r="BK42">
            <v>39.279978463639132</v>
          </cell>
          <cell r="BL42">
            <v>39.279978463639132</v>
          </cell>
          <cell r="BM42">
            <v>39.279978463639132</v>
          </cell>
          <cell r="BN42">
            <v>39.279978463639132</v>
          </cell>
          <cell r="BO42">
            <v>39.279978463639132</v>
          </cell>
        </row>
        <row r="43">
          <cell r="B43" t="str">
            <v>Petroleum coke</v>
          </cell>
          <cell r="G43">
            <v>38.647544558124402</v>
          </cell>
          <cell r="H43">
            <v>38.647544505439768</v>
          </cell>
          <cell r="I43">
            <v>38.647544645524597</v>
          </cell>
          <cell r="J43">
            <v>38.647544383625231</v>
          </cell>
          <cell r="K43">
            <v>38.647544562117609</v>
          </cell>
          <cell r="L43">
            <v>38.647544328371573</v>
          </cell>
          <cell r="M43">
            <v>38.647538364410053</v>
          </cell>
          <cell r="N43">
            <v>38.647532379989407</v>
          </cell>
          <cell r="O43">
            <v>38.647536489743572</v>
          </cell>
          <cell r="P43">
            <v>38.647537590620253</v>
          </cell>
          <cell r="Q43">
            <v>38.647532447156081</v>
          </cell>
          <cell r="R43">
            <v>38.647541819225708</v>
          </cell>
          <cell r="S43">
            <v>38.647535763672678</v>
          </cell>
          <cell r="T43">
            <v>38.647553606699262</v>
          </cell>
          <cell r="U43">
            <v>38.649998943212829</v>
          </cell>
          <cell r="V43">
            <v>38.650005369567552</v>
          </cell>
          <cell r="W43">
            <v>38.649992812913403</v>
          </cell>
          <cell r="X43">
            <v>38.649995985309531</v>
          </cell>
          <cell r="Y43">
            <v>38.64999248131695</v>
          </cell>
          <cell r="Z43">
            <v>38.650016910448443</v>
          </cell>
          <cell r="AA43">
            <v>38.649994080243196</v>
          </cell>
          <cell r="AB43">
            <v>38.649994080243196</v>
          </cell>
          <cell r="AC43">
            <v>38.649994080243196</v>
          </cell>
          <cell r="AD43">
            <v>38.649994080243196</v>
          </cell>
          <cell r="AE43">
            <v>38.649994080243196</v>
          </cell>
          <cell r="AF43">
            <v>38.649994080243196</v>
          </cell>
          <cell r="AG43">
            <v>38.649994080243196</v>
          </cell>
          <cell r="AH43">
            <v>38.649994080243196</v>
          </cell>
          <cell r="AI43">
            <v>38.649994080243196</v>
          </cell>
          <cell r="AJ43">
            <v>38.649994080243196</v>
          </cell>
          <cell r="AK43">
            <v>38.649994080243196</v>
          </cell>
          <cell r="AL43">
            <v>38.649994080243196</v>
          </cell>
          <cell r="AM43">
            <v>38.649994080243196</v>
          </cell>
          <cell r="AN43">
            <v>38.649994080243196</v>
          </cell>
          <cell r="AO43">
            <v>38.649994080243196</v>
          </cell>
          <cell r="AP43">
            <v>38.649994080243196</v>
          </cell>
          <cell r="AQ43">
            <v>38.649994080243196</v>
          </cell>
          <cell r="AR43">
            <v>38.649994080243196</v>
          </cell>
          <cell r="AS43">
            <v>38.649994080243196</v>
          </cell>
          <cell r="AT43">
            <v>38.649994080243196</v>
          </cell>
          <cell r="AU43">
            <v>38.649994080243196</v>
          </cell>
          <cell r="AV43">
            <v>38.649994080243196</v>
          </cell>
          <cell r="AW43">
            <v>38.649994080243196</v>
          </cell>
          <cell r="AX43">
            <v>38.649994080243196</v>
          </cell>
          <cell r="AY43">
            <v>38.649994080243196</v>
          </cell>
          <cell r="AZ43">
            <v>38.649994080243196</v>
          </cell>
          <cell r="BA43">
            <v>38.649994080243196</v>
          </cell>
          <cell r="BB43">
            <v>38.649994080243196</v>
          </cell>
          <cell r="BC43">
            <v>38.649994080243196</v>
          </cell>
          <cell r="BD43">
            <v>38.649994080243196</v>
          </cell>
          <cell r="BE43">
            <v>38.649994080243196</v>
          </cell>
          <cell r="BF43">
            <v>38.649994080243196</v>
          </cell>
          <cell r="BG43">
            <v>38.649994080243196</v>
          </cell>
          <cell r="BH43">
            <v>38.649994080243196</v>
          </cell>
          <cell r="BI43">
            <v>38.649994080243196</v>
          </cell>
          <cell r="BJ43">
            <v>38.649994080243196</v>
          </cell>
          <cell r="BK43">
            <v>38.649994080243196</v>
          </cell>
          <cell r="BL43">
            <v>38.649994080243196</v>
          </cell>
          <cell r="BM43">
            <v>38.649994080243196</v>
          </cell>
          <cell r="BN43">
            <v>38.649994080243196</v>
          </cell>
          <cell r="BO43">
            <v>38.649994080243196</v>
          </cell>
        </row>
        <row r="44">
          <cell r="B44" t="str">
            <v>Propane</v>
          </cell>
          <cell r="G44">
            <v>25.309998872084861</v>
          </cell>
          <cell r="H44">
            <v>25.31000095586224</v>
          </cell>
          <cell r="I44">
            <v>25.309996195358341</v>
          </cell>
          <cell r="J44">
            <v>25.31000065264211</v>
          </cell>
          <cell r="K44">
            <v>25.309999732126119</v>
          </cell>
          <cell r="L44">
            <v>25.310004648873331</v>
          </cell>
          <cell r="M44">
            <v>25.310008937742619</v>
          </cell>
          <cell r="N44">
            <v>25.309965026132161</v>
          </cell>
          <cell r="O44">
            <v>25.310016100068111</v>
          </cell>
          <cell r="P44">
            <v>25.30995543220482</v>
          </cell>
          <cell r="Q44">
            <v>25.30998020375646</v>
          </cell>
          <cell r="R44">
            <v>25.31001367760754</v>
          </cell>
          <cell r="S44">
            <v>25.309978730946469</v>
          </cell>
          <cell r="T44">
            <v>25.309978730946469</v>
          </cell>
          <cell r="U44">
            <v>25.309978730946469</v>
          </cell>
          <cell r="V44">
            <v>25.309978730946469</v>
          </cell>
          <cell r="W44">
            <v>25.30982148657721</v>
          </cell>
          <cell r="X44">
            <v>25.309922625347589</v>
          </cell>
          <cell r="Y44">
            <v>25.30993392896394</v>
          </cell>
          <cell r="Z44">
            <v>25.308861021918709</v>
          </cell>
          <cell r="AA44">
            <v>25.308861021918709</v>
          </cell>
          <cell r="AB44">
            <v>25.308861021918709</v>
          </cell>
          <cell r="AC44">
            <v>25.308861021918709</v>
          </cell>
          <cell r="AD44">
            <v>25.308861021918709</v>
          </cell>
          <cell r="AE44">
            <v>25.308861021918709</v>
          </cell>
          <cell r="AF44">
            <v>25.308861021918709</v>
          </cell>
          <cell r="AG44">
            <v>25.308861021918709</v>
          </cell>
          <cell r="AH44">
            <v>25.308861021918709</v>
          </cell>
          <cell r="AI44">
            <v>25.308861021918709</v>
          </cell>
          <cell r="AJ44">
            <v>25.308861021918709</v>
          </cell>
          <cell r="AK44">
            <v>25.308861021918709</v>
          </cell>
          <cell r="AL44">
            <v>25.308861021918709</v>
          </cell>
          <cell r="AM44">
            <v>25.308861021918709</v>
          </cell>
          <cell r="AN44">
            <v>25.308861021918709</v>
          </cell>
          <cell r="AO44">
            <v>25.308861021918709</v>
          </cell>
          <cell r="AP44">
            <v>25.308861021918709</v>
          </cell>
          <cell r="AQ44">
            <v>25.308861021918709</v>
          </cell>
          <cell r="AR44">
            <v>25.308861021918709</v>
          </cell>
          <cell r="AS44">
            <v>25.308861021918709</v>
          </cell>
          <cell r="AT44">
            <v>25.308861021918709</v>
          </cell>
          <cell r="AU44">
            <v>25.308861021918709</v>
          </cell>
          <cell r="AV44">
            <v>25.308861021918709</v>
          </cell>
          <cell r="AW44">
            <v>25.308861021918709</v>
          </cell>
          <cell r="AX44">
            <v>25.308861021918709</v>
          </cell>
          <cell r="AY44">
            <v>25.308861021918709</v>
          </cell>
          <cell r="AZ44">
            <v>25.308861021918709</v>
          </cell>
          <cell r="BA44">
            <v>25.308861021918709</v>
          </cell>
          <cell r="BB44">
            <v>25.308861021918709</v>
          </cell>
          <cell r="BC44">
            <v>25.308861021918709</v>
          </cell>
          <cell r="BD44">
            <v>25.308861021918709</v>
          </cell>
          <cell r="BE44">
            <v>25.308861021918709</v>
          </cell>
          <cell r="BF44">
            <v>25.308861021918709</v>
          </cell>
          <cell r="BG44">
            <v>25.308861021918709</v>
          </cell>
          <cell r="BH44">
            <v>25.308861021918709</v>
          </cell>
          <cell r="BI44">
            <v>25.308861021918709</v>
          </cell>
          <cell r="BJ44">
            <v>25.308861021918709</v>
          </cell>
          <cell r="BK44">
            <v>25.308861021918709</v>
          </cell>
          <cell r="BL44">
            <v>25.308861021918709</v>
          </cell>
          <cell r="BM44">
            <v>25.308861021918709</v>
          </cell>
          <cell r="BN44">
            <v>25.308861021918709</v>
          </cell>
          <cell r="BO44">
            <v>25.308861021918709</v>
          </cell>
        </row>
        <row r="45">
          <cell r="B45" t="str">
            <v>Refinery fuel gas</v>
          </cell>
          <cell r="G45">
            <v>36.08</v>
          </cell>
          <cell r="H45">
            <v>36.08</v>
          </cell>
          <cell r="I45">
            <v>36.08</v>
          </cell>
          <cell r="J45">
            <v>36.08</v>
          </cell>
          <cell r="K45">
            <v>36.08</v>
          </cell>
          <cell r="L45">
            <v>36.08</v>
          </cell>
          <cell r="M45">
            <v>36.08</v>
          </cell>
          <cell r="N45">
            <v>36.08</v>
          </cell>
          <cell r="O45">
            <v>36.08</v>
          </cell>
          <cell r="P45">
            <v>36.08</v>
          </cell>
          <cell r="Q45">
            <v>36.08</v>
          </cell>
          <cell r="R45">
            <v>36.08</v>
          </cell>
          <cell r="S45">
            <v>36.08</v>
          </cell>
          <cell r="T45">
            <v>36.08</v>
          </cell>
          <cell r="U45">
            <v>36.08</v>
          </cell>
          <cell r="V45">
            <v>36.08</v>
          </cell>
          <cell r="W45">
            <v>36.08</v>
          </cell>
          <cell r="X45">
            <v>36.08</v>
          </cell>
          <cell r="Y45">
            <v>36.08</v>
          </cell>
          <cell r="Z45">
            <v>36.08</v>
          </cell>
          <cell r="AA45">
            <v>36.08</v>
          </cell>
          <cell r="AB45">
            <v>36.08</v>
          </cell>
          <cell r="AC45">
            <v>36.08</v>
          </cell>
          <cell r="AD45">
            <v>36.08</v>
          </cell>
          <cell r="AE45">
            <v>36.08</v>
          </cell>
          <cell r="AF45">
            <v>36.08</v>
          </cell>
          <cell r="AG45">
            <v>36.08</v>
          </cell>
          <cell r="AH45">
            <v>36.08</v>
          </cell>
          <cell r="AI45">
            <v>36.08</v>
          </cell>
          <cell r="AJ45">
            <v>36.08</v>
          </cell>
          <cell r="AK45">
            <v>36.08</v>
          </cell>
          <cell r="AL45">
            <v>36.08</v>
          </cell>
          <cell r="AM45">
            <v>36.08</v>
          </cell>
          <cell r="AN45">
            <v>36.08</v>
          </cell>
          <cell r="AO45">
            <v>36.08</v>
          </cell>
          <cell r="AP45">
            <v>36.08</v>
          </cell>
          <cell r="AQ45">
            <v>36.08</v>
          </cell>
          <cell r="AR45">
            <v>36.08</v>
          </cell>
          <cell r="AS45">
            <v>36.08</v>
          </cell>
          <cell r="AT45">
            <v>36.08</v>
          </cell>
          <cell r="AU45">
            <v>36.08</v>
          </cell>
          <cell r="AV45">
            <v>36.08</v>
          </cell>
          <cell r="AW45">
            <v>36.08</v>
          </cell>
          <cell r="AX45">
            <v>36.08</v>
          </cell>
          <cell r="AY45">
            <v>36.08</v>
          </cell>
          <cell r="AZ45">
            <v>36.08</v>
          </cell>
          <cell r="BA45">
            <v>36.08</v>
          </cell>
          <cell r="BB45">
            <v>36.08</v>
          </cell>
          <cell r="BC45">
            <v>36.08</v>
          </cell>
          <cell r="BD45">
            <v>36.08</v>
          </cell>
          <cell r="BE45">
            <v>36.08</v>
          </cell>
          <cell r="BF45">
            <v>36.08</v>
          </cell>
          <cell r="BG45">
            <v>36.08</v>
          </cell>
          <cell r="BH45">
            <v>36.08</v>
          </cell>
          <cell r="BI45">
            <v>36.08</v>
          </cell>
          <cell r="BJ45">
            <v>36.08</v>
          </cell>
          <cell r="BK45">
            <v>36.08</v>
          </cell>
          <cell r="BL45">
            <v>36.08</v>
          </cell>
          <cell r="BM45">
            <v>36.08</v>
          </cell>
          <cell r="BN45">
            <v>36.08</v>
          </cell>
          <cell r="BO45">
            <v>36.08</v>
          </cell>
        </row>
        <row r="46">
          <cell r="B46" t="str">
            <v>Solid biomass</v>
          </cell>
          <cell r="G46">
            <v>18</v>
          </cell>
          <cell r="H46">
            <v>18</v>
          </cell>
          <cell r="I46">
            <v>18</v>
          </cell>
          <cell r="J46">
            <v>18</v>
          </cell>
          <cell r="K46">
            <v>18</v>
          </cell>
          <cell r="L46">
            <v>18.000000170755111</v>
          </cell>
          <cell r="M46">
            <v>18.000000343487219</v>
          </cell>
          <cell r="N46">
            <v>17.999999715692439</v>
          </cell>
          <cell r="O46">
            <v>17.999999523496939</v>
          </cell>
          <cell r="P46">
            <v>17.999999577905282</v>
          </cell>
          <cell r="Q46">
            <v>17.999999701146169</v>
          </cell>
          <cell r="R46">
            <v>17.999999899867031</v>
          </cell>
          <cell r="S46">
            <v>18.000000620051409</v>
          </cell>
          <cell r="T46">
            <v>18.00000041061995</v>
          </cell>
          <cell r="U46">
            <v>17.999999697412122</v>
          </cell>
          <cell r="V46">
            <v>17.999999903322561</v>
          </cell>
          <cell r="W46">
            <v>17.999999468259048</v>
          </cell>
          <cell r="X46">
            <v>18.00000106738219</v>
          </cell>
          <cell r="Y46">
            <v>17.999999620779249</v>
          </cell>
          <cell r="Z46">
            <v>18.000001177537879</v>
          </cell>
          <cell r="AA46">
            <v>17.99999664793982</v>
          </cell>
          <cell r="AB46">
            <v>17.99999664793982</v>
          </cell>
          <cell r="AC46">
            <v>17.99999664793982</v>
          </cell>
          <cell r="AD46">
            <v>17.99999664793982</v>
          </cell>
          <cell r="AE46">
            <v>17.99999664793982</v>
          </cell>
          <cell r="AF46">
            <v>17.99999664793982</v>
          </cell>
          <cell r="AG46">
            <v>17.99999664793982</v>
          </cell>
          <cell r="AH46">
            <v>17.99999664793982</v>
          </cell>
          <cell r="AI46">
            <v>17.99999664793982</v>
          </cell>
          <cell r="AJ46">
            <v>17.99999664793982</v>
          </cell>
          <cell r="AK46">
            <v>17.99999664793982</v>
          </cell>
          <cell r="AL46">
            <v>17.99999664793982</v>
          </cell>
          <cell r="AM46">
            <v>17.99999664793982</v>
          </cell>
          <cell r="AN46">
            <v>17.99999664793982</v>
          </cell>
          <cell r="AO46">
            <v>17.99999664793982</v>
          </cell>
          <cell r="AP46">
            <v>17.99999664793982</v>
          </cell>
          <cell r="AQ46">
            <v>17.99999664793982</v>
          </cell>
          <cell r="AR46">
            <v>17.99999664793982</v>
          </cell>
          <cell r="AS46">
            <v>17.99999664793982</v>
          </cell>
          <cell r="AT46">
            <v>17.99999664793982</v>
          </cell>
          <cell r="AU46">
            <v>17.99999664793982</v>
          </cell>
          <cell r="AV46">
            <v>17.99999664793982</v>
          </cell>
          <cell r="AW46">
            <v>17.99999664793982</v>
          </cell>
          <cell r="AX46">
            <v>17.99999664793982</v>
          </cell>
          <cell r="AY46">
            <v>17.99999664793982</v>
          </cell>
          <cell r="AZ46">
            <v>17.99999664793982</v>
          </cell>
          <cell r="BA46">
            <v>17.99999664793982</v>
          </cell>
          <cell r="BB46">
            <v>17.99999664793982</v>
          </cell>
          <cell r="BC46">
            <v>17.99999664793982</v>
          </cell>
          <cell r="BD46">
            <v>17.99999664793982</v>
          </cell>
          <cell r="BE46">
            <v>17.99999664793982</v>
          </cell>
          <cell r="BF46">
            <v>17.99999664793982</v>
          </cell>
          <cell r="BG46">
            <v>17.99999664793982</v>
          </cell>
          <cell r="BH46">
            <v>17.99999664793982</v>
          </cell>
          <cell r="BI46">
            <v>17.99999664793982</v>
          </cell>
          <cell r="BJ46">
            <v>17.99999664793982</v>
          </cell>
          <cell r="BK46">
            <v>17.99999664793982</v>
          </cell>
          <cell r="BL46">
            <v>17.99999664793982</v>
          </cell>
          <cell r="BM46">
            <v>17.99999664793982</v>
          </cell>
          <cell r="BN46">
            <v>17.99999664793982</v>
          </cell>
          <cell r="BO46">
            <v>17.99999664793982</v>
          </cell>
        </row>
        <row r="47">
          <cell r="B47" t="str">
            <v>Uranium</v>
          </cell>
          <cell r="G47">
            <v>697.70600000000002</v>
          </cell>
          <cell r="H47">
            <v>690.779</v>
          </cell>
          <cell r="I47">
            <v>697.35400000000004</v>
          </cell>
          <cell r="J47">
            <v>688.81899999999996</v>
          </cell>
          <cell r="K47">
            <v>704.54700000000003</v>
          </cell>
          <cell r="L47">
            <v>704.54700000000003</v>
          </cell>
          <cell r="M47">
            <v>704.54700000000003</v>
          </cell>
          <cell r="N47">
            <v>704.54700000000003</v>
          </cell>
          <cell r="O47">
            <v>704.54700000000003</v>
          </cell>
          <cell r="P47">
            <v>704.54700000000003</v>
          </cell>
          <cell r="Q47">
            <v>704.54700000000003</v>
          </cell>
          <cell r="R47">
            <v>704.54700000000003</v>
          </cell>
          <cell r="S47">
            <v>704.54700000000003</v>
          </cell>
          <cell r="T47">
            <v>704.54700000000003</v>
          </cell>
          <cell r="U47">
            <v>704.54700000000003</v>
          </cell>
          <cell r="V47">
            <v>704.54700000000003</v>
          </cell>
          <cell r="W47">
            <v>704.54700000000003</v>
          </cell>
          <cell r="X47">
            <v>704.54700000000003</v>
          </cell>
          <cell r="Y47">
            <v>704.54700000000003</v>
          </cell>
          <cell r="Z47">
            <v>704.54700000000003</v>
          </cell>
          <cell r="AA47">
            <v>704.54700000000003</v>
          </cell>
          <cell r="AB47">
            <v>704.54700000000003</v>
          </cell>
          <cell r="AC47">
            <v>704.54700000000003</v>
          </cell>
          <cell r="AD47">
            <v>704.54700000000003</v>
          </cell>
          <cell r="AE47">
            <v>704.54700000000003</v>
          </cell>
          <cell r="AF47">
            <v>704.54700000000003</v>
          </cell>
          <cell r="AG47">
            <v>704.54700000000003</v>
          </cell>
          <cell r="AH47">
            <v>704.54700000000003</v>
          </cell>
          <cell r="AI47">
            <v>704.54700000000003</v>
          </cell>
          <cell r="AJ47">
            <v>704.54700000000003</v>
          </cell>
          <cell r="AK47">
            <v>704.54700000000003</v>
          </cell>
          <cell r="AL47">
            <v>704.54700000000003</v>
          </cell>
          <cell r="AM47">
            <v>704.54700000000003</v>
          </cell>
          <cell r="AN47">
            <v>704.54700000000003</v>
          </cell>
          <cell r="AO47">
            <v>704.54700000000003</v>
          </cell>
          <cell r="AP47">
            <v>704.54700000000003</v>
          </cell>
          <cell r="AQ47">
            <v>704.54700000000003</v>
          </cell>
          <cell r="AR47">
            <v>704.54700000000003</v>
          </cell>
          <cell r="AS47">
            <v>704.54700000000003</v>
          </cell>
          <cell r="AT47">
            <v>704.54700000000003</v>
          </cell>
          <cell r="AU47">
            <v>704.54700000000003</v>
          </cell>
          <cell r="AV47">
            <v>704.54700000000003</v>
          </cell>
          <cell r="AW47">
            <v>704.54700000000003</v>
          </cell>
          <cell r="AX47">
            <v>704.54700000000003</v>
          </cell>
          <cell r="AY47">
            <v>704.54700000000003</v>
          </cell>
          <cell r="AZ47">
            <v>704.54700000000003</v>
          </cell>
          <cell r="BA47">
            <v>704.54700000000003</v>
          </cell>
          <cell r="BB47">
            <v>704.54700000000003</v>
          </cell>
          <cell r="BC47">
            <v>704.54700000000003</v>
          </cell>
          <cell r="BD47">
            <v>704.54700000000003</v>
          </cell>
          <cell r="BE47">
            <v>704.54700000000003</v>
          </cell>
          <cell r="BF47">
            <v>704.54700000000003</v>
          </cell>
          <cell r="BG47">
            <v>704.54700000000003</v>
          </cell>
          <cell r="BH47">
            <v>704.54700000000003</v>
          </cell>
          <cell r="BI47">
            <v>704.54700000000003</v>
          </cell>
          <cell r="BJ47">
            <v>704.54700000000003</v>
          </cell>
          <cell r="BK47">
            <v>704.54700000000003</v>
          </cell>
          <cell r="BL47">
            <v>704.54700000000003</v>
          </cell>
          <cell r="BM47">
            <v>704.54700000000003</v>
          </cell>
          <cell r="BN47">
            <v>704.54700000000003</v>
          </cell>
          <cell r="BO47">
            <v>704.54700000000003</v>
          </cell>
        </row>
        <row r="48">
          <cell r="B48" t="str">
            <v>Waste fuel</v>
          </cell>
          <cell r="G48">
            <v>23.825845566410479</v>
          </cell>
          <cell r="H48">
            <v>23.825845566410479</v>
          </cell>
          <cell r="I48">
            <v>23.825845566410479</v>
          </cell>
          <cell r="J48">
            <v>23.825845566410479</v>
          </cell>
          <cell r="K48">
            <v>23.825845566410479</v>
          </cell>
          <cell r="L48">
            <v>23.825845566410479</v>
          </cell>
          <cell r="M48">
            <v>23.825845566410479</v>
          </cell>
          <cell r="N48">
            <v>23.825845566410479</v>
          </cell>
          <cell r="O48">
            <v>23.825845566410479</v>
          </cell>
          <cell r="P48">
            <v>23.825845566410479</v>
          </cell>
          <cell r="Q48">
            <v>23.825845566410479</v>
          </cell>
          <cell r="R48">
            <v>23.825845566410479</v>
          </cell>
          <cell r="S48">
            <v>25.785579568642959</v>
          </cell>
          <cell r="T48">
            <v>25.11564848314643</v>
          </cell>
          <cell r="U48">
            <v>19.892782210730349</v>
          </cell>
          <cell r="V48">
            <v>18.827996205514719</v>
          </cell>
          <cell r="W48">
            <v>19.49311426579958</v>
          </cell>
          <cell r="X48">
            <v>18.991961502984498</v>
          </cell>
          <cell r="Y48">
            <v>19.929244224136649</v>
          </cell>
          <cell r="Z48">
            <v>18.592829630027559</v>
          </cell>
          <cell r="AA48">
            <v>18.592829630027559</v>
          </cell>
          <cell r="AB48">
            <v>18.592829630027559</v>
          </cell>
          <cell r="AC48">
            <v>18.592829630027559</v>
          </cell>
          <cell r="AD48">
            <v>18.592829630027559</v>
          </cell>
          <cell r="AE48">
            <v>18.592829630027559</v>
          </cell>
          <cell r="AF48">
            <v>18.592829630027559</v>
          </cell>
          <cell r="AG48">
            <v>18.592829630027559</v>
          </cell>
          <cell r="AH48">
            <v>18.592829630027559</v>
          </cell>
          <cell r="AI48">
            <v>18.592829630027559</v>
          </cell>
          <cell r="AJ48">
            <v>18.592829630027559</v>
          </cell>
          <cell r="AK48">
            <v>18.592829630027559</v>
          </cell>
          <cell r="AL48">
            <v>18.592829630027559</v>
          </cell>
          <cell r="AM48">
            <v>18.592829630027559</v>
          </cell>
          <cell r="AN48">
            <v>18.592829630027559</v>
          </cell>
          <cell r="AO48">
            <v>18.592829630027559</v>
          </cell>
          <cell r="AP48">
            <v>18.592829630027559</v>
          </cell>
          <cell r="AQ48">
            <v>18.592829630027559</v>
          </cell>
          <cell r="AR48">
            <v>18.592829630027559</v>
          </cell>
          <cell r="AS48">
            <v>18.592829630027559</v>
          </cell>
          <cell r="AT48">
            <v>18.592829630027559</v>
          </cell>
          <cell r="AU48">
            <v>18.592829630027559</v>
          </cell>
          <cell r="AV48">
            <v>18.592829630027559</v>
          </cell>
          <cell r="AW48">
            <v>18.592829630027559</v>
          </cell>
          <cell r="AX48">
            <v>18.592829630027559</v>
          </cell>
          <cell r="AY48">
            <v>18.592829630027559</v>
          </cell>
          <cell r="AZ48">
            <v>18.592829630027559</v>
          </cell>
          <cell r="BA48">
            <v>18.592829630027559</v>
          </cell>
          <cell r="BB48">
            <v>18.592829630027559</v>
          </cell>
          <cell r="BC48">
            <v>18.592829630027559</v>
          </cell>
          <cell r="BD48">
            <v>18.592829630027559</v>
          </cell>
          <cell r="BE48">
            <v>18.592829630027559</v>
          </cell>
          <cell r="BF48">
            <v>18.592829630027559</v>
          </cell>
          <cell r="BG48">
            <v>18.592829630027559</v>
          </cell>
          <cell r="BH48">
            <v>18.592829630027559</v>
          </cell>
          <cell r="BI48">
            <v>18.592829630027559</v>
          </cell>
          <cell r="BJ48">
            <v>18.592829630027559</v>
          </cell>
          <cell r="BK48">
            <v>18.592829630027559</v>
          </cell>
          <cell r="BL48">
            <v>18.592829630027559</v>
          </cell>
          <cell r="BM48">
            <v>18.592829630027559</v>
          </cell>
          <cell r="BN48">
            <v>18.592829630027559</v>
          </cell>
          <cell r="BO48">
            <v>18.592829630027559</v>
          </cell>
        </row>
        <row r="53"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</row>
        <row r="54">
          <cell r="K54">
            <v>28</v>
          </cell>
          <cell r="L54">
            <v>28</v>
          </cell>
          <cell r="M54">
            <v>28</v>
          </cell>
          <cell r="N54">
            <v>28</v>
          </cell>
          <cell r="O54">
            <v>28</v>
          </cell>
          <cell r="P54">
            <v>28</v>
          </cell>
          <cell r="Q54">
            <v>28</v>
          </cell>
          <cell r="R54">
            <v>28</v>
          </cell>
          <cell r="S54">
            <v>28</v>
          </cell>
          <cell r="T54">
            <v>28</v>
          </cell>
          <cell r="U54">
            <v>28</v>
          </cell>
        </row>
        <row r="55">
          <cell r="K55">
            <v>265</v>
          </cell>
          <cell r="L55">
            <v>265</v>
          </cell>
          <cell r="M55">
            <v>265</v>
          </cell>
          <cell r="N55">
            <v>265</v>
          </cell>
          <cell r="O55">
            <v>265</v>
          </cell>
          <cell r="P55">
            <v>265</v>
          </cell>
          <cell r="Q55">
            <v>265</v>
          </cell>
          <cell r="R55">
            <v>265</v>
          </cell>
          <cell r="S55">
            <v>265</v>
          </cell>
          <cell r="T55">
            <v>265</v>
          </cell>
          <cell r="U55">
            <v>265</v>
          </cell>
        </row>
        <row r="60">
          <cell r="B60" t="str">
            <v>Biodiesel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  <cell r="S60">
            <v>2.4740000000000002</v>
          </cell>
          <cell r="T60">
            <v>2.4740000000000002</v>
          </cell>
          <cell r="U60">
            <v>2.4740000000000002</v>
          </cell>
          <cell r="V60">
            <v>2.4740000000000002</v>
          </cell>
          <cell r="W60">
            <v>2.4740000000000002</v>
          </cell>
          <cell r="X60">
            <v>2.4740000000000002</v>
          </cell>
          <cell r="Y60">
            <v>2.4740000000000002</v>
          </cell>
          <cell r="Z60">
            <v>2.4740000000000002</v>
          </cell>
          <cell r="AA60">
            <v>2.4740000000000002</v>
          </cell>
          <cell r="AB60">
            <v>2.4740000000000002</v>
          </cell>
          <cell r="AC60">
            <v>2.4740000000000002</v>
          </cell>
          <cell r="AD60">
            <v>2.4740000000000002</v>
          </cell>
          <cell r="AE60">
            <v>2.4740000000000002</v>
          </cell>
          <cell r="AF60">
            <v>2.4740000000000002</v>
          </cell>
          <cell r="AG60">
            <v>2.4740000000000002</v>
          </cell>
          <cell r="AH60">
            <v>2.4740000000000002</v>
          </cell>
          <cell r="AI60">
            <v>2.4740000000000002</v>
          </cell>
          <cell r="AJ60">
            <v>2.4740000000000002</v>
          </cell>
          <cell r="AK60">
            <v>2.4740000000000002</v>
          </cell>
          <cell r="AL60">
            <v>2.4740000000000002</v>
          </cell>
          <cell r="AM60">
            <v>2.4740000000000002</v>
          </cell>
          <cell r="AN60">
            <v>2.4740000000000002</v>
          </cell>
          <cell r="AO60">
            <v>2.4740000000000002</v>
          </cell>
          <cell r="AP60">
            <v>2.4740000000000002</v>
          </cell>
          <cell r="AQ60">
            <v>2.4740000000000002</v>
          </cell>
          <cell r="AR60">
            <v>2.4740000000000002</v>
          </cell>
          <cell r="AS60">
            <v>2.4740000000000002</v>
          </cell>
          <cell r="AT60">
            <v>2.4740000000000002</v>
          </cell>
          <cell r="AU60">
            <v>2.4740000000000002</v>
          </cell>
          <cell r="AV60">
            <v>2.4740000000000002</v>
          </cell>
          <cell r="AW60">
            <v>2.4740000000000002</v>
          </cell>
          <cell r="AX60">
            <v>2.4740000000000002</v>
          </cell>
          <cell r="AY60">
            <v>2.4740000000000002</v>
          </cell>
          <cell r="AZ60">
            <v>2.4740000000000002</v>
          </cell>
          <cell r="BA60">
            <v>2.4740000000000002</v>
          </cell>
          <cell r="BB60">
            <v>2.4740000000000002</v>
          </cell>
          <cell r="BC60">
            <v>2.4740000000000002</v>
          </cell>
          <cell r="BD60">
            <v>2.4740000000000002</v>
          </cell>
          <cell r="BE60">
            <v>2.4740000000000002</v>
          </cell>
          <cell r="BF60">
            <v>2.4740000000000002</v>
          </cell>
          <cell r="BG60">
            <v>2.4740000000000002</v>
          </cell>
          <cell r="BH60">
            <v>2.4740000000000002</v>
          </cell>
          <cell r="BI60">
            <v>2.4740000000000002</v>
          </cell>
          <cell r="BJ60">
            <v>2.4740000000000002</v>
          </cell>
          <cell r="BK60">
            <v>2.4740000000000002</v>
          </cell>
          <cell r="BL60">
            <v>2.4740000000000002</v>
          </cell>
          <cell r="BM60">
            <v>2.4740000000000002</v>
          </cell>
          <cell r="BN60">
            <v>2.4740000000000002</v>
          </cell>
          <cell r="BO60">
            <v>2.4740000000000002</v>
          </cell>
        </row>
        <row r="61">
          <cell r="B61" t="str">
            <v>Biogas</v>
          </cell>
          <cell r="G61">
            <v>1.924554644585263</v>
          </cell>
          <cell r="H61">
            <v>1.9259654378916</v>
          </cell>
          <cell r="I61">
            <v>1.9253243980632111</v>
          </cell>
          <cell r="J61">
            <v>1.924719170883044</v>
          </cell>
          <cell r="K61">
            <v>1.923784032977655</v>
          </cell>
          <cell r="L61">
            <v>1.9232955378430101</v>
          </cell>
          <cell r="M61">
            <v>1.9227521702006549</v>
          </cell>
          <cell r="N61">
            <v>1.923132210142374</v>
          </cell>
          <cell r="O61">
            <v>1.9227220165715391</v>
          </cell>
          <cell r="P61">
            <v>1.9228415170419211</v>
          </cell>
          <cell r="Q61">
            <v>1.923177071264194</v>
          </cell>
          <cell r="R61">
            <v>1.9235801832666191</v>
          </cell>
          <cell r="S61">
            <v>1.923467994013375</v>
          </cell>
          <cell r="T61">
            <v>1.923579466009552</v>
          </cell>
          <cell r="U61">
            <v>1.9232966175284989</v>
          </cell>
          <cell r="V61">
            <v>1.923560907849879</v>
          </cell>
          <cell r="W61">
            <v>1.923560907849879</v>
          </cell>
          <cell r="X61">
            <v>1.923560907849879</v>
          </cell>
          <cell r="Y61">
            <v>1.923560907849879</v>
          </cell>
          <cell r="Z61">
            <v>1.923560907849879</v>
          </cell>
          <cell r="AA61">
            <v>1.923560907849879</v>
          </cell>
          <cell r="AB61">
            <v>1.923560907849879</v>
          </cell>
          <cell r="AC61">
            <v>1.923560907849879</v>
          </cell>
          <cell r="AD61">
            <v>1.923560907849879</v>
          </cell>
          <cell r="AE61">
            <v>1.923560907849879</v>
          </cell>
          <cell r="AF61">
            <v>1.923560907849879</v>
          </cell>
          <cell r="AG61">
            <v>1.923560907849879</v>
          </cell>
          <cell r="AH61">
            <v>1.923560907849879</v>
          </cell>
          <cell r="AI61">
            <v>1.923560907849879</v>
          </cell>
          <cell r="AJ61">
            <v>1.923560907849879</v>
          </cell>
          <cell r="AK61">
            <v>1.923560907849879</v>
          </cell>
          <cell r="AL61">
            <v>1.923560907849879</v>
          </cell>
          <cell r="AM61">
            <v>1.923560907849879</v>
          </cell>
          <cell r="AN61">
            <v>1.923560907849879</v>
          </cell>
          <cell r="AO61">
            <v>1.923560907849879</v>
          </cell>
          <cell r="AP61">
            <v>1.923560907849879</v>
          </cell>
          <cell r="AQ61">
            <v>1.923560907849879</v>
          </cell>
          <cell r="AR61">
            <v>1.923560907849879</v>
          </cell>
          <cell r="AS61">
            <v>1.923560907849879</v>
          </cell>
          <cell r="AT61">
            <v>1.923560907849879</v>
          </cell>
          <cell r="AU61">
            <v>1.923560907849879</v>
          </cell>
          <cell r="AV61">
            <v>1.923560907849879</v>
          </cell>
          <cell r="AW61">
            <v>1.923560907849879</v>
          </cell>
          <cell r="AX61">
            <v>1.923560907849879</v>
          </cell>
          <cell r="AY61">
            <v>1.923560907849879</v>
          </cell>
          <cell r="AZ61">
            <v>1.923560907849879</v>
          </cell>
          <cell r="BA61">
            <v>1.923560907849879</v>
          </cell>
          <cell r="BB61">
            <v>1.923560907849879</v>
          </cell>
          <cell r="BC61">
            <v>1.923560907849879</v>
          </cell>
          <cell r="BD61">
            <v>1.923560907849879</v>
          </cell>
          <cell r="BE61">
            <v>1.923560907849879</v>
          </cell>
          <cell r="BF61">
            <v>1.923560907849879</v>
          </cell>
          <cell r="BG61">
            <v>1.923560907849879</v>
          </cell>
          <cell r="BH61">
            <v>1.923560907849879</v>
          </cell>
          <cell r="BI61">
            <v>1.923560907849879</v>
          </cell>
          <cell r="BJ61">
            <v>1.923560907849879</v>
          </cell>
          <cell r="BK61">
            <v>1.923560907849879</v>
          </cell>
          <cell r="BL61">
            <v>1.923560907849879</v>
          </cell>
          <cell r="BM61">
            <v>1.923560907849879</v>
          </cell>
          <cell r="BN61">
            <v>1.923560907849879</v>
          </cell>
          <cell r="BO61">
            <v>1.923560907849879</v>
          </cell>
        </row>
        <row r="62">
          <cell r="B62" t="str">
            <v>Black liquor</v>
          </cell>
          <cell r="G62">
            <v>1.277372262773723</v>
          </cell>
          <cell r="H62">
            <v>1.277372262773723</v>
          </cell>
          <cell r="I62">
            <v>1.277372262773723</v>
          </cell>
          <cell r="J62">
            <v>1.277372262773723</v>
          </cell>
          <cell r="K62">
            <v>1.277372262773723</v>
          </cell>
          <cell r="L62">
            <v>1.277372262773723</v>
          </cell>
          <cell r="M62">
            <v>1.277372262773723</v>
          </cell>
          <cell r="N62">
            <v>1.277372262773723</v>
          </cell>
          <cell r="O62">
            <v>1.277372262773723</v>
          </cell>
          <cell r="P62">
            <v>1.277372262773723</v>
          </cell>
          <cell r="Q62">
            <v>1.277372262773723</v>
          </cell>
          <cell r="R62">
            <v>1.277372262773723</v>
          </cell>
          <cell r="S62">
            <v>1.277372262773723</v>
          </cell>
          <cell r="T62">
            <v>1.277372262773723</v>
          </cell>
          <cell r="U62">
            <v>1.277372262773723</v>
          </cell>
          <cell r="V62">
            <v>1.277372262773723</v>
          </cell>
          <cell r="W62">
            <v>1.277372262773723</v>
          </cell>
          <cell r="X62">
            <v>1.277372262773723</v>
          </cell>
          <cell r="Y62">
            <v>1.277372262773723</v>
          </cell>
          <cell r="Z62">
            <v>1.277372262773723</v>
          </cell>
          <cell r="AA62">
            <v>1.277372262773723</v>
          </cell>
          <cell r="AB62">
            <v>1.277372262773723</v>
          </cell>
          <cell r="AC62">
            <v>1.277372262773723</v>
          </cell>
          <cell r="AD62">
            <v>1.277372262773723</v>
          </cell>
          <cell r="AE62">
            <v>1.277372262773723</v>
          </cell>
          <cell r="AF62">
            <v>1.277372262773723</v>
          </cell>
          <cell r="AG62">
            <v>1.277372262773723</v>
          </cell>
          <cell r="AH62">
            <v>1.277372262773723</v>
          </cell>
          <cell r="AI62">
            <v>1.277372262773723</v>
          </cell>
          <cell r="AJ62">
            <v>1.277372262773723</v>
          </cell>
          <cell r="AK62">
            <v>1.277372262773723</v>
          </cell>
          <cell r="AL62">
            <v>1.277372262773723</v>
          </cell>
          <cell r="AM62">
            <v>1.277372262773723</v>
          </cell>
          <cell r="AN62">
            <v>1.277372262773723</v>
          </cell>
          <cell r="AO62">
            <v>1.277372262773723</v>
          </cell>
          <cell r="AP62">
            <v>1.277372262773723</v>
          </cell>
          <cell r="AQ62">
            <v>1.277372262773723</v>
          </cell>
          <cell r="AR62">
            <v>1.277372262773723</v>
          </cell>
          <cell r="AS62">
            <v>1.277372262773723</v>
          </cell>
          <cell r="AT62">
            <v>1.277372262773723</v>
          </cell>
          <cell r="AU62">
            <v>1.277372262773723</v>
          </cell>
          <cell r="AV62">
            <v>1.277372262773723</v>
          </cell>
          <cell r="AW62">
            <v>1.277372262773723</v>
          </cell>
          <cell r="AX62">
            <v>1.277372262773723</v>
          </cell>
          <cell r="AY62">
            <v>1.277372262773723</v>
          </cell>
          <cell r="AZ62">
            <v>1.277372262773723</v>
          </cell>
          <cell r="BA62">
            <v>1.277372262773723</v>
          </cell>
          <cell r="BB62">
            <v>1.277372262773723</v>
          </cell>
          <cell r="BC62">
            <v>1.277372262773723</v>
          </cell>
          <cell r="BD62">
            <v>1.277372262773723</v>
          </cell>
          <cell r="BE62">
            <v>1.277372262773723</v>
          </cell>
          <cell r="BF62">
            <v>1.277372262773723</v>
          </cell>
          <cell r="BG62">
            <v>1.277372262773723</v>
          </cell>
          <cell r="BH62">
            <v>1.277372262773723</v>
          </cell>
          <cell r="BI62">
            <v>1.277372262773723</v>
          </cell>
          <cell r="BJ62">
            <v>1.277372262773723</v>
          </cell>
          <cell r="BK62">
            <v>1.277372262773723</v>
          </cell>
          <cell r="BL62">
            <v>1.277372262773723</v>
          </cell>
          <cell r="BM62">
            <v>1.277372262773723</v>
          </cell>
          <cell r="BN62">
            <v>1.277372262773723</v>
          </cell>
          <cell r="BO62">
            <v>1.277372262773723</v>
          </cell>
        </row>
        <row r="63">
          <cell r="B63" t="str">
            <v>Coal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  <cell r="S63">
            <v>2.1850000000000001</v>
          </cell>
          <cell r="T63">
            <v>2.1850000000000001</v>
          </cell>
          <cell r="U63">
            <v>2.1850000000000001</v>
          </cell>
          <cell r="V63">
            <v>2.1850000000000001</v>
          </cell>
          <cell r="W63">
            <v>2.1850000000000001</v>
          </cell>
          <cell r="X63">
            <v>2.1850000000000001</v>
          </cell>
          <cell r="Y63">
            <v>2.1850000000000001</v>
          </cell>
          <cell r="Z63">
            <v>2.1850000000000001</v>
          </cell>
          <cell r="AA63">
            <v>2.1850000000000001</v>
          </cell>
          <cell r="AB63">
            <v>2.1850000000000001</v>
          </cell>
          <cell r="AC63">
            <v>2.1850000000000001</v>
          </cell>
          <cell r="AD63">
            <v>2.1850000000000001</v>
          </cell>
          <cell r="AE63">
            <v>2.1850000000000001</v>
          </cell>
          <cell r="AF63">
            <v>2.1850000000000001</v>
          </cell>
          <cell r="AG63">
            <v>2.1850000000000001</v>
          </cell>
          <cell r="AH63">
            <v>2.1850000000000001</v>
          </cell>
          <cell r="AI63">
            <v>2.1850000000000001</v>
          </cell>
          <cell r="AJ63">
            <v>2.1850000000000001</v>
          </cell>
          <cell r="AK63">
            <v>2.1850000000000001</v>
          </cell>
          <cell r="AL63">
            <v>2.1850000000000001</v>
          </cell>
          <cell r="AM63">
            <v>2.1850000000000001</v>
          </cell>
          <cell r="AN63">
            <v>2.1850000000000001</v>
          </cell>
          <cell r="AO63">
            <v>2.1850000000000001</v>
          </cell>
          <cell r="AP63">
            <v>2.1850000000000001</v>
          </cell>
          <cell r="AQ63">
            <v>2.1850000000000001</v>
          </cell>
          <cell r="AR63">
            <v>2.1850000000000001</v>
          </cell>
          <cell r="AS63">
            <v>2.1850000000000001</v>
          </cell>
          <cell r="AT63">
            <v>2.1850000000000001</v>
          </cell>
          <cell r="AU63">
            <v>2.1850000000000001</v>
          </cell>
          <cell r="AV63">
            <v>2.1850000000000001</v>
          </cell>
          <cell r="AW63">
            <v>2.1850000000000001</v>
          </cell>
          <cell r="AX63">
            <v>2.1850000000000001</v>
          </cell>
          <cell r="AY63">
            <v>2.1850000000000001</v>
          </cell>
          <cell r="AZ63">
            <v>2.1850000000000001</v>
          </cell>
          <cell r="BA63">
            <v>2.1850000000000001</v>
          </cell>
          <cell r="BB63">
            <v>2.1850000000000001</v>
          </cell>
          <cell r="BC63">
            <v>2.1850000000000001</v>
          </cell>
          <cell r="BD63">
            <v>2.1850000000000001</v>
          </cell>
          <cell r="BE63">
            <v>2.1850000000000001</v>
          </cell>
          <cell r="BF63">
            <v>2.1850000000000001</v>
          </cell>
          <cell r="BG63">
            <v>2.1850000000000001</v>
          </cell>
          <cell r="BH63">
            <v>2.1850000000000001</v>
          </cell>
          <cell r="BI63">
            <v>2.1850000000000001</v>
          </cell>
          <cell r="BJ63">
            <v>2.1850000000000001</v>
          </cell>
          <cell r="BK63">
            <v>2.1850000000000001</v>
          </cell>
          <cell r="BL63">
            <v>2.1850000000000001</v>
          </cell>
          <cell r="BM63">
            <v>2.1850000000000001</v>
          </cell>
          <cell r="BN63">
            <v>2.1850000000000001</v>
          </cell>
          <cell r="BO63">
            <v>2.1850000000000001</v>
          </cell>
        </row>
        <row r="64">
          <cell r="B64" t="str">
            <v>Coke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  <cell r="S64">
            <v>3.173</v>
          </cell>
          <cell r="T64">
            <v>3.173</v>
          </cell>
          <cell r="U64">
            <v>3.173</v>
          </cell>
          <cell r="V64">
            <v>3.173</v>
          </cell>
          <cell r="W64">
            <v>3.173</v>
          </cell>
          <cell r="X64">
            <v>3.173</v>
          </cell>
          <cell r="Y64">
            <v>3.173</v>
          </cell>
          <cell r="Z64">
            <v>3.173</v>
          </cell>
          <cell r="AA64">
            <v>3.173</v>
          </cell>
          <cell r="AB64">
            <v>3.173</v>
          </cell>
          <cell r="AC64">
            <v>3.173</v>
          </cell>
          <cell r="AD64">
            <v>3.173</v>
          </cell>
          <cell r="AE64">
            <v>3.173</v>
          </cell>
          <cell r="AF64">
            <v>3.173</v>
          </cell>
          <cell r="AG64">
            <v>3.173</v>
          </cell>
          <cell r="AH64">
            <v>3.173</v>
          </cell>
          <cell r="AI64">
            <v>3.173</v>
          </cell>
          <cell r="AJ64">
            <v>3.173</v>
          </cell>
          <cell r="AK64">
            <v>3.173</v>
          </cell>
          <cell r="AL64">
            <v>3.173</v>
          </cell>
          <cell r="AM64">
            <v>3.173</v>
          </cell>
          <cell r="AN64">
            <v>3.173</v>
          </cell>
          <cell r="AO64">
            <v>3.173</v>
          </cell>
          <cell r="AP64">
            <v>3.173</v>
          </cell>
          <cell r="AQ64">
            <v>3.173</v>
          </cell>
          <cell r="AR64">
            <v>3.173</v>
          </cell>
          <cell r="AS64">
            <v>3.173</v>
          </cell>
          <cell r="AT64">
            <v>3.173</v>
          </cell>
          <cell r="AU64">
            <v>3.173</v>
          </cell>
          <cell r="AV64">
            <v>3.173</v>
          </cell>
          <cell r="AW64">
            <v>3.173</v>
          </cell>
          <cell r="AX64">
            <v>3.173</v>
          </cell>
          <cell r="AY64">
            <v>3.173</v>
          </cell>
          <cell r="AZ64">
            <v>3.173</v>
          </cell>
          <cell r="BA64">
            <v>3.173</v>
          </cell>
          <cell r="BB64">
            <v>3.173</v>
          </cell>
          <cell r="BC64">
            <v>3.173</v>
          </cell>
          <cell r="BD64">
            <v>3.173</v>
          </cell>
          <cell r="BE64">
            <v>3.173</v>
          </cell>
          <cell r="BF64">
            <v>3.173</v>
          </cell>
          <cell r="BG64">
            <v>3.173</v>
          </cell>
          <cell r="BH64">
            <v>3.173</v>
          </cell>
          <cell r="BI64">
            <v>3.173</v>
          </cell>
          <cell r="BJ64">
            <v>3.173</v>
          </cell>
          <cell r="BK64">
            <v>3.173</v>
          </cell>
          <cell r="BL64">
            <v>3.173</v>
          </cell>
          <cell r="BM64">
            <v>3.173</v>
          </cell>
          <cell r="BN64">
            <v>3.173</v>
          </cell>
          <cell r="BO64">
            <v>3.173</v>
          </cell>
        </row>
        <row r="65">
          <cell r="B65" t="str">
            <v>Diesel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  <cell r="S65">
            <v>2.69</v>
          </cell>
          <cell r="T65">
            <v>2.69</v>
          </cell>
          <cell r="U65">
            <v>2.69</v>
          </cell>
          <cell r="V65">
            <v>2.69</v>
          </cell>
          <cell r="W65">
            <v>2.69</v>
          </cell>
          <cell r="X65">
            <v>2.69</v>
          </cell>
          <cell r="Y65">
            <v>2.69</v>
          </cell>
          <cell r="Z65">
            <v>2.69</v>
          </cell>
          <cell r="AA65">
            <v>2.69</v>
          </cell>
          <cell r="AB65">
            <v>2.69</v>
          </cell>
          <cell r="AC65">
            <v>2.69</v>
          </cell>
          <cell r="AD65">
            <v>2.69</v>
          </cell>
          <cell r="AE65">
            <v>2.69</v>
          </cell>
          <cell r="AF65">
            <v>2.69</v>
          </cell>
          <cell r="AG65">
            <v>2.69</v>
          </cell>
          <cell r="AH65">
            <v>2.69</v>
          </cell>
          <cell r="AI65">
            <v>2.69</v>
          </cell>
          <cell r="AJ65">
            <v>2.69</v>
          </cell>
          <cell r="AK65">
            <v>2.69</v>
          </cell>
          <cell r="AL65">
            <v>2.69</v>
          </cell>
          <cell r="AM65">
            <v>2.69</v>
          </cell>
          <cell r="AN65">
            <v>2.69</v>
          </cell>
          <cell r="AO65">
            <v>2.69</v>
          </cell>
          <cell r="AP65">
            <v>2.69</v>
          </cell>
          <cell r="AQ65">
            <v>2.69</v>
          </cell>
          <cell r="AR65">
            <v>2.69</v>
          </cell>
          <cell r="AS65">
            <v>2.69</v>
          </cell>
          <cell r="AT65">
            <v>2.69</v>
          </cell>
          <cell r="AU65">
            <v>2.69</v>
          </cell>
          <cell r="AV65">
            <v>2.69</v>
          </cell>
          <cell r="AW65">
            <v>2.69</v>
          </cell>
          <cell r="AX65">
            <v>2.69</v>
          </cell>
          <cell r="AY65">
            <v>2.69</v>
          </cell>
          <cell r="AZ65">
            <v>2.69</v>
          </cell>
          <cell r="BA65">
            <v>2.69</v>
          </cell>
          <cell r="BB65">
            <v>2.69</v>
          </cell>
          <cell r="BC65">
            <v>2.69</v>
          </cell>
          <cell r="BD65">
            <v>2.69</v>
          </cell>
          <cell r="BE65">
            <v>2.69</v>
          </cell>
          <cell r="BF65">
            <v>2.69</v>
          </cell>
          <cell r="BG65">
            <v>2.69</v>
          </cell>
          <cell r="BH65">
            <v>2.69</v>
          </cell>
          <cell r="BI65">
            <v>2.69</v>
          </cell>
          <cell r="BJ65">
            <v>2.69</v>
          </cell>
          <cell r="BK65">
            <v>2.69</v>
          </cell>
          <cell r="BL65">
            <v>2.69</v>
          </cell>
          <cell r="BM65">
            <v>2.69</v>
          </cell>
          <cell r="BN65">
            <v>2.69</v>
          </cell>
          <cell r="BO65">
            <v>2.69</v>
          </cell>
        </row>
        <row r="66">
          <cell r="B66" t="str">
            <v>Electricity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Ethanol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  <cell r="S67">
            <v>1.5089999999999999</v>
          </cell>
          <cell r="T67">
            <v>1.5089999999999999</v>
          </cell>
          <cell r="U67">
            <v>1.5089999999999999</v>
          </cell>
          <cell r="V67">
            <v>1.5089999999999999</v>
          </cell>
          <cell r="W67">
            <v>1.5089999999999999</v>
          </cell>
          <cell r="X67">
            <v>1.5089999999999999</v>
          </cell>
          <cell r="Y67">
            <v>1.5089999999999999</v>
          </cell>
          <cell r="Z67">
            <v>1.5089999999999999</v>
          </cell>
          <cell r="AA67">
            <v>1.5089999999999999</v>
          </cell>
          <cell r="AB67">
            <v>1.5089999999999999</v>
          </cell>
          <cell r="AC67">
            <v>1.5089999999999999</v>
          </cell>
          <cell r="AD67">
            <v>1.5089999999999999</v>
          </cell>
          <cell r="AE67">
            <v>1.5089999999999999</v>
          </cell>
          <cell r="AF67">
            <v>1.5089999999999999</v>
          </cell>
          <cell r="AG67">
            <v>1.5089999999999999</v>
          </cell>
          <cell r="AH67">
            <v>1.5089999999999999</v>
          </cell>
          <cell r="AI67">
            <v>1.5089999999999999</v>
          </cell>
          <cell r="AJ67">
            <v>1.5089999999999999</v>
          </cell>
          <cell r="AK67">
            <v>1.5089999999999999</v>
          </cell>
          <cell r="AL67">
            <v>1.5089999999999999</v>
          </cell>
          <cell r="AM67">
            <v>1.5089999999999999</v>
          </cell>
          <cell r="AN67">
            <v>1.5089999999999999</v>
          </cell>
          <cell r="AO67">
            <v>1.5089999999999999</v>
          </cell>
          <cell r="AP67">
            <v>1.5089999999999999</v>
          </cell>
          <cell r="AQ67">
            <v>1.5089999999999999</v>
          </cell>
          <cell r="AR67">
            <v>1.5089999999999999</v>
          </cell>
          <cell r="AS67">
            <v>1.5089999999999999</v>
          </cell>
          <cell r="AT67">
            <v>1.5089999999999999</v>
          </cell>
          <cell r="AU67">
            <v>1.5089999999999999</v>
          </cell>
          <cell r="AV67">
            <v>1.5089999999999999</v>
          </cell>
          <cell r="AW67">
            <v>1.5089999999999999</v>
          </cell>
          <cell r="AX67">
            <v>1.5089999999999999</v>
          </cell>
          <cell r="AY67">
            <v>1.5089999999999999</v>
          </cell>
          <cell r="AZ67">
            <v>1.5089999999999999</v>
          </cell>
          <cell r="BA67">
            <v>1.5089999999999999</v>
          </cell>
          <cell r="BB67">
            <v>1.5089999999999999</v>
          </cell>
          <cell r="BC67">
            <v>1.5089999999999999</v>
          </cell>
          <cell r="BD67">
            <v>1.5089999999999999</v>
          </cell>
          <cell r="BE67">
            <v>1.5089999999999999</v>
          </cell>
          <cell r="BF67">
            <v>1.5089999999999999</v>
          </cell>
          <cell r="BG67">
            <v>1.5089999999999999</v>
          </cell>
          <cell r="BH67">
            <v>1.5089999999999999</v>
          </cell>
          <cell r="BI67">
            <v>1.5089999999999999</v>
          </cell>
          <cell r="BJ67">
            <v>1.5089999999999999</v>
          </cell>
          <cell r="BK67">
            <v>1.5089999999999999</v>
          </cell>
          <cell r="BL67">
            <v>1.5089999999999999</v>
          </cell>
          <cell r="BM67">
            <v>1.5089999999999999</v>
          </cell>
          <cell r="BN67">
            <v>1.5089999999999999</v>
          </cell>
          <cell r="BO67">
            <v>1.5089999999999999</v>
          </cell>
        </row>
        <row r="68">
          <cell r="B68" t="str">
            <v>Fuel oil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  <cell r="S68">
            <v>3.1560000000000001</v>
          </cell>
          <cell r="T68">
            <v>3.1560000000000001</v>
          </cell>
          <cell r="U68">
            <v>3.1560000000000001</v>
          </cell>
          <cell r="V68">
            <v>3.1560000000000001</v>
          </cell>
          <cell r="W68">
            <v>3.1560000000000001</v>
          </cell>
          <cell r="X68">
            <v>3.1560000000000001</v>
          </cell>
          <cell r="Y68">
            <v>3.1560000000000001</v>
          </cell>
          <cell r="Z68">
            <v>3.1560000000000001</v>
          </cell>
          <cell r="AA68">
            <v>3.1560000000000001</v>
          </cell>
          <cell r="AB68">
            <v>3.1560000000000001</v>
          </cell>
          <cell r="AC68">
            <v>3.1560000000000001</v>
          </cell>
          <cell r="AD68">
            <v>3.1560000000000001</v>
          </cell>
          <cell r="AE68">
            <v>3.1560000000000001</v>
          </cell>
          <cell r="AF68">
            <v>3.1560000000000001</v>
          </cell>
          <cell r="AG68">
            <v>3.1560000000000001</v>
          </cell>
          <cell r="AH68">
            <v>3.1560000000000001</v>
          </cell>
          <cell r="AI68">
            <v>3.1560000000000001</v>
          </cell>
          <cell r="AJ68">
            <v>3.1560000000000001</v>
          </cell>
          <cell r="AK68">
            <v>3.1560000000000001</v>
          </cell>
          <cell r="AL68">
            <v>3.1560000000000001</v>
          </cell>
          <cell r="AM68">
            <v>3.1560000000000001</v>
          </cell>
          <cell r="AN68">
            <v>3.1560000000000001</v>
          </cell>
          <cell r="AO68">
            <v>3.1560000000000001</v>
          </cell>
          <cell r="AP68">
            <v>3.1560000000000001</v>
          </cell>
          <cell r="AQ68">
            <v>3.1560000000000001</v>
          </cell>
          <cell r="AR68">
            <v>3.1560000000000001</v>
          </cell>
          <cell r="AS68">
            <v>3.1560000000000001</v>
          </cell>
          <cell r="AT68">
            <v>3.1560000000000001</v>
          </cell>
          <cell r="AU68">
            <v>3.1560000000000001</v>
          </cell>
          <cell r="AV68">
            <v>3.1560000000000001</v>
          </cell>
          <cell r="AW68">
            <v>3.1560000000000001</v>
          </cell>
          <cell r="AX68">
            <v>3.1560000000000001</v>
          </cell>
          <cell r="AY68">
            <v>3.1560000000000001</v>
          </cell>
          <cell r="AZ68">
            <v>3.1560000000000001</v>
          </cell>
          <cell r="BA68">
            <v>3.1560000000000001</v>
          </cell>
          <cell r="BB68">
            <v>3.1560000000000001</v>
          </cell>
          <cell r="BC68">
            <v>3.1560000000000001</v>
          </cell>
          <cell r="BD68">
            <v>3.1560000000000001</v>
          </cell>
          <cell r="BE68">
            <v>3.1560000000000001</v>
          </cell>
          <cell r="BF68">
            <v>3.1560000000000001</v>
          </cell>
          <cell r="BG68">
            <v>3.1560000000000001</v>
          </cell>
          <cell r="BH68">
            <v>3.1560000000000001</v>
          </cell>
          <cell r="BI68">
            <v>3.1560000000000001</v>
          </cell>
          <cell r="BJ68">
            <v>3.1560000000000001</v>
          </cell>
          <cell r="BK68">
            <v>3.1560000000000001</v>
          </cell>
          <cell r="BL68">
            <v>3.1560000000000001</v>
          </cell>
          <cell r="BM68">
            <v>3.1560000000000001</v>
          </cell>
          <cell r="BN68">
            <v>3.1560000000000001</v>
          </cell>
          <cell r="BO68">
            <v>3.1560000000000001</v>
          </cell>
        </row>
        <row r="69">
          <cell r="B69" t="str">
            <v>Gasoline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  <cell r="S69">
            <v>2.3159999999999998</v>
          </cell>
          <cell r="T69">
            <v>2.3159999999999998</v>
          </cell>
          <cell r="U69">
            <v>2.3159999999999998</v>
          </cell>
          <cell r="V69">
            <v>2.3159999999999998</v>
          </cell>
          <cell r="W69">
            <v>2.3159999999999998</v>
          </cell>
          <cell r="X69">
            <v>2.3159999999999998</v>
          </cell>
          <cell r="Y69">
            <v>2.3159999999999998</v>
          </cell>
          <cell r="Z69">
            <v>2.3159999999999998</v>
          </cell>
          <cell r="AA69">
            <v>2.3159999999999998</v>
          </cell>
          <cell r="AB69">
            <v>2.3159999999999998</v>
          </cell>
          <cell r="AC69">
            <v>2.3159999999999998</v>
          </cell>
          <cell r="AD69">
            <v>2.3159999999999998</v>
          </cell>
          <cell r="AE69">
            <v>2.3159999999999998</v>
          </cell>
          <cell r="AF69">
            <v>2.3159999999999998</v>
          </cell>
          <cell r="AG69">
            <v>2.3159999999999998</v>
          </cell>
          <cell r="AH69">
            <v>2.3159999999999998</v>
          </cell>
          <cell r="AI69">
            <v>2.3159999999999998</v>
          </cell>
          <cell r="AJ69">
            <v>2.3159999999999998</v>
          </cell>
          <cell r="AK69">
            <v>2.3159999999999998</v>
          </cell>
          <cell r="AL69">
            <v>2.3159999999999998</v>
          </cell>
          <cell r="AM69">
            <v>2.3159999999999998</v>
          </cell>
          <cell r="AN69">
            <v>2.3159999999999998</v>
          </cell>
          <cell r="AO69">
            <v>2.3159999999999998</v>
          </cell>
          <cell r="AP69">
            <v>2.3159999999999998</v>
          </cell>
          <cell r="AQ69">
            <v>2.3159999999999998</v>
          </cell>
          <cell r="AR69">
            <v>2.3159999999999998</v>
          </cell>
          <cell r="AS69">
            <v>2.3159999999999998</v>
          </cell>
          <cell r="AT69">
            <v>2.3159999999999998</v>
          </cell>
          <cell r="AU69">
            <v>2.3159999999999998</v>
          </cell>
          <cell r="AV69">
            <v>2.3159999999999998</v>
          </cell>
          <cell r="AW69">
            <v>2.3159999999999998</v>
          </cell>
          <cell r="AX69">
            <v>2.3159999999999998</v>
          </cell>
          <cell r="AY69">
            <v>2.3159999999999998</v>
          </cell>
          <cell r="AZ69">
            <v>2.3159999999999998</v>
          </cell>
          <cell r="BA69">
            <v>2.3159999999999998</v>
          </cell>
          <cell r="BB69">
            <v>2.3159999999999998</v>
          </cell>
          <cell r="BC69">
            <v>2.3159999999999998</v>
          </cell>
          <cell r="BD69">
            <v>2.3159999999999998</v>
          </cell>
          <cell r="BE69">
            <v>2.3159999999999998</v>
          </cell>
          <cell r="BF69">
            <v>2.3159999999999998</v>
          </cell>
          <cell r="BG69">
            <v>2.3159999999999998</v>
          </cell>
          <cell r="BH69">
            <v>2.3159999999999998</v>
          </cell>
          <cell r="BI69">
            <v>2.3159999999999998</v>
          </cell>
          <cell r="BJ69">
            <v>2.3159999999999998</v>
          </cell>
          <cell r="BK69">
            <v>2.3159999999999998</v>
          </cell>
          <cell r="BL69">
            <v>2.3159999999999998</v>
          </cell>
          <cell r="BM69">
            <v>2.3159999999999998</v>
          </cell>
          <cell r="BN69">
            <v>2.3159999999999998</v>
          </cell>
          <cell r="BO69">
            <v>2.3159999999999998</v>
          </cell>
        </row>
        <row r="70">
          <cell r="B70" t="str">
            <v>Hydrogen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Jet fuel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  <cell r="S71">
            <v>2.56</v>
          </cell>
          <cell r="T71">
            <v>2.56</v>
          </cell>
          <cell r="U71">
            <v>2.56</v>
          </cell>
          <cell r="V71">
            <v>2.56</v>
          </cell>
          <cell r="W71">
            <v>2.56</v>
          </cell>
          <cell r="X71">
            <v>2.56</v>
          </cell>
          <cell r="Y71">
            <v>2.56</v>
          </cell>
          <cell r="Z71">
            <v>2.56</v>
          </cell>
          <cell r="AA71">
            <v>2.56</v>
          </cell>
          <cell r="AB71">
            <v>2.56</v>
          </cell>
          <cell r="AC71">
            <v>2.56</v>
          </cell>
          <cell r="AD71">
            <v>2.56</v>
          </cell>
          <cell r="AE71">
            <v>2.56</v>
          </cell>
          <cell r="AF71">
            <v>2.56</v>
          </cell>
          <cell r="AG71">
            <v>2.56</v>
          </cell>
          <cell r="AH71">
            <v>2.56</v>
          </cell>
          <cell r="AI71">
            <v>2.56</v>
          </cell>
          <cell r="AJ71">
            <v>2.56</v>
          </cell>
          <cell r="AK71">
            <v>2.56</v>
          </cell>
          <cell r="AL71">
            <v>2.56</v>
          </cell>
          <cell r="AM71">
            <v>2.56</v>
          </cell>
          <cell r="AN71">
            <v>2.56</v>
          </cell>
          <cell r="AO71">
            <v>2.56</v>
          </cell>
          <cell r="AP71">
            <v>2.56</v>
          </cell>
          <cell r="AQ71">
            <v>2.56</v>
          </cell>
          <cell r="AR71">
            <v>2.56</v>
          </cell>
          <cell r="AS71">
            <v>2.56</v>
          </cell>
          <cell r="AT71">
            <v>2.56</v>
          </cell>
          <cell r="AU71">
            <v>2.56</v>
          </cell>
          <cell r="AV71">
            <v>2.56</v>
          </cell>
          <cell r="AW71">
            <v>2.56</v>
          </cell>
          <cell r="AX71">
            <v>2.56</v>
          </cell>
          <cell r="AY71">
            <v>2.56</v>
          </cell>
          <cell r="AZ71">
            <v>2.56</v>
          </cell>
          <cell r="BA71">
            <v>2.56</v>
          </cell>
          <cell r="BB71">
            <v>2.56</v>
          </cell>
          <cell r="BC71">
            <v>2.56</v>
          </cell>
          <cell r="BD71">
            <v>2.56</v>
          </cell>
          <cell r="BE71">
            <v>2.56</v>
          </cell>
          <cell r="BF71">
            <v>2.56</v>
          </cell>
          <cell r="BG71">
            <v>2.56</v>
          </cell>
          <cell r="BH71">
            <v>2.56</v>
          </cell>
          <cell r="BI71">
            <v>2.56</v>
          </cell>
          <cell r="BJ71">
            <v>2.56</v>
          </cell>
          <cell r="BK71">
            <v>2.56</v>
          </cell>
          <cell r="BL71">
            <v>2.56</v>
          </cell>
          <cell r="BM71">
            <v>2.56</v>
          </cell>
          <cell r="BN71">
            <v>2.56</v>
          </cell>
          <cell r="BO71">
            <v>2.56</v>
          </cell>
        </row>
        <row r="72">
          <cell r="B72" t="str">
            <v>LPG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  <cell r="S72">
            <v>1.5149999999999999</v>
          </cell>
          <cell r="T72">
            <v>1.5149999999999999</v>
          </cell>
          <cell r="U72">
            <v>1.5149999999999999</v>
          </cell>
          <cell r="V72">
            <v>1.5149999999999999</v>
          </cell>
          <cell r="W72">
            <v>1.5149999999999999</v>
          </cell>
          <cell r="X72">
            <v>1.5149999999999999</v>
          </cell>
          <cell r="Y72">
            <v>1.5149999999999999</v>
          </cell>
          <cell r="Z72">
            <v>1.5149999999999999</v>
          </cell>
          <cell r="AA72">
            <v>1.5149999999999999</v>
          </cell>
          <cell r="AB72">
            <v>1.5149999999999999</v>
          </cell>
          <cell r="AC72">
            <v>1.5149999999999999</v>
          </cell>
          <cell r="AD72">
            <v>1.5149999999999999</v>
          </cell>
          <cell r="AE72">
            <v>1.5149999999999999</v>
          </cell>
          <cell r="AF72">
            <v>1.5149999999999999</v>
          </cell>
          <cell r="AG72">
            <v>1.5149999999999999</v>
          </cell>
          <cell r="AH72">
            <v>1.5149999999999999</v>
          </cell>
          <cell r="AI72">
            <v>1.5149999999999999</v>
          </cell>
          <cell r="AJ72">
            <v>1.5149999999999999</v>
          </cell>
          <cell r="AK72">
            <v>1.5149999999999999</v>
          </cell>
          <cell r="AL72">
            <v>1.5149999999999999</v>
          </cell>
          <cell r="AM72">
            <v>1.5149999999999999</v>
          </cell>
          <cell r="AN72">
            <v>1.5149999999999999</v>
          </cell>
          <cell r="AO72">
            <v>1.5149999999999999</v>
          </cell>
          <cell r="AP72">
            <v>1.5149999999999999</v>
          </cell>
          <cell r="AQ72">
            <v>1.5149999999999999</v>
          </cell>
          <cell r="AR72">
            <v>1.5149999999999999</v>
          </cell>
          <cell r="AS72">
            <v>1.5149999999999999</v>
          </cell>
          <cell r="AT72">
            <v>1.5149999999999999</v>
          </cell>
          <cell r="AU72">
            <v>1.5149999999999999</v>
          </cell>
          <cell r="AV72">
            <v>1.5149999999999999</v>
          </cell>
          <cell r="AW72">
            <v>1.5149999999999999</v>
          </cell>
          <cell r="AX72">
            <v>1.5149999999999999</v>
          </cell>
          <cell r="AY72">
            <v>1.5149999999999999</v>
          </cell>
          <cell r="AZ72">
            <v>1.5149999999999999</v>
          </cell>
          <cell r="BA72">
            <v>1.5149999999999999</v>
          </cell>
          <cell r="BB72">
            <v>1.5149999999999999</v>
          </cell>
          <cell r="BC72">
            <v>1.5149999999999999</v>
          </cell>
          <cell r="BD72">
            <v>1.5149999999999999</v>
          </cell>
          <cell r="BE72">
            <v>1.5149999999999999</v>
          </cell>
          <cell r="BF72">
            <v>1.5149999999999999</v>
          </cell>
          <cell r="BG72">
            <v>1.5149999999999999</v>
          </cell>
          <cell r="BH72">
            <v>1.5149999999999999</v>
          </cell>
          <cell r="BI72">
            <v>1.5149999999999999</v>
          </cell>
          <cell r="BJ72">
            <v>1.5149999999999999</v>
          </cell>
          <cell r="BK72">
            <v>1.5149999999999999</v>
          </cell>
          <cell r="BL72">
            <v>1.5149999999999999</v>
          </cell>
          <cell r="BM72">
            <v>1.5149999999999999</v>
          </cell>
          <cell r="BN72">
            <v>1.5149999999999999</v>
          </cell>
          <cell r="BO72">
            <v>1.5149999999999999</v>
          </cell>
        </row>
        <row r="73">
          <cell r="B73" t="str">
            <v>Natural gas</v>
          </cell>
          <cell r="G73">
            <v>1.924554644585263</v>
          </cell>
          <cell r="H73">
            <v>1.9259654378916</v>
          </cell>
          <cell r="I73">
            <v>1.9253243980632111</v>
          </cell>
          <cell r="J73">
            <v>1.924719170883044</v>
          </cell>
          <cell r="K73">
            <v>1.923784032977655</v>
          </cell>
          <cell r="L73">
            <v>1.9232955378430101</v>
          </cell>
          <cell r="M73">
            <v>1.9227521702006549</v>
          </cell>
          <cell r="N73">
            <v>1.923132210142374</v>
          </cell>
          <cell r="O73">
            <v>1.9227220165715391</v>
          </cell>
          <cell r="P73">
            <v>1.9228415170419211</v>
          </cell>
          <cell r="Q73">
            <v>1.923177071264194</v>
          </cell>
          <cell r="R73">
            <v>1.9235801832666191</v>
          </cell>
          <cell r="S73">
            <v>1.923467994013375</v>
          </cell>
          <cell r="T73">
            <v>1.923579466009552</v>
          </cell>
          <cell r="U73">
            <v>1.9232966175284989</v>
          </cell>
          <cell r="V73">
            <v>1.923560907849879</v>
          </cell>
          <cell r="W73">
            <v>1.923560907849879</v>
          </cell>
          <cell r="X73">
            <v>1.923560907849879</v>
          </cell>
          <cell r="Y73">
            <v>1.923560907849879</v>
          </cell>
          <cell r="Z73">
            <v>1.923560907849879</v>
          </cell>
          <cell r="AA73">
            <v>1.923560907849879</v>
          </cell>
          <cell r="AB73">
            <v>1.923560907849879</v>
          </cell>
          <cell r="AC73">
            <v>1.923560907849879</v>
          </cell>
          <cell r="AD73">
            <v>1.923560907849879</v>
          </cell>
          <cell r="AE73">
            <v>1.923560907849879</v>
          </cell>
          <cell r="AF73">
            <v>1.923560907849879</v>
          </cell>
          <cell r="AG73">
            <v>1.923560907849879</v>
          </cell>
          <cell r="AH73">
            <v>1.923560907849879</v>
          </cell>
          <cell r="AI73">
            <v>1.923560907849879</v>
          </cell>
          <cell r="AJ73">
            <v>1.923560907849879</v>
          </cell>
          <cell r="AK73">
            <v>1.923560907849879</v>
          </cell>
          <cell r="AL73">
            <v>1.923560907849879</v>
          </cell>
          <cell r="AM73">
            <v>1.923560907849879</v>
          </cell>
          <cell r="AN73">
            <v>1.923560907849879</v>
          </cell>
          <cell r="AO73">
            <v>1.923560907849879</v>
          </cell>
          <cell r="AP73">
            <v>1.923560907849879</v>
          </cell>
          <cell r="AQ73">
            <v>1.923560907849879</v>
          </cell>
          <cell r="AR73">
            <v>1.923560907849879</v>
          </cell>
          <cell r="AS73">
            <v>1.923560907849879</v>
          </cell>
          <cell r="AT73">
            <v>1.923560907849879</v>
          </cell>
          <cell r="AU73">
            <v>1.923560907849879</v>
          </cell>
          <cell r="AV73">
            <v>1.923560907849879</v>
          </cell>
          <cell r="AW73">
            <v>1.923560907849879</v>
          </cell>
          <cell r="AX73">
            <v>1.923560907849879</v>
          </cell>
          <cell r="AY73">
            <v>1.923560907849879</v>
          </cell>
          <cell r="AZ73">
            <v>1.923560907849879</v>
          </cell>
          <cell r="BA73">
            <v>1.923560907849879</v>
          </cell>
          <cell r="BB73">
            <v>1.923560907849879</v>
          </cell>
          <cell r="BC73">
            <v>1.923560907849879</v>
          </cell>
          <cell r="BD73">
            <v>1.923560907849879</v>
          </cell>
          <cell r="BE73">
            <v>1.923560907849879</v>
          </cell>
          <cell r="BF73">
            <v>1.923560907849879</v>
          </cell>
          <cell r="BG73">
            <v>1.923560907849879</v>
          </cell>
          <cell r="BH73">
            <v>1.923560907849879</v>
          </cell>
          <cell r="BI73">
            <v>1.923560907849879</v>
          </cell>
          <cell r="BJ73">
            <v>1.923560907849879</v>
          </cell>
          <cell r="BK73">
            <v>1.923560907849879</v>
          </cell>
          <cell r="BL73">
            <v>1.923560907849879</v>
          </cell>
          <cell r="BM73">
            <v>1.923560907849879</v>
          </cell>
          <cell r="BN73">
            <v>1.923560907849879</v>
          </cell>
          <cell r="BO73">
            <v>1.923560907849879</v>
          </cell>
        </row>
        <row r="74">
          <cell r="B74" t="str">
            <v>Petroleum coke</v>
          </cell>
          <cell r="G74">
            <v>3.0000356605247189</v>
          </cell>
          <cell r="H74">
            <v>3.0431753426921722</v>
          </cell>
          <cell r="I74">
            <v>3.07213790310783</v>
          </cell>
          <cell r="J74">
            <v>3.10516289453258</v>
          </cell>
          <cell r="K74">
            <v>3.0991495336854191</v>
          </cell>
          <cell r="L74">
            <v>3.0879960100945989</v>
          </cell>
          <cell r="M74">
            <v>3.0895505145627871</v>
          </cell>
          <cell r="N74">
            <v>3.1021512257577162</v>
          </cell>
          <cell r="O74">
            <v>3.1115041975724962</v>
          </cell>
          <cell r="P74">
            <v>3.109225057676468</v>
          </cell>
          <cell r="Q74">
            <v>3.1102383528432611</v>
          </cell>
          <cell r="R74">
            <v>3.0871775329056388</v>
          </cell>
          <cell r="S74">
            <v>3.093016138933848</v>
          </cell>
          <cell r="T74">
            <v>3.0786661148073389</v>
          </cell>
          <cell r="U74">
            <v>3.0400301501796858</v>
          </cell>
          <cell r="V74">
            <v>3.053772756693431</v>
          </cell>
          <cell r="W74">
            <v>3.0579442175186879</v>
          </cell>
          <cell r="X74">
            <v>3.0750735357101422</v>
          </cell>
          <cell r="Y74">
            <v>3.049694466353813</v>
          </cell>
          <cell r="Z74">
            <v>3.055154057291773</v>
          </cell>
          <cell r="AA74">
            <v>3.104863216227173</v>
          </cell>
          <cell r="AB74">
            <v>3.104863216227173</v>
          </cell>
          <cell r="AC74">
            <v>3.104863216227173</v>
          </cell>
          <cell r="AD74">
            <v>3.104863216227173</v>
          </cell>
          <cell r="AE74">
            <v>3.104863216227173</v>
          </cell>
          <cell r="AF74">
            <v>3.104863216227173</v>
          </cell>
          <cell r="AG74">
            <v>3.104863216227173</v>
          </cell>
          <cell r="AH74">
            <v>3.104863216227173</v>
          </cell>
          <cell r="AI74">
            <v>3.104863216227173</v>
          </cell>
          <cell r="AJ74">
            <v>3.104863216227173</v>
          </cell>
          <cell r="AK74">
            <v>3.104863216227173</v>
          </cell>
          <cell r="AL74">
            <v>3.104863216227173</v>
          </cell>
          <cell r="AM74">
            <v>3.104863216227173</v>
          </cell>
          <cell r="AN74">
            <v>3.104863216227173</v>
          </cell>
          <cell r="AO74">
            <v>3.104863216227173</v>
          </cell>
          <cell r="AP74">
            <v>3.104863216227173</v>
          </cell>
          <cell r="AQ74">
            <v>3.104863216227173</v>
          </cell>
          <cell r="AR74">
            <v>3.104863216227173</v>
          </cell>
          <cell r="AS74">
            <v>3.104863216227173</v>
          </cell>
          <cell r="AT74">
            <v>3.104863216227173</v>
          </cell>
          <cell r="AU74">
            <v>3.104863216227173</v>
          </cell>
          <cell r="AV74">
            <v>3.104863216227173</v>
          </cell>
          <cell r="AW74">
            <v>3.104863216227173</v>
          </cell>
          <cell r="AX74">
            <v>3.104863216227173</v>
          </cell>
          <cell r="AY74">
            <v>3.104863216227173</v>
          </cell>
          <cell r="AZ74">
            <v>3.104863216227173</v>
          </cell>
          <cell r="BA74">
            <v>3.104863216227173</v>
          </cell>
          <cell r="BB74">
            <v>3.104863216227173</v>
          </cell>
          <cell r="BC74">
            <v>3.104863216227173</v>
          </cell>
          <cell r="BD74">
            <v>3.104863216227173</v>
          </cell>
          <cell r="BE74">
            <v>3.104863216227173</v>
          </cell>
          <cell r="BF74">
            <v>3.104863216227173</v>
          </cell>
          <cell r="BG74">
            <v>3.104863216227173</v>
          </cell>
          <cell r="BH74">
            <v>3.104863216227173</v>
          </cell>
          <cell r="BI74">
            <v>3.104863216227173</v>
          </cell>
          <cell r="BJ74">
            <v>3.104863216227173</v>
          </cell>
          <cell r="BK74">
            <v>3.104863216227173</v>
          </cell>
          <cell r="BL74">
            <v>3.104863216227173</v>
          </cell>
          <cell r="BM74">
            <v>3.104863216227173</v>
          </cell>
          <cell r="BN74">
            <v>3.104863216227173</v>
          </cell>
          <cell r="BO74">
            <v>3.104863216227173</v>
          </cell>
        </row>
        <row r="75">
          <cell r="B75" t="str">
            <v>Propane</v>
          </cell>
          <cell r="G75">
            <v>1.5149999999999999</v>
          </cell>
          <cell r="H75">
            <v>1.5149999999999999</v>
          </cell>
          <cell r="I75">
            <v>1.5149999999999999</v>
          </cell>
          <cell r="J75">
            <v>1.5149999999999999</v>
          </cell>
          <cell r="K75">
            <v>1.5149999999999999</v>
          </cell>
          <cell r="L75">
            <v>1.5149999999999999</v>
          </cell>
          <cell r="M75">
            <v>1.5149999999999999</v>
          </cell>
          <cell r="N75">
            <v>1.5149999999999999</v>
          </cell>
          <cell r="O75">
            <v>1.5149999999999999</v>
          </cell>
          <cell r="P75">
            <v>1.5149999999999999</v>
          </cell>
          <cell r="Q75">
            <v>1.5149999999999999</v>
          </cell>
          <cell r="R75">
            <v>1.5149999999999999</v>
          </cell>
          <cell r="S75">
            <v>1.5149999999999999</v>
          </cell>
          <cell r="T75">
            <v>1.5149999999999999</v>
          </cell>
          <cell r="U75">
            <v>1.5149999999999999</v>
          </cell>
          <cell r="V75">
            <v>1.5149999999999999</v>
          </cell>
          <cell r="W75">
            <v>1.5149999999999999</v>
          </cell>
          <cell r="X75">
            <v>1.5149999999999999</v>
          </cell>
          <cell r="Y75">
            <v>1.5149999999999999</v>
          </cell>
          <cell r="Z75">
            <v>1.5149999999999999</v>
          </cell>
          <cell r="AA75">
            <v>1.5149999999999999</v>
          </cell>
          <cell r="AB75">
            <v>1.5149999999999999</v>
          </cell>
          <cell r="AC75">
            <v>1.5149999999999999</v>
          </cell>
          <cell r="AD75">
            <v>1.5149999999999999</v>
          </cell>
          <cell r="AE75">
            <v>1.5149999999999999</v>
          </cell>
          <cell r="AF75">
            <v>1.5149999999999999</v>
          </cell>
          <cell r="AG75">
            <v>1.5149999999999999</v>
          </cell>
          <cell r="AH75">
            <v>1.5149999999999999</v>
          </cell>
          <cell r="AI75">
            <v>1.5149999999999999</v>
          </cell>
          <cell r="AJ75">
            <v>1.5149999999999999</v>
          </cell>
          <cell r="AK75">
            <v>1.5149999999999999</v>
          </cell>
          <cell r="AL75">
            <v>1.5149999999999999</v>
          </cell>
          <cell r="AM75">
            <v>1.5149999999999999</v>
          </cell>
          <cell r="AN75">
            <v>1.5149999999999999</v>
          </cell>
          <cell r="AO75">
            <v>1.5149999999999999</v>
          </cell>
          <cell r="AP75">
            <v>1.5149999999999999</v>
          </cell>
          <cell r="AQ75">
            <v>1.5149999999999999</v>
          </cell>
          <cell r="AR75">
            <v>1.5149999999999999</v>
          </cell>
          <cell r="AS75">
            <v>1.5149999999999999</v>
          </cell>
          <cell r="AT75">
            <v>1.5149999999999999</v>
          </cell>
          <cell r="AU75">
            <v>1.5149999999999999</v>
          </cell>
          <cell r="AV75">
            <v>1.5149999999999999</v>
          </cell>
          <cell r="AW75">
            <v>1.5149999999999999</v>
          </cell>
          <cell r="AX75">
            <v>1.5149999999999999</v>
          </cell>
          <cell r="AY75">
            <v>1.5149999999999999</v>
          </cell>
          <cell r="AZ75">
            <v>1.5149999999999999</v>
          </cell>
          <cell r="BA75">
            <v>1.5149999999999999</v>
          </cell>
          <cell r="BB75">
            <v>1.5149999999999999</v>
          </cell>
          <cell r="BC75">
            <v>1.5149999999999999</v>
          </cell>
          <cell r="BD75">
            <v>1.5149999999999999</v>
          </cell>
          <cell r="BE75">
            <v>1.5149999999999999</v>
          </cell>
          <cell r="BF75">
            <v>1.5149999999999999</v>
          </cell>
          <cell r="BG75">
            <v>1.5149999999999999</v>
          </cell>
          <cell r="BH75">
            <v>1.5149999999999999</v>
          </cell>
          <cell r="BI75">
            <v>1.5149999999999999</v>
          </cell>
          <cell r="BJ75">
            <v>1.5149999999999999</v>
          </cell>
          <cell r="BK75">
            <v>1.5149999999999999</v>
          </cell>
          <cell r="BL75">
            <v>1.5149999999999999</v>
          </cell>
          <cell r="BM75">
            <v>1.5149999999999999</v>
          </cell>
          <cell r="BN75">
            <v>1.5149999999999999</v>
          </cell>
          <cell r="BO75">
            <v>1.5149999999999999</v>
          </cell>
        </row>
        <row r="76">
          <cell r="B76" t="str">
            <v>Refinery fuel gas</v>
          </cell>
          <cell r="G76">
            <v>1.8494518723793569</v>
          </cell>
          <cell r="H76">
            <v>1.833992675411777</v>
          </cell>
          <cell r="I76">
            <v>1.841967374171277</v>
          </cell>
          <cell r="J76">
            <v>1.833505353096724</v>
          </cell>
          <cell r="K76">
            <v>1.859601579962864</v>
          </cell>
          <cell r="L76">
            <v>1.889388790689438</v>
          </cell>
          <cell r="M76">
            <v>1.9111828690527859</v>
          </cell>
          <cell r="N76">
            <v>1.9136852010490299</v>
          </cell>
          <cell r="O76">
            <v>1.8668835941730291</v>
          </cell>
          <cell r="P76">
            <v>1.902902088873563</v>
          </cell>
          <cell r="Q76">
            <v>1.971167825982068</v>
          </cell>
          <cell r="R76">
            <v>1.9743163373414681</v>
          </cell>
          <cell r="S76">
            <v>2.1044307867433401</v>
          </cell>
          <cell r="T76">
            <v>2.1183749776719312</v>
          </cell>
          <cell r="U76">
            <v>2.124948383359015</v>
          </cell>
          <cell r="V76">
            <v>2.137335090240787</v>
          </cell>
          <cell r="W76">
            <v>2.149636649357622</v>
          </cell>
          <cell r="X76">
            <v>2.1758690213465188</v>
          </cell>
          <cell r="Y76">
            <v>2.1596368749331898</v>
          </cell>
          <cell r="Z76">
            <v>1.984739946832442</v>
          </cell>
          <cell r="AA76">
            <v>1.989208971111305</v>
          </cell>
          <cell r="AB76">
            <v>1.989208971111305</v>
          </cell>
          <cell r="AC76">
            <v>1.989208971111305</v>
          </cell>
          <cell r="AD76">
            <v>1.989208971111305</v>
          </cell>
          <cell r="AE76">
            <v>1.989208971111305</v>
          </cell>
          <cell r="AF76">
            <v>1.989208971111305</v>
          </cell>
          <cell r="AG76">
            <v>1.989208971111305</v>
          </cell>
          <cell r="AH76">
            <v>1.989208971111305</v>
          </cell>
          <cell r="AI76">
            <v>1.989208971111305</v>
          </cell>
          <cell r="AJ76">
            <v>1.989208971111305</v>
          </cell>
          <cell r="AK76">
            <v>1.989208971111305</v>
          </cell>
          <cell r="AL76">
            <v>1.989208971111305</v>
          </cell>
          <cell r="AM76">
            <v>1.989208971111305</v>
          </cell>
          <cell r="AN76">
            <v>1.989208971111305</v>
          </cell>
          <cell r="AO76">
            <v>1.989208971111305</v>
          </cell>
          <cell r="AP76">
            <v>1.989208971111305</v>
          </cell>
          <cell r="AQ76">
            <v>1.989208971111305</v>
          </cell>
          <cell r="AR76">
            <v>1.989208971111305</v>
          </cell>
          <cell r="AS76">
            <v>1.989208971111305</v>
          </cell>
          <cell r="AT76">
            <v>1.989208971111305</v>
          </cell>
          <cell r="AU76">
            <v>1.989208971111305</v>
          </cell>
          <cell r="AV76">
            <v>1.989208971111305</v>
          </cell>
          <cell r="AW76">
            <v>1.989208971111305</v>
          </cell>
          <cell r="AX76">
            <v>1.989208971111305</v>
          </cell>
          <cell r="AY76">
            <v>1.989208971111305</v>
          </cell>
          <cell r="AZ76">
            <v>1.989208971111305</v>
          </cell>
          <cell r="BA76">
            <v>1.989208971111305</v>
          </cell>
          <cell r="BB76">
            <v>1.989208971111305</v>
          </cell>
          <cell r="BC76">
            <v>1.989208971111305</v>
          </cell>
          <cell r="BD76">
            <v>1.989208971111305</v>
          </cell>
          <cell r="BE76">
            <v>1.989208971111305</v>
          </cell>
          <cell r="BF76">
            <v>1.989208971111305</v>
          </cell>
          <cell r="BG76">
            <v>1.989208971111305</v>
          </cell>
          <cell r="BH76">
            <v>1.989208971111305</v>
          </cell>
          <cell r="BI76">
            <v>1.989208971111305</v>
          </cell>
          <cell r="BJ76">
            <v>1.989208971111305</v>
          </cell>
          <cell r="BK76">
            <v>1.989208971111305</v>
          </cell>
          <cell r="BL76">
            <v>1.989208971111305</v>
          </cell>
          <cell r="BM76">
            <v>1.989208971111305</v>
          </cell>
          <cell r="BN76">
            <v>1.989208971111305</v>
          </cell>
          <cell r="BO76">
            <v>1.989208971111305</v>
          </cell>
        </row>
        <row r="77">
          <cell r="B77" t="str">
            <v>Solid biomass</v>
          </cell>
          <cell r="G77">
            <v>1.5102739726027401</v>
          </cell>
          <cell r="H77">
            <v>1.5102739726027401</v>
          </cell>
          <cell r="I77">
            <v>1.5102739726027401</v>
          </cell>
          <cell r="J77">
            <v>1.5102739726027401</v>
          </cell>
          <cell r="K77">
            <v>1.5102739726027401</v>
          </cell>
          <cell r="L77">
            <v>1.5102739726027401</v>
          </cell>
          <cell r="M77">
            <v>1.5102739726027401</v>
          </cell>
          <cell r="N77">
            <v>1.5102739726027401</v>
          </cell>
          <cell r="O77">
            <v>1.5102739726027401</v>
          </cell>
          <cell r="P77">
            <v>1.5102739726027401</v>
          </cell>
          <cell r="Q77">
            <v>1.5102739726027401</v>
          </cell>
          <cell r="R77">
            <v>1.5102739726027401</v>
          </cell>
          <cell r="S77">
            <v>1.5102739726027401</v>
          </cell>
          <cell r="T77">
            <v>1.5102739726027401</v>
          </cell>
          <cell r="U77">
            <v>1.5102739726027401</v>
          </cell>
          <cell r="V77">
            <v>1.5102739726027401</v>
          </cell>
          <cell r="W77">
            <v>1.5102739726027401</v>
          </cell>
          <cell r="X77">
            <v>1.5102739726027401</v>
          </cell>
          <cell r="Y77">
            <v>1.5102739726027401</v>
          </cell>
          <cell r="Z77">
            <v>1.5102739726027401</v>
          </cell>
          <cell r="AA77">
            <v>1.5102739726027401</v>
          </cell>
          <cell r="AB77">
            <v>1.5102739726027401</v>
          </cell>
          <cell r="AC77">
            <v>1.5102739726027401</v>
          </cell>
          <cell r="AD77">
            <v>1.5102739726027401</v>
          </cell>
          <cell r="AE77">
            <v>1.5102739726027401</v>
          </cell>
          <cell r="AF77">
            <v>1.5102739726027401</v>
          </cell>
          <cell r="AG77">
            <v>1.5102739726027401</v>
          </cell>
          <cell r="AH77">
            <v>1.5102739726027401</v>
          </cell>
          <cell r="AI77">
            <v>1.5102739726027401</v>
          </cell>
          <cell r="AJ77">
            <v>1.5102739726027401</v>
          </cell>
          <cell r="AK77">
            <v>1.5102739726027401</v>
          </cell>
          <cell r="AL77">
            <v>1.5102739726027401</v>
          </cell>
          <cell r="AM77">
            <v>1.5102739726027401</v>
          </cell>
          <cell r="AN77">
            <v>1.5102739726027401</v>
          </cell>
          <cell r="AO77">
            <v>1.5102739726027401</v>
          </cell>
          <cell r="AP77">
            <v>1.5102739726027401</v>
          </cell>
          <cell r="AQ77">
            <v>1.5102739726027401</v>
          </cell>
          <cell r="AR77">
            <v>1.5102739726027401</v>
          </cell>
          <cell r="AS77">
            <v>1.5102739726027401</v>
          </cell>
          <cell r="AT77">
            <v>1.5102739726027401</v>
          </cell>
          <cell r="AU77">
            <v>1.5102739726027401</v>
          </cell>
          <cell r="AV77">
            <v>1.5102739726027401</v>
          </cell>
          <cell r="AW77">
            <v>1.5102739726027401</v>
          </cell>
          <cell r="AX77">
            <v>1.5102739726027401</v>
          </cell>
          <cell r="AY77">
            <v>1.5102739726027401</v>
          </cell>
          <cell r="AZ77">
            <v>1.5102739726027401</v>
          </cell>
          <cell r="BA77">
            <v>1.5102739726027401</v>
          </cell>
          <cell r="BB77">
            <v>1.5102739726027401</v>
          </cell>
          <cell r="BC77">
            <v>1.5102739726027401</v>
          </cell>
          <cell r="BD77">
            <v>1.5102739726027401</v>
          </cell>
          <cell r="BE77">
            <v>1.5102739726027401</v>
          </cell>
          <cell r="BF77">
            <v>1.5102739726027401</v>
          </cell>
          <cell r="BG77">
            <v>1.5102739726027401</v>
          </cell>
          <cell r="BH77">
            <v>1.5102739726027401</v>
          </cell>
          <cell r="BI77">
            <v>1.5102739726027401</v>
          </cell>
          <cell r="BJ77">
            <v>1.5102739726027401</v>
          </cell>
          <cell r="BK77">
            <v>1.5102739726027401</v>
          </cell>
          <cell r="BL77">
            <v>1.5102739726027401</v>
          </cell>
          <cell r="BM77">
            <v>1.5102739726027401</v>
          </cell>
          <cell r="BN77">
            <v>1.5102739726027401</v>
          </cell>
          <cell r="BO77">
            <v>1.5102739726027401</v>
          </cell>
        </row>
        <row r="78">
          <cell r="B78" t="str">
            <v>Uranium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B79" t="str">
            <v>Waste fuel</v>
          </cell>
          <cell r="G79">
            <v>7.7600000000000002E-2</v>
          </cell>
          <cell r="H79">
            <v>7.8600000000000003E-2</v>
          </cell>
          <cell r="I79">
            <v>8.0600000000000005E-2</v>
          </cell>
          <cell r="J79">
            <v>8.2600000000000007E-2</v>
          </cell>
          <cell r="K79">
            <v>8.1500000000000003E-2</v>
          </cell>
          <cell r="L79">
            <v>8.1199999999999994E-2</v>
          </cell>
          <cell r="M79">
            <v>8.3799999999999999E-2</v>
          </cell>
          <cell r="N79">
            <v>8.77E-2</v>
          </cell>
          <cell r="O79">
            <v>8.6300000000000002E-2</v>
          </cell>
          <cell r="P79">
            <v>7.9200000000000007E-2</v>
          </cell>
          <cell r="Q79">
            <v>8.0100000000000005E-2</v>
          </cell>
          <cell r="R79">
            <v>8.0100000000000005E-2</v>
          </cell>
          <cell r="S79">
            <v>8.0100000000000005E-2</v>
          </cell>
          <cell r="T79">
            <v>8.0100000000000005E-2</v>
          </cell>
          <cell r="U79">
            <v>8.0100000000000005E-2</v>
          </cell>
          <cell r="V79">
            <v>8.0100000000000005E-2</v>
          </cell>
          <cell r="W79">
            <v>8.0100000000000005E-2</v>
          </cell>
          <cell r="X79">
            <v>8.0100000000000005E-2</v>
          </cell>
          <cell r="Y79">
            <v>8.0100000000000005E-2</v>
          </cell>
          <cell r="Z79">
            <v>8.0100000000000005E-2</v>
          </cell>
          <cell r="AA79">
            <v>8.0100000000000005E-2</v>
          </cell>
          <cell r="AB79">
            <v>8.0100000000000005E-2</v>
          </cell>
          <cell r="AC79">
            <v>8.0100000000000005E-2</v>
          </cell>
          <cell r="AD79">
            <v>8.0100000000000005E-2</v>
          </cell>
          <cell r="AE79">
            <v>8.0100000000000005E-2</v>
          </cell>
          <cell r="AF79">
            <v>8.0100000000000005E-2</v>
          </cell>
          <cell r="AG79">
            <v>8.0100000000000005E-2</v>
          </cell>
          <cell r="AH79">
            <v>8.0100000000000005E-2</v>
          </cell>
          <cell r="AI79">
            <v>8.0100000000000005E-2</v>
          </cell>
          <cell r="AJ79">
            <v>8.0100000000000005E-2</v>
          </cell>
          <cell r="AK79">
            <v>8.0100000000000005E-2</v>
          </cell>
          <cell r="AL79">
            <v>8.0100000000000005E-2</v>
          </cell>
          <cell r="AM79">
            <v>8.0100000000000005E-2</v>
          </cell>
          <cell r="AN79">
            <v>8.0100000000000005E-2</v>
          </cell>
          <cell r="AO79">
            <v>8.0100000000000005E-2</v>
          </cell>
          <cell r="AP79">
            <v>8.0100000000000005E-2</v>
          </cell>
          <cell r="AQ79">
            <v>8.0100000000000005E-2</v>
          </cell>
          <cell r="AR79">
            <v>8.0100000000000005E-2</v>
          </cell>
          <cell r="AS79">
            <v>8.0100000000000005E-2</v>
          </cell>
          <cell r="AT79">
            <v>8.0100000000000005E-2</v>
          </cell>
          <cell r="AU79">
            <v>8.0100000000000005E-2</v>
          </cell>
          <cell r="AV79">
            <v>8.0100000000000005E-2</v>
          </cell>
          <cell r="AW79">
            <v>8.0100000000000005E-2</v>
          </cell>
          <cell r="AX79">
            <v>8.0100000000000005E-2</v>
          </cell>
          <cell r="AY79">
            <v>8.0100000000000005E-2</v>
          </cell>
          <cell r="AZ79">
            <v>8.0100000000000005E-2</v>
          </cell>
          <cell r="BA79">
            <v>8.0100000000000005E-2</v>
          </cell>
          <cell r="BB79">
            <v>8.0100000000000005E-2</v>
          </cell>
          <cell r="BC79">
            <v>8.0100000000000005E-2</v>
          </cell>
          <cell r="BD79">
            <v>8.0100000000000005E-2</v>
          </cell>
          <cell r="BE79">
            <v>8.0100000000000005E-2</v>
          </cell>
          <cell r="BF79">
            <v>8.0100000000000005E-2</v>
          </cell>
          <cell r="BG79">
            <v>8.0100000000000005E-2</v>
          </cell>
          <cell r="BH79">
            <v>8.0100000000000005E-2</v>
          </cell>
          <cell r="BI79">
            <v>8.0100000000000005E-2</v>
          </cell>
          <cell r="BJ79">
            <v>8.0100000000000005E-2</v>
          </cell>
          <cell r="BK79">
            <v>8.0100000000000005E-2</v>
          </cell>
          <cell r="BL79">
            <v>8.0100000000000005E-2</v>
          </cell>
          <cell r="BM79">
            <v>8.0100000000000005E-2</v>
          </cell>
          <cell r="BN79">
            <v>8.0100000000000005E-2</v>
          </cell>
          <cell r="BO79">
            <v>8.0100000000000005E-2</v>
          </cell>
        </row>
        <row r="84">
          <cell r="K84">
            <v>1.3300000000000001E-4</v>
          </cell>
          <cell r="L84">
            <v>1.3300000000000001E-4</v>
          </cell>
          <cell r="M84">
            <v>1.3300000000000001E-4</v>
          </cell>
          <cell r="N84">
            <v>1.3300000000000001E-4</v>
          </cell>
          <cell r="O84">
            <v>1.3300000000000001E-4</v>
          </cell>
          <cell r="P84">
            <v>1.3300000000000001E-4</v>
          </cell>
          <cell r="Q84">
            <v>1.3300000000000001E-4</v>
          </cell>
          <cell r="R84">
            <v>1.3300000000000001E-4</v>
          </cell>
          <cell r="S84">
            <v>1.3300000000000001E-4</v>
          </cell>
          <cell r="T84">
            <v>1.3300000000000001E-4</v>
          </cell>
          <cell r="U84">
            <v>1.3300000000000001E-4</v>
          </cell>
        </row>
        <row r="85">
          <cell r="K85">
            <v>3.6999999999999998E-5</v>
          </cell>
          <cell r="L85">
            <v>3.6999999999999998E-5</v>
          </cell>
          <cell r="M85">
            <v>3.6999999999999998E-5</v>
          </cell>
          <cell r="N85">
            <v>3.6999999999999998E-5</v>
          </cell>
          <cell r="O85">
            <v>3.6999999999999998E-5</v>
          </cell>
          <cell r="P85">
            <v>3.6999999999999998E-5</v>
          </cell>
          <cell r="Q85">
            <v>3.6999999999999998E-5</v>
          </cell>
          <cell r="R85">
            <v>3.6999999999999998E-5</v>
          </cell>
          <cell r="S85">
            <v>3.6999999999999998E-5</v>
          </cell>
          <cell r="T85">
            <v>3.6999999999999998E-5</v>
          </cell>
          <cell r="U85">
            <v>3.6999999999999998E-5</v>
          </cell>
        </row>
        <row r="86">
          <cell r="K86">
            <v>3.0656934306569353E-5</v>
          </cell>
          <cell r="L86">
            <v>3.0656934306569353E-5</v>
          </cell>
          <cell r="M86">
            <v>3.0656934306569353E-5</v>
          </cell>
          <cell r="N86">
            <v>3.0656934306569353E-5</v>
          </cell>
          <cell r="O86">
            <v>3.0656934306569353E-5</v>
          </cell>
          <cell r="P86">
            <v>3.0656934306569353E-5</v>
          </cell>
          <cell r="Q86">
            <v>3.0656934306569353E-5</v>
          </cell>
          <cell r="R86">
            <v>3.0656934306569353E-5</v>
          </cell>
          <cell r="S86">
            <v>3.0656934306569353E-5</v>
          </cell>
          <cell r="T86">
            <v>3.0656934306569353E-5</v>
          </cell>
          <cell r="U86">
            <v>3.0656934306569353E-5</v>
          </cell>
        </row>
        <row r="87">
          <cell r="K87">
            <v>3.0000000000000001E-5</v>
          </cell>
          <cell r="L87">
            <v>3.0000000000000001E-5</v>
          </cell>
          <cell r="M87">
            <v>3.0000000000000001E-5</v>
          </cell>
          <cell r="N87">
            <v>3.0000000000000001E-5</v>
          </cell>
          <cell r="O87">
            <v>3.0000000000000001E-5</v>
          </cell>
          <cell r="P87">
            <v>3.0000000000000001E-5</v>
          </cell>
          <cell r="Q87">
            <v>3.0000000000000001E-5</v>
          </cell>
          <cell r="R87">
            <v>3.0000000000000001E-5</v>
          </cell>
          <cell r="S87">
            <v>3.0000000000000001E-5</v>
          </cell>
          <cell r="T87">
            <v>3.0000000000000001E-5</v>
          </cell>
          <cell r="U87">
            <v>3.0000000000000001E-5</v>
          </cell>
        </row>
        <row r="88">
          <cell r="K88">
            <v>3.0000000000000001E-5</v>
          </cell>
          <cell r="L88">
            <v>3.0000000000000001E-5</v>
          </cell>
          <cell r="M88">
            <v>3.0000000000000001E-5</v>
          </cell>
          <cell r="N88">
            <v>3.0000000000000001E-5</v>
          </cell>
          <cell r="O88">
            <v>3.0000000000000001E-5</v>
          </cell>
          <cell r="P88">
            <v>3.0000000000000001E-5</v>
          </cell>
          <cell r="Q88">
            <v>3.0000000000000001E-5</v>
          </cell>
          <cell r="R88">
            <v>3.0000000000000001E-5</v>
          </cell>
          <cell r="S88">
            <v>3.0000000000000001E-5</v>
          </cell>
          <cell r="T88">
            <v>3.0000000000000001E-5</v>
          </cell>
          <cell r="U88">
            <v>3.0000000000000001E-5</v>
          </cell>
        </row>
        <row r="89">
          <cell r="K89">
            <v>1.3300000000000001E-4</v>
          </cell>
          <cell r="L89">
            <v>1.3300000000000001E-4</v>
          </cell>
          <cell r="M89">
            <v>1.3300000000000001E-4</v>
          </cell>
          <cell r="N89">
            <v>1.3300000000000001E-4</v>
          </cell>
          <cell r="O89">
            <v>1.3300000000000001E-4</v>
          </cell>
          <cell r="P89">
            <v>1.3300000000000001E-4</v>
          </cell>
          <cell r="Q89">
            <v>1.3300000000000001E-4</v>
          </cell>
          <cell r="R89">
            <v>1.3300000000000001E-4</v>
          </cell>
          <cell r="S89">
            <v>1.3300000000000001E-4</v>
          </cell>
          <cell r="T89">
            <v>1.3300000000000001E-4</v>
          </cell>
          <cell r="U89">
            <v>1.3300000000000001E-4</v>
          </cell>
        </row>
        <row r="90"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K91">
            <v>1E-4</v>
          </cell>
          <cell r="L91">
            <v>1E-4</v>
          </cell>
          <cell r="M91">
            <v>1E-4</v>
          </cell>
          <cell r="N91">
            <v>1E-4</v>
          </cell>
          <cell r="O91">
            <v>1E-4</v>
          </cell>
          <cell r="P91">
            <v>1E-4</v>
          </cell>
          <cell r="Q91">
            <v>1E-4</v>
          </cell>
          <cell r="R91">
            <v>1E-4</v>
          </cell>
          <cell r="S91">
            <v>1E-4</v>
          </cell>
          <cell r="T91">
            <v>1E-4</v>
          </cell>
          <cell r="U91">
            <v>1E-4</v>
          </cell>
        </row>
        <row r="92">
          <cell r="K92">
            <v>1.2E-4</v>
          </cell>
          <cell r="L92">
            <v>1.2E-4</v>
          </cell>
          <cell r="M92">
            <v>1.2E-4</v>
          </cell>
          <cell r="N92">
            <v>1.2E-4</v>
          </cell>
          <cell r="O92">
            <v>1.2E-4</v>
          </cell>
          <cell r="P92">
            <v>1.2E-4</v>
          </cell>
          <cell r="Q92">
            <v>1.2E-4</v>
          </cell>
          <cell r="R92">
            <v>1.2E-4</v>
          </cell>
          <cell r="S92">
            <v>1.2E-4</v>
          </cell>
          <cell r="T92">
            <v>1.2E-4</v>
          </cell>
          <cell r="U92">
            <v>1.2E-4</v>
          </cell>
        </row>
        <row r="93">
          <cell r="K93">
            <v>1E-4</v>
          </cell>
          <cell r="L93">
            <v>1E-4</v>
          </cell>
          <cell r="M93">
            <v>1E-4</v>
          </cell>
          <cell r="N93">
            <v>1E-4</v>
          </cell>
          <cell r="O93">
            <v>1E-4</v>
          </cell>
          <cell r="P93">
            <v>1E-4</v>
          </cell>
          <cell r="Q93">
            <v>1E-4</v>
          </cell>
          <cell r="R93">
            <v>1E-4</v>
          </cell>
          <cell r="S93">
            <v>1E-4</v>
          </cell>
          <cell r="T93">
            <v>1E-4</v>
          </cell>
          <cell r="U93">
            <v>1E-4</v>
          </cell>
        </row>
        <row r="94"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</row>
        <row r="95">
          <cell r="K95">
            <v>2.9E-5</v>
          </cell>
          <cell r="L95">
            <v>2.9E-5</v>
          </cell>
          <cell r="M95">
            <v>2.9E-5</v>
          </cell>
          <cell r="N95">
            <v>2.9E-5</v>
          </cell>
          <cell r="O95">
            <v>2.9E-5</v>
          </cell>
          <cell r="P95">
            <v>2.9E-5</v>
          </cell>
          <cell r="Q95">
            <v>2.9E-5</v>
          </cell>
          <cell r="R95">
            <v>2.9E-5</v>
          </cell>
          <cell r="S95">
            <v>2.9E-5</v>
          </cell>
          <cell r="T95">
            <v>2.9E-5</v>
          </cell>
          <cell r="U95">
            <v>2.9E-5</v>
          </cell>
        </row>
        <row r="96">
          <cell r="K96">
            <v>2.4000000000000001E-5</v>
          </cell>
          <cell r="L96">
            <v>2.4000000000000001E-5</v>
          </cell>
          <cell r="M96">
            <v>2.4000000000000001E-5</v>
          </cell>
          <cell r="N96">
            <v>2.4000000000000001E-5</v>
          </cell>
          <cell r="O96">
            <v>2.4000000000000001E-5</v>
          </cell>
          <cell r="P96">
            <v>2.4000000000000001E-5</v>
          </cell>
          <cell r="Q96">
            <v>2.4000000000000001E-5</v>
          </cell>
          <cell r="R96">
            <v>2.4000000000000001E-5</v>
          </cell>
          <cell r="S96">
            <v>2.4000000000000001E-5</v>
          </cell>
          <cell r="T96">
            <v>2.4000000000000001E-5</v>
          </cell>
          <cell r="U96">
            <v>2.4000000000000001E-5</v>
          </cell>
        </row>
        <row r="97">
          <cell r="K97">
            <v>3.6999999999999998E-5</v>
          </cell>
          <cell r="L97">
            <v>3.6999999999999998E-5</v>
          </cell>
          <cell r="M97">
            <v>3.6999999999999998E-5</v>
          </cell>
          <cell r="N97">
            <v>3.6999999999999998E-5</v>
          </cell>
          <cell r="O97">
            <v>3.6999999999999998E-5</v>
          </cell>
          <cell r="P97">
            <v>3.6999999999999998E-5</v>
          </cell>
          <cell r="Q97">
            <v>3.6999999999999998E-5</v>
          </cell>
          <cell r="R97">
            <v>3.6999999999999998E-5</v>
          </cell>
          <cell r="S97">
            <v>3.6999999999999998E-5</v>
          </cell>
          <cell r="T97">
            <v>3.6999999999999998E-5</v>
          </cell>
          <cell r="U97">
            <v>3.6999999999999998E-5</v>
          </cell>
        </row>
        <row r="98">
          <cell r="K98">
            <v>1.000583673809722E-4</v>
          </cell>
          <cell r="L98">
            <v>1.000583673809722E-4</v>
          </cell>
          <cell r="M98">
            <v>1.000583673809722E-4</v>
          </cell>
          <cell r="N98">
            <v>1.000583673809722E-4</v>
          </cell>
          <cell r="O98">
            <v>1.000583673809722E-4</v>
          </cell>
          <cell r="P98">
            <v>1.000583673809722E-4</v>
          </cell>
          <cell r="Q98">
            <v>1.000583673809722E-4</v>
          </cell>
          <cell r="R98">
            <v>1.000583673809722E-4</v>
          </cell>
          <cell r="S98">
            <v>1.000583673809722E-4</v>
          </cell>
          <cell r="T98">
            <v>1.000583673809722E-4</v>
          </cell>
          <cell r="U98">
            <v>1.000583673809722E-4</v>
          </cell>
        </row>
        <row r="99">
          <cell r="K99">
            <v>2.4000000000000001E-5</v>
          </cell>
          <cell r="L99">
            <v>2.4000000000000001E-5</v>
          </cell>
          <cell r="M99">
            <v>2.4000000000000001E-5</v>
          </cell>
          <cell r="N99">
            <v>2.4000000000000001E-5</v>
          </cell>
          <cell r="O99">
            <v>2.4000000000000001E-5</v>
          </cell>
          <cell r="P99">
            <v>2.4000000000000001E-5</v>
          </cell>
          <cell r="Q99">
            <v>2.4000000000000001E-5</v>
          </cell>
          <cell r="R99">
            <v>2.4000000000000001E-5</v>
          </cell>
          <cell r="S99">
            <v>2.4000000000000001E-5</v>
          </cell>
          <cell r="T99">
            <v>2.4000000000000001E-5</v>
          </cell>
          <cell r="U99">
            <v>2.4000000000000001E-5</v>
          </cell>
        </row>
        <row r="100">
          <cell r="K100">
            <v>3.2359999999999988E-5</v>
          </cell>
          <cell r="L100">
            <v>3.1999999999999978E-5</v>
          </cell>
          <cell r="M100">
            <v>3.1999999999999999E-5</v>
          </cell>
          <cell r="N100">
            <v>3.2199999999999997E-5</v>
          </cell>
          <cell r="O100">
            <v>3.1600000000000002E-5</v>
          </cell>
          <cell r="P100">
            <v>3.1999999999999999E-5</v>
          </cell>
          <cell r="Q100">
            <v>3.2100000000000001E-5</v>
          </cell>
          <cell r="R100">
            <v>3.26E-5</v>
          </cell>
          <cell r="S100">
            <v>3.0499999999999999E-5</v>
          </cell>
          <cell r="T100">
            <v>3.1000000000000001E-5</v>
          </cell>
          <cell r="U100">
            <v>3.1000000000000001E-5</v>
          </cell>
        </row>
        <row r="101">
          <cell r="K101">
            <v>8.8062622309197647E-5</v>
          </cell>
          <cell r="L101">
            <v>8.8062622309197647E-5</v>
          </cell>
          <cell r="M101">
            <v>8.8062622309197647E-5</v>
          </cell>
          <cell r="N101">
            <v>8.8062622309197647E-5</v>
          </cell>
          <cell r="O101">
            <v>8.8062622309197647E-5</v>
          </cell>
          <cell r="P101">
            <v>8.8062622309197647E-5</v>
          </cell>
          <cell r="Q101">
            <v>8.8062622309197647E-5</v>
          </cell>
          <cell r="R101">
            <v>8.8062622309197647E-5</v>
          </cell>
          <cell r="S101">
            <v>8.8062622309197647E-5</v>
          </cell>
          <cell r="T101">
            <v>8.8062622309197647E-5</v>
          </cell>
          <cell r="U101">
            <v>8.8062622309197647E-5</v>
          </cell>
        </row>
        <row r="102"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K103">
            <v>3.0000000000000001E-5</v>
          </cell>
          <cell r="L103">
            <v>3.0000000000000001E-5</v>
          </cell>
          <cell r="M103">
            <v>3.0000000000000001E-5</v>
          </cell>
          <cell r="N103">
            <v>3.0000000000000001E-5</v>
          </cell>
          <cell r="O103">
            <v>3.0000000000000001E-5</v>
          </cell>
          <cell r="P103">
            <v>3.0000000000000001E-5</v>
          </cell>
          <cell r="Q103">
            <v>3.0000000000000001E-5</v>
          </cell>
          <cell r="R103">
            <v>3.0000000000000001E-5</v>
          </cell>
          <cell r="S103">
            <v>3.0000000000000001E-5</v>
          </cell>
          <cell r="T103">
            <v>3.0000000000000001E-5</v>
          </cell>
          <cell r="U103">
            <v>3.0000000000000001E-5</v>
          </cell>
        </row>
        <row r="108">
          <cell r="K108">
            <v>4.0000000000000002E-4</v>
          </cell>
          <cell r="L108">
            <v>4.0000000000000002E-4</v>
          </cell>
          <cell r="M108">
            <v>4.0000000000000002E-4</v>
          </cell>
          <cell r="N108">
            <v>4.0000000000000002E-4</v>
          </cell>
          <cell r="O108">
            <v>4.0000000000000002E-4</v>
          </cell>
          <cell r="P108">
            <v>4.0000000000000002E-4</v>
          </cell>
          <cell r="Q108">
            <v>4.0000000000000002E-4</v>
          </cell>
          <cell r="R108">
            <v>4.0000000000000002E-4</v>
          </cell>
          <cell r="S108">
            <v>4.0000000000000002E-4</v>
          </cell>
          <cell r="T108">
            <v>4.0000000000000002E-4</v>
          </cell>
          <cell r="U108">
            <v>4.0000000000000002E-4</v>
          </cell>
        </row>
        <row r="109">
          <cell r="K109">
            <v>3.3000000000000003E-5</v>
          </cell>
          <cell r="L109">
            <v>3.3000000000000003E-5</v>
          </cell>
          <cell r="M109">
            <v>3.3000000000000003E-5</v>
          </cell>
          <cell r="N109">
            <v>3.3000000000000003E-5</v>
          </cell>
          <cell r="O109">
            <v>3.3000000000000003E-5</v>
          </cell>
          <cell r="P109">
            <v>3.3000000000000003E-5</v>
          </cell>
          <cell r="Q109">
            <v>3.3000000000000003E-5</v>
          </cell>
          <cell r="R109">
            <v>3.3000000000000003E-5</v>
          </cell>
          <cell r="S109">
            <v>3.3000000000000003E-5</v>
          </cell>
          <cell r="T109">
            <v>3.3000000000000003E-5</v>
          </cell>
          <cell r="U109">
            <v>3.3000000000000003E-5</v>
          </cell>
        </row>
        <row r="110">
          <cell r="K110">
            <v>5.1094890510948907E-6</v>
          </cell>
          <cell r="L110">
            <v>5.1094890510948907E-6</v>
          </cell>
          <cell r="M110">
            <v>5.1094890510948907E-6</v>
          </cell>
          <cell r="N110">
            <v>5.1094890510948907E-6</v>
          </cell>
          <cell r="O110">
            <v>5.1094890510948907E-6</v>
          </cell>
          <cell r="P110">
            <v>5.1094890510948907E-6</v>
          </cell>
          <cell r="Q110">
            <v>5.1094890510948907E-6</v>
          </cell>
          <cell r="R110">
            <v>5.1094890510948907E-6</v>
          </cell>
          <cell r="S110">
            <v>5.1094890510948907E-6</v>
          </cell>
          <cell r="T110">
            <v>5.1094890510948907E-6</v>
          </cell>
          <cell r="U110">
            <v>5.1094890510948907E-6</v>
          </cell>
        </row>
        <row r="111">
          <cell r="K111">
            <v>2.0000000000000002E-5</v>
          </cell>
          <cell r="L111">
            <v>2.0000000000000002E-5</v>
          </cell>
          <cell r="M111">
            <v>2.0000000000000002E-5</v>
          </cell>
          <cell r="N111">
            <v>2.0000000000000002E-5</v>
          </cell>
          <cell r="O111">
            <v>2.0000000000000002E-5</v>
          </cell>
          <cell r="P111">
            <v>2.0000000000000002E-5</v>
          </cell>
          <cell r="Q111">
            <v>2.0000000000000002E-5</v>
          </cell>
          <cell r="R111">
            <v>2.0000000000000002E-5</v>
          </cell>
          <cell r="S111">
            <v>2.0000000000000002E-5</v>
          </cell>
          <cell r="T111">
            <v>2.0000000000000002E-5</v>
          </cell>
          <cell r="U111">
            <v>2.0000000000000002E-5</v>
          </cell>
        </row>
        <row r="112">
          <cell r="K112">
            <v>2.0000000000000002E-5</v>
          </cell>
          <cell r="L112">
            <v>2.0000000000000002E-5</v>
          </cell>
          <cell r="M112">
            <v>2.0000000000000002E-5</v>
          </cell>
          <cell r="N112">
            <v>2.0000000000000002E-5</v>
          </cell>
          <cell r="O112">
            <v>2.0000000000000002E-5</v>
          </cell>
          <cell r="P112">
            <v>2.0000000000000002E-5</v>
          </cell>
          <cell r="Q112">
            <v>2.0000000000000002E-5</v>
          </cell>
          <cell r="R112">
            <v>2.0000000000000002E-5</v>
          </cell>
          <cell r="S112">
            <v>2.0000000000000002E-5</v>
          </cell>
          <cell r="T112">
            <v>2.0000000000000002E-5</v>
          </cell>
          <cell r="U112">
            <v>2.0000000000000002E-5</v>
          </cell>
        </row>
        <row r="113">
          <cell r="K113">
            <v>4.0000000000000002E-4</v>
          </cell>
          <cell r="L113">
            <v>4.0000000000000002E-4</v>
          </cell>
          <cell r="M113">
            <v>4.0000000000000002E-4</v>
          </cell>
          <cell r="N113">
            <v>4.0000000000000002E-4</v>
          </cell>
          <cell r="O113">
            <v>4.0000000000000002E-4</v>
          </cell>
          <cell r="P113">
            <v>4.0000000000000002E-4</v>
          </cell>
          <cell r="Q113">
            <v>4.0000000000000002E-4</v>
          </cell>
          <cell r="R113">
            <v>4.0000000000000002E-4</v>
          </cell>
          <cell r="S113">
            <v>4.0000000000000002E-4</v>
          </cell>
          <cell r="T113">
            <v>4.0000000000000002E-4</v>
          </cell>
          <cell r="U113">
            <v>4.0000000000000002E-4</v>
          </cell>
        </row>
        <row r="114"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K115">
            <v>2.0000000000000002E-5</v>
          </cell>
          <cell r="L115">
            <v>2.0000000000000002E-5</v>
          </cell>
          <cell r="M115">
            <v>2.0000000000000002E-5</v>
          </cell>
          <cell r="N115">
            <v>2.0000000000000002E-5</v>
          </cell>
          <cell r="O115">
            <v>2.0000000000000002E-5</v>
          </cell>
          <cell r="P115">
            <v>2.0000000000000002E-5</v>
          </cell>
          <cell r="Q115">
            <v>2.0000000000000002E-5</v>
          </cell>
          <cell r="R115">
            <v>2.0000000000000002E-5</v>
          </cell>
          <cell r="S115">
            <v>2.0000000000000002E-5</v>
          </cell>
          <cell r="T115">
            <v>2.0000000000000002E-5</v>
          </cell>
          <cell r="U115">
            <v>2.0000000000000002E-5</v>
          </cell>
        </row>
        <row r="116">
          <cell r="K116">
            <v>6.3999999999999997E-5</v>
          </cell>
          <cell r="L116">
            <v>6.3999999999999997E-5</v>
          </cell>
          <cell r="M116">
            <v>6.3999999999999997E-5</v>
          </cell>
          <cell r="N116">
            <v>6.3999999999999997E-5</v>
          </cell>
          <cell r="O116">
            <v>6.3999999999999997E-5</v>
          </cell>
          <cell r="P116">
            <v>6.3999999999999997E-5</v>
          </cell>
          <cell r="Q116">
            <v>6.3999999999999997E-5</v>
          </cell>
          <cell r="R116">
            <v>6.3999999999999997E-5</v>
          </cell>
          <cell r="S116">
            <v>6.3999999999999997E-5</v>
          </cell>
          <cell r="T116">
            <v>6.3999999999999997E-5</v>
          </cell>
          <cell r="U116">
            <v>6.3999999999999997E-5</v>
          </cell>
        </row>
        <row r="117">
          <cell r="K117">
            <v>2.0000000000000002E-5</v>
          </cell>
          <cell r="L117">
            <v>2.0000000000000002E-5</v>
          </cell>
          <cell r="M117">
            <v>2.0000000000000002E-5</v>
          </cell>
          <cell r="N117">
            <v>2.0000000000000002E-5</v>
          </cell>
          <cell r="O117">
            <v>2.0000000000000002E-5</v>
          </cell>
          <cell r="P117">
            <v>2.0000000000000002E-5</v>
          </cell>
          <cell r="Q117">
            <v>2.0000000000000002E-5</v>
          </cell>
          <cell r="R117">
            <v>2.0000000000000002E-5</v>
          </cell>
          <cell r="S117">
            <v>2.0000000000000002E-5</v>
          </cell>
          <cell r="T117">
            <v>2.0000000000000002E-5</v>
          </cell>
          <cell r="U117">
            <v>2.0000000000000002E-5</v>
          </cell>
        </row>
        <row r="118"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K119">
            <v>7.1000000000000005E-5</v>
          </cell>
          <cell r="L119">
            <v>7.1000000000000005E-5</v>
          </cell>
          <cell r="M119">
            <v>7.1000000000000005E-5</v>
          </cell>
          <cell r="N119">
            <v>7.1000000000000005E-5</v>
          </cell>
          <cell r="O119">
            <v>7.1000000000000005E-5</v>
          </cell>
          <cell r="P119">
            <v>7.1000000000000005E-5</v>
          </cell>
          <cell r="Q119">
            <v>7.1000000000000005E-5</v>
          </cell>
          <cell r="R119">
            <v>7.1000000000000005E-5</v>
          </cell>
          <cell r="S119">
            <v>7.1000000000000005E-5</v>
          </cell>
          <cell r="T119">
            <v>7.1000000000000005E-5</v>
          </cell>
          <cell r="U119">
            <v>7.1000000000000005E-5</v>
          </cell>
        </row>
        <row r="120">
          <cell r="K120">
            <v>1.08E-4</v>
          </cell>
          <cell r="L120">
            <v>1.08E-4</v>
          </cell>
          <cell r="M120">
            <v>1.08E-4</v>
          </cell>
          <cell r="N120">
            <v>1.08E-4</v>
          </cell>
          <cell r="O120">
            <v>1.08E-4</v>
          </cell>
          <cell r="P120">
            <v>1.08E-4</v>
          </cell>
          <cell r="Q120">
            <v>1.08E-4</v>
          </cell>
          <cell r="R120">
            <v>1.08E-4</v>
          </cell>
          <cell r="S120">
            <v>1.08E-4</v>
          </cell>
          <cell r="T120">
            <v>1.08E-4</v>
          </cell>
          <cell r="U120">
            <v>1.08E-4</v>
          </cell>
        </row>
        <row r="121">
          <cell r="K121">
            <v>3.3000000000000003E-5</v>
          </cell>
          <cell r="L121">
            <v>3.3000000000000003E-5</v>
          </cell>
          <cell r="M121">
            <v>3.3000000000000003E-5</v>
          </cell>
          <cell r="N121">
            <v>3.3000000000000003E-5</v>
          </cell>
          <cell r="O121">
            <v>3.3000000000000003E-5</v>
          </cell>
          <cell r="P121">
            <v>3.3000000000000003E-5</v>
          </cell>
          <cell r="Q121">
            <v>3.3000000000000003E-5</v>
          </cell>
          <cell r="R121">
            <v>3.3000000000000003E-5</v>
          </cell>
          <cell r="S121">
            <v>3.3000000000000003E-5</v>
          </cell>
          <cell r="T121">
            <v>3.3000000000000003E-5</v>
          </cell>
          <cell r="U121">
            <v>3.3000000000000003E-5</v>
          </cell>
        </row>
        <row r="122">
          <cell r="K122">
            <v>2.2930042524806141E-5</v>
          </cell>
          <cell r="L122">
            <v>2.2930042524806141E-5</v>
          </cell>
          <cell r="M122">
            <v>2.2930042524806141E-5</v>
          </cell>
          <cell r="N122">
            <v>2.2930042524806141E-5</v>
          </cell>
          <cell r="O122">
            <v>2.2930042524806141E-5</v>
          </cell>
          <cell r="P122">
            <v>2.2930042524806141E-5</v>
          </cell>
          <cell r="Q122">
            <v>2.2930042524806141E-5</v>
          </cell>
          <cell r="R122">
            <v>2.2930042524806141E-5</v>
          </cell>
          <cell r="S122">
            <v>2.2930042524806141E-5</v>
          </cell>
          <cell r="T122">
            <v>2.2930042524806141E-5</v>
          </cell>
          <cell r="U122">
            <v>2.2930042524806141E-5</v>
          </cell>
        </row>
        <row r="123">
          <cell r="K123">
            <v>1.08E-4</v>
          </cell>
          <cell r="L123">
            <v>1.08E-4</v>
          </cell>
          <cell r="M123">
            <v>1.08E-4</v>
          </cell>
          <cell r="N123">
            <v>1.08E-4</v>
          </cell>
          <cell r="O123">
            <v>1.08E-4</v>
          </cell>
          <cell r="P123">
            <v>1.08E-4</v>
          </cell>
          <cell r="Q123">
            <v>1.08E-4</v>
          </cell>
          <cell r="R123">
            <v>1.08E-4</v>
          </cell>
          <cell r="S123">
            <v>1.08E-4</v>
          </cell>
          <cell r="T123">
            <v>1.08E-4</v>
          </cell>
          <cell r="U123">
            <v>1.08E-4</v>
          </cell>
        </row>
        <row r="124">
          <cell r="K124">
            <v>2E-8</v>
          </cell>
          <cell r="L124">
            <v>2E-8</v>
          </cell>
          <cell r="M124">
            <v>2E-8</v>
          </cell>
          <cell r="N124">
            <v>2E-8</v>
          </cell>
          <cell r="O124">
            <v>2E-8</v>
          </cell>
          <cell r="P124">
            <v>2E-8</v>
          </cell>
          <cell r="Q124">
            <v>2E-8</v>
          </cell>
          <cell r="R124">
            <v>2E-8</v>
          </cell>
          <cell r="S124">
            <v>2E-8</v>
          </cell>
          <cell r="T124">
            <v>2E-8</v>
          </cell>
          <cell r="U124">
            <v>2E-8</v>
          </cell>
        </row>
        <row r="125">
          <cell r="K125">
            <v>6.1643835616438354E-5</v>
          </cell>
          <cell r="L125">
            <v>6.1643835616438354E-5</v>
          </cell>
          <cell r="M125">
            <v>6.1643835616438354E-5</v>
          </cell>
          <cell r="N125">
            <v>6.1643835616438354E-5</v>
          </cell>
          <cell r="O125">
            <v>6.1643835616438354E-5</v>
          </cell>
          <cell r="P125">
            <v>6.1643835616438354E-5</v>
          </cell>
          <cell r="Q125">
            <v>6.1643835616438354E-5</v>
          </cell>
          <cell r="R125">
            <v>6.1643835616438354E-5</v>
          </cell>
          <cell r="S125">
            <v>6.1643835616438354E-5</v>
          </cell>
          <cell r="T125">
            <v>6.1643835616438354E-5</v>
          </cell>
          <cell r="U125">
            <v>6.1643835616438354E-5</v>
          </cell>
        </row>
        <row r="126"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K127">
            <v>3.9999999999999998E-6</v>
          </cell>
          <cell r="L127">
            <v>3.9999999999999998E-6</v>
          </cell>
          <cell r="M127">
            <v>3.9999999999999998E-6</v>
          </cell>
          <cell r="N127">
            <v>3.9999999999999998E-6</v>
          </cell>
          <cell r="O127">
            <v>3.9999999999999998E-6</v>
          </cell>
          <cell r="P127">
            <v>3.9999999999999998E-6</v>
          </cell>
          <cell r="Q127">
            <v>3.9999999999999998E-6</v>
          </cell>
          <cell r="R127">
            <v>3.9999999999999998E-6</v>
          </cell>
          <cell r="S127">
            <v>3.9999999999999998E-6</v>
          </cell>
          <cell r="T127">
            <v>3.9999999999999998E-6</v>
          </cell>
          <cell r="U127">
            <v>3.9999999999999998E-6</v>
          </cell>
        </row>
        <row r="132">
          <cell r="B132" t="str">
            <v>Biodiesel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B133" t="str">
            <v>Biogas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</row>
        <row r="134">
          <cell r="B134" t="str">
            <v>Black liquor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B135" t="str">
            <v>Coal</v>
          </cell>
          <cell r="G135">
            <v>8.0091975639588225E-2</v>
          </cell>
          <cell r="H135">
            <v>7.9958948753608206E-2</v>
          </cell>
          <cell r="I135">
            <v>8.0127601178990121E-2</v>
          </cell>
          <cell r="J135">
            <v>8.1989862470665781E-2</v>
          </cell>
          <cell r="K135">
            <v>8.2650362961002519E-2</v>
          </cell>
          <cell r="L135">
            <v>8.3828873070901838E-2</v>
          </cell>
          <cell r="M135">
            <v>8.4163103508091114E-2</v>
          </cell>
          <cell r="N135">
            <v>8.5582184843443168E-2</v>
          </cell>
          <cell r="O135">
            <v>8.4548441907527708E-2</v>
          </cell>
          <cell r="P135">
            <v>8.1551085528052555E-2</v>
          </cell>
          <cell r="Q135">
            <v>8.1571494077919054E-2</v>
          </cell>
          <cell r="R135">
            <v>8.3496895533151316E-2</v>
          </cell>
          <cell r="S135">
            <v>8.1958094040299578E-2</v>
          </cell>
          <cell r="T135">
            <v>8.0877278405640629E-2</v>
          </cell>
          <cell r="U135">
            <v>8.0993584032994795E-2</v>
          </cell>
          <cell r="V135">
            <v>8.0767021208888012E-2</v>
          </cell>
          <cell r="W135">
            <v>8.0439232589319384E-2</v>
          </cell>
          <cell r="X135">
            <v>8.1635621350235096E-2</v>
          </cell>
          <cell r="Y135">
            <v>8.103314159428246E-2</v>
          </cell>
          <cell r="Z135">
            <v>8.0423465684477016E-2</v>
          </cell>
          <cell r="AA135">
            <v>8.1419557348284474E-2</v>
          </cell>
          <cell r="AB135">
            <v>8.1419557348284474E-2</v>
          </cell>
          <cell r="AC135">
            <v>8.1419557348284474E-2</v>
          </cell>
          <cell r="AD135">
            <v>8.1419557348284474E-2</v>
          </cell>
          <cell r="AE135">
            <v>8.1419557348284474E-2</v>
          </cell>
          <cell r="AF135">
            <v>8.1419557348284474E-2</v>
          </cell>
          <cell r="AG135">
            <v>8.1419557348284474E-2</v>
          </cell>
          <cell r="AH135">
            <v>8.1419557348284474E-2</v>
          </cell>
          <cell r="AI135">
            <v>8.1419557348284474E-2</v>
          </cell>
          <cell r="AJ135">
            <v>8.1419557348284474E-2</v>
          </cell>
          <cell r="AK135">
            <v>8.1419557348284474E-2</v>
          </cell>
          <cell r="AL135">
            <v>8.1419557348284474E-2</v>
          </cell>
          <cell r="AM135">
            <v>8.1419557348284474E-2</v>
          </cell>
          <cell r="AN135">
            <v>8.1419557348284474E-2</v>
          </cell>
          <cell r="AO135">
            <v>8.1419557348284474E-2</v>
          </cell>
          <cell r="AP135">
            <v>8.1419557348284474E-2</v>
          </cell>
          <cell r="AQ135">
            <v>8.1419557348284474E-2</v>
          </cell>
          <cell r="AR135">
            <v>8.1419557348284474E-2</v>
          </cell>
          <cell r="AS135">
            <v>8.1419557348284474E-2</v>
          </cell>
          <cell r="AT135">
            <v>8.1419557348284474E-2</v>
          </cell>
          <cell r="AU135">
            <v>8.1419557348284474E-2</v>
          </cell>
          <cell r="AV135">
            <v>8.1419557348284474E-2</v>
          </cell>
          <cell r="AW135">
            <v>8.1419557348284474E-2</v>
          </cell>
          <cell r="AX135">
            <v>8.1419557348284474E-2</v>
          </cell>
          <cell r="AY135">
            <v>8.1419557348284474E-2</v>
          </cell>
          <cell r="AZ135">
            <v>8.1419557348284474E-2</v>
          </cell>
          <cell r="BA135">
            <v>8.1419557348284474E-2</v>
          </cell>
          <cell r="BB135">
            <v>8.1419557348284474E-2</v>
          </cell>
          <cell r="BC135">
            <v>8.1419557348284474E-2</v>
          </cell>
          <cell r="BD135">
            <v>8.1419557348284474E-2</v>
          </cell>
          <cell r="BE135">
            <v>8.1419557348284474E-2</v>
          </cell>
          <cell r="BF135">
            <v>8.1419557348284474E-2</v>
          </cell>
          <cell r="BG135">
            <v>8.1419557348284474E-2</v>
          </cell>
          <cell r="BH135">
            <v>8.1419557348284474E-2</v>
          </cell>
          <cell r="BI135">
            <v>8.1419557348284474E-2</v>
          </cell>
          <cell r="BJ135">
            <v>8.1419557348284474E-2</v>
          </cell>
          <cell r="BK135">
            <v>8.1419557348284474E-2</v>
          </cell>
          <cell r="BL135">
            <v>8.1419557348284474E-2</v>
          </cell>
          <cell r="BM135">
            <v>8.1419557348284474E-2</v>
          </cell>
          <cell r="BN135">
            <v>8.1419557348284474E-2</v>
          </cell>
          <cell r="BO135">
            <v>8.1419557348284474E-2</v>
          </cell>
        </row>
        <row r="136">
          <cell r="B136" t="str">
            <v>Coke</v>
          </cell>
          <cell r="G136">
            <v>0.11005896543936711</v>
          </cell>
          <cell r="H136">
            <v>0.1100589665258548</v>
          </cell>
          <cell r="I136">
            <v>0.11005896629550981</v>
          </cell>
          <cell r="J136">
            <v>0.11005896655734181</v>
          </cell>
          <cell r="K136">
            <v>0.1100589667316114</v>
          </cell>
          <cell r="L136">
            <v>0.1100589661174718</v>
          </cell>
          <cell r="M136">
            <v>0.1100589786035286</v>
          </cell>
          <cell r="N136">
            <v>0.11005898048751429</v>
          </cell>
          <cell r="O136">
            <v>0.11005897316757959</v>
          </cell>
          <cell r="P136">
            <v>0.1100589584300051</v>
          </cell>
          <cell r="Q136">
            <v>0.1100589852473792</v>
          </cell>
          <cell r="R136">
            <v>0.1100589787438629</v>
          </cell>
          <cell r="S136">
            <v>0.1100589698914007</v>
          </cell>
          <cell r="T136">
            <v>0.1100589468098807</v>
          </cell>
          <cell r="U136">
            <v>0.1100589571673332</v>
          </cell>
          <cell r="V136">
            <v>0.1100589696490938</v>
          </cell>
          <cell r="W136">
            <v>0.110058948582673</v>
          </cell>
          <cell r="X136">
            <v>0.1100589720392959</v>
          </cell>
          <cell r="Y136">
            <v>0.11005895471315361</v>
          </cell>
          <cell r="Z136">
            <v>0.1100589796195014</v>
          </cell>
          <cell r="AA136">
            <v>0.11005896413461121</v>
          </cell>
          <cell r="AB136">
            <v>0.11005896413461121</v>
          </cell>
          <cell r="AC136">
            <v>0.11005896413461121</v>
          </cell>
          <cell r="AD136">
            <v>0.11005896413461121</v>
          </cell>
          <cell r="AE136">
            <v>0.11005896413461121</v>
          </cell>
          <cell r="AF136">
            <v>0.11005896413461121</v>
          </cell>
          <cell r="AG136">
            <v>0.11005896413461121</v>
          </cell>
          <cell r="AH136">
            <v>0.11005896413461121</v>
          </cell>
          <cell r="AI136">
            <v>0.11005896413461121</v>
          </cell>
          <cell r="AJ136">
            <v>0.11005896413461121</v>
          </cell>
          <cell r="AK136">
            <v>0.11005896413461121</v>
          </cell>
          <cell r="AL136">
            <v>0.11005896413461121</v>
          </cell>
          <cell r="AM136">
            <v>0.11005896413461121</v>
          </cell>
          <cell r="AN136">
            <v>0.11005896413461121</v>
          </cell>
          <cell r="AO136">
            <v>0.11005896413461121</v>
          </cell>
          <cell r="AP136">
            <v>0.11005896413461121</v>
          </cell>
          <cell r="AQ136">
            <v>0.11005896413461121</v>
          </cell>
          <cell r="AR136">
            <v>0.11005896413461121</v>
          </cell>
          <cell r="AS136">
            <v>0.11005896413461121</v>
          </cell>
          <cell r="AT136">
            <v>0.11005896413461121</v>
          </cell>
          <cell r="AU136">
            <v>0.11005896413461121</v>
          </cell>
          <cell r="AV136">
            <v>0.11005896413461121</v>
          </cell>
          <cell r="AW136">
            <v>0.11005896413461121</v>
          </cell>
          <cell r="AX136">
            <v>0.11005896413461121</v>
          </cell>
          <cell r="AY136">
            <v>0.11005896413461121</v>
          </cell>
          <cell r="AZ136">
            <v>0.11005896413461121</v>
          </cell>
          <cell r="BA136">
            <v>0.11005896413461121</v>
          </cell>
          <cell r="BB136">
            <v>0.11005896413461121</v>
          </cell>
          <cell r="BC136">
            <v>0.11005896413461121</v>
          </cell>
          <cell r="BD136">
            <v>0.11005896413461121</v>
          </cell>
          <cell r="BE136">
            <v>0.11005896413461121</v>
          </cell>
          <cell r="BF136">
            <v>0.11005896413461121</v>
          </cell>
          <cell r="BG136">
            <v>0.11005896413461121</v>
          </cell>
          <cell r="BH136">
            <v>0.11005896413461121</v>
          </cell>
          <cell r="BI136">
            <v>0.11005896413461121</v>
          </cell>
          <cell r="BJ136">
            <v>0.11005896413461121</v>
          </cell>
          <cell r="BK136">
            <v>0.11005896413461121</v>
          </cell>
          <cell r="BL136">
            <v>0.11005896413461121</v>
          </cell>
          <cell r="BM136">
            <v>0.11005896413461121</v>
          </cell>
          <cell r="BN136">
            <v>0.11005896413461121</v>
          </cell>
          <cell r="BO136">
            <v>0.11005896413461121</v>
          </cell>
        </row>
        <row r="137">
          <cell r="B137" t="str">
            <v>Diesel</v>
          </cell>
          <cell r="G137">
            <v>6.9545118551339213E-2</v>
          </cell>
          <cell r="H137">
            <v>6.9544866769800692E-2</v>
          </cell>
          <cell r="I137">
            <v>7.0235068234452872E-2</v>
          </cell>
          <cell r="J137">
            <v>7.0234951432833093E-2</v>
          </cell>
          <cell r="K137">
            <v>7.0234989879409349E-2</v>
          </cell>
          <cell r="L137">
            <v>7.0235111930450358E-2</v>
          </cell>
          <cell r="M137">
            <v>7.023498275069226E-2</v>
          </cell>
          <cell r="N137">
            <v>7.0234945598971504E-2</v>
          </cell>
          <cell r="O137">
            <v>7.0235109488034964E-2</v>
          </cell>
          <cell r="P137">
            <v>7.0235066902473872E-2</v>
          </cell>
          <cell r="Q137">
            <v>7.0235079897689179E-2</v>
          </cell>
          <cell r="R137">
            <v>7.0234932432201913E-2</v>
          </cell>
          <cell r="S137">
            <v>7.0234935930416256E-2</v>
          </cell>
          <cell r="T137">
            <v>7.023506966117464E-2</v>
          </cell>
          <cell r="U137">
            <v>7.0234940539771321E-2</v>
          </cell>
          <cell r="V137">
            <v>7.023507865734982E-2</v>
          </cell>
          <cell r="W137">
            <v>7.023504468990828E-2</v>
          </cell>
          <cell r="X137">
            <v>7.0234916130364963E-2</v>
          </cell>
          <cell r="Y137">
            <v>7.0235047094140871E-2</v>
          </cell>
          <cell r="Z137">
            <v>7.023505170427996E-2</v>
          </cell>
          <cell r="AA137">
            <v>7.023511852444228E-2</v>
          </cell>
          <cell r="AB137">
            <v>7.023511852444228E-2</v>
          </cell>
          <cell r="AC137">
            <v>7.023511852444228E-2</v>
          </cell>
          <cell r="AD137">
            <v>7.023511852444228E-2</v>
          </cell>
          <cell r="AE137">
            <v>7.023511852444228E-2</v>
          </cell>
          <cell r="AF137">
            <v>7.023511852444228E-2</v>
          </cell>
          <cell r="AG137">
            <v>7.023511852444228E-2</v>
          </cell>
          <cell r="AH137">
            <v>7.023511852444228E-2</v>
          </cell>
          <cell r="AI137">
            <v>7.023511852444228E-2</v>
          </cell>
          <cell r="AJ137">
            <v>7.023511852444228E-2</v>
          </cell>
          <cell r="AK137">
            <v>7.023511852444228E-2</v>
          </cell>
          <cell r="AL137">
            <v>7.023511852444228E-2</v>
          </cell>
          <cell r="AM137">
            <v>7.023511852444228E-2</v>
          </cell>
          <cell r="AN137">
            <v>7.023511852444228E-2</v>
          </cell>
          <cell r="AO137">
            <v>7.023511852444228E-2</v>
          </cell>
          <cell r="AP137">
            <v>7.023511852444228E-2</v>
          </cell>
          <cell r="AQ137">
            <v>7.023511852444228E-2</v>
          </cell>
          <cell r="AR137">
            <v>7.023511852444228E-2</v>
          </cell>
          <cell r="AS137">
            <v>7.023511852444228E-2</v>
          </cell>
          <cell r="AT137">
            <v>7.023511852444228E-2</v>
          </cell>
          <cell r="AU137">
            <v>7.023511852444228E-2</v>
          </cell>
          <cell r="AV137">
            <v>7.023511852444228E-2</v>
          </cell>
          <cell r="AW137">
            <v>7.023511852444228E-2</v>
          </cell>
          <cell r="AX137">
            <v>7.023511852444228E-2</v>
          </cell>
          <cell r="AY137">
            <v>7.023511852444228E-2</v>
          </cell>
          <cell r="AZ137">
            <v>7.023511852444228E-2</v>
          </cell>
          <cell r="BA137">
            <v>7.023511852444228E-2</v>
          </cell>
          <cell r="BB137">
            <v>7.023511852444228E-2</v>
          </cell>
          <cell r="BC137">
            <v>7.023511852444228E-2</v>
          </cell>
          <cell r="BD137">
            <v>7.023511852444228E-2</v>
          </cell>
          <cell r="BE137">
            <v>7.023511852444228E-2</v>
          </cell>
          <cell r="BF137">
            <v>7.023511852444228E-2</v>
          </cell>
          <cell r="BG137">
            <v>7.023511852444228E-2</v>
          </cell>
          <cell r="BH137">
            <v>7.023511852444228E-2</v>
          </cell>
          <cell r="BI137">
            <v>7.023511852444228E-2</v>
          </cell>
          <cell r="BJ137">
            <v>7.023511852444228E-2</v>
          </cell>
          <cell r="BK137">
            <v>7.023511852444228E-2</v>
          </cell>
          <cell r="BL137">
            <v>7.023511852444228E-2</v>
          </cell>
          <cell r="BM137">
            <v>7.023511852444228E-2</v>
          </cell>
          <cell r="BN137">
            <v>7.023511852444228E-2</v>
          </cell>
          <cell r="BO137">
            <v>7.023511852444228E-2</v>
          </cell>
        </row>
        <row r="138">
          <cell r="B138" t="str">
            <v>Electricity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</row>
        <row r="139">
          <cell r="B139" t="str">
            <v>Ethanol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</row>
        <row r="140">
          <cell r="B140" t="str">
            <v>Fuel oil</v>
          </cell>
          <cell r="G140">
            <v>7.4258820594561403E-2</v>
          </cell>
          <cell r="H140">
            <v>7.4258821131410427E-2</v>
          </cell>
          <cell r="I140">
            <v>7.4258820290991456E-2</v>
          </cell>
          <cell r="J140">
            <v>7.4258823261709017E-2</v>
          </cell>
          <cell r="K140">
            <v>7.4258820810821136E-2</v>
          </cell>
          <cell r="L140">
            <v>7.4258832926937329E-2</v>
          </cell>
          <cell r="M140">
            <v>7.4258835413609309E-2</v>
          </cell>
          <cell r="N140">
            <v>7.4258809666008924E-2</v>
          </cell>
          <cell r="O140">
            <v>7.4258816710636805E-2</v>
          </cell>
          <cell r="P140">
            <v>7.4258813171681759E-2</v>
          </cell>
          <cell r="Q140">
            <v>7.4258830425409775E-2</v>
          </cell>
          <cell r="R140">
            <v>7.4258809406683585E-2</v>
          </cell>
          <cell r="S140">
            <v>7.4258776849610381E-2</v>
          </cell>
          <cell r="T140">
            <v>7.4258813837745491E-2</v>
          </cell>
          <cell r="U140">
            <v>7.4258813837745491E-2</v>
          </cell>
          <cell r="V140">
            <v>7.4258813837745491E-2</v>
          </cell>
          <cell r="W140">
            <v>7.42587860301228E-2</v>
          </cell>
          <cell r="X140">
            <v>7.4258770418941841E-2</v>
          </cell>
          <cell r="Y140">
            <v>7.4258770418941841E-2</v>
          </cell>
          <cell r="Z140">
            <v>7.4258809893426092E-2</v>
          </cell>
          <cell r="AA140">
            <v>7.4259150432924262E-2</v>
          </cell>
          <cell r="AB140">
            <v>7.4259150432924262E-2</v>
          </cell>
          <cell r="AC140">
            <v>7.4259150432924262E-2</v>
          </cell>
          <cell r="AD140">
            <v>7.4259150432924262E-2</v>
          </cell>
          <cell r="AE140">
            <v>7.4259150432924262E-2</v>
          </cell>
          <cell r="AF140">
            <v>7.4259150432924262E-2</v>
          </cell>
          <cell r="AG140">
            <v>7.4259150432924262E-2</v>
          </cell>
          <cell r="AH140">
            <v>7.4259150432924262E-2</v>
          </cell>
          <cell r="AI140">
            <v>7.4259150432924262E-2</v>
          </cell>
          <cell r="AJ140">
            <v>7.4259150432924262E-2</v>
          </cell>
          <cell r="AK140">
            <v>7.4259150432924262E-2</v>
          </cell>
          <cell r="AL140">
            <v>7.4259150432924262E-2</v>
          </cell>
          <cell r="AM140">
            <v>7.4259150432924262E-2</v>
          </cell>
          <cell r="AN140">
            <v>7.4259150432924262E-2</v>
          </cell>
          <cell r="AO140">
            <v>7.4259150432924262E-2</v>
          </cell>
          <cell r="AP140">
            <v>7.4259150432924262E-2</v>
          </cell>
          <cell r="AQ140">
            <v>7.4259150432924262E-2</v>
          </cell>
          <cell r="AR140">
            <v>7.4259150432924262E-2</v>
          </cell>
          <cell r="AS140">
            <v>7.4259150432924262E-2</v>
          </cell>
          <cell r="AT140">
            <v>7.4259150432924262E-2</v>
          </cell>
          <cell r="AU140">
            <v>7.4259150432924262E-2</v>
          </cell>
          <cell r="AV140">
            <v>7.4259150432924262E-2</v>
          </cell>
          <cell r="AW140">
            <v>7.4259150432924262E-2</v>
          </cell>
          <cell r="AX140">
            <v>7.4259150432924262E-2</v>
          </cell>
          <cell r="AY140">
            <v>7.4259150432924262E-2</v>
          </cell>
          <cell r="AZ140">
            <v>7.4259150432924262E-2</v>
          </cell>
          <cell r="BA140">
            <v>7.4259150432924262E-2</v>
          </cell>
          <cell r="BB140">
            <v>7.4259150432924262E-2</v>
          </cell>
          <cell r="BC140">
            <v>7.4259150432924262E-2</v>
          </cell>
          <cell r="BD140">
            <v>7.4259150432924262E-2</v>
          </cell>
          <cell r="BE140">
            <v>7.4259150432924262E-2</v>
          </cell>
          <cell r="BF140">
            <v>7.4259150432924262E-2</v>
          </cell>
          <cell r="BG140">
            <v>7.4259150432924262E-2</v>
          </cell>
          <cell r="BH140">
            <v>7.4259150432924262E-2</v>
          </cell>
          <cell r="BI140">
            <v>7.4259150432924262E-2</v>
          </cell>
          <cell r="BJ140">
            <v>7.4259150432924262E-2</v>
          </cell>
          <cell r="BK140">
            <v>7.4259150432924262E-2</v>
          </cell>
          <cell r="BL140">
            <v>7.4259150432924262E-2</v>
          </cell>
          <cell r="BM140">
            <v>7.4259150432924262E-2</v>
          </cell>
          <cell r="BN140">
            <v>7.4259150432924262E-2</v>
          </cell>
          <cell r="BO140">
            <v>7.4259150432924262E-2</v>
          </cell>
        </row>
        <row r="141">
          <cell r="B141" t="str">
            <v>Gasoline</v>
          </cell>
          <cell r="G141">
            <v>6.6820544015017649E-2</v>
          </cell>
          <cell r="H141">
            <v>6.6820633927679091E-2</v>
          </cell>
          <cell r="I141">
            <v>6.6171524409407753E-2</v>
          </cell>
          <cell r="J141">
            <v>6.6171381411793712E-2</v>
          </cell>
          <cell r="K141">
            <v>6.6171428571428562E-2</v>
          </cell>
          <cell r="L141">
            <v>6.617145172090251E-2</v>
          </cell>
          <cell r="M141">
            <v>6.6171428571428562E-2</v>
          </cell>
          <cell r="N141">
            <v>6.6171428571428562E-2</v>
          </cell>
          <cell r="O141">
            <v>6.6171405906735953E-2</v>
          </cell>
          <cell r="P141">
            <v>6.6171473324762045E-2</v>
          </cell>
          <cell r="Q141">
            <v>6.6171385002939842E-2</v>
          </cell>
          <cell r="R141">
            <v>6.6171428571428562E-2</v>
          </cell>
          <cell r="S141">
            <v>6.6171450538287629E-2</v>
          </cell>
          <cell r="T141">
            <v>6.617145004751443E-2</v>
          </cell>
          <cell r="U141">
            <v>6.6171470251618958E-2</v>
          </cell>
          <cell r="V141">
            <v>6.6171491685726766E-2</v>
          </cell>
          <cell r="W141">
            <v>6.6171408165782652E-2</v>
          </cell>
          <cell r="X141">
            <v>6.6171489270102815E-2</v>
          </cell>
          <cell r="Y141">
            <v>6.6171428571428562E-2</v>
          </cell>
          <cell r="Z141">
            <v>6.6171488045768861E-2</v>
          </cell>
          <cell r="AA141">
            <v>6.6171498750999591E-2</v>
          </cell>
          <cell r="AB141">
            <v>6.6171498750999591E-2</v>
          </cell>
          <cell r="AC141">
            <v>6.6171498750999591E-2</v>
          </cell>
          <cell r="AD141">
            <v>6.6171498750999591E-2</v>
          </cell>
          <cell r="AE141">
            <v>6.6171498750999591E-2</v>
          </cell>
          <cell r="AF141">
            <v>6.6171498750999591E-2</v>
          </cell>
          <cell r="AG141">
            <v>6.6171498750999591E-2</v>
          </cell>
          <cell r="AH141">
            <v>6.6171498750999591E-2</v>
          </cell>
          <cell r="AI141">
            <v>6.6171498750999591E-2</v>
          </cell>
          <cell r="AJ141">
            <v>6.6171498750999591E-2</v>
          </cell>
          <cell r="AK141">
            <v>6.6171498750999591E-2</v>
          </cell>
          <cell r="AL141">
            <v>6.6171498750999591E-2</v>
          </cell>
          <cell r="AM141">
            <v>6.6171498750999591E-2</v>
          </cell>
          <cell r="AN141">
            <v>6.6171498750999591E-2</v>
          </cell>
          <cell r="AO141">
            <v>6.6171498750999591E-2</v>
          </cell>
          <cell r="AP141">
            <v>6.6171498750999591E-2</v>
          </cell>
          <cell r="AQ141">
            <v>6.6171498750999591E-2</v>
          </cell>
          <cell r="AR141">
            <v>6.6171498750999591E-2</v>
          </cell>
          <cell r="AS141">
            <v>6.6171498750999591E-2</v>
          </cell>
          <cell r="AT141">
            <v>6.6171498750999591E-2</v>
          </cell>
          <cell r="AU141">
            <v>6.6171498750999591E-2</v>
          </cell>
          <cell r="AV141">
            <v>6.6171498750999591E-2</v>
          </cell>
          <cell r="AW141">
            <v>6.6171498750999591E-2</v>
          </cell>
          <cell r="AX141">
            <v>6.6171498750999591E-2</v>
          </cell>
          <cell r="AY141">
            <v>6.6171498750999591E-2</v>
          </cell>
          <cell r="AZ141">
            <v>6.6171498750999591E-2</v>
          </cell>
          <cell r="BA141">
            <v>6.6171498750999591E-2</v>
          </cell>
          <cell r="BB141">
            <v>6.6171498750999591E-2</v>
          </cell>
          <cell r="BC141">
            <v>6.6171498750999591E-2</v>
          </cell>
          <cell r="BD141">
            <v>6.6171498750999591E-2</v>
          </cell>
          <cell r="BE141">
            <v>6.6171498750999591E-2</v>
          </cell>
          <cell r="BF141">
            <v>6.6171498750999591E-2</v>
          </cell>
          <cell r="BG141">
            <v>6.6171498750999591E-2</v>
          </cell>
          <cell r="BH141">
            <v>6.6171498750999591E-2</v>
          </cell>
          <cell r="BI141">
            <v>6.6171498750999591E-2</v>
          </cell>
          <cell r="BJ141">
            <v>6.6171498750999591E-2</v>
          </cell>
          <cell r="BK141">
            <v>6.6171498750999591E-2</v>
          </cell>
          <cell r="BL141">
            <v>6.6171498750999591E-2</v>
          </cell>
          <cell r="BM141">
            <v>6.6171498750999591E-2</v>
          </cell>
          <cell r="BN141">
            <v>6.6171498750999591E-2</v>
          </cell>
          <cell r="BO141">
            <v>6.6171498750999591E-2</v>
          </cell>
        </row>
        <row r="142">
          <cell r="B142" t="str">
            <v>Hydrogen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B143" t="str">
            <v>Jet fuel</v>
          </cell>
          <cell r="G143">
            <v>7.0387861677160102E-2</v>
          </cell>
          <cell r="H143">
            <v>7.038766164708854E-2</v>
          </cell>
          <cell r="I143">
            <v>6.8449106435268872E-2</v>
          </cell>
          <cell r="J143">
            <v>6.8449074802353335E-2</v>
          </cell>
          <cell r="K143">
            <v>6.8449231891022991E-2</v>
          </cell>
          <cell r="L143">
            <v>6.844885998589674E-2</v>
          </cell>
          <cell r="M143">
            <v>6.8449089228254351E-2</v>
          </cell>
          <cell r="N143">
            <v>6.8448909129256275E-2</v>
          </cell>
          <cell r="O143">
            <v>6.844912385752186E-2</v>
          </cell>
          <cell r="P143">
            <v>6.844907291205557E-2</v>
          </cell>
          <cell r="Q143">
            <v>6.8448873072360611E-2</v>
          </cell>
          <cell r="R143">
            <v>6.8448760759375782E-2</v>
          </cell>
          <cell r="S143">
            <v>6.8449310384507897E-2</v>
          </cell>
          <cell r="T143">
            <v>6.84489029436392E-2</v>
          </cell>
          <cell r="U143">
            <v>6.8449049551762967E-2</v>
          </cell>
          <cell r="V143">
            <v>6.8448884545662614E-2</v>
          </cell>
          <cell r="W143">
            <v>6.8448862506745436E-2</v>
          </cell>
          <cell r="X143">
            <v>6.8448945147679324E-2</v>
          </cell>
          <cell r="Y143">
            <v>6.8449125526181376E-2</v>
          </cell>
          <cell r="Z143">
            <v>6.8449427110876079E-2</v>
          </cell>
          <cell r="AA143">
            <v>6.8449580905341784E-2</v>
          </cell>
          <cell r="AB143">
            <v>6.8449580905341784E-2</v>
          </cell>
          <cell r="AC143">
            <v>6.8449580905341784E-2</v>
          </cell>
          <cell r="AD143">
            <v>6.8449580905341784E-2</v>
          </cell>
          <cell r="AE143">
            <v>6.8449580905341784E-2</v>
          </cell>
          <cell r="AF143">
            <v>6.8449580905341784E-2</v>
          </cell>
          <cell r="AG143">
            <v>6.8449580905341784E-2</v>
          </cell>
          <cell r="AH143">
            <v>6.8449580905341784E-2</v>
          </cell>
          <cell r="AI143">
            <v>6.8449580905341784E-2</v>
          </cell>
          <cell r="AJ143">
            <v>6.8449580905341784E-2</v>
          </cell>
          <cell r="AK143">
            <v>6.8449580905341784E-2</v>
          </cell>
          <cell r="AL143">
            <v>6.8449580905341784E-2</v>
          </cell>
          <cell r="AM143">
            <v>6.8449580905341784E-2</v>
          </cell>
          <cell r="AN143">
            <v>6.8449580905341784E-2</v>
          </cell>
          <cell r="AO143">
            <v>6.8449580905341784E-2</v>
          </cell>
          <cell r="AP143">
            <v>6.8449580905341784E-2</v>
          </cell>
          <cell r="AQ143">
            <v>6.8449580905341784E-2</v>
          </cell>
          <cell r="AR143">
            <v>6.8449580905341784E-2</v>
          </cell>
          <cell r="AS143">
            <v>6.8449580905341784E-2</v>
          </cell>
          <cell r="AT143">
            <v>6.8449580905341784E-2</v>
          </cell>
          <cell r="AU143">
            <v>6.8449580905341784E-2</v>
          </cell>
          <cell r="AV143">
            <v>6.8449580905341784E-2</v>
          </cell>
          <cell r="AW143">
            <v>6.8449580905341784E-2</v>
          </cell>
          <cell r="AX143">
            <v>6.8449580905341784E-2</v>
          </cell>
          <cell r="AY143">
            <v>6.8449580905341784E-2</v>
          </cell>
          <cell r="AZ143">
            <v>6.8449580905341784E-2</v>
          </cell>
          <cell r="BA143">
            <v>6.8449580905341784E-2</v>
          </cell>
          <cell r="BB143">
            <v>6.8449580905341784E-2</v>
          </cell>
          <cell r="BC143">
            <v>6.8449580905341784E-2</v>
          </cell>
          <cell r="BD143">
            <v>6.8449580905341784E-2</v>
          </cell>
          <cell r="BE143">
            <v>6.8449580905341784E-2</v>
          </cell>
          <cell r="BF143">
            <v>6.8449580905341784E-2</v>
          </cell>
          <cell r="BG143">
            <v>6.8449580905341784E-2</v>
          </cell>
          <cell r="BH143">
            <v>6.8449580905341784E-2</v>
          </cell>
          <cell r="BI143">
            <v>6.8449580905341784E-2</v>
          </cell>
          <cell r="BJ143">
            <v>6.8449580905341784E-2</v>
          </cell>
          <cell r="BK143">
            <v>6.8449580905341784E-2</v>
          </cell>
          <cell r="BL143">
            <v>6.8449580905341784E-2</v>
          </cell>
          <cell r="BM143">
            <v>6.8449580905341784E-2</v>
          </cell>
          <cell r="BN143">
            <v>6.8449580905341784E-2</v>
          </cell>
          <cell r="BO143">
            <v>6.8449580905341784E-2</v>
          </cell>
        </row>
        <row r="144">
          <cell r="B144" t="str">
            <v>LPG</v>
          </cell>
          <cell r="G144">
            <v>5.6428552456839302E-2</v>
          </cell>
          <cell r="H144">
            <v>5.6428552456839302E-2</v>
          </cell>
          <cell r="I144">
            <v>5.6428552456839302E-2</v>
          </cell>
          <cell r="J144">
            <v>5.6529676494613379E-2</v>
          </cell>
          <cell r="K144">
            <v>5.6530067848684633E-2</v>
          </cell>
          <cell r="L144">
            <v>5.6530067848684633E-2</v>
          </cell>
          <cell r="M144">
            <v>5.6530067848684633E-2</v>
          </cell>
          <cell r="N144">
            <v>5.6530067848684633E-2</v>
          </cell>
          <cell r="O144">
            <v>5.6530067848684633E-2</v>
          </cell>
          <cell r="P144">
            <v>5.6530067848684633E-2</v>
          </cell>
          <cell r="Q144">
            <v>5.6530067848684633E-2</v>
          </cell>
          <cell r="R144">
            <v>5.6530067848684633E-2</v>
          </cell>
          <cell r="S144">
            <v>5.6530067848684633E-2</v>
          </cell>
          <cell r="T144">
            <v>5.6530067848684633E-2</v>
          </cell>
          <cell r="U144">
            <v>5.6530067848684633E-2</v>
          </cell>
          <cell r="V144">
            <v>5.6530067848684633E-2</v>
          </cell>
          <cell r="W144">
            <v>5.6530067848684633E-2</v>
          </cell>
          <cell r="X144">
            <v>5.6530067848684633E-2</v>
          </cell>
          <cell r="Y144">
            <v>5.6530067848684633E-2</v>
          </cell>
          <cell r="Z144">
            <v>5.6530067848684633E-2</v>
          </cell>
          <cell r="AA144">
            <v>5.6530067848684633E-2</v>
          </cell>
          <cell r="AB144">
            <v>5.6530067848684633E-2</v>
          </cell>
          <cell r="AC144">
            <v>5.6530067848684633E-2</v>
          </cell>
          <cell r="AD144">
            <v>5.6530067848684633E-2</v>
          </cell>
          <cell r="AE144">
            <v>5.6530067848684633E-2</v>
          </cell>
          <cell r="AF144">
            <v>5.6530067848684633E-2</v>
          </cell>
          <cell r="AG144">
            <v>5.6530067848684633E-2</v>
          </cell>
          <cell r="AH144">
            <v>5.6530067848684633E-2</v>
          </cell>
          <cell r="AI144">
            <v>5.6530067848684633E-2</v>
          </cell>
          <cell r="AJ144">
            <v>5.6530067848684633E-2</v>
          </cell>
          <cell r="AK144">
            <v>5.6530067848684633E-2</v>
          </cell>
          <cell r="AL144">
            <v>5.6530067848684633E-2</v>
          </cell>
          <cell r="AM144">
            <v>5.6530067848684633E-2</v>
          </cell>
          <cell r="AN144">
            <v>5.6530067848684633E-2</v>
          </cell>
          <cell r="AO144">
            <v>5.6530067848684633E-2</v>
          </cell>
          <cell r="AP144">
            <v>5.6530067848684633E-2</v>
          </cell>
          <cell r="AQ144">
            <v>5.6530067848684633E-2</v>
          </cell>
          <cell r="AR144">
            <v>5.6530067848684633E-2</v>
          </cell>
          <cell r="AS144">
            <v>5.6530067848684633E-2</v>
          </cell>
          <cell r="AT144">
            <v>5.6530067848684633E-2</v>
          </cell>
          <cell r="AU144">
            <v>5.6530067848684633E-2</v>
          </cell>
          <cell r="AV144">
            <v>5.6530067848684633E-2</v>
          </cell>
          <cell r="AW144">
            <v>5.6530067848684633E-2</v>
          </cell>
          <cell r="AX144">
            <v>5.6530067848684633E-2</v>
          </cell>
          <cell r="AY144">
            <v>5.6530067848684633E-2</v>
          </cell>
          <cell r="AZ144">
            <v>5.6530067848684633E-2</v>
          </cell>
          <cell r="BA144">
            <v>5.6530067848684633E-2</v>
          </cell>
          <cell r="BB144">
            <v>5.6530067848684633E-2</v>
          </cell>
          <cell r="BC144">
            <v>5.6530067848684633E-2</v>
          </cell>
          <cell r="BD144">
            <v>5.6530067848684633E-2</v>
          </cell>
          <cell r="BE144">
            <v>5.6530067848684633E-2</v>
          </cell>
          <cell r="BF144">
            <v>5.6530067848684633E-2</v>
          </cell>
          <cell r="BG144">
            <v>5.6530067848684633E-2</v>
          </cell>
          <cell r="BH144">
            <v>5.6530067848684633E-2</v>
          </cell>
          <cell r="BI144">
            <v>5.6530067848684633E-2</v>
          </cell>
          <cell r="BJ144">
            <v>5.6530067848684633E-2</v>
          </cell>
          <cell r="BK144">
            <v>5.6530067848684633E-2</v>
          </cell>
          <cell r="BL144">
            <v>5.6530067848684633E-2</v>
          </cell>
          <cell r="BM144">
            <v>5.6530067848684633E-2</v>
          </cell>
          <cell r="BN144">
            <v>5.6530067848684633E-2</v>
          </cell>
          <cell r="BO144">
            <v>5.6530067848684633E-2</v>
          </cell>
        </row>
        <row r="145">
          <cell r="B145" t="str">
            <v>Natural gas</v>
          </cell>
          <cell r="G145">
            <v>5.0659506393256851E-2</v>
          </cell>
          <cell r="H145">
            <v>5.0563545142469413E-2</v>
          </cell>
          <cell r="I145">
            <v>5.0546715697022571E-2</v>
          </cell>
          <cell r="J145">
            <v>5.0385318609503758E-2</v>
          </cell>
          <cell r="K145">
            <v>5.0347658470392923E-2</v>
          </cell>
          <cell r="L145">
            <v>5.0269095405659998E-2</v>
          </cell>
          <cell r="M145">
            <v>5.0254891822230627E-2</v>
          </cell>
          <cell r="N145">
            <v>5.0462665427550367E-2</v>
          </cell>
          <cell r="O145">
            <v>5.0057851325731519E-2</v>
          </cell>
          <cell r="P145">
            <v>5.0034906876201039E-2</v>
          </cell>
          <cell r="Q145">
            <v>4.9926715324116293E-2</v>
          </cell>
          <cell r="R145">
            <v>4.988537678850781E-2</v>
          </cell>
          <cell r="S145">
            <v>4.9650695555296109E-2</v>
          </cell>
          <cell r="T145">
            <v>4.9512983723467748E-2</v>
          </cell>
          <cell r="U145">
            <v>4.931529886787344E-2</v>
          </cell>
          <cell r="V145">
            <v>4.9020411139724628E-2</v>
          </cell>
          <cell r="W145">
            <v>4.9284172440741937E-2</v>
          </cell>
          <cell r="X145">
            <v>4.9045418544392809E-2</v>
          </cell>
          <cell r="Y145">
            <v>4.9183351497997463E-2</v>
          </cell>
          <cell r="Z145">
            <v>4.897044095617098E-2</v>
          </cell>
          <cell r="AA145">
            <v>4.8970518393498863E-2</v>
          </cell>
          <cell r="AB145">
            <v>4.8970518393498863E-2</v>
          </cell>
          <cell r="AC145">
            <v>4.8970518393498863E-2</v>
          </cell>
          <cell r="AD145">
            <v>4.8970518393498863E-2</v>
          </cell>
          <cell r="AE145">
            <v>4.8970518393498863E-2</v>
          </cell>
          <cell r="AF145">
            <v>4.8970518393498863E-2</v>
          </cell>
          <cell r="AG145">
            <v>4.8970518393498863E-2</v>
          </cell>
          <cell r="AH145">
            <v>4.8970518393498863E-2</v>
          </cell>
          <cell r="AI145">
            <v>4.8970518393498863E-2</v>
          </cell>
          <cell r="AJ145">
            <v>4.8970518393498863E-2</v>
          </cell>
          <cell r="AK145">
            <v>4.8970518393498863E-2</v>
          </cell>
          <cell r="AL145">
            <v>4.8970518393498863E-2</v>
          </cell>
          <cell r="AM145">
            <v>4.8970518393498863E-2</v>
          </cell>
          <cell r="AN145">
            <v>4.8970518393498863E-2</v>
          </cell>
          <cell r="AO145">
            <v>4.8970518393498863E-2</v>
          </cell>
          <cell r="AP145">
            <v>4.8970518393498863E-2</v>
          </cell>
          <cell r="AQ145">
            <v>4.8970518393498863E-2</v>
          </cell>
          <cell r="AR145">
            <v>4.8970518393498863E-2</v>
          </cell>
          <cell r="AS145">
            <v>4.8970518393498863E-2</v>
          </cell>
          <cell r="AT145">
            <v>4.8970518393498863E-2</v>
          </cell>
          <cell r="AU145">
            <v>4.8970518393498863E-2</v>
          </cell>
          <cell r="AV145">
            <v>4.8970518393498863E-2</v>
          </cell>
          <cell r="AW145">
            <v>4.8970518393498863E-2</v>
          </cell>
          <cell r="AX145">
            <v>4.8970518393498863E-2</v>
          </cell>
          <cell r="AY145">
            <v>4.8970518393498863E-2</v>
          </cell>
          <cell r="AZ145">
            <v>4.8970518393498863E-2</v>
          </cell>
          <cell r="BA145">
            <v>4.8970518393498863E-2</v>
          </cell>
          <cell r="BB145">
            <v>4.8970518393498863E-2</v>
          </cell>
          <cell r="BC145">
            <v>4.8970518393498863E-2</v>
          </cell>
          <cell r="BD145">
            <v>4.8970518393498863E-2</v>
          </cell>
          <cell r="BE145">
            <v>4.8970518393498863E-2</v>
          </cell>
          <cell r="BF145">
            <v>4.8970518393498863E-2</v>
          </cell>
          <cell r="BG145">
            <v>4.8970518393498863E-2</v>
          </cell>
          <cell r="BH145">
            <v>4.8970518393498863E-2</v>
          </cell>
          <cell r="BI145">
            <v>4.8970518393498863E-2</v>
          </cell>
          <cell r="BJ145">
            <v>4.8970518393498863E-2</v>
          </cell>
          <cell r="BK145">
            <v>4.8970518393498863E-2</v>
          </cell>
          <cell r="BL145">
            <v>4.8970518393498863E-2</v>
          </cell>
          <cell r="BM145">
            <v>4.8970518393498863E-2</v>
          </cell>
          <cell r="BN145">
            <v>4.8970518393498863E-2</v>
          </cell>
          <cell r="BO145">
            <v>4.8970518393498863E-2</v>
          </cell>
        </row>
        <row r="146">
          <cell r="B146" t="str">
            <v>Petroleum coke</v>
          </cell>
          <cell r="G146">
            <v>7.762551786473218E-2</v>
          </cell>
          <cell r="H146">
            <v>7.8741751426506149E-2</v>
          </cell>
          <cell r="I146">
            <v>7.949115348168917E-2</v>
          </cell>
          <cell r="J146">
            <v>8.0345671220659026E-2</v>
          </cell>
          <cell r="K146">
            <v>8.0190075949177125E-2</v>
          </cell>
          <cell r="L146">
            <v>7.9901480514705525E-2</v>
          </cell>
          <cell r="M146">
            <v>7.9941715444622169E-2</v>
          </cell>
          <cell r="N146">
            <v>8.0267769627742694E-2</v>
          </cell>
          <cell r="O146">
            <v>8.0509768026177791E-2</v>
          </cell>
          <cell r="P146">
            <v>8.0450793284979602E-2</v>
          </cell>
          <cell r="Q146">
            <v>8.0477022875806686E-2</v>
          </cell>
          <cell r="R146">
            <v>7.9880307713901838E-2</v>
          </cell>
          <cell r="S146">
            <v>8.0031393407524173E-2</v>
          </cell>
          <cell r="T146">
            <v>7.9660051607346113E-2</v>
          </cell>
          <cell r="U146">
            <v>7.8655374729668215E-2</v>
          </cell>
          <cell r="V146">
            <v>7.9010927100618897E-2</v>
          </cell>
          <cell r="W146">
            <v>7.9118881918575537E-2</v>
          </cell>
          <cell r="X146">
            <v>7.9562066109371554E-2</v>
          </cell>
          <cell r="Y146">
            <v>7.8905434918984968E-2</v>
          </cell>
          <cell r="Z146">
            <v>7.9046642188295102E-2</v>
          </cell>
          <cell r="AA146">
            <v>8.0332825143026143E-2</v>
          </cell>
          <cell r="AB146">
            <v>8.0332825143026143E-2</v>
          </cell>
          <cell r="AC146">
            <v>8.0332825143026143E-2</v>
          </cell>
          <cell r="AD146">
            <v>8.0332825143026143E-2</v>
          </cell>
          <cell r="AE146">
            <v>8.0332825143026143E-2</v>
          </cell>
          <cell r="AF146">
            <v>8.0332825143026143E-2</v>
          </cell>
          <cell r="AG146">
            <v>8.0332825143026143E-2</v>
          </cell>
          <cell r="AH146">
            <v>8.0332825143026143E-2</v>
          </cell>
          <cell r="AI146">
            <v>8.0332825143026143E-2</v>
          </cell>
          <cell r="AJ146">
            <v>8.0332825143026143E-2</v>
          </cell>
          <cell r="AK146">
            <v>8.0332825143026143E-2</v>
          </cell>
          <cell r="AL146">
            <v>8.0332825143026143E-2</v>
          </cell>
          <cell r="AM146">
            <v>8.0332825143026143E-2</v>
          </cell>
          <cell r="AN146">
            <v>8.0332825143026143E-2</v>
          </cell>
          <cell r="AO146">
            <v>8.0332825143026143E-2</v>
          </cell>
          <cell r="AP146">
            <v>8.0332825143026143E-2</v>
          </cell>
          <cell r="AQ146">
            <v>8.0332825143026143E-2</v>
          </cell>
          <cell r="AR146">
            <v>8.0332825143026143E-2</v>
          </cell>
          <cell r="AS146">
            <v>8.0332825143026143E-2</v>
          </cell>
          <cell r="AT146">
            <v>8.0332825143026143E-2</v>
          </cell>
          <cell r="AU146">
            <v>8.0332825143026143E-2</v>
          </cell>
          <cell r="AV146">
            <v>8.0332825143026143E-2</v>
          </cell>
          <cell r="AW146">
            <v>8.0332825143026143E-2</v>
          </cell>
          <cell r="AX146">
            <v>8.0332825143026143E-2</v>
          </cell>
          <cell r="AY146">
            <v>8.0332825143026143E-2</v>
          </cell>
          <cell r="AZ146">
            <v>8.0332825143026143E-2</v>
          </cell>
          <cell r="BA146">
            <v>8.0332825143026143E-2</v>
          </cell>
          <cell r="BB146">
            <v>8.0332825143026143E-2</v>
          </cell>
          <cell r="BC146">
            <v>8.0332825143026143E-2</v>
          </cell>
          <cell r="BD146">
            <v>8.0332825143026143E-2</v>
          </cell>
          <cell r="BE146">
            <v>8.0332825143026143E-2</v>
          </cell>
          <cell r="BF146">
            <v>8.0332825143026143E-2</v>
          </cell>
          <cell r="BG146">
            <v>8.0332825143026143E-2</v>
          </cell>
          <cell r="BH146">
            <v>8.0332825143026143E-2</v>
          </cell>
          <cell r="BI146">
            <v>8.0332825143026143E-2</v>
          </cell>
          <cell r="BJ146">
            <v>8.0332825143026143E-2</v>
          </cell>
          <cell r="BK146">
            <v>8.0332825143026143E-2</v>
          </cell>
          <cell r="BL146">
            <v>8.0332825143026143E-2</v>
          </cell>
          <cell r="BM146">
            <v>8.0332825143026143E-2</v>
          </cell>
          <cell r="BN146">
            <v>8.0332825143026143E-2</v>
          </cell>
          <cell r="BO146">
            <v>8.0332825143026143E-2</v>
          </cell>
        </row>
        <row r="147">
          <cell r="B147" t="str">
            <v>Propane</v>
          </cell>
          <cell r="G147">
            <v>5.9857766397253279E-2</v>
          </cell>
          <cell r="H147">
            <v>5.9857761469151567E-2</v>
          </cell>
          <cell r="I147">
            <v>5.9857772727671912E-2</v>
          </cell>
          <cell r="J147">
            <v>5.9857762186262493E-2</v>
          </cell>
          <cell r="K147">
            <v>5.9857764363268742E-2</v>
          </cell>
          <cell r="L147">
            <v>5.985775273523862E-2</v>
          </cell>
          <cell r="M147">
            <v>5.9857742592133653E-2</v>
          </cell>
          <cell r="N147">
            <v>5.9857846442529061E-2</v>
          </cell>
          <cell r="O147">
            <v>5.9857725653359922E-2</v>
          </cell>
          <cell r="P147">
            <v>5.9857869132092109E-2</v>
          </cell>
          <cell r="Q147">
            <v>5.9857810547601559E-2</v>
          </cell>
          <cell r="R147">
            <v>5.9857731382435463E-2</v>
          </cell>
          <cell r="S147">
            <v>5.9857814030780353E-2</v>
          </cell>
          <cell r="T147">
            <v>5.9857814030780353E-2</v>
          </cell>
          <cell r="U147">
            <v>5.9857814030780353E-2</v>
          </cell>
          <cell r="V147">
            <v>5.9857814030780353E-2</v>
          </cell>
          <cell r="W147">
            <v>5.9858185914249303E-2</v>
          </cell>
          <cell r="X147">
            <v>5.9857946720182582E-2</v>
          </cell>
          <cell r="Y147">
            <v>5.9857919987150933E-2</v>
          </cell>
          <cell r="Z147">
            <v>5.9860457516754152E-2</v>
          </cell>
          <cell r="AA147">
            <v>5.9860457516754152E-2</v>
          </cell>
          <cell r="AB147">
            <v>5.9860457516754152E-2</v>
          </cell>
          <cell r="AC147">
            <v>5.9860457516754152E-2</v>
          </cell>
          <cell r="AD147">
            <v>5.9860457516754152E-2</v>
          </cell>
          <cell r="AE147">
            <v>5.9860457516754152E-2</v>
          </cell>
          <cell r="AF147">
            <v>5.9860457516754152E-2</v>
          </cell>
          <cell r="AG147">
            <v>5.9860457516754152E-2</v>
          </cell>
          <cell r="AH147">
            <v>5.9860457516754152E-2</v>
          </cell>
          <cell r="AI147">
            <v>5.9860457516754152E-2</v>
          </cell>
          <cell r="AJ147">
            <v>5.9860457516754152E-2</v>
          </cell>
          <cell r="AK147">
            <v>5.9860457516754152E-2</v>
          </cell>
          <cell r="AL147">
            <v>5.9860457516754152E-2</v>
          </cell>
          <cell r="AM147">
            <v>5.9860457516754152E-2</v>
          </cell>
          <cell r="AN147">
            <v>5.9860457516754152E-2</v>
          </cell>
          <cell r="AO147">
            <v>5.9860457516754152E-2</v>
          </cell>
          <cell r="AP147">
            <v>5.9860457516754152E-2</v>
          </cell>
          <cell r="AQ147">
            <v>5.9860457516754152E-2</v>
          </cell>
          <cell r="AR147">
            <v>5.9860457516754152E-2</v>
          </cell>
          <cell r="AS147">
            <v>5.9860457516754152E-2</v>
          </cell>
          <cell r="AT147">
            <v>5.9860457516754152E-2</v>
          </cell>
          <cell r="AU147">
            <v>5.9860457516754152E-2</v>
          </cell>
          <cell r="AV147">
            <v>5.9860457516754152E-2</v>
          </cell>
          <cell r="AW147">
            <v>5.9860457516754152E-2</v>
          </cell>
          <cell r="AX147">
            <v>5.9860457516754152E-2</v>
          </cell>
          <cell r="AY147">
            <v>5.9860457516754152E-2</v>
          </cell>
          <cell r="AZ147">
            <v>5.9860457516754152E-2</v>
          </cell>
          <cell r="BA147">
            <v>5.9860457516754152E-2</v>
          </cell>
          <cell r="BB147">
            <v>5.9860457516754152E-2</v>
          </cell>
          <cell r="BC147">
            <v>5.9860457516754152E-2</v>
          </cell>
          <cell r="BD147">
            <v>5.9860457516754152E-2</v>
          </cell>
          <cell r="BE147">
            <v>5.9860457516754152E-2</v>
          </cell>
          <cell r="BF147">
            <v>5.9860457516754152E-2</v>
          </cell>
          <cell r="BG147">
            <v>5.9860457516754152E-2</v>
          </cell>
          <cell r="BH147">
            <v>5.9860457516754152E-2</v>
          </cell>
          <cell r="BI147">
            <v>5.9860457516754152E-2</v>
          </cell>
          <cell r="BJ147">
            <v>5.9860457516754152E-2</v>
          </cell>
          <cell r="BK147">
            <v>5.9860457516754152E-2</v>
          </cell>
          <cell r="BL147">
            <v>5.9860457516754152E-2</v>
          </cell>
          <cell r="BM147">
            <v>5.9860457516754152E-2</v>
          </cell>
          <cell r="BN147">
            <v>5.9860457516754152E-2</v>
          </cell>
          <cell r="BO147">
            <v>5.9860457516754152E-2</v>
          </cell>
        </row>
        <row r="148">
          <cell r="B148" t="str">
            <v>Refinery fuel gas</v>
          </cell>
          <cell r="G148">
            <v>5.1259752560403472E-2</v>
          </cell>
          <cell r="H148">
            <v>5.0831282577931729E-2</v>
          </cell>
          <cell r="I148">
            <v>5.1052310814059802E-2</v>
          </cell>
          <cell r="J148">
            <v>5.0817775861882609E-2</v>
          </cell>
          <cell r="K148">
            <v>5.1541063746199101E-2</v>
          </cell>
          <cell r="L148">
            <v>5.2366651626647387E-2</v>
          </cell>
          <cell r="M148">
            <v>5.297070036177344E-2</v>
          </cell>
          <cell r="N148">
            <v>5.3040055461447598E-2</v>
          </cell>
          <cell r="O148">
            <v>5.1742893408343371E-2</v>
          </cell>
          <cell r="P148">
            <v>5.2741188716007838E-2</v>
          </cell>
          <cell r="Q148">
            <v>5.4633254600389917E-2</v>
          </cell>
          <cell r="R148">
            <v>5.4720519327646017E-2</v>
          </cell>
          <cell r="S148">
            <v>5.8326795641445141E-2</v>
          </cell>
          <cell r="T148">
            <v>5.8713275434366163E-2</v>
          </cell>
          <cell r="U148">
            <v>5.8895465170704403E-2</v>
          </cell>
          <cell r="V148">
            <v>5.9238777445698089E-2</v>
          </cell>
          <cell r="W148">
            <v>5.9579729749379771E-2</v>
          </cell>
          <cell r="X148">
            <v>6.0306791057276037E-2</v>
          </cell>
          <cell r="Y148">
            <v>5.9856897864001953E-2</v>
          </cell>
          <cell r="Z148">
            <v>5.5009422029724003E-2</v>
          </cell>
          <cell r="AA148">
            <v>5.513328633900514E-2</v>
          </cell>
          <cell r="AB148">
            <v>5.513328633900514E-2</v>
          </cell>
          <cell r="AC148">
            <v>5.513328633900514E-2</v>
          </cell>
          <cell r="AD148">
            <v>5.513328633900514E-2</v>
          </cell>
          <cell r="AE148">
            <v>5.513328633900514E-2</v>
          </cell>
          <cell r="AF148">
            <v>5.513328633900514E-2</v>
          </cell>
          <cell r="AG148">
            <v>5.513328633900514E-2</v>
          </cell>
          <cell r="AH148">
            <v>5.513328633900514E-2</v>
          </cell>
          <cell r="AI148">
            <v>5.513328633900514E-2</v>
          </cell>
          <cell r="AJ148">
            <v>5.513328633900514E-2</v>
          </cell>
          <cell r="AK148">
            <v>5.513328633900514E-2</v>
          </cell>
          <cell r="AL148">
            <v>5.513328633900514E-2</v>
          </cell>
          <cell r="AM148">
            <v>5.513328633900514E-2</v>
          </cell>
          <cell r="AN148">
            <v>5.513328633900514E-2</v>
          </cell>
          <cell r="AO148">
            <v>5.513328633900514E-2</v>
          </cell>
          <cell r="AP148">
            <v>5.513328633900514E-2</v>
          </cell>
          <cell r="AQ148">
            <v>5.513328633900514E-2</v>
          </cell>
          <cell r="AR148">
            <v>5.513328633900514E-2</v>
          </cell>
          <cell r="AS148">
            <v>5.513328633900514E-2</v>
          </cell>
          <cell r="AT148">
            <v>5.513328633900514E-2</v>
          </cell>
          <cell r="AU148">
            <v>5.513328633900514E-2</v>
          </cell>
          <cell r="AV148">
            <v>5.513328633900514E-2</v>
          </cell>
          <cell r="AW148">
            <v>5.513328633900514E-2</v>
          </cell>
          <cell r="AX148">
            <v>5.513328633900514E-2</v>
          </cell>
          <cell r="AY148">
            <v>5.513328633900514E-2</v>
          </cell>
          <cell r="AZ148">
            <v>5.513328633900514E-2</v>
          </cell>
          <cell r="BA148">
            <v>5.513328633900514E-2</v>
          </cell>
          <cell r="BB148">
            <v>5.513328633900514E-2</v>
          </cell>
          <cell r="BC148">
            <v>5.513328633900514E-2</v>
          </cell>
          <cell r="BD148">
            <v>5.513328633900514E-2</v>
          </cell>
          <cell r="BE148">
            <v>5.513328633900514E-2</v>
          </cell>
          <cell r="BF148">
            <v>5.513328633900514E-2</v>
          </cell>
          <cell r="BG148">
            <v>5.513328633900514E-2</v>
          </cell>
          <cell r="BH148">
            <v>5.513328633900514E-2</v>
          </cell>
          <cell r="BI148">
            <v>5.513328633900514E-2</v>
          </cell>
          <cell r="BJ148">
            <v>5.513328633900514E-2</v>
          </cell>
          <cell r="BK148">
            <v>5.513328633900514E-2</v>
          </cell>
          <cell r="BL148">
            <v>5.513328633900514E-2</v>
          </cell>
          <cell r="BM148">
            <v>5.513328633900514E-2</v>
          </cell>
          <cell r="BN148">
            <v>5.513328633900514E-2</v>
          </cell>
          <cell r="BO148">
            <v>5.513328633900514E-2</v>
          </cell>
        </row>
        <row r="149">
          <cell r="B149" t="str">
            <v>Solid biomass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B150" t="str">
            <v>Uranium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B151" t="str">
            <v>Waste fuel</v>
          </cell>
          <cell r="G151">
            <v>3.2569673040020032E-3</v>
          </cell>
          <cell r="H151">
            <v>3.2989385321463591E-3</v>
          </cell>
          <cell r="I151">
            <v>3.3828809884350699E-3</v>
          </cell>
          <cell r="J151">
            <v>3.4668234447237821E-3</v>
          </cell>
          <cell r="K151">
            <v>3.42065509376499E-3</v>
          </cell>
          <cell r="L151">
            <v>3.4080637253216832E-3</v>
          </cell>
          <cell r="M151">
            <v>3.5171889184970081E-3</v>
          </cell>
          <cell r="N151">
            <v>3.6808767082599958E-3</v>
          </cell>
          <cell r="O151">
            <v>3.6221169888578978E-3</v>
          </cell>
          <cell r="P151">
            <v>3.3241212690329719E-3</v>
          </cell>
          <cell r="Q151">
            <v>3.361895374362892E-3</v>
          </cell>
          <cell r="R151">
            <v>3.361895374362892E-3</v>
          </cell>
          <cell r="S151">
            <v>3.1063874204094728E-3</v>
          </cell>
          <cell r="T151">
            <v>3.1892467380943879E-3</v>
          </cell>
          <cell r="U151">
            <v>4.026586082905655E-3</v>
          </cell>
          <cell r="V151">
            <v>4.2543029606378771E-3</v>
          </cell>
          <cell r="W151">
            <v>4.1091433060819037E-3</v>
          </cell>
          <cell r="X151">
            <v>4.2175738397222766E-3</v>
          </cell>
          <cell r="Y151">
            <v>4.01921914846071E-3</v>
          </cell>
          <cell r="Z151">
            <v>4.3081124064428527E-3</v>
          </cell>
          <cell r="AA151">
            <v>4.3081124064428527E-3</v>
          </cell>
          <cell r="AB151">
            <v>4.3081124064428527E-3</v>
          </cell>
          <cell r="AC151">
            <v>4.3081124064428527E-3</v>
          </cell>
          <cell r="AD151">
            <v>4.3081124064428527E-3</v>
          </cell>
          <cell r="AE151">
            <v>4.3081124064428527E-3</v>
          </cell>
          <cell r="AF151">
            <v>4.3081124064428527E-3</v>
          </cell>
          <cell r="AG151">
            <v>4.3081124064428527E-3</v>
          </cell>
          <cell r="AH151">
            <v>4.3081124064428527E-3</v>
          </cell>
          <cell r="AI151">
            <v>4.3081124064428527E-3</v>
          </cell>
          <cell r="AJ151">
            <v>4.3081124064428527E-3</v>
          </cell>
          <cell r="AK151">
            <v>4.3081124064428527E-3</v>
          </cell>
          <cell r="AL151">
            <v>4.3081124064428527E-3</v>
          </cell>
          <cell r="AM151">
            <v>4.3081124064428527E-3</v>
          </cell>
          <cell r="AN151">
            <v>4.3081124064428527E-3</v>
          </cell>
          <cell r="AO151">
            <v>4.3081124064428527E-3</v>
          </cell>
          <cell r="AP151">
            <v>4.3081124064428527E-3</v>
          </cell>
          <cell r="AQ151">
            <v>4.3081124064428527E-3</v>
          </cell>
          <cell r="AR151">
            <v>4.3081124064428527E-3</v>
          </cell>
          <cell r="AS151">
            <v>4.3081124064428527E-3</v>
          </cell>
          <cell r="AT151">
            <v>4.3081124064428527E-3</v>
          </cell>
          <cell r="AU151">
            <v>4.3081124064428527E-3</v>
          </cell>
          <cell r="AV151">
            <v>4.3081124064428527E-3</v>
          </cell>
          <cell r="AW151">
            <v>4.3081124064428527E-3</v>
          </cell>
          <cell r="AX151">
            <v>4.3081124064428527E-3</v>
          </cell>
          <cell r="AY151">
            <v>4.3081124064428527E-3</v>
          </cell>
          <cell r="AZ151">
            <v>4.3081124064428527E-3</v>
          </cell>
          <cell r="BA151">
            <v>4.3081124064428527E-3</v>
          </cell>
          <cell r="BB151">
            <v>4.3081124064428527E-3</v>
          </cell>
          <cell r="BC151">
            <v>4.3081124064428527E-3</v>
          </cell>
          <cell r="BD151">
            <v>4.3081124064428527E-3</v>
          </cell>
          <cell r="BE151">
            <v>4.3081124064428527E-3</v>
          </cell>
          <cell r="BF151">
            <v>4.3081124064428527E-3</v>
          </cell>
          <cell r="BG151">
            <v>4.3081124064428527E-3</v>
          </cell>
          <cell r="BH151">
            <v>4.3081124064428527E-3</v>
          </cell>
          <cell r="BI151">
            <v>4.3081124064428527E-3</v>
          </cell>
          <cell r="BJ151">
            <v>4.3081124064428527E-3</v>
          </cell>
          <cell r="BK151">
            <v>4.3081124064428527E-3</v>
          </cell>
          <cell r="BL151">
            <v>4.3081124064428527E-3</v>
          </cell>
          <cell r="BM151">
            <v>4.3081124064428527E-3</v>
          </cell>
          <cell r="BN151">
            <v>4.3081124064428527E-3</v>
          </cell>
          <cell r="BO151">
            <v>4.3081124064428527E-3</v>
          </cell>
        </row>
        <row r="156">
          <cell r="G156">
            <v>3.9913102253513877E-6</v>
          </cell>
          <cell r="H156">
            <v>3.9913102253513877E-6</v>
          </cell>
          <cell r="I156">
            <v>3.9913102253513877E-6</v>
          </cell>
          <cell r="J156">
            <v>3.9913102253513877E-6</v>
          </cell>
          <cell r="K156">
            <v>3.9913102253513877E-6</v>
          </cell>
          <cell r="L156">
            <v>3.9913102253513877E-6</v>
          </cell>
          <cell r="M156">
            <v>3.9913102253513877E-6</v>
          </cell>
          <cell r="N156">
            <v>3.9913102253513877E-6</v>
          </cell>
          <cell r="O156">
            <v>3.9913102253513877E-6</v>
          </cell>
          <cell r="P156">
            <v>3.9913102253513877E-6</v>
          </cell>
          <cell r="Q156">
            <v>3.9913102253513877E-6</v>
          </cell>
          <cell r="R156">
            <v>3.9913102253513877E-6</v>
          </cell>
          <cell r="S156">
            <v>3.9913102253513877E-6</v>
          </cell>
          <cell r="T156">
            <v>3.9913102253513877E-6</v>
          </cell>
          <cell r="U156">
            <v>3.9913102253513877E-6</v>
          </cell>
          <cell r="V156">
            <v>3.9913102253513877E-6</v>
          </cell>
          <cell r="W156">
            <v>3.9913102253513877E-6</v>
          </cell>
          <cell r="X156">
            <v>3.9913102253513877E-6</v>
          </cell>
          <cell r="Y156">
            <v>3.9913102253513877E-6</v>
          </cell>
          <cell r="Z156">
            <v>3.9913102253513877E-6</v>
          </cell>
          <cell r="AA156">
            <v>3.9913102253513877E-6</v>
          </cell>
          <cell r="AB156">
            <v>3.9913102253513877E-6</v>
          </cell>
          <cell r="AC156">
            <v>3.9913102253513877E-6</v>
          </cell>
          <cell r="AD156">
            <v>3.9913102253513877E-6</v>
          </cell>
          <cell r="AE156">
            <v>3.9913102253513877E-6</v>
          </cell>
          <cell r="AF156">
            <v>3.9913102253513877E-6</v>
          </cell>
          <cell r="AG156">
            <v>3.9913102253513877E-6</v>
          </cell>
          <cell r="AH156">
            <v>3.9913102253513877E-6</v>
          </cell>
          <cell r="AI156">
            <v>3.9913102253513877E-6</v>
          </cell>
          <cell r="AJ156">
            <v>3.9913102253513877E-6</v>
          </cell>
          <cell r="AK156">
            <v>3.9913102253513877E-6</v>
          </cell>
          <cell r="AL156">
            <v>3.9913102253513877E-6</v>
          </cell>
          <cell r="AM156">
            <v>3.9913102253513877E-6</v>
          </cell>
          <cell r="AN156">
            <v>3.9913102253513877E-6</v>
          </cell>
          <cell r="AO156">
            <v>3.9913102253513877E-6</v>
          </cell>
          <cell r="AP156">
            <v>3.9913102253513877E-6</v>
          </cell>
          <cell r="AQ156">
            <v>3.9913102253513877E-6</v>
          </cell>
          <cell r="AR156">
            <v>3.9913102253513877E-6</v>
          </cell>
          <cell r="AS156">
            <v>3.9913102253513877E-6</v>
          </cell>
          <cell r="AT156">
            <v>3.9913102253513877E-6</v>
          </cell>
          <cell r="AU156">
            <v>3.9913102253513877E-6</v>
          </cell>
          <cell r="AV156">
            <v>3.9913102253513877E-6</v>
          </cell>
          <cell r="AW156">
            <v>3.9913102253513877E-6</v>
          </cell>
          <cell r="AX156">
            <v>3.9913102253513877E-6</v>
          </cell>
          <cell r="AY156">
            <v>3.9913102253513877E-6</v>
          </cell>
          <cell r="AZ156">
            <v>3.9913102253513877E-6</v>
          </cell>
          <cell r="BA156">
            <v>3.9913102253513877E-6</v>
          </cell>
          <cell r="BB156">
            <v>3.9913102253513877E-6</v>
          </cell>
          <cell r="BC156">
            <v>3.9913102253513877E-6</v>
          </cell>
          <cell r="BD156">
            <v>3.9913102253513877E-6</v>
          </cell>
          <cell r="BE156">
            <v>3.9913102253513877E-6</v>
          </cell>
          <cell r="BF156">
            <v>3.9913102253513877E-6</v>
          </cell>
          <cell r="BG156">
            <v>3.9913102253513877E-6</v>
          </cell>
          <cell r="BH156">
            <v>3.9913102253513877E-6</v>
          </cell>
          <cell r="BI156">
            <v>3.9913102253513877E-6</v>
          </cell>
          <cell r="BJ156">
            <v>3.9913102253513877E-6</v>
          </cell>
          <cell r="BK156">
            <v>3.9913102253513877E-6</v>
          </cell>
          <cell r="BL156">
            <v>3.9913102253513877E-6</v>
          </cell>
          <cell r="BM156">
            <v>3.9913102253513877E-6</v>
          </cell>
          <cell r="BN156">
            <v>3.9913102253513877E-6</v>
          </cell>
          <cell r="BO156">
            <v>3.9913102253513877E-6</v>
          </cell>
        </row>
        <row r="157">
          <cell r="G157">
            <v>9.7394051232794818E-7</v>
          </cell>
          <cell r="H157">
            <v>9.7138356351785468E-7</v>
          </cell>
          <cell r="I157">
            <v>9.7138356667125818E-7</v>
          </cell>
          <cell r="J157">
            <v>9.6858638743455478E-7</v>
          </cell>
          <cell r="K157">
            <v>9.6833289572591836E-7</v>
          </cell>
          <cell r="L157">
            <v>9.6706745968712354E-7</v>
          </cell>
          <cell r="M157">
            <v>9.670674287828192E-7</v>
          </cell>
          <cell r="N157">
            <v>9.7087377090997642E-7</v>
          </cell>
          <cell r="O157">
            <v>9.6329083616292674E-7</v>
          </cell>
          <cell r="P157">
            <v>9.6278946445229952E-7</v>
          </cell>
          <cell r="Q157">
            <v>9.6053998074030376E-7</v>
          </cell>
          <cell r="R157">
            <v>9.595435413772697E-7</v>
          </cell>
          <cell r="S157">
            <v>9.5508515933911687E-7</v>
          </cell>
          <cell r="T157">
            <v>9.5238092844104533E-7</v>
          </cell>
          <cell r="U157">
            <v>9.4871796761961505E-7</v>
          </cell>
          <cell r="V157">
            <v>9.4291540484527353E-7</v>
          </cell>
          <cell r="W157">
            <v>9.479888954209107E-7</v>
          </cell>
          <cell r="X157">
            <v>9.4339642625143072E-7</v>
          </cell>
          <cell r="Y157">
            <v>9.4604958855190435E-7</v>
          </cell>
          <cell r="Z157">
            <v>9.4195422041698765E-7</v>
          </cell>
          <cell r="AA157">
            <v>9.4195570993630577E-7</v>
          </cell>
          <cell r="AB157">
            <v>9.4195570993630577E-7</v>
          </cell>
          <cell r="AC157">
            <v>9.4195570993630577E-7</v>
          </cell>
          <cell r="AD157">
            <v>9.4195570993630577E-7</v>
          </cell>
          <cell r="AE157">
            <v>9.4195570993630577E-7</v>
          </cell>
          <cell r="AF157">
            <v>9.4195570993630577E-7</v>
          </cell>
          <cell r="AG157">
            <v>9.4195570993630577E-7</v>
          </cell>
          <cell r="AH157">
            <v>9.4195570993630577E-7</v>
          </cell>
          <cell r="AI157">
            <v>9.4195570993630577E-7</v>
          </cell>
          <cell r="AJ157">
            <v>9.4195570993630577E-7</v>
          </cell>
          <cell r="AK157">
            <v>9.4195570993630577E-7</v>
          </cell>
          <cell r="AL157">
            <v>9.4195570993630577E-7</v>
          </cell>
          <cell r="AM157">
            <v>9.4195570993630577E-7</v>
          </cell>
          <cell r="AN157">
            <v>9.4195570993630577E-7</v>
          </cell>
          <cell r="AO157">
            <v>9.4195570993630577E-7</v>
          </cell>
          <cell r="AP157">
            <v>9.4195570993630577E-7</v>
          </cell>
          <cell r="AQ157">
            <v>9.4195570993630577E-7</v>
          </cell>
          <cell r="AR157">
            <v>9.4195570993630577E-7</v>
          </cell>
          <cell r="AS157">
            <v>9.4195570993630577E-7</v>
          </cell>
          <cell r="AT157">
            <v>9.4195570993630577E-7</v>
          </cell>
          <cell r="AU157">
            <v>9.4195570993630577E-7</v>
          </cell>
          <cell r="AV157">
            <v>9.4195570993630577E-7</v>
          </cell>
          <cell r="AW157">
            <v>9.4195570993630577E-7</v>
          </cell>
          <cell r="AX157">
            <v>9.4195570993630577E-7</v>
          </cell>
          <cell r="AY157">
            <v>9.4195570993630577E-7</v>
          </cell>
          <cell r="AZ157">
            <v>9.4195570993630577E-7</v>
          </cell>
          <cell r="BA157">
            <v>9.4195570993630577E-7</v>
          </cell>
          <cell r="BB157">
            <v>9.4195570993630577E-7</v>
          </cell>
          <cell r="BC157">
            <v>9.4195570993630577E-7</v>
          </cell>
          <cell r="BD157">
            <v>9.4195570993630577E-7</v>
          </cell>
          <cell r="BE157">
            <v>9.4195570993630577E-7</v>
          </cell>
          <cell r="BF157">
            <v>9.4195570993630577E-7</v>
          </cell>
          <cell r="BG157">
            <v>9.4195570993630577E-7</v>
          </cell>
          <cell r="BH157">
            <v>9.4195570993630577E-7</v>
          </cell>
          <cell r="BI157">
            <v>9.4195570993630577E-7</v>
          </cell>
          <cell r="BJ157">
            <v>9.4195570993630577E-7</v>
          </cell>
          <cell r="BK157">
            <v>9.4195570993630577E-7</v>
          </cell>
          <cell r="BL157">
            <v>9.4195570993630577E-7</v>
          </cell>
          <cell r="BM157">
            <v>9.4195570993630577E-7</v>
          </cell>
          <cell r="BN157">
            <v>9.4195570993630577E-7</v>
          </cell>
          <cell r="BO157">
            <v>9.4195570993630577E-7</v>
          </cell>
        </row>
        <row r="158">
          <cell r="G158">
            <v>2.1897810218978099E-6</v>
          </cell>
          <cell r="H158">
            <v>2.1897810218978099E-6</v>
          </cell>
          <cell r="I158">
            <v>2.1897810218978099E-6</v>
          </cell>
          <cell r="J158">
            <v>2.1897810218978099E-6</v>
          </cell>
          <cell r="K158">
            <v>2.1897810218978099E-6</v>
          </cell>
          <cell r="L158">
            <v>2.1897810049559439E-6</v>
          </cell>
          <cell r="M158">
            <v>2.1897810522249288E-6</v>
          </cell>
          <cell r="N158">
            <v>2.1897810611595412E-6</v>
          </cell>
          <cell r="O158">
            <v>2.189780962473383E-6</v>
          </cell>
          <cell r="P158">
            <v>2.1897809760540841E-6</v>
          </cell>
          <cell r="Q158">
            <v>2.1897810986889838E-6</v>
          </cell>
          <cell r="R158">
            <v>2.1897810882067381E-6</v>
          </cell>
          <cell r="S158">
            <v>2.189781043463325E-6</v>
          </cell>
          <cell r="T158">
            <v>2.1897809657625118E-6</v>
          </cell>
          <cell r="U158">
            <v>2.1897810328282271E-6</v>
          </cell>
          <cell r="V158">
            <v>2.1897809807353959E-6</v>
          </cell>
          <cell r="W158">
            <v>2.1897810765811499E-6</v>
          </cell>
          <cell r="X158">
            <v>2.1897809940801349E-6</v>
          </cell>
          <cell r="Y158">
            <v>2.1897809768716662E-6</v>
          </cell>
          <cell r="Z158">
            <v>2.1897810128390449E-6</v>
          </cell>
          <cell r="AA158">
            <v>2.1897810888611761E-6</v>
          </cell>
          <cell r="AB158">
            <v>2.1897810888611761E-6</v>
          </cell>
          <cell r="AC158">
            <v>2.1897810888611761E-6</v>
          </cell>
          <cell r="AD158">
            <v>2.1897810888611761E-6</v>
          </cell>
          <cell r="AE158">
            <v>2.1897810888611761E-6</v>
          </cell>
          <cell r="AF158">
            <v>2.1897810888611761E-6</v>
          </cell>
          <cell r="AG158">
            <v>2.1897810888611761E-6</v>
          </cell>
          <cell r="AH158">
            <v>2.1897810888611761E-6</v>
          </cell>
          <cell r="AI158">
            <v>2.1897810888611761E-6</v>
          </cell>
          <cell r="AJ158">
            <v>2.1897810888611761E-6</v>
          </cell>
          <cell r="AK158">
            <v>2.1897810888611761E-6</v>
          </cell>
          <cell r="AL158">
            <v>2.1897810888611761E-6</v>
          </cell>
          <cell r="AM158">
            <v>2.1897810888611761E-6</v>
          </cell>
          <cell r="AN158">
            <v>2.1897810888611761E-6</v>
          </cell>
          <cell r="AO158">
            <v>2.1897810888611761E-6</v>
          </cell>
          <cell r="AP158">
            <v>2.1897810888611761E-6</v>
          </cell>
          <cell r="AQ158">
            <v>2.1897810888611761E-6</v>
          </cell>
          <cell r="AR158">
            <v>2.1897810888611761E-6</v>
          </cell>
          <cell r="AS158">
            <v>2.1897810888611761E-6</v>
          </cell>
          <cell r="AT158">
            <v>2.1897810888611761E-6</v>
          </cell>
          <cell r="AU158">
            <v>2.1897810888611761E-6</v>
          </cell>
          <cell r="AV158">
            <v>2.1897810888611761E-6</v>
          </cell>
          <cell r="AW158">
            <v>2.1897810888611761E-6</v>
          </cell>
          <cell r="AX158">
            <v>2.1897810888611761E-6</v>
          </cell>
          <cell r="AY158">
            <v>2.1897810888611761E-6</v>
          </cell>
          <cell r="AZ158">
            <v>2.1897810888611761E-6</v>
          </cell>
          <cell r="BA158">
            <v>2.1897810888611761E-6</v>
          </cell>
          <cell r="BB158">
            <v>2.1897810888611761E-6</v>
          </cell>
          <cell r="BC158">
            <v>2.1897810888611761E-6</v>
          </cell>
          <cell r="BD158">
            <v>2.1897810888611761E-6</v>
          </cell>
          <cell r="BE158">
            <v>2.1897810888611761E-6</v>
          </cell>
          <cell r="BF158">
            <v>2.1897810888611761E-6</v>
          </cell>
          <cell r="BG158">
            <v>2.1897810888611761E-6</v>
          </cell>
          <cell r="BH158">
            <v>2.1897810888611761E-6</v>
          </cell>
          <cell r="BI158">
            <v>2.1897810888611761E-6</v>
          </cell>
          <cell r="BJ158">
            <v>2.1897810888611761E-6</v>
          </cell>
          <cell r="BK158">
            <v>2.1897810888611761E-6</v>
          </cell>
          <cell r="BL158">
            <v>2.1897810888611761E-6</v>
          </cell>
          <cell r="BM158">
            <v>2.1897810888611761E-6</v>
          </cell>
          <cell r="BN158">
            <v>2.1897810888611761E-6</v>
          </cell>
          <cell r="BO158">
            <v>2.1897810888611761E-6</v>
          </cell>
        </row>
        <row r="159">
          <cell r="G159">
            <v>1.099660992763225E-6</v>
          </cell>
          <cell r="H159">
            <v>1.097834536662813E-6</v>
          </cell>
          <cell r="I159">
            <v>1.100150130603983E-6</v>
          </cell>
          <cell r="J159">
            <v>1.1257189355240151E-6</v>
          </cell>
          <cell r="K159">
            <v>1.1347875921419111E-6</v>
          </cell>
          <cell r="L159">
            <v>1.150968508982634E-6</v>
          </cell>
          <cell r="M159">
            <v>1.155557485236949E-6</v>
          </cell>
          <cell r="N159">
            <v>1.175041439498076E-6</v>
          </cell>
          <cell r="O159">
            <v>1.1608481726434009E-6</v>
          </cell>
          <cell r="P159">
            <v>1.1196945381425979E-6</v>
          </cell>
          <cell r="Q159">
            <v>1.11997474706525E-6</v>
          </cell>
          <cell r="R159">
            <v>1.146410464986059E-6</v>
          </cell>
          <cell r="S159">
            <v>1.125282755702054E-6</v>
          </cell>
          <cell r="T159">
            <v>1.11044318177081E-6</v>
          </cell>
          <cell r="U159">
            <v>1.112040055372926E-6</v>
          </cell>
          <cell r="V159">
            <v>1.1089293529824439E-6</v>
          </cell>
          <cell r="W159">
            <v>1.1044288227366509E-6</v>
          </cell>
          <cell r="X159">
            <v>1.120855213046706E-6</v>
          </cell>
          <cell r="Y159">
            <v>1.112583179784199E-6</v>
          </cell>
          <cell r="Z159">
            <v>1.1042123434939639E-6</v>
          </cell>
          <cell r="AA159">
            <v>1.1178886592441809E-6</v>
          </cell>
          <cell r="AB159">
            <v>1.1178886592441809E-6</v>
          </cell>
          <cell r="AC159">
            <v>1.1178886592441809E-6</v>
          </cell>
          <cell r="AD159">
            <v>1.1178886592441809E-6</v>
          </cell>
          <cell r="AE159">
            <v>1.1178886592441809E-6</v>
          </cell>
          <cell r="AF159">
            <v>1.1178886592441809E-6</v>
          </cell>
          <cell r="AG159">
            <v>1.1178886592441809E-6</v>
          </cell>
          <cell r="AH159">
            <v>1.1178886592441809E-6</v>
          </cell>
          <cell r="AI159">
            <v>1.1178886592441809E-6</v>
          </cell>
          <cell r="AJ159">
            <v>1.1178886592441809E-6</v>
          </cell>
          <cell r="AK159">
            <v>1.1178886592441809E-6</v>
          </cell>
          <cell r="AL159">
            <v>1.1178886592441809E-6</v>
          </cell>
          <cell r="AM159">
            <v>1.1178886592441809E-6</v>
          </cell>
          <cell r="AN159">
            <v>1.1178886592441809E-6</v>
          </cell>
          <cell r="AO159">
            <v>1.1178886592441809E-6</v>
          </cell>
          <cell r="AP159">
            <v>1.1178886592441809E-6</v>
          </cell>
          <cell r="AQ159">
            <v>1.1178886592441809E-6</v>
          </cell>
          <cell r="AR159">
            <v>1.1178886592441809E-6</v>
          </cell>
          <cell r="AS159">
            <v>1.1178886592441809E-6</v>
          </cell>
          <cell r="AT159">
            <v>1.1178886592441809E-6</v>
          </cell>
          <cell r="AU159">
            <v>1.1178886592441809E-6</v>
          </cell>
          <cell r="AV159">
            <v>1.1178886592441809E-6</v>
          </cell>
          <cell r="AW159">
            <v>1.1178886592441809E-6</v>
          </cell>
          <cell r="AX159">
            <v>1.1178886592441809E-6</v>
          </cell>
          <cell r="AY159">
            <v>1.1178886592441809E-6</v>
          </cell>
          <cell r="AZ159">
            <v>1.1178886592441809E-6</v>
          </cell>
          <cell r="BA159">
            <v>1.1178886592441809E-6</v>
          </cell>
          <cell r="BB159">
            <v>1.1178886592441809E-6</v>
          </cell>
          <cell r="BC159">
            <v>1.1178886592441809E-6</v>
          </cell>
          <cell r="BD159">
            <v>1.1178886592441809E-6</v>
          </cell>
          <cell r="BE159">
            <v>1.1178886592441809E-6</v>
          </cell>
          <cell r="BF159">
            <v>1.1178886592441809E-6</v>
          </cell>
          <cell r="BG159">
            <v>1.1178886592441809E-6</v>
          </cell>
          <cell r="BH159">
            <v>1.1178886592441809E-6</v>
          </cell>
          <cell r="BI159">
            <v>1.1178886592441809E-6</v>
          </cell>
          <cell r="BJ159">
            <v>1.1178886592441809E-6</v>
          </cell>
          <cell r="BK159">
            <v>1.1178886592441809E-6</v>
          </cell>
          <cell r="BL159">
            <v>1.1178886592441809E-6</v>
          </cell>
          <cell r="BM159">
            <v>1.1178886592441809E-6</v>
          </cell>
          <cell r="BN159">
            <v>1.1178886592441809E-6</v>
          </cell>
          <cell r="BO159">
            <v>1.1178886592441809E-6</v>
          </cell>
        </row>
        <row r="160">
          <cell r="G160">
            <v>1.040582717674445E-6</v>
          </cell>
          <cell r="H160">
            <v>1.0405827279469411E-6</v>
          </cell>
          <cell r="I160">
            <v>1.0405827257690811E-6</v>
          </cell>
          <cell r="J160">
            <v>1.0405827282446439E-6</v>
          </cell>
          <cell r="K160">
            <v>1.0405827298923229E-6</v>
          </cell>
          <cell r="L160">
            <v>1.0405827240857721E-6</v>
          </cell>
          <cell r="M160">
            <v>1.040582842138625E-6</v>
          </cell>
          <cell r="N160">
            <v>1.0405828599512849E-6</v>
          </cell>
          <cell r="O160">
            <v>1.0405827907429519E-6</v>
          </cell>
          <cell r="P160">
            <v>1.040582651402507E-6</v>
          </cell>
          <cell r="Q160">
            <v>1.040582904954736E-6</v>
          </cell>
          <cell r="R160">
            <v>1.0405828434654549E-6</v>
          </cell>
          <cell r="S160">
            <v>1.0405827597674189E-6</v>
          </cell>
          <cell r="T160">
            <v>1.040582541536849E-6</v>
          </cell>
          <cell r="U160">
            <v>1.0405826394642279E-6</v>
          </cell>
          <cell r="V160">
            <v>1.040582757476462E-6</v>
          </cell>
          <cell r="W160">
            <v>1.0405825582981999E-6</v>
          </cell>
          <cell r="X160">
            <v>1.0405827800752839E-6</v>
          </cell>
          <cell r="Y160">
            <v>1.0405826162605121E-6</v>
          </cell>
          <cell r="Z160">
            <v>1.0405828517444189E-6</v>
          </cell>
          <cell r="AA160">
            <v>1.040582705338272E-6</v>
          </cell>
          <cell r="AB160">
            <v>1.040582705338272E-6</v>
          </cell>
          <cell r="AC160">
            <v>1.040582705338272E-6</v>
          </cell>
          <cell r="AD160">
            <v>1.040582705338272E-6</v>
          </cell>
          <cell r="AE160">
            <v>1.040582705338272E-6</v>
          </cell>
          <cell r="AF160">
            <v>1.040582705338272E-6</v>
          </cell>
          <cell r="AG160">
            <v>1.040582705338272E-6</v>
          </cell>
          <cell r="AH160">
            <v>1.040582705338272E-6</v>
          </cell>
          <cell r="AI160">
            <v>1.040582705338272E-6</v>
          </cell>
          <cell r="AJ160">
            <v>1.040582705338272E-6</v>
          </cell>
          <cell r="AK160">
            <v>1.040582705338272E-6</v>
          </cell>
          <cell r="AL160">
            <v>1.040582705338272E-6</v>
          </cell>
          <cell r="AM160">
            <v>1.040582705338272E-6</v>
          </cell>
          <cell r="AN160">
            <v>1.040582705338272E-6</v>
          </cell>
          <cell r="AO160">
            <v>1.040582705338272E-6</v>
          </cell>
          <cell r="AP160">
            <v>1.040582705338272E-6</v>
          </cell>
          <cell r="AQ160">
            <v>1.040582705338272E-6</v>
          </cell>
          <cell r="AR160">
            <v>1.040582705338272E-6</v>
          </cell>
          <cell r="AS160">
            <v>1.040582705338272E-6</v>
          </cell>
          <cell r="AT160">
            <v>1.040582705338272E-6</v>
          </cell>
          <cell r="AU160">
            <v>1.040582705338272E-6</v>
          </cell>
          <cell r="AV160">
            <v>1.040582705338272E-6</v>
          </cell>
          <cell r="AW160">
            <v>1.040582705338272E-6</v>
          </cell>
          <cell r="AX160">
            <v>1.040582705338272E-6</v>
          </cell>
          <cell r="AY160">
            <v>1.040582705338272E-6</v>
          </cell>
          <cell r="AZ160">
            <v>1.040582705338272E-6</v>
          </cell>
          <cell r="BA160">
            <v>1.040582705338272E-6</v>
          </cell>
          <cell r="BB160">
            <v>1.040582705338272E-6</v>
          </cell>
          <cell r="BC160">
            <v>1.040582705338272E-6</v>
          </cell>
          <cell r="BD160">
            <v>1.040582705338272E-6</v>
          </cell>
          <cell r="BE160">
            <v>1.040582705338272E-6</v>
          </cell>
          <cell r="BF160">
            <v>1.040582705338272E-6</v>
          </cell>
          <cell r="BG160">
            <v>1.040582705338272E-6</v>
          </cell>
          <cell r="BH160">
            <v>1.040582705338272E-6</v>
          </cell>
          <cell r="BI160">
            <v>1.040582705338272E-6</v>
          </cell>
          <cell r="BJ160">
            <v>1.040582705338272E-6</v>
          </cell>
          <cell r="BK160">
            <v>1.040582705338272E-6</v>
          </cell>
          <cell r="BL160">
            <v>1.040582705338272E-6</v>
          </cell>
          <cell r="BM160">
            <v>1.040582705338272E-6</v>
          </cell>
          <cell r="BN160">
            <v>1.040582705338272E-6</v>
          </cell>
          <cell r="BO160">
            <v>1.040582705338272E-6</v>
          </cell>
        </row>
        <row r="161">
          <cell r="G161">
            <v>3.4384761216833141E-6</v>
          </cell>
          <cell r="H161">
            <v>3.4384636730050162E-6</v>
          </cell>
          <cell r="I161">
            <v>3.472588875532428E-6</v>
          </cell>
          <cell r="J161">
            <v>3.4725831005824538E-6</v>
          </cell>
          <cell r="K161">
            <v>3.4725850014726559E-6</v>
          </cell>
          <cell r="L161">
            <v>3.472591035966505E-6</v>
          </cell>
          <cell r="M161">
            <v>3.472584649011923E-6</v>
          </cell>
          <cell r="N161">
            <v>3.4725828121424569E-6</v>
          </cell>
          <cell r="O161">
            <v>3.472590915207677E-6</v>
          </cell>
          <cell r="P161">
            <v>3.4725888096762181E-6</v>
          </cell>
          <cell r="Q161">
            <v>3.472589452190581E-6</v>
          </cell>
          <cell r="R161">
            <v>3.472582161146042E-6</v>
          </cell>
          <cell r="S161">
            <v>3.4725823341060829E-6</v>
          </cell>
          <cell r="T161">
            <v>3.4725889460729468E-6</v>
          </cell>
          <cell r="U161">
            <v>3.472582562003564E-6</v>
          </cell>
          <cell r="V161">
            <v>3.472589390865252E-6</v>
          </cell>
          <cell r="W161">
            <v>3.4725877114341268E-6</v>
          </cell>
          <cell r="X161">
            <v>3.4725813551444388E-6</v>
          </cell>
          <cell r="Y161">
            <v>3.472587830305106E-6</v>
          </cell>
          <cell r="Z161">
            <v>3.4725880582413511E-6</v>
          </cell>
          <cell r="AA161">
            <v>3.472591361989154E-6</v>
          </cell>
          <cell r="AB161">
            <v>3.472591361989154E-6</v>
          </cell>
          <cell r="AC161">
            <v>3.472591361989154E-6</v>
          </cell>
          <cell r="AD161">
            <v>3.472591361989154E-6</v>
          </cell>
          <cell r="AE161">
            <v>3.472591361989154E-6</v>
          </cell>
          <cell r="AF161">
            <v>3.472591361989154E-6</v>
          </cell>
          <cell r="AG161">
            <v>3.472591361989154E-6</v>
          </cell>
          <cell r="AH161">
            <v>3.472591361989154E-6</v>
          </cell>
          <cell r="AI161">
            <v>3.472591361989154E-6</v>
          </cell>
          <cell r="AJ161">
            <v>3.472591361989154E-6</v>
          </cell>
          <cell r="AK161">
            <v>3.472591361989154E-6</v>
          </cell>
          <cell r="AL161">
            <v>3.472591361989154E-6</v>
          </cell>
          <cell r="AM161">
            <v>3.472591361989154E-6</v>
          </cell>
          <cell r="AN161">
            <v>3.472591361989154E-6</v>
          </cell>
          <cell r="AO161">
            <v>3.472591361989154E-6</v>
          </cell>
          <cell r="AP161">
            <v>3.472591361989154E-6</v>
          </cell>
          <cell r="AQ161">
            <v>3.472591361989154E-6</v>
          </cell>
          <cell r="AR161">
            <v>3.472591361989154E-6</v>
          </cell>
          <cell r="AS161">
            <v>3.472591361989154E-6</v>
          </cell>
          <cell r="AT161">
            <v>3.472591361989154E-6</v>
          </cell>
          <cell r="AU161">
            <v>3.472591361989154E-6</v>
          </cell>
          <cell r="AV161">
            <v>3.472591361989154E-6</v>
          </cell>
          <cell r="AW161">
            <v>3.472591361989154E-6</v>
          </cell>
          <cell r="AX161">
            <v>3.472591361989154E-6</v>
          </cell>
          <cell r="AY161">
            <v>3.472591361989154E-6</v>
          </cell>
          <cell r="AZ161">
            <v>3.472591361989154E-6</v>
          </cell>
          <cell r="BA161">
            <v>3.472591361989154E-6</v>
          </cell>
          <cell r="BB161">
            <v>3.472591361989154E-6</v>
          </cell>
          <cell r="BC161">
            <v>3.472591361989154E-6</v>
          </cell>
          <cell r="BD161">
            <v>3.472591361989154E-6</v>
          </cell>
          <cell r="BE161">
            <v>3.472591361989154E-6</v>
          </cell>
          <cell r="BF161">
            <v>3.472591361989154E-6</v>
          </cell>
          <cell r="BG161">
            <v>3.472591361989154E-6</v>
          </cell>
          <cell r="BH161">
            <v>3.472591361989154E-6</v>
          </cell>
          <cell r="BI161">
            <v>3.472591361989154E-6</v>
          </cell>
          <cell r="BJ161">
            <v>3.472591361989154E-6</v>
          </cell>
          <cell r="BK161">
            <v>3.472591361989154E-6</v>
          </cell>
          <cell r="BL161">
            <v>3.472591361989154E-6</v>
          </cell>
          <cell r="BM161">
            <v>3.472591361989154E-6</v>
          </cell>
          <cell r="BN161">
            <v>3.472591361989154E-6</v>
          </cell>
          <cell r="BO161">
            <v>3.472591361989154E-6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</row>
        <row r="163">
          <cell r="G163">
            <v>4.7002197368249499E-6</v>
          </cell>
          <cell r="H163">
            <v>4.7002197368249499E-6</v>
          </cell>
          <cell r="I163">
            <v>4.7002197368249499E-6</v>
          </cell>
          <cell r="J163">
            <v>4.7002197368249499E-6</v>
          </cell>
          <cell r="K163">
            <v>4.7002197368249499E-6</v>
          </cell>
          <cell r="L163">
            <v>4.7002197368249499E-6</v>
          </cell>
          <cell r="M163">
            <v>4.7002197368249499E-6</v>
          </cell>
          <cell r="N163">
            <v>4.7002197368249499E-6</v>
          </cell>
          <cell r="O163">
            <v>4.7002197368249499E-6</v>
          </cell>
          <cell r="P163">
            <v>4.7002197368249499E-6</v>
          </cell>
          <cell r="Q163">
            <v>4.7002197368249499E-6</v>
          </cell>
          <cell r="R163">
            <v>4.7002197368249499E-6</v>
          </cell>
          <cell r="S163">
            <v>4.7002197368249499E-6</v>
          </cell>
          <cell r="T163">
            <v>4.7002197368249499E-6</v>
          </cell>
          <cell r="U163">
            <v>4.7002197368249499E-6</v>
          </cell>
          <cell r="V163">
            <v>4.7002197368249499E-6</v>
          </cell>
          <cell r="W163">
            <v>4.7002197368249499E-6</v>
          </cell>
          <cell r="X163">
            <v>4.7002197368249499E-6</v>
          </cell>
          <cell r="Y163">
            <v>4.7002197368249499E-6</v>
          </cell>
          <cell r="Z163">
            <v>4.7002197368249499E-6</v>
          </cell>
          <cell r="AA163">
            <v>4.7002197368249499E-6</v>
          </cell>
          <cell r="AB163">
            <v>4.7002197368249499E-6</v>
          </cell>
          <cell r="AC163">
            <v>4.7002197368249499E-6</v>
          </cell>
          <cell r="AD163">
            <v>4.7002197368249499E-6</v>
          </cell>
          <cell r="AE163">
            <v>4.7002197368249499E-6</v>
          </cell>
          <cell r="AF163">
            <v>4.7002197368249499E-6</v>
          </cell>
          <cell r="AG163">
            <v>4.7002197368249499E-6</v>
          </cell>
          <cell r="AH163">
            <v>4.7002197368249499E-6</v>
          </cell>
          <cell r="AI163">
            <v>4.7002197368249499E-6</v>
          </cell>
          <cell r="AJ163">
            <v>4.7002197368249499E-6</v>
          </cell>
          <cell r="AK163">
            <v>4.7002197368249499E-6</v>
          </cell>
          <cell r="AL163">
            <v>4.7002197368249499E-6</v>
          </cell>
          <cell r="AM163">
            <v>4.7002197368249499E-6</v>
          </cell>
          <cell r="AN163">
            <v>4.7002197368249499E-6</v>
          </cell>
          <cell r="AO163">
            <v>4.7002197368249499E-6</v>
          </cell>
          <cell r="AP163">
            <v>4.7002197368249499E-6</v>
          </cell>
          <cell r="AQ163">
            <v>4.7002197368249499E-6</v>
          </cell>
          <cell r="AR163">
            <v>4.7002197368249499E-6</v>
          </cell>
          <cell r="AS163">
            <v>4.7002197368249499E-6</v>
          </cell>
          <cell r="AT163">
            <v>4.7002197368249499E-6</v>
          </cell>
          <cell r="AU163">
            <v>4.7002197368249499E-6</v>
          </cell>
          <cell r="AV163">
            <v>4.7002197368249499E-6</v>
          </cell>
          <cell r="AW163">
            <v>4.7002197368249499E-6</v>
          </cell>
          <cell r="AX163">
            <v>4.7002197368249499E-6</v>
          </cell>
          <cell r="AY163">
            <v>4.7002197368249499E-6</v>
          </cell>
          <cell r="AZ163">
            <v>4.7002197368249499E-6</v>
          </cell>
          <cell r="BA163">
            <v>4.7002197368249499E-6</v>
          </cell>
          <cell r="BB163">
            <v>4.7002197368249499E-6</v>
          </cell>
          <cell r="BC163">
            <v>4.7002197368249499E-6</v>
          </cell>
          <cell r="BD163">
            <v>4.7002197368249499E-6</v>
          </cell>
          <cell r="BE163">
            <v>4.7002197368249499E-6</v>
          </cell>
          <cell r="BF163">
            <v>4.7002197368249499E-6</v>
          </cell>
          <cell r="BG163">
            <v>4.7002197368249499E-6</v>
          </cell>
          <cell r="BH163">
            <v>4.7002197368249499E-6</v>
          </cell>
          <cell r="BI163">
            <v>4.7002197368249499E-6</v>
          </cell>
          <cell r="BJ163">
            <v>4.7002197368249499E-6</v>
          </cell>
          <cell r="BK163">
            <v>4.7002197368249499E-6</v>
          </cell>
          <cell r="BL163">
            <v>4.7002197368249499E-6</v>
          </cell>
          <cell r="BM163">
            <v>4.7002197368249499E-6</v>
          </cell>
          <cell r="BN163">
            <v>4.7002197368249499E-6</v>
          </cell>
          <cell r="BO163">
            <v>4.7002197368249499E-6</v>
          </cell>
        </row>
        <row r="164">
          <cell r="G164">
            <v>2.8235293001734369E-6</v>
          </cell>
          <cell r="H164">
            <v>2.823529320585948E-6</v>
          </cell>
          <cell r="I164">
            <v>2.8235292886308541E-6</v>
          </cell>
          <cell r="J164">
            <v>2.8235294015858939E-6</v>
          </cell>
          <cell r="K164">
            <v>2.8235293083962409E-6</v>
          </cell>
          <cell r="L164">
            <v>2.8235297690850701E-6</v>
          </cell>
          <cell r="M164">
            <v>2.823529863635335E-6</v>
          </cell>
          <cell r="N164">
            <v>2.8235288846391218E-6</v>
          </cell>
          <cell r="O164">
            <v>2.823529152495696E-6</v>
          </cell>
          <cell r="P164">
            <v>2.8235290179346668E-6</v>
          </cell>
          <cell r="Q164">
            <v>2.8235296739699528E-6</v>
          </cell>
          <cell r="R164">
            <v>2.8235288747788431E-6</v>
          </cell>
          <cell r="S164">
            <v>2.8235276368673152E-6</v>
          </cell>
          <cell r="T164">
            <v>2.8235290432602849E-6</v>
          </cell>
          <cell r="U164">
            <v>2.8235290432602849E-6</v>
          </cell>
          <cell r="V164">
            <v>2.8235290432602849E-6</v>
          </cell>
          <cell r="W164">
            <v>2.823527985936228E-6</v>
          </cell>
          <cell r="X164">
            <v>2.8235273923552028E-6</v>
          </cell>
          <cell r="Y164">
            <v>2.8235273923552028E-6</v>
          </cell>
          <cell r="Z164">
            <v>2.8235288932861631E-6</v>
          </cell>
          <cell r="AA164">
            <v>2.8235418415560562E-6</v>
          </cell>
          <cell r="AB164">
            <v>2.8235418415560562E-6</v>
          </cell>
          <cell r="AC164">
            <v>2.8235418415560562E-6</v>
          </cell>
          <cell r="AD164">
            <v>2.8235418415560562E-6</v>
          </cell>
          <cell r="AE164">
            <v>2.8235418415560562E-6</v>
          </cell>
          <cell r="AF164">
            <v>2.8235418415560562E-6</v>
          </cell>
          <cell r="AG164">
            <v>2.8235418415560562E-6</v>
          </cell>
          <cell r="AH164">
            <v>2.8235418415560562E-6</v>
          </cell>
          <cell r="AI164">
            <v>2.8235418415560562E-6</v>
          </cell>
          <cell r="AJ164">
            <v>2.8235418415560562E-6</v>
          </cell>
          <cell r="AK164">
            <v>2.8235418415560562E-6</v>
          </cell>
          <cell r="AL164">
            <v>2.8235418415560562E-6</v>
          </cell>
          <cell r="AM164">
            <v>2.8235418415560562E-6</v>
          </cell>
          <cell r="AN164">
            <v>2.8235418415560562E-6</v>
          </cell>
          <cell r="AO164">
            <v>2.8235418415560562E-6</v>
          </cell>
          <cell r="AP164">
            <v>2.8235418415560562E-6</v>
          </cell>
          <cell r="AQ164">
            <v>2.8235418415560562E-6</v>
          </cell>
          <cell r="AR164">
            <v>2.8235418415560562E-6</v>
          </cell>
          <cell r="AS164">
            <v>2.8235418415560562E-6</v>
          </cell>
          <cell r="AT164">
            <v>2.8235418415560562E-6</v>
          </cell>
          <cell r="AU164">
            <v>2.8235418415560562E-6</v>
          </cell>
          <cell r="AV164">
            <v>2.8235418415560562E-6</v>
          </cell>
          <cell r="AW164">
            <v>2.8235418415560562E-6</v>
          </cell>
          <cell r="AX164">
            <v>2.8235418415560562E-6</v>
          </cell>
          <cell r="AY164">
            <v>2.8235418415560562E-6</v>
          </cell>
          <cell r="AZ164">
            <v>2.8235418415560562E-6</v>
          </cell>
          <cell r="BA164">
            <v>2.8235418415560562E-6</v>
          </cell>
          <cell r="BB164">
            <v>2.8235418415560562E-6</v>
          </cell>
          <cell r="BC164">
            <v>2.8235418415560562E-6</v>
          </cell>
          <cell r="BD164">
            <v>2.8235418415560562E-6</v>
          </cell>
          <cell r="BE164">
            <v>2.8235418415560562E-6</v>
          </cell>
          <cell r="BF164">
            <v>2.8235418415560562E-6</v>
          </cell>
          <cell r="BG164">
            <v>2.8235418415560562E-6</v>
          </cell>
          <cell r="BH164">
            <v>2.8235418415560562E-6</v>
          </cell>
          <cell r="BI164">
            <v>2.8235418415560562E-6</v>
          </cell>
          <cell r="BJ164">
            <v>2.8235418415560562E-6</v>
          </cell>
          <cell r="BK164">
            <v>2.8235418415560562E-6</v>
          </cell>
          <cell r="BL164">
            <v>2.8235418415560562E-6</v>
          </cell>
          <cell r="BM164">
            <v>2.8235418415560562E-6</v>
          </cell>
          <cell r="BN164">
            <v>2.8235418415560562E-6</v>
          </cell>
          <cell r="BO164">
            <v>2.8235418415560562E-6</v>
          </cell>
        </row>
        <row r="165">
          <cell r="G165">
            <v>2.8851702942581019E-6</v>
          </cell>
          <cell r="H165">
            <v>2.88517417649737E-6</v>
          </cell>
          <cell r="I165">
            <v>2.8571469952248602E-6</v>
          </cell>
          <cell r="J165">
            <v>2.857140820889194E-6</v>
          </cell>
          <cell r="K165">
            <v>2.8571428571428568E-6</v>
          </cell>
          <cell r="L165">
            <v>2.8571438566883642E-6</v>
          </cell>
          <cell r="M165">
            <v>2.8571428571428568E-6</v>
          </cell>
          <cell r="N165">
            <v>2.8571428571428568E-6</v>
          </cell>
          <cell r="O165">
            <v>2.857141878529187E-6</v>
          </cell>
          <cell r="P165">
            <v>2.8571447894974979E-6</v>
          </cell>
          <cell r="Q165">
            <v>2.8571409759473159E-6</v>
          </cell>
          <cell r="R165">
            <v>2.8571428571428568E-6</v>
          </cell>
          <cell r="S165">
            <v>2.8571438056255458E-6</v>
          </cell>
          <cell r="T165">
            <v>2.8571437844349931E-6</v>
          </cell>
          <cell r="U165">
            <v>2.857144656805654E-6</v>
          </cell>
          <cell r="V165">
            <v>2.857145582285266E-6</v>
          </cell>
          <cell r="W165">
            <v>2.8571419760700631E-6</v>
          </cell>
          <cell r="X165">
            <v>2.8571454779837138E-6</v>
          </cell>
          <cell r="Y165">
            <v>2.8571428571428568E-6</v>
          </cell>
          <cell r="Z165">
            <v>2.8571454251195541E-6</v>
          </cell>
          <cell r="AA165">
            <v>2.8571458873488601E-6</v>
          </cell>
          <cell r="AB165">
            <v>2.8571458873488601E-6</v>
          </cell>
          <cell r="AC165">
            <v>2.8571458873488601E-6</v>
          </cell>
          <cell r="AD165">
            <v>2.8571458873488601E-6</v>
          </cell>
          <cell r="AE165">
            <v>2.8571458873488601E-6</v>
          </cell>
          <cell r="AF165">
            <v>2.8571458873488601E-6</v>
          </cell>
          <cell r="AG165">
            <v>2.8571458873488601E-6</v>
          </cell>
          <cell r="AH165">
            <v>2.8571458873488601E-6</v>
          </cell>
          <cell r="AI165">
            <v>2.8571458873488601E-6</v>
          </cell>
          <cell r="AJ165">
            <v>2.8571458873488601E-6</v>
          </cell>
          <cell r="AK165">
            <v>2.8571458873488601E-6</v>
          </cell>
          <cell r="AL165">
            <v>2.8571458873488601E-6</v>
          </cell>
          <cell r="AM165">
            <v>2.8571458873488601E-6</v>
          </cell>
          <cell r="AN165">
            <v>2.8571458873488601E-6</v>
          </cell>
          <cell r="AO165">
            <v>2.8571458873488601E-6</v>
          </cell>
          <cell r="AP165">
            <v>2.8571458873488601E-6</v>
          </cell>
          <cell r="AQ165">
            <v>2.8571458873488601E-6</v>
          </cell>
          <cell r="AR165">
            <v>2.8571458873488601E-6</v>
          </cell>
          <cell r="AS165">
            <v>2.8571458873488601E-6</v>
          </cell>
          <cell r="AT165">
            <v>2.8571458873488601E-6</v>
          </cell>
          <cell r="AU165">
            <v>2.8571458873488601E-6</v>
          </cell>
          <cell r="AV165">
            <v>2.8571458873488601E-6</v>
          </cell>
          <cell r="AW165">
            <v>2.8571458873488601E-6</v>
          </cell>
          <cell r="AX165">
            <v>2.8571458873488601E-6</v>
          </cell>
          <cell r="AY165">
            <v>2.8571458873488601E-6</v>
          </cell>
          <cell r="AZ165">
            <v>2.8571458873488601E-6</v>
          </cell>
          <cell r="BA165">
            <v>2.8571458873488601E-6</v>
          </cell>
          <cell r="BB165">
            <v>2.8571458873488601E-6</v>
          </cell>
          <cell r="BC165">
            <v>2.8571458873488601E-6</v>
          </cell>
          <cell r="BD165">
            <v>2.8571458873488601E-6</v>
          </cell>
          <cell r="BE165">
            <v>2.8571458873488601E-6</v>
          </cell>
          <cell r="BF165">
            <v>2.8571458873488601E-6</v>
          </cell>
          <cell r="BG165">
            <v>2.8571458873488601E-6</v>
          </cell>
          <cell r="BH165">
            <v>2.8571458873488601E-6</v>
          </cell>
          <cell r="BI165">
            <v>2.8571458873488601E-6</v>
          </cell>
          <cell r="BJ165">
            <v>2.8571458873488601E-6</v>
          </cell>
          <cell r="BK165">
            <v>2.8571458873488601E-6</v>
          </cell>
          <cell r="BL165">
            <v>2.8571458873488601E-6</v>
          </cell>
          <cell r="BM165">
            <v>2.8571458873488601E-6</v>
          </cell>
          <cell r="BN165">
            <v>2.8571458873488601E-6</v>
          </cell>
          <cell r="BO165">
            <v>2.8571458873488601E-6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</row>
        <row r="167">
          <cell r="G167">
            <v>7.9736249556157934E-7</v>
          </cell>
          <cell r="H167">
            <v>7.9736022959592476E-7</v>
          </cell>
          <cell r="I167">
            <v>7.7540003383703026E-7</v>
          </cell>
          <cell r="J167">
            <v>7.7539967549540893E-7</v>
          </cell>
          <cell r="K167">
            <v>7.7540145501549478E-7</v>
          </cell>
          <cell r="L167">
            <v>7.7539724202773649E-7</v>
          </cell>
          <cell r="M167">
            <v>7.7539983891381881E-7</v>
          </cell>
          <cell r="N167">
            <v>7.7539779872985618E-7</v>
          </cell>
          <cell r="O167">
            <v>7.754002311984898E-7</v>
          </cell>
          <cell r="P167">
            <v>7.7539965408187943E-7</v>
          </cell>
          <cell r="Q167">
            <v>7.7539739027283511E-7</v>
          </cell>
          <cell r="R167">
            <v>7.7539611797730377E-7</v>
          </cell>
          <cell r="S167">
            <v>7.7540234419950352E-7</v>
          </cell>
          <cell r="T167">
            <v>7.7539772865841272E-7</v>
          </cell>
          <cell r="U167">
            <v>7.7539938945356478E-7</v>
          </cell>
          <cell r="V167">
            <v>7.7539752024383434E-7</v>
          </cell>
          <cell r="W167">
            <v>7.7539727058422559E-7</v>
          </cell>
          <cell r="X167">
            <v>7.7539820675105488E-7</v>
          </cell>
          <cell r="Y167">
            <v>7.7540025010127346E-7</v>
          </cell>
          <cell r="Z167">
            <v>7.7540366649039309E-7</v>
          </cell>
          <cell r="AA167">
            <v>7.7540540869332489E-7</v>
          </cell>
          <cell r="AB167">
            <v>7.7540540869332489E-7</v>
          </cell>
          <cell r="AC167">
            <v>7.7540540869332489E-7</v>
          </cell>
          <cell r="AD167">
            <v>7.7540540869332489E-7</v>
          </cell>
          <cell r="AE167">
            <v>7.7540540869332489E-7</v>
          </cell>
          <cell r="AF167">
            <v>7.7540540869332489E-7</v>
          </cell>
          <cell r="AG167">
            <v>7.7540540869332489E-7</v>
          </cell>
          <cell r="AH167">
            <v>7.7540540869332489E-7</v>
          </cell>
          <cell r="AI167">
            <v>7.7540540869332489E-7</v>
          </cell>
          <cell r="AJ167">
            <v>7.7540540869332489E-7</v>
          </cell>
          <cell r="AK167">
            <v>7.7540540869332489E-7</v>
          </cell>
          <cell r="AL167">
            <v>7.7540540869332489E-7</v>
          </cell>
          <cell r="AM167">
            <v>7.7540540869332489E-7</v>
          </cell>
          <cell r="AN167">
            <v>7.7540540869332489E-7</v>
          </cell>
          <cell r="AO167">
            <v>7.7540540869332489E-7</v>
          </cell>
          <cell r="AP167">
            <v>7.7540540869332489E-7</v>
          </cell>
          <cell r="AQ167">
            <v>7.7540540869332489E-7</v>
          </cell>
          <cell r="AR167">
            <v>7.7540540869332489E-7</v>
          </cell>
          <cell r="AS167">
            <v>7.7540540869332489E-7</v>
          </cell>
          <cell r="AT167">
            <v>7.7540540869332489E-7</v>
          </cell>
          <cell r="AU167">
            <v>7.7540540869332489E-7</v>
          </cell>
          <cell r="AV167">
            <v>7.7540540869332489E-7</v>
          </cell>
          <cell r="AW167">
            <v>7.7540540869332489E-7</v>
          </cell>
          <cell r="AX167">
            <v>7.7540540869332489E-7</v>
          </cell>
          <cell r="AY167">
            <v>7.7540540869332489E-7</v>
          </cell>
          <cell r="AZ167">
            <v>7.7540540869332489E-7</v>
          </cell>
          <cell r="BA167">
            <v>7.7540540869332489E-7</v>
          </cell>
          <cell r="BB167">
            <v>7.7540540869332489E-7</v>
          </cell>
          <cell r="BC167">
            <v>7.7540540869332489E-7</v>
          </cell>
          <cell r="BD167">
            <v>7.7540540869332489E-7</v>
          </cell>
          <cell r="BE167">
            <v>7.7540540869332489E-7</v>
          </cell>
          <cell r="BF167">
            <v>7.7540540869332489E-7</v>
          </cell>
          <cell r="BG167">
            <v>7.7540540869332489E-7</v>
          </cell>
          <cell r="BH167">
            <v>7.7540540869332489E-7</v>
          </cell>
          <cell r="BI167">
            <v>7.7540540869332489E-7</v>
          </cell>
          <cell r="BJ167">
            <v>7.7540540869332489E-7</v>
          </cell>
          <cell r="BK167">
            <v>7.7540540869332489E-7</v>
          </cell>
          <cell r="BL167">
            <v>7.7540540869332489E-7</v>
          </cell>
          <cell r="BM167">
            <v>7.7540540869332489E-7</v>
          </cell>
          <cell r="BN167">
            <v>7.7540540869332489E-7</v>
          </cell>
          <cell r="BO167">
            <v>7.7540540869332489E-7</v>
          </cell>
        </row>
        <row r="168">
          <cell r="G168">
            <v>8.9391766268260293E-7</v>
          </cell>
          <cell r="H168">
            <v>8.9391766268260293E-7</v>
          </cell>
          <cell r="I168">
            <v>8.9391766268260293E-7</v>
          </cell>
          <cell r="J168">
            <v>8.9551962763743971E-7</v>
          </cell>
          <cell r="K168">
            <v>8.9552582730589518E-7</v>
          </cell>
          <cell r="L168">
            <v>8.9552582730589518E-7</v>
          </cell>
          <cell r="M168">
            <v>8.9552582730589518E-7</v>
          </cell>
          <cell r="N168">
            <v>8.9552582730589518E-7</v>
          </cell>
          <cell r="O168">
            <v>8.9552582730589518E-7</v>
          </cell>
          <cell r="P168">
            <v>8.9552582730589518E-7</v>
          </cell>
          <cell r="Q168">
            <v>8.9552582730589518E-7</v>
          </cell>
          <cell r="R168">
            <v>8.9552582730589518E-7</v>
          </cell>
          <cell r="S168">
            <v>8.9552582730589518E-7</v>
          </cell>
          <cell r="T168">
            <v>8.9552582730589518E-7</v>
          </cell>
          <cell r="U168">
            <v>8.9552582730589518E-7</v>
          </cell>
          <cell r="V168">
            <v>8.9552582730589518E-7</v>
          </cell>
          <cell r="W168">
            <v>8.9552582730589518E-7</v>
          </cell>
          <cell r="X168">
            <v>8.9552582730589518E-7</v>
          </cell>
          <cell r="Y168">
            <v>8.9552582730589518E-7</v>
          </cell>
          <cell r="Z168">
            <v>8.9552582730589518E-7</v>
          </cell>
          <cell r="AA168">
            <v>8.9552582730589518E-7</v>
          </cell>
          <cell r="AB168">
            <v>8.9552582730589518E-7</v>
          </cell>
          <cell r="AC168">
            <v>8.9552582730589518E-7</v>
          </cell>
          <cell r="AD168">
            <v>8.9552582730589518E-7</v>
          </cell>
          <cell r="AE168">
            <v>8.9552582730589518E-7</v>
          </cell>
          <cell r="AF168">
            <v>8.9552582730589518E-7</v>
          </cell>
          <cell r="AG168">
            <v>8.9552582730589518E-7</v>
          </cell>
          <cell r="AH168">
            <v>8.9552582730589518E-7</v>
          </cell>
          <cell r="AI168">
            <v>8.9552582730589518E-7</v>
          </cell>
          <cell r="AJ168">
            <v>8.9552582730589518E-7</v>
          </cell>
          <cell r="AK168">
            <v>8.9552582730589518E-7</v>
          </cell>
          <cell r="AL168">
            <v>8.9552582730589518E-7</v>
          </cell>
          <cell r="AM168">
            <v>8.9552582730589518E-7</v>
          </cell>
          <cell r="AN168">
            <v>8.9552582730589518E-7</v>
          </cell>
          <cell r="AO168">
            <v>8.9552582730589518E-7</v>
          </cell>
          <cell r="AP168">
            <v>8.9552582730589518E-7</v>
          </cell>
          <cell r="AQ168">
            <v>8.9552582730589518E-7</v>
          </cell>
          <cell r="AR168">
            <v>8.9552582730589518E-7</v>
          </cell>
          <cell r="AS168">
            <v>8.9552582730589518E-7</v>
          </cell>
          <cell r="AT168">
            <v>8.9552582730589518E-7</v>
          </cell>
          <cell r="AU168">
            <v>8.9552582730589518E-7</v>
          </cell>
          <cell r="AV168">
            <v>8.9552582730589518E-7</v>
          </cell>
          <cell r="AW168">
            <v>8.9552582730589518E-7</v>
          </cell>
          <cell r="AX168">
            <v>8.9552582730589518E-7</v>
          </cell>
          <cell r="AY168">
            <v>8.9552582730589518E-7</v>
          </cell>
          <cell r="AZ168">
            <v>8.9552582730589518E-7</v>
          </cell>
          <cell r="BA168">
            <v>8.9552582730589518E-7</v>
          </cell>
          <cell r="BB168">
            <v>8.9552582730589518E-7</v>
          </cell>
          <cell r="BC168">
            <v>8.9552582730589518E-7</v>
          </cell>
          <cell r="BD168">
            <v>8.9552582730589518E-7</v>
          </cell>
          <cell r="BE168">
            <v>8.9552582730589518E-7</v>
          </cell>
          <cell r="BF168">
            <v>8.9552582730589518E-7</v>
          </cell>
          <cell r="BG168">
            <v>8.9552582730589518E-7</v>
          </cell>
          <cell r="BH168">
            <v>8.9552582730589518E-7</v>
          </cell>
          <cell r="BI168">
            <v>8.9552582730589518E-7</v>
          </cell>
          <cell r="BJ168">
            <v>8.9552582730589518E-7</v>
          </cell>
          <cell r="BK168">
            <v>8.9552582730589518E-7</v>
          </cell>
          <cell r="BL168">
            <v>8.9552582730589518E-7</v>
          </cell>
          <cell r="BM168">
            <v>8.9552582730589518E-7</v>
          </cell>
          <cell r="BN168">
            <v>8.9552582730589518E-7</v>
          </cell>
          <cell r="BO168">
            <v>8.9552582730589518E-7</v>
          </cell>
        </row>
        <row r="169">
          <cell r="G169">
            <v>9.7394051232794818E-7</v>
          </cell>
          <cell r="H169">
            <v>9.7138356351785468E-7</v>
          </cell>
          <cell r="I169">
            <v>9.7138356667125818E-7</v>
          </cell>
          <cell r="J169">
            <v>9.6858638743455478E-7</v>
          </cell>
          <cell r="K169">
            <v>9.6833289572591836E-7</v>
          </cell>
          <cell r="L169">
            <v>9.6706745968712354E-7</v>
          </cell>
          <cell r="M169">
            <v>9.670674287828192E-7</v>
          </cell>
          <cell r="N169">
            <v>9.7087377090997642E-7</v>
          </cell>
          <cell r="O169">
            <v>9.6329083616292674E-7</v>
          </cell>
          <cell r="P169">
            <v>9.6278946445229952E-7</v>
          </cell>
          <cell r="Q169">
            <v>9.6053998074030376E-7</v>
          </cell>
          <cell r="R169">
            <v>9.595435413772697E-7</v>
          </cell>
          <cell r="S169">
            <v>9.5508515933911687E-7</v>
          </cell>
          <cell r="T169">
            <v>9.5238092844104533E-7</v>
          </cell>
          <cell r="U169">
            <v>9.4871796761961505E-7</v>
          </cell>
          <cell r="V169">
            <v>9.4291540484527353E-7</v>
          </cell>
          <cell r="W169">
            <v>9.479888954209107E-7</v>
          </cell>
          <cell r="X169">
            <v>9.4339642625143072E-7</v>
          </cell>
          <cell r="Y169">
            <v>9.4604958855190435E-7</v>
          </cell>
          <cell r="Z169">
            <v>9.4195422041698765E-7</v>
          </cell>
          <cell r="AA169">
            <v>9.4195570993630577E-7</v>
          </cell>
          <cell r="AB169">
            <v>9.4195570993630577E-7</v>
          </cell>
          <cell r="AC169">
            <v>9.4195570993630577E-7</v>
          </cell>
          <cell r="AD169">
            <v>9.4195570993630577E-7</v>
          </cell>
          <cell r="AE169">
            <v>9.4195570993630577E-7</v>
          </cell>
          <cell r="AF169">
            <v>9.4195570993630577E-7</v>
          </cell>
          <cell r="AG169">
            <v>9.4195570993630577E-7</v>
          </cell>
          <cell r="AH169">
            <v>9.4195570993630577E-7</v>
          </cell>
          <cell r="AI169">
            <v>9.4195570993630577E-7</v>
          </cell>
          <cell r="AJ169">
            <v>9.4195570993630577E-7</v>
          </cell>
          <cell r="AK169">
            <v>9.4195570993630577E-7</v>
          </cell>
          <cell r="AL169">
            <v>9.4195570993630577E-7</v>
          </cell>
          <cell r="AM169">
            <v>9.4195570993630577E-7</v>
          </cell>
          <cell r="AN169">
            <v>9.4195570993630577E-7</v>
          </cell>
          <cell r="AO169">
            <v>9.4195570993630577E-7</v>
          </cell>
          <cell r="AP169">
            <v>9.4195570993630577E-7</v>
          </cell>
          <cell r="AQ169">
            <v>9.4195570993630577E-7</v>
          </cell>
          <cell r="AR169">
            <v>9.4195570993630577E-7</v>
          </cell>
          <cell r="AS169">
            <v>9.4195570993630577E-7</v>
          </cell>
          <cell r="AT169">
            <v>9.4195570993630577E-7</v>
          </cell>
          <cell r="AU169">
            <v>9.4195570993630577E-7</v>
          </cell>
          <cell r="AV169">
            <v>9.4195570993630577E-7</v>
          </cell>
          <cell r="AW169">
            <v>9.4195570993630577E-7</v>
          </cell>
          <cell r="AX169">
            <v>9.4195570993630577E-7</v>
          </cell>
          <cell r="AY169">
            <v>9.4195570993630577E-7</v>
          </cell>
          <cell r="AZ169">
            <v>9.4195570993630577E-7</v>
          </cell>
          <cell r="BA169">
            <v>9.4195570993630577E-7</v>
          </cell>
          <cell r="BB169">
            <v>9.4195570993630577E-7</v>
          </cell>
          <cell r="BC169">
            <v>9.4195570993630577E-7</v>
          </cell>
          <cell r="BD169">
            <v>9.4195570993630577E-7</v>
          </cell>
          <cell r="BE169">
            <v>9.4195570993630577E-7</v>
          </cell>
          <cell r="BF169">
            <v>9.4195570993630577E-7</v>
          </cell>
          <cell r="BG169">
            <v>9.4195570993630577E-7</v>
          </cell>
          <cell r="BH169">
            <v>9.4195570993630577E-7</v>
          </cell>
          <cell r="BI169">
            <v>9.4195570993630577E-7</v>
          </cell>
          <cell r="BJ169">
            <v>9.4195570993630577E-7</v>
          </cell>
          <cell r="BK169">
            <v>9.4195570993630577E-7</v>
          </cell>
          <cell r="BL169">
            <v>9.4195570993630577E-7</v>
          </cell>
          <cell r="BM169">
            <v>9.4195570993630577E-7</v>
          </cell>
          <cell r="BN169">
            <v>9.4195570993630577E-7</v>
          </cell>
          <cell r="BO169">
            <v>9.4195570993630577E-7</v>
          </cell>
        </row>
        <row r="170">
          <cell r="G170">
            <v>2.5889967532216271E-6</v>
          </cell>
          <cell r="H170">
            <v>2.5889967567509682E-6</v>
          </cell>
          <cell r="I170">
            <v>2.5889967473666931E-6</v>
          </cell>
          <cell r="J170">
            <v>2.5889967649113162E-6</v>
          </cell>
          <cell r="K170">
            <v>2.5889967529541218E-6</v>
          </cell>
          <cell r="L170">
            <v>2.5889967686127562E-6</v>
          </cell>
          <cell r="M170">
            <v>2.588997168138257E-6</v>
          </cell>
          <cell r="N170">
            <v>2.5889975690344362E-6</v>
          </cell>
          <cell r="O170">
            <v>2.588997293722101E-6</v>
          </cell>
          <cell r="P170">
            <v>2.5889972199744079E-6</v>
          </cell>
          <cell r="Q170">
            <v>2.5889975645349421E-6</v>
          </cell>
          <cell r="R170">
            <v>2.588996936700304E-6</v>
          </cell>
          <cell r="S170">
            <v>2.5889973423615691E-6</v>
          </cell>
          <cell r="T170">
            <v>2.588996147058268E-6</v>
          </cell>
          <cell r="U170">
            <v>2.5888323445489528E-6</v>
          </cell>
          <cell r="V170">
            <v>2.5888319141025711E-6</v>
          </cell>
          <cell r="W170">
            <v>2.5888327551652642E-6</v>
          </cell>
          <cell r="X170">
            <v>2.5888325426735718E-6</v>
          </cell>
          <cell r="Y170">
            <v>2.588832777376077E-6</v>
          </cell>
          <cell r="Z170">
            <v>2.588831141078311E-6</v>
          </cell>
          <cell r="AA170">
            <v>2.588832670277672E-6</v>
          </cell>
          <cell r="AB170">
            <v>2.588832670277672E-6</v>
          </cell>
          <cell r="AC170">
            <v>2.588832670277672E-6</v>
          </cell>
          <cell r="AD170">
            <v>2.588832670277672E-6</v>
          </cell>
          <cell r="AE170">
            <v>2.588832670277672E-6</v>
          </cell>
          <cell r="AF170">
            <v>2.588832670277672E-6</v>
          </cell>
          <cell r="AG170">
            <v>2.588832670277672E-6</v>
          </cell>
          <cell r="AH170">
            <v>2.588832670277672E-6</v>
          </cell>
          <cell r="AI170">
            <v>2.588832670277672E-6</v>
          </cell>
          <cell r="AJ170">
            <v>2.588832670277672E-6</v>
          </cell>
          <cell r="AK170">
            <v>2.588832670277672E-6</v>
          </cell>
          <cell r="AL170">
            <v>2.588832670277672E-6</v>
          </cell>
          <cell r="AM170">
            <v>2.588832670277672E-6</v>
          </cell>
          <cell r="AN170">
            <v>2.588832670277672E-6</v>
          </cell>
          <cell r="AO170">
            <v>2.588832670277672E-6</v>
          </cell>
          <cell r="AP170">
            <v>2.588832670277672E-6</v>
          </cell>
          <cell r="AQ170">
            <v>2.588832670277672E-6</v>
          </cell>
          <cell r="AR170">
            <v>2.588832670277672E-6</v>
          </cell>
          <cell r="AS170">
            <v>2.588832670277672E-6</v>
          </cell>
          <cell r="AT170">
            <v>2.588832670277672E-6</v>
          </cell>
          <cell r="AU170">
            <v>2.588832670277672E-6</v>
          </cell>
          <cell r="AV170">
            <v>2.588832670277672E-6</v>
          </cell>
          <cell r="AW170">
            <v>2.588832670277672E-6</v>
          </cell>
          <cell r="AX170">
            <v>2.588832670277672E-6</v>
          </cell>
          <cell r="AY170">
            <v>2.588832670277672E-6</v>
          </cell>
          <cell r="AZ170">
            <v>2.588832670277672E-6</v>
          </cell>
          <cell r="BA170">
            <v>2.588832670277672E-6</v>
          </cell>
          <cell r="BB170">
            <v>2.588832670277672E-6</v>
          </cell>
          <cell r="BC170">
            <v>2.588832670277672E-6</v>
          </cell>
          <cell r="BD170">
            <v>2.588832670277672E-6</v>
          </cell>
          <cell r="BE170">
            <v>2.588832670277672E-6</v>
          </cell>
          <cell r="BF170">
            <v>2.588832670277672E-6</v>
          </cell>
          <cell r="BG170">
            <v>2.588832670277672E-6</v>
          </cell>
          <cell r="BH170">
            <v>2.588832670277672E-6</v>
          </cell>
          <cell r="BI170">
            <v>2.588832670277672E-6</v>
          </cell>
          <cell r="BJ170">
            <v>2.588832670277672E-6</v>
          </cell>
          <cell r="BK170">
            <v>2.588832670277672E-6</v>
          </cell>
          <cell r="BL170">
            <v>2.588832670277672E-6</v>
          </cell>
          <cell r="BM170">
            <v>2.588832670277672E-6</v>
          </cell>
          <cell r="BN170">
            <v>2.588832670277672E-6</v>
          </cell>
          <cell r="BO170">
            <v>2.588832670277672E-6</v>
          </cell>
        </row>
        <row r="171">
          <cell r="G171">
            <v>9.4824184391688377E-7</v>
          </cell>
          <cell r="H171">
            <v>9.482417658479457E-7</v>
          </cell>
          <cell r="I171">
            <v>9.4824194420074309E-7</v>
          </cell>
          <cell r="J171">
            <v>9.4824177720811866E-7</v>
          </cell>
          <cell r="K171">
            <v>9.4824181169534642E-7</v>
          </cell>
          <cell r="L171">
            <v>9.482416274889288E-7</v>
          </cell>
          <cell r="M171">
            <v>9.4824146680607779E-7</v>
          </cell>
          <cell r="N171">
            <v>9.4824311196085648E-7</v>
          </cell>
          <cell r="O171">
            <v>9.4824119846906824E-7</v>
          </cell>
          <cell r="P171">
            <v>9.4824347139947907E-7</v>
          </cell>
          <cell r="Q171">
            <v>9.4824254332834167E-7</v>
          </cell>
          <cell r="R171">
            <v>9.4824128922670058E-7</v>
          </cell>
          <cell r="S171">
            <v>9.4824259850741151E-7</v>
          </cell>
          <cell r="T171">
            <v>9.4824259850741151E-7</v>
          </cell>
          <cell r="U171">
            <v>9.4824259850741151E-7</v>
          </cell>
          <cell r="V171">
            <v>9.4824259850741151E-7</v>
          </cell>
          <cell r="W171">
            <v>9.4824848973068197E-7</v>
          </cell>
          <cell r="X171">
            <v>9.4824470051774394E-7</v>
          </cell>
          <cell r="Y171">
            <v>9.4824427702417313E-7</v>
          </cell>
          <cell r="Z171">
            <v>9.4828447551293711E-7</v>
          </cell>
          <cell r="AA171">
            <v>9.4828447551293711E-7</v>
          </cell>
          <cell r="AB171">
            <v>9.4828447551293711E-7</v>
          </cell>
          <cell r="AC171">
            <v>9.4828447551293711E-7</v>
          </cell>
          <cell r="AD171">
            <v>9.4828447551293711E-7</v>
          </cell>
          <cell r="AE171">
            <v>9.4828447551293711E-7</v>
          </cell>
          <cell r="AF171">
            <v>9.4828447551293711E-7</v>
          </cell>
          <cell r="AG171">
            <v>9.4828447551293711E-7</v>
          </cell>
          <cell r="AH171">
            <v>9.4828447551293711E-7</v>
          </cell>
          <cell r="AI171">
            <v>9.4828447551293711E-7</v>
          </cell>
          <cell r="AJ171">
            <v>9.4828447551293711E-7</v>
          </cell>
          <cell r="AK171">
            <v>9.4828447551293711E-7</v>
          </cell>
          <cell r="AL171">
            <v>9.4828447551293711E-7</v>
          </cell>
          <cell r="AM171">
            <v>9.4828447551293711E-7</v>
          </cell>
          <cell r="AN171">
            <v>9.4828447551293711E-7</v>
          </cell>
          <cell r="AO171">
            <v>9.4828447551293711E-7</v>
          </cell>
          <cell r="AP171">
            <v>9.4828447551293711E-7</v>
          </cell>
          <cell r="AQ171">
            <v>9.4828447551293711E-7</v>
          </cell>
          <cell r="AR171">
            <v>9.4828447551293711E-7</v>
          </cell>
          <cell r="AS171">
            <v>9.4828447551293711E-7</v>
          </cell>
          <cell r="AT171">
            <v>9.4828447551293711E-7</v>
          </cell>
          <cell r="AU171">
            <v>9.4828447551293711E-7</v>
          </cell>
          <cell r="AV171">
            <v>9.4828447551293711E-7</v>
          </cell>
          <cell r="AW171">
            <v>9.4828447551293711E-7</v>
          </cell>
          <cell r="AX171">
            <v>9.4828447551293711E-7</v>
          </cell>
          <cell r="AY171">
            <v>9.4828447551293711E-7</v>
          </cell>
          <cell r="AZ171">
            <v>9.4828447551293711E-7</v>
          </cell>
          <cell r="BA171">
            <v>9.4828447551293711E-7</v>
          </cell>
          <cell r="BB171">
            <v>9.4828447551293711E-7</v>
          </cell>
          <cell r="BC171">
            <v>9.4828447551293711E-7</v>
          </cell>
          <cell r="BD171">
            <v>9.4828447551293711E-7</v>
          </cell>
          <cell r="BE171">
            <v>9.4828447551293711E-7</v>
          </cell>
          <cell r="BF171">
            <v>9.4828447551293711E-7</v>
          </cell>
          <cell r="BG171">
            <v>9.4828447551293711E-7</v>
          </cell>
          <cell r="BH171">
            <v>9.4828447551293711E-7</v>
          </cell>
          <cell r="BI171">
            <v>9.4828447551293711E-7</v>
          </cell>
          <cell r="BJ171">
            <v>9.4828447551293711E-7</v>
          </cell>
          <cell r="BK171">
            <v>9.4828447551293711E-7</v>
          </cell>
          <cell r="BL171">
            <v>9.4828447551293711E-7</v>
          </cell>
          <cell r="BM171">
            <v>9.4828447551293711E-7</v>
          </cell>
          <cell r="BN171">
            <v>9.4828447551293711E-7</v>
          </cell>
          <cell r="BO171">
            <v>9.4828447551293711E-7</v>
          </cell>
        </row>
        <row r="172">
          <cell r="G172">
            <v>9.3680709534368085E-7</v>
          </cell>
          <cell r="H172">
            <v>9.2682926829268296E-7</v>
          </cell>
          <cell r="I172">
            <v>9.1685144124168507E-7</v>
          </cell>
          <cell r="J172">
            <v>9.0687361419068718E-7</v>
          </cell>
          <cell r="K172">
            <v>8.9689578713968929E-7</v>
          </cell>
          <cell r="L172">
            <v>8.8691796008869141E-7</v>
          </cell>
          <cell r="M172">
            <v>8.8691796008869183E-7</v>
          </cell>
          <cell r="N172">
            <v>8.9246119733924611E-7</v>
          </cell>
          <cell r="O172">
            <v>8.7583148558758328E-7</v>
          </cell>
          <cell r="P172">
            <v>8.8691796008869183E-7</v>
          </cell>
          <cell r="Q172">
            <v>8.8968957871396907E-7</v>
          </cell>
          <cell r="R172">
            <v>9.0354767184035476E-7</v>
          </cell>
          <cell r="S172">
            <v>8.4534368070953444E-7</v>
          </cell>
          <cell r="T172">
            <v>8.5920177383592024E-7</v>
          </cell>
          <cell r="U172">
            <v>8.5920177383592024E-7</v>
          </cell>
          <cell r="V172">
            <v>8.5920177383592024E-7</v>
          </cell>
          <cell r="W172">
            <v>8.5920177383592024E-7</v>
          </cell>
          <cell r="X172">
            <v>8.5920177383592024E-7</v>
          </cell>
          <cell r="Y172">
            <v>8.5920177383592024E-7</v>
          </cell>
          <cell r="Z172">
            <v>8.5920177383592024E-7</v>
          </cell>
          <cell r="AA172">
            <v>8.5920177383592024E-7</v>
          </cell>
          <cell r="AB172">
            <v>8.5920177383592024E-7</v>
          </cell>
          <cell r="AC172">
            <v>8.5920177383592024E-7</v>
          </cell>
          <cell r="AD172">
            <v>8.5920177383592024E-7</v>
          </cell>
          <cell r="AE172">
            <v>8.5920177383592024E-7</v>
          </cell>
          <cell r="AF172">
            <v>8.5920177383592024E-7</v>
          </cell>
          <cell r="AG172">
            <v>8.5920177383592024E-7</v>
          </cell>
          <cell r="AH172">
            <v>8.5920177383592024E-7</v>
          </cell>
          <cell r="AI172">
            <v>8.5920177383592024E-7</v>
          </cell>
          <cell r="AJ172">
            <v>8.5920177383592024E-7</v>
          </cell>
          <cell r="AK172">
            <v>8.5920177383592024E-7</v>
          </cell>
          <cell r="AL172">
            <v>8.5920177383592024E-7</v>
          </cell>
          <cell r="AM172">
            <v>8.5920177383592024E-7</v>
          </cell>
          <cell r="AN172">
            <v>8.5920177383592024E-7</v>
          </cell>
          <cell r="AO172">
            <v>8.5920177383592024E-7</v>
          </cell>
          <cell r="AP172">
            <v>8.5920177383592024E-7</v>
          </cell>
          <cell r="AQ172">
            <v>8.5920177383592024E-7</v>
          </cell>
          <cell r="AR172">
            <v>8.5920177383592024E-7</v>
          </cell>
          <cell r="AS172">
            <v>8.5920177383592024E-7</v>
          </cell>
          <cell r="AT172">
            <v>8.5920177383592024E-7</v>
          </cell>
          <cell r="AU172">
            <v>8.5920177383592024E-7</v>
          </cell>
          <cell r="AV172">
            <v>8.5920177383592024E-7</v>
          </cell>
          <cell r="AW172">
            <v>8.5920177383592024E-7</v>
          </cell>
          <cell r="AX172">
            <v>8.5920177383592024E-7</v>
          </cell>
          <cell r="AY172">
            <v>8.5920177383592024E-7</v>
          </cell>
          <cell r="AZ172">
            <v>8.5920177383592024E-7</v>
          </cell>
          <cell r="BA172">
            <v>8.5920177383592024E-7</v>
          </cell>
          <cell r="BB172">
            <v>8.5920177383592024E-7</v>
          </cell>
          <cell r="BC172">
            <v>8.5920177383592024E-7</v>
          </cell>
          <cell r="BD172">
            <v>8.5920177383592024E-7</v>
          </cell>
          <cell r="BE172">
            <v>8.5920177383592024E-7</v>
          </cell>
          <cell r="BF172">
            <v>8.5920177383592024E-7</v>
          </cell>
          <cell r="BG172">
            <v>8.5920177383592024E-7</v>
          </cell>
          <cell r="BH172">
            <v>8.5920177383592024E-7</v>
          </cell>
          <cell r="BI172">
            <v>8.5920177383592024E-7</v>
          </cell>
          <cell r="BJ172">
            <v>8.5920177383592024E-7</v>
          </cell>
          <cell r="BK172">
            <v>8.5920177383592024E-7</v>
          </cell>
          <cell r="BL172">
            <v>8.5920177383592024E-7</v>
          </cell>
          <cell r="BM172">
            <v>8.5920177383592024E-7</v>
          </cell>
          <cell r="BN172">
            <v>8.5920177383592024E-7</v>
          </cell>
          <cell r="BO172">
            <v>8.5920177383592024E-7</v>
          </cell>
        </row>
        <row r="173">
          <cell r="G173">
            <v>4.8923679060665363E-6</v>
          </cell>
          <cell r="H173">
            <v>4.8923679060665363E-6</v>
          </cell>
          <cell r="I173">
            <v>4.8923679060665363E-6</v>
          </cell>
          <cell r="J173">
            <v>4.8923679060665363E-6</v>
          </cell>
          <cell r="K173">
            <v>4.8923679060665363E-6</v>
          </cell>
          <cell r="L173">
            <v>4.8923678596555996E-6</v>
          </cell>
          <cell r="M173">
            <v>4.8923678127073247E-6</v>
          </cell>
          <cell r="N173">
            <v>4.8923679833408253E-6</v>
          </cell>
          <cell r="O173">
            <v>4.8923680355792216E-6</v>
          </cell>
          <cell r="P173">
            <v>4.8923680207911309E-6</v>
          </cell>
          <cell r="Q173">
            <v>4.8923679872944769E-6</v>
          </cell>
          <cell r="R173">
            <v>4.8923679332824978E-6</v>
          </cell>
          <cell r="S173">
            <v>4.8923677375376746E-6</v>
          </cell>
          <cell r="T173">
            <v>4.8923677944607688E-6</v>
          </cell>
          <cell r="U173">
            <v>4.8923679883093842E-6</v>
          </cell>
          <cell r="V173">
            <v>4.8923679323432924E-6</v>
          </cell>
          <cell r="W173">
            <v>4.8923680505927806E-6</v>
          </cell>
          <cell r="X173">
            <v>4.8923676159539784E-6</v>
          </cell>
          <cell r="Y173">
            <v>4.8923680091380624E-6</v>
          </cell>
          <cell r="Z173">
            <v>4.8923675860138616E-6</v>
          </cell>
          <cell r="AA173">
            <v>4.8923688171506836E-6</v>
          </cell>
          <cell r="AB173">
            <v>4.8923688171506836E-6</v>
          </cell>
          <cell r="AC173">
            <v>4.8923688171506836E-6</v>
          </cell>
          <cell r="AD173">
            <v>4.8923688171506836E-6</v>
          </cell>
          <cell r="AE173">
            <v>4.8923688171506836E-6</v>
          </cell>
          <cell r="AF173">
            <v>4.8923688171506836E-6</v>
          </cell>
          <cell r="AG173">
            <v>4.8923688171506836E-6</v>
          </cell>
          <cell r="AH173">
            <v>4.8923688171506836E-6</v>
          </cell>
          <cell r="AI173">
            <v>4.8923688171506836E-6</v>
          </cell>
          <cell r="AJ173">
            <v>4.8923688171506836E-6</v>
          </cell>
          <cell r="AK173">
            <v>4.8923688171506836E-6</v>
          </cell>
          <cell r="AL173">
            <v>4.8923688171506836E-6</v>
          </cell>
          <cell r="AM173">
            <v>4.8923688171506836E-6</v>
          </cell>
          <cell r="AN173">
            <v>4.8923688171506836E-6</v>
          </cell>
          <cell r="AO173">
            <v>4.8923688171506836E-6</v>
          </cell>
          <cell r="AP173">
            <v>4.8923688171506836E-6</v>
          </cell>
          <cell r="AQ173">
            <v>4.8923688171506836E-6</v>
          </cell>
          <cell r="AR173">
            <v>4.8923688171506836E-6</v>
          </cell>
          <cell r="AS173">
            <v>4.8923688171506836E-6</v>
          </cell>
          <cell r="AT173">
            <v>4.8923688171506836E-6</v>
          </cell>
          <cell r="AU173">
            <v>4.8923688171506836E-6</v>
          </cell>
          <cell r="AV173">
            <v>4.8923688171506836E-6</v>
          </cell>
          <cell r="AW173">
            <v>4.8923688171506836E-6</v>
          </cell>
          <cell r="AX173">
            <v>4.8923688171506836E-6</v>
          </cell>
          <cell r="AY173">
            <v>4.8923688171506836E-6</v>
          </cell>
          <cell r="AZ173">
            <v>4.8923688171506836E-6</v>
          </cell>
          <cell r="BA173">
            <v>4.8923688171506836E-6</v>
          </cell>
          <cell r="BB173">
            <v>4.8923688171506836E-6</v>
          </cell>
          <cell r="BC173">
            <v>4.8923688171506836E-6</v>
          </cell>
          <cell r="BD173">
            <v>4.8923688171506836E-6</v>
          </cell>
          <cell r="BE173">
            <v>4.8923688171506836E-6</v>
          </cell>
          <cell r="BF173">
            <v>4.8923688171506836E-6</v>
          </cell>
          <cell r="BG173">
            <v>4.8923688171506836E-6</v>
          </cell>
          <cell r="BH173">
            <v>4.8923688171506836E-6</v>
          </cell>
          <cell r="BI173">
            <v>4.8923688171506836E-6</v>
          </cell>
          <cell r="BJ173">
            <v>4.8923688171506836E-6</v>
          </cell>
          <cell r="BK173">
            <v>4.8923688171506836E-6</v>
          </cell>
          <cell r="BL173">
            <v>4.8923688171506836E-6</v>
          </cell>
          <cell r="BM173">
            <v>4.8923688171506836E-6</v>
          </cell>
          <cell r="BN173">
            <v>4.8923688171506836E-6</v>
          </cell>
          <cell r="BO173">
            <v>4.8923688171506836E-6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</row>
        <row r="175">
          <cell r="G175">
            <v>1.259136844330671E-6</v>
          </cell>
          <cell r="H175">
            <v>1.259136844330671E-6</v>
          </cell>
          <cell r="I175">
            <v>1.259136844330671E-6</v>
          </cell>
          <cell r="J175">
            <v>1.259136844330671E-6</v>
          </cell>
          <cell r="K175">
            <v>1.259136844330671E-6</v>
          </cell>
          <cell r="L175">
            <v>1.259136844330671E-6</v>
          </cell>
          <cell r="M175">
            <v>1.259136844330671E-6</v>
          </cell>
          <cell r="N175">
            <v>1.259136844330671E-6</v>
          </cell>
          <cell r="O175">
            <v>1.259136844330671E-6</v>
          </cell>
          <cell r="P175">
            <v>1.259136844330671E-6</v>
          </cell>
          <cell r="Q175">
            <v>1.259136844330671E-6</v>
          </cell>
          <cell r="R175">
            <v>1.259136844330671E-6</v>
          </cell>
          <cell r="S175">
            <v>1.1634409814267689E-6</v>
          </cell>
          <cell r="T175">
            <v>1.194474433743216E-6</v>
          </cell>
          <cell r="U175">
            <v>1.508084675245564E-6</v>
          </cell>
          <cell r="V175">
            <v>1.5933718953699911E-6</v>
          </cell>
          <cell r="W175">
            <v>1.5390049835512751E-6</v>
          </cell>
          <cell r="X175">
            <v>1.5796156703079691E-6</v>
          </cell>
          <cell r="Y175">
            <v>1.505325523768056E-6</v>
          </cell>
          <cell r="Z175">
            <v>1.613525245858746E-6</v>
          </cell>
          <cell r="AA175">
            <v>1.613525245858746E-6</v>
          </cell>
          <cell r="AB175">
            <v>1.613525245858746E-6</v>
          </cell>
          <cell r="AC175">
            <v>1.613525245858746E-6</v>
          </cell>
          <cell r="AD175">
            <v>1.613525245858746E-6</v>
          </cell>
          <cell r="AE175">
            <v>1.613525245858746E-6</v>
          </cell>
          <cell r="AF175">
            <v>1.613525245858746E-6</v>
          </cell>
          <cell r="AG175">
            <v>1.613525245858746E-6</v>
          </cell>
          <cell r="AH175">
            <v>1.613525245858746E-6</v>
          </cell>
          <cell r="AI175">
            <v>1.613525245858746E-6</v>
          </cell>
          <cell r="AJ175">
            <v>1.613525245858746E-6</v>
          </cell>
          <cell r="AK175">
            <v>1.613525245858746E-6</v>
          </cell>
          <cell r="AL175">
            <v>1.613525245858746E-6</v>
          </cell>
          <cell r="AM175">
            <v>1.613525245858746E-6</v>
          </cell>
          <cell r="AN175">
            <v>1.613525245858746E-6</v>
          </cell>
          <cell r="AO175">
            <v>1.613525245858746E-6</v>
          </cell>
          <cell r="AP175">
            <v>1.613525245858746E-6</v>
          </cell>
          <cell r="AQ175">
            <v>1.613525245858746E-6</v>
          </cell>
          <cell r="AR175">
            <v>1.613525245858746E-6</v>
          </cell>
          <cell r="AS175">
            <v>1.613525245858746E-6</v>
          </cell>
          <cell r="AT175">
            <v>1.613525245858746E-6</v>
          </cell>
          <cell r="AU175">
            <v>1.613525245858746E-6</v>
          </cell>
          <cell r="AV175">
            <v>1.613525245858746E-6</v>
          </cell>
          <cell r="AW175">
            <v>1.613525245858746E-6</v>
          </cell>
          <cell r="AX175">
            <v>1.613525245858746E-6</v>
          </cell>
          <cell r="AY175">
            <v>1.613525245858746E-6</v>
          </cell>
          <cell r="AZ175">
            <v>1.613525245858746E-6</v>
          </cell>
          <cell r="BA175">
            <v>1.613525245858746E-6</v>
          </cell>
          <cell r="BB175">
            <v>1.613525245858746E-6</v>
          </cell>
          <cell r="BC175">
            <v>1.613525245858746E-6</v>
          </cell>
          <cell r="BD175">
            <v>1.613525245858746E-6</v>
          </cell>
          <cell r="BE175">
            <v>1.613525245858746E-6</v>
          </cell>
          <cell r="BF175">
            <v>1.613525245858746E-6</v>
          </cell>
          <cell r="BG175">
            <v>1.613525245858746E-6</v>
          </cell>
          <cell r="BH175">
            <v>1.613525245858746E-6</v>
          </cell>
          <cell r="BI175">
            <v>1.613525245858746E-6</v>
          </cell>
          <cell r="BJ175">
            <v>1.613525245858746E-6</v>
          </cell>
          <cell r="BK175">
            <v>1.613525245858746E-6</v>
          </cell>
          <cell r="BL175">
            <v>1.613525245858746E-6</v>
          </cell>
          <cell r="BM175">
            <v>1.613525245858746E-6</v>
          </cell>
          <cell r="BN175">
            <v>1.613525245858746E-6</v>
          </cell>
          <cell r="BO175">
            <v>1.613525245858746E-6</v>
          </cell>
        </row>
        <row r="180">
          <cell r="G180">
            <v>1.2003940527372589E-5</v>
          </cell>
          <cell r="H180">
            <v>1.2003940527372589E-5</v>
          </cell>
          <cell r="I180">
            <v>1.2003940527372589E-5</v>
          </cell>
          <cell r="J180">
            <v>1.2003940527372589E-5</v>
          </cell>
          <cell r="K180">
            <v>1.2003940527372589E-5</v>
          </cell>
          <cell r="L180">
            <v>1.2003940527372589E-5</v>
          </cell>
          <cell r="M180">
            <v>1.2003940527372589E-5</v>
          </cell>
          <cell r="N180">
            <v>1.2003940527372589E-5</v>
          </cell>
          <cell r="O180">
            <v>1.2003940527372589E-5</v>
          </cell>
          <cell r="P180">
            <v>1.2003940527372589E-5</v>
          </cell>
          <cell r="Q180">
            <v>1.2003940527372589E-5</v>
          </cell>
          <cell r="R180">
            <v>1.2003940527372589E-5</v>
          </cell>
          <cell r="S180">
            <v>1.2003940527372589E-5</v>
          </cell>
          <cell r="T180">
            <v>1.2003940527372589E-5</v>
          </cell>
          <cell r="U180">
            <v>1.2003940527372589E-5</v>
          </cell>
          <cell r="V180">
            <v>1.2003940527372589E-5</v>
          </cell>
          <cell r="W180">
            <v>1.2003940527372589E-5</v>
          </cell>
          <cell r="X180">
            <v>1.2003940527372589E-5</v>
          </cell>
          <cell r="Y180">
            <v>1.2003940527372589E-5</v>
          </cell>
          <cell r="Z180">
            <v>1.2003940527372589E-5</v>
          </cell>
          <cell r="AA180">
            <v>1.2003940527372589E-5</v>
          </cell>
          <cell r="AB180">
            <v>1.2003940527372589E-5</v>
          </cell>
          <cell r="AC180">
            <v>1.2003940527372589E-5</v>
          </cell>
          <cell r="AD180">
            <v>1.2003940527372589E-5</v>
          </cell>
          <cell r="AE180">
            <v>1.2003940527372589E-5</v>
          </cell>
          <cell r="AF180">
            <v>1.2003940527372589E-5</v>
          </cell>
          <cell r="AG180">
            <v>1.2003940527372589E-5</v>
          </cell>
          <cell r="AH180">
            <v>1.2003940527372589E-5</v>
          </cell>
          <cell r="AI180">
            <v>1.2003940527372589E-5</v>
          </cell>
          <cell r="AJ180">
            <v>1.2003940527372589E-5</v>
          </cell>
          <cell r="AK180">
            <v>1.2003940527372589E-5</v>
          </cell>
          <cell r="AL180">
            <v>1.2003940527372589E-5</v>
          </cell>
          <cell r="AM180">
            <v>1.2003940527372589E-5</v>
          </cell>
          <cell r="AN180">
            <v>1.2003940527372589E-5</v>
          </cell>
          <cell r="AO180">
            <v>1.2003940527372589E-5</v>
          </cell>
          <cell r="AP180">
            <v>1.2003940527372589E-5</v>
          </cell>
          <cell r="AQ180">
            <v>1.2003940527372589E-5</v>
          </cell>
          <cell r="AR180">
            <v>1.2003940527372589E-5</v>
          </cell>
          <cell r="AS180">
            <v>1.2003940527372589E-5</v>
          </cell>
          <cell r="AT180">
            <v>1.2003940527372589E-5</v>
          </cell>
          <cell r="AU180">
            <v>1.2003940527372589E-5</v>
          </cell>
          <cell r="AV180">
            <v>1.2003940527372589E-5</v>
          </cell>
          <cell r="AW180">
            <v>1.2003940527372589E-5</v>
          </cell>
          <cell r="AX180">
            <v>1.2003940527372589E-5</v>
          </cell>
          <cell r="AY180">
            <v>1.2003940527372589E-5</v>
          </cell>
          <cell r="AZ180">
            <v>1.2003940527372589E-5</v>
          </cell>
          <cell r="BA180">
            <v>1.2003940527372589E-5</v>
          </cell>
          <cell r="BB180">
            <v>1.2003940527372589E-5</v>
          </cell>
          <cell r="BC180">
            <v>1.2003940527372589E-5</v>
          </cell>
          <cell r="BD180">
            <v>1.2003940527372589E-5</v>
          </cell>
          <cell r="BE180">
            <v>1.2003940527372589E-5</v>
          </cell>
          <cell r="BF180">
            <v>1.2003940527372589E-5</v>
          </cell>
          <cell r="BG180">
            <v>1.2003940527372589E-5</v>
          </cell>
          <cell r="BH180">
            <v>1.2003940527372589E-5</v>
          </cell>
          <cell r="BI180">
            <v>1.2003940527372589E-5</v>
          </cell>
          <cell r="BJ180">
            <v>1.2003940527372589E-5</v>
          </cell>
          <cell r="BK180">
            <v>1.2003940527372589E-5</v>
          </cell>
          <cell r="BL180">
            <v>1.2003940527372589E-5</v>
          </cell>
          <cell r="BM180">
            <v>1.2003940527372589E-5</v>
          </cell>
          <cell r="BN180">
            <v>1.2003940527372589E-5</v>
          </cell>
          <cell r="BO180">
            <v>1.2003940527372589E-5</v>
          </cell>
        </row>
        <row r="181">
          <cell r="G181">
            <v>8.6864964613033235E-7</v>
          </cell>
          <cell r="H181">
            <v>8.6636912421862735E-7</v>
          </cell>
          <cell r="I181">
            <v>8.6636912703112222E-7</v>
          </cell>
          <cell r="J181">
            <v>8.6387434554973826E-7</v>
          </cell>
          <cell r="K181">
            <v>8.6364825835014342E-7</v>
          </cell>
          <cell r="L181">
            <v>8.6251962620743449E-7</v>
          </cell>
          <cell r="M181">
            <v>8.625195986441362E-7</v>
          </cell>
          <cell r="N181">
            <v>8.6591444432511414E-7</v>
          </cell>
          <cell r="O181">
            <v>8.5915128630747526E-7</v>
          </cell>
          <cell r="P181">
            <v>8.5870411694394287E-7</v>
          </cell>
          <cell r="Q181">
            <v>8.5669782066027099E-7</v>
          </cell>
          <cell r="R181">
            <v>8.5580910447161907E-7</v>
          </cell>
          <cell r="S181">
            <v>8.5183270968083418E-7</v>
          </cell>
          <cell r="T181">
            <v>8.4942082806904052E-7</v>
          </cell>
          <cell r="U181">
            <v>8.4615386301208915E-7</v>
          </cell>
          <cell r="V181">
            <v>8.409786043214603E-7</v>
          </cell>
          <cell r="W181">
            <v>8.4550360942946101E-7</v>
          </cell>
          <cell r="X181">
            <v>8.4140762341343829E-7</v>
          </cell>
          <cell r="Y181">
            <v>8.4377395735710395E-7</v>
          </cell>
          <cell r="Z181">
            <v>8.401213317232594E-7</v>
          </cell>
          <cell r="AA181">
            <v>8.4012266021346199E-7</v>
          </cell>
          <cell r="AB181">
            <v>8.4012266021346199E-7</v>
          </cell>
          <cell r="AC181">
            <v>8.4012266021346199E-7</v>
          </cell>
          <cell r="AD181">
            <v>8.4012266021346199E-7</v>
          </cell>
          <cell r="AE181">
            <v>8.4012266021346199E-7</v>
          </cell>
          <cell r="AF181">
            <v>8.4012266021346199E-7</v>
          </cell>
          <cell r="AG181">
            <v>8.4012266021346199E-7</v>
          </cell>
          <cell r="AH181">
            <v>8.4012266021346199E-7</v>
          </cell>
          <cell r="AI181">
            <v>8.4012266021346199E-7</v>
          </cell>
          <cell r="AJ181">
            <v>8.4012266021346199E-7</v>
          </cell>
          <cell r="AK181">
            <v>8.4012266021346199E-7</v>
          </cell>
          <cell r="AL181">
            <v>8.4012266021346199E-7</v>
          </cell>
          <cell r="AM181">
            <v>8.4012266021346199E-7</v>
          </cell>
          <cell r="AN181">
            <v>8.4012266021346199E-7</v>
          </cell>
          <cell r="AO181">
            <v>8.4012266021346199E-7</v>
          </cell>
          <cell r="AP181">
            <v>8.4012266021346199E-7</v>
          </cell>
          <cell r="AQ181">
            <v>8.4012266021346199E-7</v>
          </cell>
          <cell r="AR181">
            <v>8.4012266021346199E-7</v>
          </cell>
          <cell r="AS181">
            <v>8.4012266021346199E-7</v>
          </cell>
          <cell r="AT181">
            <v>8.4012266021346199E-7</v>
          </cell>
          <cell r="AU181">
            <v>8.4012266021346199E-7</v>
          </cell>
          <cell r="AV181">
            <v>8.4012266021346199E-7</v>
          </cell>
          <cell r="AW181">
            <v>8.4012266021346199E-7</v>
          </cell>
          <cell r="AX181">
            <v>8.4012266021346199E-7</v>
          </cell>
          <cell r="AY181">
            <v>8.4012266021346199E-7</v>
          </cell>
          <cell r="AZ181">
            <v>8.4012266021346199E-7</v>
          </cell>
          <cell r="BA181">
            <v>8.4012266021346199E-7</v>
          </cell>
          <cell r="BB181">
            <v>8.4012266021346199E-7</v>
          </cell>
          <cell r="BC181">
            <v>8.4012266021346199E-7</v>
          </cell>
          <cell r="BD181">
            <v>8.4012266021346199E-7</v>
          </cell>
          <cell r="BE181">
            <v>8.4012266021346199E-7</v>
          </cell>
          <cell r="BF181">
            <v>8.4012266021346199E-7</v>
          </cell>
          <cell r="BG181">
            <v>8.4012266021346199E-7</v>
          </cell>
          <cell r="BH181">
            <v>8.4012266021346199E-7</v>
          </cell>
          <cell r="BI181">
            <v>8.4012266021346199E-7</v>
          </cell>
          <cell r="BJ181">
            <v>8.4012266021346199E-7</v>
          </cell>
          <cell r="BK181">
            <v>8.4012266021346199E-7</v>
          </cell>
          <cell r="BL181">
            <v>8.4012266021346199E-7</v>
          </cell>
          <cell r="BM181">
            <v>8.4012266021346199E-7</v>
          </cell>
          <cell r="BN181">
            <v>8.4012266021346199E-7</v>
          </cell>
          <cell r="BO181">
            <v>8.4012266021346199E-7</v>
          </cell>
        </row>
        <row r="182">
          <cell r="G182">
            <v>3.649635036496351E-7</v>
          </cell>
          <cell r="H182">
            <v>3.649635036496351E-7</v>
          </cell>
          <cell r="I182">
            <v>3.649635036496351E-7</v>
          </cell>
          <cell r="J182">
            <v>3.649635036496351E-7</v>
          </cell>
          <cell r="K182">
            <v>3.649635036496351E-7</v>
          </cell>
          <cell r="L182">
            <v>3.6496350082599058E-7</v>
          </cell>
          <cell r="M182">
            <v>3.6496350870415482E-7</v>
          </cell>
          <cell r="N182">
            <v>3.6496351019325679E-7</v>
          </cell>
          <cell r="O182">
            <v>3.6496349374556383E-7</v>
          </cell>
          <cell r="P182">
            <v>3.649634960090139E-7</v>
          </cell>
          <cell r="Q182">
            <v>3.6496351644816402E-7</v>
          </cell>
          <cell r="R182">
            <v>3.6496351470112289E-7</v>
          </cell>
          <cell r="S182">
            <v>3.6496350724388749E-7</v>
          </cell>
          <cell r="T182">
            <v>3.6496349429375201E-7</v>
          </cell>
          <cell r="U182">
            <v>3.649635054713712E-7</v>
          </cell>
          <cell r="V182">
            <v>3.6496349678923251E-7</v>
          </cell>
          <cell r="W182">
            <v>3.6496351276352502E-7</v>
          </cell>
          <cell r="X182">
            <v>3.649634990133559E-7</v>
          </cell>
          <cell r="Y182">
            <v>3.6496349614527767E-7</v>
          </cell>
          <cell r="Z182">
            <v>3.649635021398408E-7</v>
          </cell>
          <cell r="AA182">
            <v>3.6496351481019612E-7</v>
          </cell>
          <cell r="AB182">
            <v>3.6496351481019612E-7</v>
          </cell>
          <cell r="AC182">
            <v>3.6496351481019612E-7</v>
          </cell>
          <cell r="AD182">
            <v>3.6496351481019612E-7</v>
          </cell>
          <cell r="AE182">
            <v>3.6496351481019612E-7</v>
          </cell>
          <cell r="AF182">
            <v>3.6496351481019612E-7</v>
          </cell>
          <cell r="AG182">
            <v>3.6496351481019612E-7</v>
          </cell>
          <cell r="AH182">
            <v>3.6496351481019612E-7</v>
          </cell>
          <cell r="AI182">
            <v>3.6496351481019612E-7</v>
          </cell>
          <cell r="AJ182">
            <v>3.6496351481019612E-7</v>
          </cell>
          <cell r="AK182">
            <v>3.6496351481019612E-7</v>
          </cell>
          <cell r="AL182">
            <v>3.6496351481019612E-7</v>
          </cell>
          <cell r="AM182">
            <v>3.6496351481019612E-7</v>
          </cell>
          <cell r="AN182">
            <v>3.6496351481019612E-7</v>
          </cell>
          <cell r="AO182">
            <v>3.6496351481019612E-7</v>
          </cell>
          <cell r="AP182">
            <v>3.6496351481019612E-7</v>
          </cell>
          <cell r="AQ182">
            <v>3.6496351481019612E-7</v>
          </cell>
          <cell r="AR182">
            <v>3.6496351481019612E-7</v>
          </cell>
          <cell r="AS182">
            <v>3.6496351481019612E-7</v>
          </cell>
          <cell r="AT182">
            <v>3.6496351481019612E-7</v>
          </cell>
          <cell r="AU182">
            <v>3.6496351481019612E-7</v>
          </cell>
          <cell r="AV182">
            <v>3.6496351481019612E-7</v>
          </cell>
          <cell r="AW182">
            <v>3.6496351481019612E-7</v>
          </cell>
          <cell r="AX182">
            <v>3.6496351481019612E-7</v>
          </cell>
          <cell r="AY182">
            <v>3.6496351481019612E-7</v>
          </cell>
          <cell r="AZ182">
            <v>3.6496351481019612E-7</v>
          </cell>
          <cell r="BA182">
            <v>3.6496351481019612E-7</v>
          </cell>
          <cell r="BB182">
            <v>3.6496351481019612E-7</v>
          </cell>
          <cell r="BC182">
            <v>3.6496351481019612E-7</v>
          </cell>
          <cell r="BD182">
            <v>3.6496351481019612E-7</v>
          </cell>
          <cell r="BE182">
            <v>3.6496351481019612E-7</v>
          </cell>
          <cell r="BF182">
            <v>3.6496351481019612E-7</v>
          </cell>
          <cell r="BG182">
            <v>3.6496351481019612E-7</v>
          </cell>
          <cell r="BH182">
            <v>3.6496351481019612E-7</v>
          </cell>
          <cell r="BI182">
            <v>3.6496351481019612E-7</v>
          </cell>
          <cell r="BJ182">
            <v>3.6496351481019612E-7</v>
          </cell>
          <cell r="BK182">
            <v>3.6496351481019612E-7</v>
          </cell>
          <cell r="BL182">
            <v>3.6496351481019612E-7</v>
          </cell>
          <cell r="BM182">
            <v>3.6496351481019612E-7</v>
          </cell>
          <cell r="BN182">
            <v>3.6496351481019612E-7</v>
          </cell>
          <cell r="BO182">
            <v>3.6496351481019612E-7</v>
          </cell>
        </row>
        <row r="183">
          <cell r="G183">
            <v>7.3310732850881664E-7</v>
          </cell>
          <cell r="H183">
            <v>7.3188969110854199E-7</v>
          </cell>
          <cell r="I183">
            <v>7.3343342040265568E-7</v>
          </cell>
          <cell r="J183">
            <v>7.5047929034934349E-7</v>
          </cell>
          <cell r="K183">
            <v>7.5652506142794078E-7</v>
          </cell>
          <cell r="L183">
            <v>7.6731233932175597E-7</v>
          </cell>
          <cell r="M183">
            <v>7.7037165682463259E-7</v>
          </cell>
          <cell r="N183">
            <v>7.833609596653838E-7</v>
          </cell>
          <cell r="O183">
            <v>7.7389878176226733E-7</v>
          </cell>
          <cell r="P183">
            <v>7.4646302542839876E-7</v>
          </cell>
          <cell r="Q183">
            <v>7.4664983137683352E-7</v>
          </cell>
          <cell r="R183">
            <v>7.6427364332403948E-7</v>
          </cell>
          <cell r="S183">
            <v>7.5018850380136923E-7</v>
          </cell>
          <cell r="T183">
            <v>7.4029545451387303E-7</v>
          </cell>
          <cell r="U183">
            <v>7.413600369152842E-7</v>
          </cell>
          <cell r="V183">
            <v>7.3928623532162953E-7</v>
          </cell>
          <cell r="W183">
            <v>7.3628588182443376E-7</v>
          </cell>
          <cell r="X183">
            <v>7.4723680869780409E-7</v>
          </cell>
          <cell r="Y183">
            <v>7.4172211985613242E-7</v>
          </cell>
          <cell r="Z183">
            <v>7.3614156232930918E-7</v>
          </cell>
          <cell r="AA183">
            <v>7.45259106162787E-7</v>
          </cell>
          <cell r="AB183">
            <v>7.45259106162787E-7</v>
          </cell>
          <cell r="AC183">
            <v>7.45259106162787E-7</v>
          </cell>
          <cell r="AD183">
            <v>7.45259106162787E-7</v>
          </cell>
          <cell r="AE183">
            <v>7.45259106162787E-7</v>
          </cell>
          <cell r="AF183">
            <v>7.45259106162787E-7</v>
          </cell>
          <cell r="AG183">
            <v>7.45259106162787E-7</v>
          </cell>
          <cell r="AH183">
            <v>7.45259106162787E-7</v>
          </cell>
          <cell r="AI183">
            <v>7.45259106162787E-7</v>
          </cell>
          <cell r="AJ183">
            <v>7.45259106162787E-7</v>
          </cell>
          <cell r="AK183">
            <v>7.45259106162787E-7</v>
          </cell>
          <cell r="AL183">
            <v>7.45259106162787E-7</v>
          </cell>
          <cell r="AM183">
            <v>7.45259106162787E-7</v>
          </cell>
          <cell r="AN183">
            <v>7.45259106162787E-7</v>
          </cell>
          <cell r="AO183">
            <v>7.45259106162787E-7</v>
          </cell>
          <cell r="AP183">
            <v>7.45259106162787E-7</v>
          </cell>
          <cell r="AQ183">
            <v>7.45259106162787E-7</v>
          </cell>
          <cell r="AR183">
            <v>7.45259106162787E-7</v>
          </cell>
          <cell r="AS183">
            <v>7.45259106162787E-7</v>
          </cell>
          <cell r="AT183">
            <v>7.45259106162787E-7</v>
          </cell>
          <cell r="AU183">
            <v>7.45259106162787E-7</v>
          </cell>
          <cell r="AV183">
            <v>7.45259106162787E-7</v>
          </cell>
          <cell r="AW183">
            <v>7.45259106162787E-7</v>
          </cell>
          <cell r="AX183">
            <v>7.45259106162787E-7</v>
          </cell>
          <cell r="AY183">
            <v>7.45259106162787E-7</v>
          </cell>
          <cell r="AZ183">
            <v>7.45259106162787E-7</v>
          </cell>
          <cell r="BA183">
            <v>7.45259106162787E-7</v>
          </cell>
          <cell r="BB183">
            <v>7.45259106162787E-7</v>
          </cell>
          <cell r="BC183">
            <v>7.45259106162787E-7</v>
          </cell>
          <cell r="BD183">
            <v>7.45259106162787E-7</v>
          </cell>
          <cell r="BE183">
            <v>7.45259106162787E-7</v>
          </cell>
          <cell r="BF183">
            <v>7.45259106162787E-7</v>
          </cell>
          <cell r="BG183">
            <v>7.45259106162787E-7</v>
          </cell>
          <cell r="BH183">
            <v>7.45259106162787E-7</v>
          </cell>
          <cell r="BI183">
            <v>7.45259106162787E-7</v>
          </cell>
          <cell r="BJ183">
            <v>7.45259106162787E-7</v>
          </cell>
          <cell r="BK183">
            <v>7.45259106162787E-7</v>
          </cell>
          <cell r="BL183">
            <v>7.45259106162787E-7</v>
          </cell>
          <cell r="BM183">
            <v>7.45259106162787E-7</v>
          </cell>
          <cell r="BN183">
            <v>7.45259106162787E-7</v>
          </cell>
          <cell r="BO183">
            <v>7.45259106162787E-7</v>
          </cell>
        </row>
        <row r="184">
          <cell r="G184">
            <v>6.9372181178296311E-7</v>
          </cell>
          <cell r="H184">
            <v>6.9372181863129416E-7</v>
          </cell>
          <cell r="I184">
            <v>6.9372181717938715E-7</v>
          </cell>
          <cell r="J184">
            <v>6.9372181882976234E-7</v>
          </cell>
          <cell r="K184">
            <v>6.9372181992821563E-7</v>
          </cell>
          <cell r="L184">
            <v>6.9372181605718157E-7</v>
          </cell>
          <cell r="M184">
            <v>6.9372189475908354E-7</v>
          </cell>
          <cell r="N184">
            <v>6.9372190663419027E-7</v>
          </cell>
          <cell r="O184">
            <v>6.9372186049530148E-7</v>
          </cell>
          <cell r="P184">
            <v>6.9372176760167111E-7</v>
          </cell>
          <cell r="Q184">
            <v>6.937219366364905E-7</v>
          </cell>
          <cell r="R184">
            <v>6.9372189564363666E-7</v>
          </cell>
          <cell r="S184">
            <v>6.9372183984494612E-7</v>
          </cell>
          <cell r="T184">
            <v>6.9372169435789911E-7</v>
          </cell>
          <cell r="U184">
            <v>6.9372175964281857E-7</v>
          </cell>
          <cell r="V184">
            <v>6.9372183831764121E-7</v>
          </cell>
          <cell r="W184">
            <v>6.9372170553213361E-7</v>
          </cell>
          <cell r="X184">
            <v>6.9372185338352264E-7</v>
          </cell>
          <cell r="Y184">
            <v>6.9372174417367513E-7</v>
          </cell>
          <cell r="Z184">
            <v>6.9372190116294622E-7</v>
          </cell>
          <cell r="AA184">
            <v>6.9372180355884812E-7</v>
          </cell>
          <cell r="AB184">
            <v>6.9372180355884812E-7</v>
          </cell>
          <cell r="AC184">
            <v>6.9372180355884812E-7</v>
          </cell>
          <cell r="AD184">
            <v>6.9372180355884812E-7</v>
          </cell>
          <cell r="AE184">
            <v>6.9372180355884812E-7</v>
          </cell>
          <cell r="AF184">
            <v>6.9372180355884812E-7</v>
          </cell>
          <cell r="AG184">
            <v>6.9372180355884812E-7</v>
          </cell>
          <cell r="AH184">
            <v>6.9372180355884812E-7</v>
          </cell>
          <cell r="AI184">
            <v>6.9372180355884812E-7</v>
          </cell>
          <cell r="AJ184">
            <v>6.9372180355884812E-7</v>
          </cell>
          <cell r="AK184">
            <v>6.9372180355884812E-7</v>
          </cell>
          <cell r="AL184">
            <v>6.9372180355884812E-7</v>
          </cell>
          <cell r="AM184">
            <v>6.9372180355884812E-7</v>
          </cell>
          <cell r="AN184">
            <v>6.9372180355884812E-7</v>
          </cell>
          <cell r="AO184">
            <v>6.9372180355884812E-7</v>
          </cell>
          <cell r="AP184">
            <v>6.9372180355884812E-7</v>
          </cell>
          <cell r="AQ184">
            <v>6.9372180355884812E-7</v>
          </cell>
          <cell r="AR184">
            <v>6.9372180355884812E-7</v>
          </cell>
          <cell r="AS184">
            <v>6.9372180355884812E-7</v>
          </cell>
          <cell r="AT184">
            <v>6.9372180355884812E-7</v>
          </cell>
          <cell r="AU184">
            <v>6.9372180355884812E-7</v>
          </cell>
          <cell r="AV184">
            <v>6.9372180355884812E-7</v>
          </cell>
          <cell r="AW184">
            <v>6.9372180355884812E-7</v>
          </cell>
          <cell r="AX184">
            <v>6.9372180355884812E-7</v>
          </cell>
          <cell r="AY184">
            <v>6.9372180355884812E-7</v>
          </cell>
          <cell r="AZ184">
            <v>6.9372180355884812E-7</v>
          </cell>
          <cell r="BA184">
            <v>6.9372180355884812E-7</v>
          </cell>
          <cell r="BB184">
            <v>6.9372180355884812E-7</v>
          </cell>
          <cell r="BC184">
            <v>6.9372180355884812E-7</v>
          </cell>
          <cell r="BD184">
            <v>6.9372180355884812E-7</v>
          </cell>
          <cell r="BE184">
            <v>6.9372180355884812E-7</v>
          </cell>
          <cell r="BF184">
            <v>6.9372180355884812E-7</v>
          </cell>
          <cell r="BG184">
            <v>6.9372180355884812E-7</v>
          </cell>
          <cell r="BH184">
            <v>6.9372180355884812E-7</v>
          </cell>
          <cell r="BI184">
            <v>6.9372180355884812E-7</v>
          </cell>
          <cell r="BJ184">
            <v>6.9372180355884812E-7</v>
          </cell>
          <cell r="BK184">
            <v>6.9372180355884812E-7</v>
          </cell>
          <cell r="BL184">
            <v>6.9372180355884812E-7</v>
          </cell>
          <cell r="BM184">
            <v>6.9372180355884812E-7</v>
          </cell>
          <cell r="BN184">
            <v>6.9372180355884812E-7</v>
          </cell>
          <cell r="BO184">
            <v>6.9372180355884812E-7</v>
          </cell>
        </row>
        <row r="185">
          <cell r="G185">
            <v>1.034128156897237E-5</v>
          </cell>
          <cell r="H185">
            <v>1.0341244129338389E-5</v>
          </cell>
          <cell r="I185">
            <v>1.044387631739076E-5</v>
          </cell>
          <cell r="J185">
            <v>1.044385894912016E-5</v>
          </cell>
          <cell r="K185">
            <v>1.0443864666083181E-5</v>
          </cell>
          <cell r="L185">
            <v>1.0443882814936861E-5</v>
          </cell>
          <cell r="M185">
            <v>1.04438636060509E-5</v>
          </cell>
          <cell r="N185">
            <v>1.044385808163145E-5</v>
          </cell>
          <cell r="O185">
            <v>1.0443882451752409E-5</v>
          </cell>
          <cell r="P185">
            <v>1.044387611932697E-5</v>
          </cell>
          <cell r="Q185">
            <v>1.044387805170099E-5</v>
          </cell>
          <cell r="R185">
            <v>1.04438561237475E-5</v>
          </cell>
          <cell r="S185">
            <v>1.044385664392807E-5</v>
          </cell>
          <cell r="T185">
            <v>1.0443876529542701E-5</v>
          </cell>
          <cell r="U185">
            <v>1.0443857329334031E-5</v>
          </cell>
          <cell r="V185">
            <v>1.044387786726391E-5</v>
          </cell>
          <cell r="W185">
            <v>1.0443872816343239E-5</v>
          </cell>
          <cell r="X185">
            <v>1.044385369968252E-5</v>
          </cell>
          <cell r="Y185">
            <v>1.0443873173849939E-5</v>
          </cell>
          <cell r="Z185">
            <v>1.0443873859372491E-5</v>
          </cell>
          <cell r="AA185">
            <v>1.04438837954561E-5</v>
          </cell>
          <cell r="AB185">
            <v>1.04438837954561E-5</v>
          </cell>
          <cell r="AC185">
            <v>1.04438837954561E-5</v>
          </cell>
          <cell r="AD185">
            <v>1.04438837954561E-5</v>
          </cell>
          <cell r="AE185">
            <v>1.04438837954561E-5</v>
          </cell>
          <cell r="AF185">
            <v>1.04438837954561E-5</v>
          </cell>
          <cell r="AG185">
            <v>1.04438837954561E-5</v>
          </cell>
          <cell r="AH185">
            <v>1.04438837954561E-5</v>
          </cell>
          <cell r="AI185">
            <v>1.04438837954561E-5</v>
          </cell>
          <cell r="AJ185">
            <v>1.04438837954561E-5</v>
          </cell>
          <cell r="AK185">
            <v>1.04438837954561E-5</v>
          </cell>
          <cell r="AL185">
            <v>1.04438837954561E-5</v>
          </cell>
          <cell r="AM185">
            <v>1.04438837954561E-5</v>
          </cell>
          <cell r="AN185">
            <v>1.04438837954561E-5</v>
          </cell>
          <cell r="AO185">
            <v>1.04438837954561E-5</v>
          </cell>
          <cell r="AP185">
            <v>1.04438837954561E-5</v>
          </cell>
          <cell r="AQ185">
            <v>1.04438837954561E-5</v>
          </cell>
          <cell r="AR185">
            <v>1.04438837954561E-5</v>
          </cell>
          <cell r="AS185">
            <v>1.04438837954561E-5</v>
          </cell>
          <cell r="AT185">
            <v>1.04438837954561E-5</v>
          </cell>
          <cell r="AU185">
            <v>1.04438837954561E-5</v>
          </cell>
          <cell r="AV185">
            <v>1.04438837954561E-5</v>
          </cell>
          <cell r="AW185">
            <v>1.04438837954561E-5</v>
          </cell>
          <cell r="AX185">
            <v>1.04438837954561E-5</v>
          </cell>
          <cell r="AY185">
            <v>1.04438837954561E-5</v>
          </cell>
          <cell r="AZ185">
            <v>1.04438837954561E-5</v>
          </cell>
          <cell r="BA185">
            <v>1.04438837954561E-5</v>
          </cell>
          <cell r="BB185">
            <v>1.04438837954561E-5</v>
          </cell>
          <cell r="BC185">
            <v>1.04438837954561E-5</v>
          </cell>
          <cell r="BD185">
            <v>1.04438837954561E-5</v>
          </cell>
          <cell r="BE185">
            <v>1.04438837954561E-5</v>
          </cell>
          <cell r="BF185">
            <v>1.04438837954561E-5</v>
          </cell>
          <cell r="BG185">
            <v>1.04438837954561E-5</v>
          </cell>
          <cell r="BH185">
            <v>1.04438837954561E-5</v>
          </cell>
          <cell r="BI185">
            <v>1.04438837954561E-5</v>
          </cell>
          <cell r="BJ185">
            <v>1.04438837954561E-5</v>
          </cell>
          <cell r="BK185">
            <v>1.04438837954561E-5</v>
          </cell>
          <cell r="BL185">
            <v>1.04438837954561E-5</v>
          </cell>
          <cell r="BM185">
            <v>1.04438837954561E-5</v>
          </cell>
          <cell r="BN185">
            <v>1.04438837954561E-5</v>
          </cell>
          <cell r="BO185">
            <v>1.04438837954561E-5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</row>
        <row r="187">
          <cell r="G187">
            <v>9.4004394736498995E-7</v>
          </cell>
          <cell r="H187">
            <v>9.4004394736498995E-7</v>
          </cell>
          <cell r="I187">
            <v>9.4004394736498995E-7</v>
          </cell>
          <cell r="J187">
            <v>9.4004394736498995E-7</v>
          </cell>
          <cell r="K187">
            <v>9.4004394736498995E-7</v>
          </cell>
          <cell r="L187">
            <v>9.4004394736498995E-7</v>
          </cell>
          <cell r="M187">
            <v>9.4004394736498995E-7</v>
          </cell>
          <cell r="N187">
            <v>9.4004394736498995E-7</v>
          </cell>
          <cell r="O187">
            <v>9.4004394736498995E-7</v>
          </cell>
          <cell r="P187">
            <v>9.4004394736498995E-7</v>
          </cell>
          <cell r="Q187">
            <v>9.4004394736498995E-7</v>
          </cell>
          <cell r="R187">
            <v>9.4004394736498995E-7</v>
          </cell>
          <cell r="S187">
            <v>9.4004394736498995E-7</v>
          </cell>
          <cell r="T187">
            <v>9.4004394736498995E-7</v>
          </cell>
          <cell r="U187">
            <v>9.4004394736498995E-7</v>
          </cell>
          <cell r="V187">
            <v>9.4004394736498995E-7</v>
          </cell>
          <cell r="W187">
            <v>9.4004394736498995E-7</v>
          </cell>
          <cell r="X187">
            <v>9.4004394736498995E-7</v>
          </cell>
          <cell r="Y187">
            <v>9.4004394736498995E-7</v>
          </cell>
          <cell r="Z187">
            <v>9.4004394736498995E-7</v>
          </cell>
          <cell r="AA187">
            <v>9.4004394736498995E-7</v>
          </cell>
          <cell r="AB187">
            <v>9.4004394736498995E-7</v>
          </cell>
          <cell r="AC187">
            <v>9.4004394736498995E-7</v>
          </cell>
          <cell r="AD187">
            <v>9.4004394736498995E-7</v>
          </cell>
          <cell r="AE187">
            <v>9.4004394736498995E-7</v>
          </cell>
          <cell r="AF187">
            <v>9.4004394736498995E-7</v>
          </cell>
          <cell r="AG187">
            <v>9.4004394736498995E-7</v>
          </cell>
          <cell r="AH187">
            <v>9.4004394736498995E-7</v>
          </cell>
          <cell r="AI187">
            <v>9.4004394736498995E-7</v>
          </cell>
          <cell r="AJ187">
            <v>9.4004394736498995E-7</v>
          </cell>
          <cell r="AK187">
            <v>9.4004394736498995E-7</v>
          </cell>
          <cell r="AL187">
            <v>9.4004394736498995E-7</v>
          </cell>
          <cell r="AM187">
            <v>9.4004394736498995E-7</v>
          </cell>
          <cell r="AN187">
            <v>9.4004394736498995E-7</v>
          </cell>
          <cell r="AO187">
            <v>9.4004394736498995E-7</v>
          </cell>
          <cell r="AP187">
            <v>9.4004394736498995E-7</v>
          </cell>
          <cell r="AQ187">
            <v>9.4004394736498995E-7</v>
          </cell>
          <cell r="AR187">
            <v>9.4004394736498995E-7</v>
          </cell>
          <cell r="AS187">
            <v>9.4004394736498995E-7</v>
          </cell>
          <cell r="AT187">
            <v>9.4004394736498995E-7</v>
          </cell>
          <cell r="AU187">
            <v>9.4004394736498995E-7</v>
          </cell>
          <cell r="AV187">
            <v>9.4004394736498995E-7</v>
          </cell>
          <cell r="AW187">
            <v>9.4004394736498995E-7</v>
          </cell>
          <cell r="AX187">
            <v>9.4004394736498995E-7</v>
          </cell>
          <cell r="AY187">
            <v>9.4004394736498995E-7</v>
          </cell>
          <cell r="AZ187">
            <v>9.4004394736498995E-7</v>
          </cell>
          <cell r="BA187">
            <v>9.4004394736498995E-7</v>
          </cell>
          <cell r="BB187">
            <v>9.4004394736498995E-7</v>
          </cell>
          <cell r="BC187">
            <v>9.4004394736498995E-7</v>
          </cell>
          <cell r="BD187">
            <v>9.4004394736498995E-7</v>
          </cell>
          <cell r="BE187">
            <v>9.4004394736498995E-7</v>
          </cell>
          <cell r="BF187">
            <v>9.4004394736498995E-7</v>
          </cell>
          <cell r="BG187">
            <v>9.4004394736498995E-7</v>
          </cell>
          <cell r="BH187">
            <v>9.4004394736498995E-7</v>
          </cell>
          <cell r="BI187">
            <v>9.4004394736498995E-7</v>
          </cell>
          <cell r="BJ187">
            <v>9.4004394736498995E-7</v>
          </cell>
          <cell r="BK187">
            <v>9.4004394736498995E-7</v>
          </cell>
          <cell r="BL187">
            <v>9.4004394736498995E-7</v>
          </cell>
          <cell r="BM187">
            <v>9.4004394736498995E-7</v>
          </cell>
          <cell r="BN187">
            <v>9.4004394736498995E-7</v>
          </cell>
          <cell r="BO187">
            <v>9.4004394736498995E-7</v>
          </cell>
        </row>
        <row r="188">
          <cell r="G188">
            <v>1.505882293425833E-6</v>
          </cell>
          <cell r="H188">
            <v>1.505882304312505E-6</v>
          </cell>
          <cell r="I188">
            <v>1.505882287269789E-6</v>
          </cell>
          <cell r="J188">
            <v>1.505882347512477E-6</v>
          </cell>
          <cell r="K188">
            <v>1.5058822978113281E-6</v>
          </cell>
          <cell r="L188">
            <v>1.5058825435120371E-6</v>
          </cell>
          <cell r="M188">
            <v>1.5058825939388451E-6</v>
          </cell>
          <cell r="N188">
            <v>1.5058820718075319E-6</v>
          </cell>
          <cell r="O188">
            <v>1.5058822146643711E-6</v>
          </cell>
          <cell r="P188">
            <v>1.505882142898489E-6</v>
          </cell>
          <cell r="Q188">
            <v>1.505882492783975E-6</v>
          </cell>
          <cell r="R188">
            <v>1.505882066548716E-6</v>
          </cell>
          <cell r="S188">
            <v>1.505881406329234E-6</v>
          </cell>
          <cell r="T188">
            <v>1.505882156405485E-6</v>
          </cell>
          <cell r="U188">
            <v>1.505882156405485E-6</v>
          </cell>
          <cell r="V188">
            <v>1.505882156405485E-6</v>
          </cell>
          <cell r="W188">
            <v>1.5058815924993221E-6</v>
          </cell>
          <cell r="X188">
            <v>1.5058812759227751E-6</v>
          </cell>
          <cell r="Y188">
            <v>1.5058812759227751E-6</v>
          </cell>
          <cell r="Z188">
            <v>1.5058820764192871E-6</v>
          </cell>
          <cell r="AA188">
            <v>1.5058889821632299E-6</v>
          </cell>
          <cell r="AB188">
            <v>1.5058889821632299E-6</v>
          </cell>
          <cell r="AC188">
            <v>1.5058889821632299E-6</v>
          </cell>
          <cell r="AD188">
            <v>1.5058889821632299E-6</v>
          </cell>
          <cell r="AE188">
            <v>1.5058889821632299E-6</v>
          </cell>
          <cell r="AF188">
            <v>1.5058889821632299E-6</v>
          </cell>
          <cell r="AG188">
            <v>1.5058889821632299E-6</v>
          </cell>
          <cell r="AH188">
            <v>1.5058889821632299E-6</v>
          </cell>
          <cell r="AI188">
            <v>1.5058889821632299E-6</v>
          </cell>
          <cell r="AJ188">
            <v>1.5058889821632299E-6</v>
          </cell>
          <cell r="AK188">
            <v>1.5058889821632299E-6</v>
          </cell>
          <cell r="AL188">
            <v>1.5058889821632299E-6</v>
          </cell>
          <cell r="AM188">
            <v>1.5058889821632299E-6</v>
          </cell>
          <cell r="AN188">
            <v>1.5058889821632299E-6</v>
          </cell>
          <cell r="AO188">
            <v>1.5058889821632299E-6</v>
          </cell>
          <cell r="AP188">
            <v>1.5058889821632299E-6</v>
          </cell>
          <cell r="AQ188">
            <v>1.5058889821632299E-6</v>
          </cell>
          <cell r="AR188">
            <v>1.5058889821632299E-6</v>
          </cell>
          <cell r="AS188">
            <v>1.5058889821632299E-6</v>
          </cell>
          <cell r="AT188">
            <v>1.5058889821632299E-6</v>
          </cell>
          <cell r="AU188">
            <v>1.5058889821632299E-6</v>
          </cell>
          <cell r="AV188">
            <v>1.5058889821632299E-6</v>
          </cell>
          <cell r="AW188">
            <v>1.5058889821632299E-6</v>
          </cell>
          <cell r="AX188">
            <v>1.5058889821632299E-6</v>
          </cell>
          <cell r="AY188">
            <v>1.5058889821632299E-6</v>
          </cell>
          <cell r="AZ188">
            <v>1.5058889821632299E-6</v>
          </cell>
          <cell r="BA188">
            <v>1.5058889821632299E-6</v>
          </cell>
          <cell r="BB188">
            <v>1.5058889821632299E-6</v>
          </cell>
          <cell r="BC188">
            <v>1.5058889821632299E-6</v>
          </cell>
          <cell r="BD188">
            <v>1.5058889821632299E-6</v>
          </cell>
          <cell r="BE188">
            <v>1.5058889821632299E-6</v>
          </cell>
          <cell r="BF188">
            <v>1.5058889821632299E-6</v>
          </cell>
          <cell r="BG188">
            <v>1.5058889821632299E-6</v>
          </cell>
          <cell r="BH188">
            <v>1.5058889821632299E-6</v>
          </cell>
          <cell r="BI188">
            <v>1.5058889821632299E-6</v>
          </cell>
          <cell r="BJ188">
            <v>1.5058889821632299E-6</v>
          </cell>
          <cell r="BK188">
            <v>1.5058889821632299E-6</v>
          </cell>
          <cell r="BL188">
            <v>1.5058889821632299E-6</v>
          </cell>
          <cell r="BM188">
            <v>1.5058889821632299E-6</v>
          </cell>
          <cell r="BN188">
            <v>1.5058889821632299E-6</v>
          </cell>
          <cell r="BO188">
            <v>1.5058889821632299E-6</v>
          </cell>
        </row>
        <row r="189">
          <cell r="G189">
            <v>5.7703405885162051E-7</v>
          </cell>
          <cell r="H189">
            <v>5.770348352994741E-7</v>
          </cell>
          <cell r="I189">
            <v>5.7142939904497212E-7</v>
          </cell>
          <cell r="J189">
            <v>5.7142816417783874E-7</v>
          </cell>
          <cell r="K189">
            <v>5.7142857142857149E-7</v>
          </cell>
          <cell r="L189">
            <v>5.7142877133767288E-7</v>
          </cell>
          <cell r="M189">
            <v>5.7142857142857149E-7</v>
          </cell>
          <cell r="N189">
            <v>5.7142857142857149E-7</v>
          </cell>
          <cell r="O189">
            <v>5.7142837570583738E-7</v>
          </cell>
          <cell r="P189">
            <v>5.714289578994996E-7</v>
          </cell>
          <cell r="Q189">
            <v>5.7142819518946321E-7</v>
          </cell>
          <cell r="R189">
            <v>5.7142857142857149E-7</v>
          </cell>
          <cell r="S189">
            <v>5.7142876112510918E-7</v>
          </cell>
          <cell r="T189">
            <v>5.7142875688699868E-7</v>
          </cell>
          <cell r="U189">
            <v>5.7142893136113098E-7</v>
          </cell>
          <cell r="V189">
            <v>5.7142911645705326E-7</v>
          </cell>
          <cell r="W189">
            <v>5.7142839521401264E-7</v>
          </cell>
          <cell r="X189">
            <v>5.7142909559674289E-7</v>
          </cell>
          <cell r="Y189">
            <v>5.7142857142857149E-7</v>
          </cell>
          <cell r="Z189">
            <v>5.7142908502391088E-7</v>
          </cell>
          <cell r="AA189">
            <v>5.71429177469772E-7</v>
          </cell>
          <cell r="AB189">
            <v>5.71429177469772E-7</v>
          </cell>
          <cell r="AC189">
            <v>5.71429177469772E-7</v>
          </cell>
          <cell r="AD189">
            <v>5.71429177469772E-7</v>
          </cell>
          <cell r="AE189">
            <v>5.71429177469772E-7</v>
          </cell>
          <cell r="AF189">
            <v>5.71429177469772E-7</v>
          </cell>
          <cell r="AG189">
            <v>5.71429177469772E-7</v>
          </cell>
          <cell r="AH189">
            <v>5.71429177469772E-7</v>
          </cell>
          <cell r="AI189">
            <v>5.71429177469772E-7</v>
          </cell>
          <cell r="AJ189">
            <v>5.71429177469772E-7</v>
          </cell>
          <cell r="AK189">
            <v>5.71429177469772E-7</v>
          </cell>
          <cell r="AL189">
            <v>5.71429177469772E-7</v>
          </cell>
          <cell r="AM189">
            <v>5.71429177469772E-7</v>
          </cell>
          <cell r="AN189">
            <v>5.71429177469772E-7</v>
          </cell>
          <cell r="AO189">
            <v>5.71429177469772E-7</v>
          </cell>
          <cell r="AP189">
            <v>5.71429177469772E-7</v>
          </cell>
          <cell r="AQ189">
            <v>5.71429177469772E-7</v>
          </cell>
          <cell r="AR189">
            <v>5.71429177469772E-7</v>
          </cell>
          <cell r="AS189">
            <v>5.71429177469772E-7</v>
          </cell>
          <cell r="AT189">
            <v>5.71429177469772E-7</v>
          </cell>
          <cell r="AU189">
            <v>5.71429177469772E-7</v>
          </cell>
          <cell r="AV189">
            <v>5.71429177469772E-7</v>
          </cell>
          <cell r="AW189">
            <v>5.71429177469772E-7</v>
          </cell>
          <cell r="AX189">
            <v>5.71429177469772E-7</v>
          </cell>
          <cell r="AY189">
            <v>5.71429177469772E-7</v>
          </cell>
          <cell r="AZ189">
            <v>5.71429177469772E-7</v>
          </cell>
          <cell r="BA189">
            <v>5.71429177469772E-7</v>
          </cell>
          <cell r="BB189">
            <v>5.71429177469772E-7</v>
          </cell>
          <cell r="BC189">
            <v>5.71429177469772E-7</v>
          </cell>
          <cell r="BD189">
            <v>5.71429177469772E-7</v>
          </cell>
          <cell r="BE189">
            <v>5.71429177469772E-7</v>
          </cell>
          <cell r="BF189">
            <v>5.71429177469772E-7</v>
          </cell>
          <cell r="BG189">
            <v>5.71429177469772E-7</v>
          </cell>
          <cell r="BH189">
            <v>5.71429177469772E-7</v>
          </cell>
          <cell r="BI189">
            <v>5.71429177469772E-7</v>
          </cell>
          <cell r="BJ189">
            <v>5.71429177469772E-7</v>
          </cell>
          <cell r="BK189">
            <v>5.71429177469772E-7</v>
          </cell>
          <cell r="BL189">
            <v>5.71429177469772E-7</v>
          </cell>
          <cell r="BM189">
            <v>5.71429177469772E-7</v>
          </cell>
          <cell r="BN189">
            <v>5.71429177469772E-7</v>
          </cell>
          <cell r="BO189">
            <v>5.71429177469772E-7</v>
          </cell>
        </row>
        <row r="190"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</row>
        <row r="191">
          <cell r="G191">
            <v>1.9521633512024869E-6</v>
          </cell>
          <cell r="H191">
            <v>1.9521578034934709E-6</v>
          </cell>
          <cell r="I191">
            <v>1.8983931862906599E-6</v>
          </cell>
          <cell r="J191">
            <v>1.8983923089715179E-6</v>
          </cell>
          <cell r="K191">
            <v>1.8983966657275909E-6</v>
          </cell>
          <cell r="L191">
            <v>1.898386351171355E-6</v>
          </cell>
          <cell r="M191">
            <v>1.8983927090648671E-6</v>
          </cell>
          <cell r="N191">
            <v>1.898387714131717E-6</v>
          </cell>
          <cell r="O191">
            <v>1.898393669485958E-6</v>
          </cell>
          <cell r="P191">
            <v>1.898392256545291E-6</v>
          </cell>
          <cell r="Q191">
            <v>1.8983867141162521E-6</v>
          </cell>
          <cell r="R191">
            <v>1.898383599185813E-6</v>
          </cell>
          <cell r="S191">
            <v>1.8983988426953361E-6</v>
          </cell>
          <cell r="T191">
            <v>1.8983875425774929E-6</v>
          </cell>
          <cell r="U191">
            <v>1.898391608662176E-6</v>
          </cell>
          <cell r="V191">
            <v>1.898387032321112E-6</v>
          </cell>
          <cell r="W191">
            <v>1.898386421085518E-6</v>
          </cell>
          <cell r="X191">
            <v>1.8983887130801691E-6</v>
          </cell>
          <cell r="Y191">
            <v>1.898393715765187E-6</v>
          </cell>
          <cell r="Z191">
            <v>1.8984020800282039E-6</v>
          </cell>
          <cell r="AA191">
            <v>1.898406345421589E-6</v>
          </cell>
          <cell r="AB191">
            <v>1.898406345421589E-6</v>
          </cell>
          <cell r="AC191">
            <v>1.898406345421589E-6</v>
          </cell>
          <cell r="AD191">
            <v>1.898406345421589E-6</v>
          </cell>
          <cell r="AE191">
            <v>1.898406345421589E-6</v>
          </cell>
          <cell r="AF191">
            <v>1.898406345421589E-6</v>
          </cell>
          <cell r="AG191">
            <v>1.898406345421589E-6</v>
          </cell>
          <cell r="AH191">
            <v>1.898406345421589E-6</v>
          </cell>
          <cell r="AI191">
            <v>1.898406345421589E-6</v>
          </cell>
          <cell r="AJ191">
            <v>1.898406345421589E-6</v>
          </cell>
          <cell r="AK191">
            <v>1.898406345421589E-6</v>
          </cell>
          <cell r="AL191">
            <v>1.898406345421589E-6</v>
          </cell>
          <cell r="AM191">
            <v>1.898406345421589E-6</v>
          </cell>
          <cell r="AN191">
            <v>1.898406345421589E-6</v>
          </cell>
          <cell r="AO191">
            <v>1.898406345421589E-6</v>
          </cell>
          <cell r="AP191">
            <v>1.898406345421589E-6</v>
          </cell>
          <cell r="AQ191">
            <v>1.898406345421589E-6</v>
          </cell>
          <cell r="AR191">
            <v>1.898406345421589E-6</v>
          </cell>
          <cell r="AS191">
            <v>1.898406345421589E-6</v>
          </cell>
          <cell r="AT191">
            <v>1.898406345421589E-6</v>
          </cell>
          <cell r="AU191">
            <v>1.898406345421589E-6</v>
          </cell>
          <cell r="AV191">
            <v>1.898406345421589E-6</v>
          </cell>
          <cell r="AW191">
            <v>1.898406345421589E-6</v>
          </cell>
          <cell r="AX191">
            <v>1.898406345421589E-6</v>
          </cell>
          <cell r="AY191">
            <v>1.898406345421589E-6</v>
          </cell>
          <cell r="AZ191">
            <v>1.898406345421589E-6</v>
          </cell>
          <cell r="BA191">
            <v>1.898406345421589E-6</v>
          </cell>
          <cell r="BB191">
            <v>1.898406345421589E-6</v>
          </cell>
          <cell r="BC191">
            <v>1.898406345421589E-6</v>
          </cell>
          <cell r="BD191">
            <v>1.898406345421589E-6</v>
          </cell>
          <cell r="BE191">
            <v>1.898406345421589E-6</v>
          </cell>
          <cell r="BF191">
            <v>1.898406345421589E-6</v>
          </cell>
          <cell r="BG191">
            <v>1.898406345421589E-6</v>
          </cell>
          <cell r="BH191">
            <v>1.898406345421589E-6</v>
          </cell>
          <cell r="BI191">
            <v>1.898406345421589E-6</v>
          </cell>
          <cell r="BJ191">
            <v>1.898406345421589E-6</v>
          </cell>
          <cell r="BK191">
            <v>1.898406345421589E-6</v>
          </cell>
          <cell r="BL191">
            <v>1.898406345421589E-6</v>
          </cell>
          <cell r="BM191">
            <v>1.898406345421589E-6</v>
          </cell>
          <cell r="BN191">
            <v>1.898406345421589E-6</v>
          </cell>
          <cell r="BO191">
            <v>1.898406345421589E-6</v>
          </cell>
        </row>
        <row r="192">
          <cell r="G192">
            <v>4.0226294820717126E-6</v>
          </cell>
          <cell r="H192">
            <v>4.0226294820717126E-6</v>
          </cell>
          <cell r="I192">
            <v>4.0226294820717126E-6</v>
          </cell>
          <cell r="J192">
            <v>4.0298383243684776E-6</v>
          </cell>
          <cell r="K192">
            <v>4.0298662228765281E-6</v>
          </cell>
          <cell r="L192">
            <v>4.0298662228765281E-6</v>
          </cell>
          <cell r="M192">
            <v>4.0298662228765281E-6</v>
          </cell>
          <cell r="N192">
            <v>4.0298662228765281E-6</v>
          </cell>
          <cell r="O192">
            <v>4.0298662228765281E-6</v>
          </cell>
          <cell r="P192">
            <v>4.0298662228765281E-6</v>
          </cell>
          <cell r="Q192">
            <v>4.0298662228765281E-6</v>
          </cell>
          <cell r="R192">
            <v>4.0298662228765281E-6</v>
          </cell>
          <cell r="S192">
            <v>4.0298662228765281E-6</v>
          </cell>
          <cell r="T192">
            <v>4.0298662228765281E-6</v>
          </cell>
          <cell r="U192">
            <v>4.0298662228765281E-6</v>
          </cell>
          <cell r="V192">
            <v>4.0298662228765281E-6</v>
          </cell>
          <cell r="W192">
            <v>4.0298662228765281E-6</v>
          </cell>
          <cell r="X192">
            <v>4.0298662228765281E-6</v>
          </cell>
          <cell r="Y192">
            <v>4.0298662228765281E-6</v>
          </cell>
          <cell r="Z192">
            <v>4.0298662228765281E-6</v>
          </cell>
          <cell r="AA192">
            <v>4.0298662228765281E-6</v>
          </cell>
          <cell r="AB192">
            <v>4.0298662228765281E-6</v>
          </cell>
          <cell r="AC192">
            <v>4.0298662228765281E-6</v>
          </cell>
          <cell r="AD192">
            <v>4.0298662228765281E-6</v>
          </cell>
          <cell r="AE192">
            <v>4.0298662228765281E-6</v>
          </cell>
          <cell r="AF192">
            <v>4.0298662228765281E-6</v>
          </cell>
          <cell r="AG192">
            <v>4.0298662228765281E-6</v>
          </cell>
          <cell r="AH192">
            <v>4.0298662228765281E-6</v>
          </cell>
          <cell r="AI192">
            <v>4.0298662228765281E-6</v>
          </cell>
          <cell r="AJ192">
            <v>4.0298662228765281E-6</v>
          </cell>
          <cell r="AK192">
            <v>4.0298662228765281E-6</v>
          </cell>
          <cell r="AL192">
            <v>4.0298662228765281E-6</v>
          </cell>
          <cell r="AM192">
            <v>4.0298662228765281E-6</v>
          </cell>
          <cell r="AN192">
            <v>4.0298662228765281E-6</v>
          </cell>
          <cell r="AO192">
            <v>4.0298662228765281E-6</v>
          </cell>
          <cell r="AP192">
            <v>4.0298662228765281E-6</v>
          </cell>
          <cell r="AQ192">
            <v>4.0298662228765281E-6</v>
          </cell>
          <cell r="AR192">
            <v>4.0298662228765281E-6</v>
          </cell>
          <cell r="AS192">
            <v>4.0298662228765281E-6</v>
          </cell>
          <cell r="AT192">
            <v>4.0298662228765281E-6</v>
          </cell>
          <cell r="AU192">
            <v>4.0298662228765281E-6</v>
          </cell>
          <cell r="AV192">
            <v>4.0298662228765281E-6</v>
          </cell>
          <cell r="AW192">
            <v>4.0298662228765281E-6</v>
          </cell>
          <cell r="AX192">
            <v>4.0298662228765281E-6</v>
          </cell>
          <cell r="AY192">
            <v>4.0298662228765281E-6</v>
          </cell>
          <cell r="AZ192">
            <v>4.0298662228765281E-6</v>
          </cell>
          <cell r="BA192">
            <v>4.0298662228765281E-6</v>
          </cell>
          <cell r="BB192">
            <v>4.0298662228765281E-6</v>
          </cell>
          <cell r="BC192">
            <v>4.0298662228765281E-6</v>
          </cell>
          <cell r="BD192">
            <v>4.0298662228765281E-6</v>
          </cell>
          <cell r="BE192">
            <v>4.0298662228765281E-6</v>
          </cell>
          <cell r="BF192">
            <v>4.0298662228765281E-6</v>
          </cell>
          <cell r="BG192">
            <v>4.0298662228765281E-6</v>
          </cell>
          <cell r="BH192">
            <v>4.0298662228765281E-6</v>
          </cell>
          <cell r="BI192">
            <v>4.0298662228765281E-6</v>
          </cell>
          <cell r="BJ192">
            <v>4.0298662228765281E-6</v>
          </cell>
          <cell r="BK192">
            <v>4.0298662228765281E-6</v>
          </cell>
          <cell r="BL192">
            <v>4.0298662228765281E-6</v>
          </cell>
          <cell r="BM192">
            <v>4.0298662228765281E-6</v>
          </cell>
          <cell r="BN192">
            <v>4.0298662228765281E-6</v>
          </cell>
          <cell r="BO192">
            <v>4.0298662228765281E-6</v>
          </cell>
        </row>
        <row r="193">
          <cell r="G193">
            <v>8.6864964613033235E-7</v>
          </cell>
          <cell r="H193">
            <v>8.6636912421862735E-7</v>
          </cell>
          <cell r="I193">
            <v>8.6636912703112222E-7</v>
          </cell>
          <cell r="J193">
            <v>8.6387434554973826E-7</v>
          </cell>
          <cell r="K193">
            <v>8.6364825835014342E-7</v>
          </cell>
          <cell r="L193">
            <v>8.6251962620743449E-7</v>
          </cell>
          <cell r="M193">
            <v>8.625195986441362E-7</v>
          </cell>
          <cell r="N193">
            <v>8.6591444432511414E-7</v>
          </cell>
          <cell r="O193">
            <v>8.5915128630747526E-7</v>
          </cell>
          <cell r="P193">
            <v>8.5870411694394287E-7</v>
          </cell>
          <cell r="Q193">
            <v>8.5669782066027099E-7</v>
          </cell>
          <cell r="R193">
            <v>8.5580910447161907E-7</v>
          </cell>
          <cell r="S193">
            <v>8.5183270968083418E-7</v>
          </cell>
          <cell r="T193">
            <v>8.4942082806904052E-7</v>
          </cell>
          <cell r="U193">
            <v>8.4615386301208915E-7</v>
          </cell>
          <cell r="V193">
            <v>8.409786043214603E-7</v>
          </cell>
          <cell r="W193">
            <v>8.4550360942946101E-7</v>
          </cell>
          <cell r="X193">
            <v>8.4140762341343829E-7</v>
          </cell>
          <cell r="Y193">
            <v>8.4377395735710395E-7</v>
          </cell>
          <cell r="Z193">
            <v>8.401213317232594E-7</v>
          </cell>
          <cell r="AA193">
            <v>8.4012266021346199E-7</v>
          </cell>
          <cell r="AB193">
            <v>8.4012266021346199E-7</v>
          </cell>
          <cell r="AC193">
            <v>8.4012266021346199E-7</v>
          </cell>
          <cell r="AD193">
            <v>8.4012266021346199E-7</v>
          </cell>
          <cell r="AE193">
            <v>8.4012266021346199E-7</v>
          </cell>
          <cell r="AF193">
            <v>8.4012266021346199E-7</v>
          </cell>
          <cell r="AG193">
            <v>8.4012266021346199E-7</v>
          </cell>
          <cell r="AH193">
            <v>8.4012266021346199E-7</v>
          </cell>
          <cell r="AI193">
            <v>8.4012266021346199E-7</v>
          </cell>
          <cell r="AJ193">
            <v>8.4012266021346199E-7</v>
          </cell>
          <cell r="AK193">
            <v>8.4012266021346199E-7</v>
          </cell>
          <cell r="AL193">
            <v>8.4012266021346199E-7</v>
          </cell>
          <cell r="AM193">
            <v>8.4012266021346199E-7</v>
          </cell>
          <cell r="AN193">
            <v>8.4012266021346199E-7</v>
          </cell>
          <cell r="AO193">
            <v>8.4012266021346199E-7</v>
          </cell>
          <cell r="AP193">
            <v>8.4012266021346199E-7</v>
          </cell>
          <cell r="AQ193">
            <v>8.4012266021346199E-7</v>
          </cell>
          <cell r="AR193">
            <v>8.4012266021346199E-7</v>
          </cell>
          <cell r="AS193">
            <v>8.4012266021346199E-7</v>
          </cell>
          <cell r="AT193">
            <v>8.4012266021346199E-7</v>
          </cell>
          <cell r="AU193">
            <v>8.4012266021346199E-7</v>
          </cell>
          <cell r="AV193">
            <v>8.4012266021346199E-7</v>
          </cell>
          <cell r="AW193">
            <v>8.4012266021346199E-7</v>
          </cell>
          <cell r="AX193">
            <v>8.4012266021346199E-7</v>
          </cell>
          <cell r="AY193">
            <v>8.4012266021346199E-7</v>
          </cell>
          <cell r="AZ193">
            <v>8.4012266021346199E-7</v>
          </cell>
          <cell r="BA193">
            <v>8.4012266021346199E-7</v>
          </cell>
          <cell r="BB193">
            <v>8.4012266021346199E-7</v>
          </cell>
          <cell r="BC193">
            <v>8.4012266021346199E-7</v>
          </cell>
          <cell r="BD193">
            <v>8.4012266021346199E-7</v>
          </cell>
          <cell r="BE193">
            <v>8.4012266021346199E-7</v>
          </cell>
          <cell r="BF193">
            <v>8.4012266021346199E-7</v>
          </cell>
          <cell r="BG193">
            <v>8.4012266021346199E-7</v>
          </cell>
          <cell r="BH193">
            <v>8.4012266021346199E-7</v>
          </cell>
          <cell r="BI193">
            <v>8.4012266021346199E-7</v>
          </cell>
          <cell r="BJ193">
            <v>8.4012266021346199E-7</v>
          </cell>
          <cell r="BK193">
            <v>8.4012266021346199E-7</v>
          </cell>
          <cell r="BL193">
            <v>8.4012266021346199E-7</v>
          </cell>
          <cell r="BM193">
            <v>8.4012266021346199E-7</v>
          </cell>
          <cell r="BN193">
            <v>8.4012266021346199E-7</v>
          </cell>
          <cell r="BO193">
            <v>8.4012266021346199E-7</v>
          </cell>
        </row>
        <row r="194">
          <cell r="G194">
            <v>5.9546925324097432E-7</v>
          </cell>
          <cell r="H194">
            <v>5.9331175675543012E-7</v>
          </cell>
          <cell r="I194">
            <v>5.9331175460486715E-7</v>
          </cell>
          <cell r="J194">
            <v>5.9331175862550999E-7</v>
          </cell>
          <cell r="K194">
            <v>5.9331175588531965E-7</v>
          </cell>
          <cell r="L194">
            <v>5.9331175947375652E-7</v>
          </cell>
          <cell r="M194">
            <v>5.933118510316838E-7</v>
          </cell>
          <cell r="N194">
            <v>5.9331194290372498E-7</v>
          </cell>
          <cell r="O194">
            <v>5.9331187981131484E-7</v>
          </cell>
          <cell r="P194">
            <v>5.9331186291080176E-7</v>
          </cell>
          <cell r="Q194">
            <v>5.9331194187259091E-7</v>
          </cell>
          <cell r="R194">
            <v>5.9331179799381954E-7</v>
          </cell>
          <cell r="S194">
            <v>5.9331189095785941E-7</v>
          </cell>
          <cell r="T194">
            <v>5.9331161703418625E-7</v>
          </cell>
          <cell r="U194">
            <v>5.932740789591351E-7</v>
          </cell>
          <cell r="V194">
            <v>5.9327398031517265E-7</v>
          </cell>
          <cell r="W194">
            <v>5.9327417305870628E-7</v>
          </cell>
          <cell r="X194">
            <v>5.9327412436269363E-7</v>
          </cell>
          <cell r="Y194">
            <v>5.9327417814868417E-7</v>
          </cell>
          <cell r="Z194">
            <v>5.9327380316377959E-7</v>
          </cell>
          <cell r="AA194">
            <v>5.9327415360529985E-7</v>
          </cell>
          <cell r="AB194">
            <v>5.9327415360529985E-7</v>
          </cell>
          <cell r="AC194">
            <v>5.9327415360529985E-7</v>
          </cell>
          <cell r="AD194">
            <v>5.9327415360529985E-7</v>
          </cell>
          <cell r="AE194">
            <v>5.9327415360529985E-7</v>
          </cell>
          <cell r="AF194">
            <v>5.9327415360529985E-7</v>
          </cell>
          <cell r="AG194">
            <v>5.9327415360529985E-7</v>
          </cell>
          <cell r="AH194">
            <v>5.9327415360529985E-7</v>
          </cell>
          <cell r="AI194">
            <v>5.9327415360529985E-7</v>
          </cell>
          <cell r="AJ194">
            <v>5.9327415360529985E-7</v>
          </cell>
          <cell r="AK194">
            <v>5.9327415360529985E-7</v>
          </cell>
          <cell r="AL194">
            <v>5.9327415360529985E-7</v>
          </cell>
          <cell r="AM194">
            <v>5.9327415360529985E-7</v>
          </cell>
          <cell r="AN194">
            <v>5.9327415360529985E-7</v>
          </cell>
          <cell r="AO194">
            <v>5.9327415360529985E-7</v>
          </cell>
          <cell r="AP194">
            <v>5.9327415360529985E-7</v>
          </cell>
          <cell r="AQ194">
            <v>5.9327415360529985E-7</v>
          </cell>
          <cell r="AR194">
            <v>5.9327415360529985E-7</v>
          </cell>
          <cell r="AS194">
            <v>5.9327415360529985E-7</v>
          </cell>
          <cell r="AT194">
            <v>5.9327415360529985E-7</v>
          </cell>
          <cell r="AU194">
            <v>5.9327415360529985E-7</v>
          </cell>
          <cell r="AV194">
            <v>5.9327415360529985E-7</v>
          </cell>
          <cell r="AW194">
            <v>5.9327415360529985E-7</v>
          </cell>
          <cell r="AX194">
            <v>5.9327415360529985E-7</v>
          </cell>
          <cell r="AY194">
            <v>5.9327415360529985E-7</v>
          </cell>
          <cell r="AZ194">
            <v>5.9327415360529985E-7</v>
          </cell>
          <cell r="BA194">
            <v>5.9327415360529985E-7</v>
          </cell>
          <cell r="BB194">
            <v>5.9327415360529985E-7</v>
          </cell>
          <cell r="BC194">
            <v>5.9327415360529985E-7</v>
          </cell>
          <cell r="BD194">
            <v>5.9327415360529985E-7</v>
          </cell>
          <cell r="BE194">
            <v>5.9327415360529985E-7</v>
          </cell>
          <cell r="BF194">
            <v>5.9327415360529985E-7</v>
          </cell>
          <cell r="BG194">
            <v>5.9327415360529985E-7</v>
          </cell>
          <cell r="BH194">
            <v>5.9327415360529985E-7</v>
          </cell>
          <cell r="BI194">
            <v>5.9327415360529985E-7</v>
          </cell>
          <cell r="BJ194">
            <v>5.9327415360529985E-7</v>
          </cell>
          <cell r="BK194">
            <v>5.9327415360529985E-7</v>
          </cell>
          <cell r="BL194">
            <v>5.9327415360529985E-7</v>
          </cell>
          <cell r="BM194">
            <v>5.9327415360529985E-7</v>
          </cell>
          <cell r="BN194">
            <v>5.9327415360529985E-7</v>
          </cell>
          <cell r="BO194">
            <v>5.9327415360529985E-7</v>
          </cell>
        </row>
        <row r="195">
          <cell r="G195">
            <v>4.2670882976259764E-6</v>
          </cell>
          <cell r="H195">
            <v>4.2670879463157564E-6</v>
          </cell>
          <cell r="I195">
            <v>4.2670887489033433E-6</v>
          </cell>
          <cell r="J195">
            <v>4.2670879974365334E-6</v>
          </cell>
          <cell r="K195">
            <v>4.2670881526290587E-6</v>
          </cell>
          <cell r="L195">
            <v>4.2670873237001804E-6</v>
          </cell>
          <cell r="M195">
            <v>4.2670866006273497E-6</v>
          </cell>
          <cell r="N195">
            <v>4.2670940038238536E-6</v>
          </cell>
          <cell r="O195">
            <v>4.2670853931108063E-6</v>
          </cell>
          <cell r="P195">
            <v>4.2670956212976553E-6</v>
          </cell>
          <cell r="Q195">
            <v>4.2670914449775371E-6</v>
          </cell>
          <cell r="R195">
            <v>4.2670858015201517E-6</v>
          </cell>
          <cell r="S195">
            <v>4.2670916932833516E-6</v>
          </cell>
          <cell r="T195">
            <v>4.2670916932833516E-6</v>
          </cell>
          <cell r="U195">
            <v>4.2670916932833516E-6</v>
          </cell>
          <cell r="V195">
            <v>4.2670916932833516E-6</v>
          </cell>
          <cell r="W195">
            <v>4.2671182037880687E-6</v>
          </cell>
          <cell r="X195">
            <v>4.2671011523298466E-6</v>
          </cell>
          <cell r="Y195">
            <v>4.2670992466087789E-6</v>
          </cell>
          <cell r="Z195">
            <v>4.2672801398082167E-6</v>
          </cell>
          <cell r="AA195">
            <v>4.2672801398082167E-6</v>
          </cell>
          <cell r="AB195">
            <v>4.2672801398082167E-6</v>
          </cell>
          <cell r="AC195">
            <v>4.2672801398082167E-6</v>
          </cell>
          <cell r="AD195">
            <v>4.2672801398082167E-6</v>
          </cell>
          <cell r="AE195">
            <v>4.2672801398082167E-6</v>
          </cell>
          <cell r="AF195">
            <v>4.2672801398082167E-6</v>
          </cell>
          <cell r="AG195">
            <v>4.2672801398082167E-6</v>
          </cell>
          <cell r="AH195">
            <v>4.2672801398082167E-6</v>
          </cell>
          <cell r="AI195">
            <v>4.2672801398082167E-6</v>
          </cell>
          <cell r="AJ195">
            <v>4.2672801398082167E-6</v>
          </cell>
          <cell r="AK195">
            <v>4.2672801398082167E-6</v>
          </cell>
          <cell r="AL195">
            <v>4.2672801398082167E-6</v>
          </cell>
          <cell r="AM195">
            <v>4.2672801398082167E-6</v>
          </cell>
          <cell r="AN195">
            <v>4.2672801398082167E-6</v>
          </cell>
          <cell r="AO195">
            <v>4.2672801398082167E-6</v>
          </cell>
          <cell r="AP195">
            <v>4.2672801398082167E-6</v>
          </cell>
          <cell r="AQ195">
            <v>4.2672801398082167E-6</v>
          </cell>
          <cell r="AR195">
            <v>4.2672801398082167E-6</v>
          </cell>
          <cell r="AS195">
            <v>4.2672801398082167E-6</v>
          </cell>
          <cell r="AT195">
            <v>4.2672801398082167E-6</v>
          </cell>
          <cell r="AU195">
            <v>4.2672801398082167E-6</v>
          </cell>
          <cell r="AV195">
            <v>4.2672801398082167E-6</v>
          </cell>
          <cell r="AW195">
            <v>4.2672801398082167E-6</v>
          </cell>
          <cell r="AX195">
            <v>4.2672801398082167E-6</v>
          </cell>
          <cell r="AY195">
            <v>4.2672801398082167E-6</v>
          </cell>
          <cell r="AZ195">
            <v>4.2672801398082167E-6</v>
          </cell>
          <cell r="BA195">
            <v>4.2672801398082167E-6</v>
          </cell>
          <cell r="BB195">
            <v>4.2672801398082167E-6</v>
          </cell>
          <cell r="BC195">
            <v>4.2672801398082167E-6</v>
          </cell>
          <cell r="BD195">
            <v>4.2672801398082167E-6</v>
          </cell>
          <cell r="BE195">
            <v>4.2672801398082167E-6</v>
          </cell>
          <cell r="BF195">
            <v>4.2672801398082167E-6</v>
          </cell>
          <cell r="BG195">
            <v>4.2672801398082167E-6</v>
          </cell>
          <cell r="BH195">
            <v>4.2672801398082167E-6</v>
          </cell>
          <cell r="BI195">
            <v>4.2672801398082167E-6</v>
          </cell>
          <cell r="BJ195">
            <v>4.2672801398082167E-6</v>
          </cell>
          <cell r="BK195">
            <v>4.2672801398082167E-6</v>
          </cell>
          <cell r="BL195">
            <v>4.2672801398082167E-6</v>
          </cell>
          <cell r="BM195">
            <v>4.2672801398082167E-6</v>
          </cell>
          <cell r="BN195">
            <v>4.2672801398082167E-6</v>
          </cell>
          <cell r="BO195">
            <v>4.2672801398082167E-6</v>
          </cell>
        </row>
        <row r="196">
          <cell r="G196">
            <v>5.5432372505543243E-10</v>
          </cell>
          <cell r="H196">
            <v>5.5432372505543243E-10</v>
          </cell>
          <cell r="I196">
            <v>5.5432372505543243E-10</v>
          </cell>
          <cell r="J196">
            <v>5.5432372505543243E-10</v>
          </cell>
          <cell r="K196">
            <v>5.5432372505543243E-10</v>
          </cell>
          <cell r="L196">
            <v>5.5432372505543243E-10</v>
          </cell>
          <cell r="M196">
            <v>5.5432372505543243E-10</v>
          </cell>
          <cell r="N196">
            <v>5.5432372505543243E-10</v>
          </cell>
          <cell r="O196">
            <v>5.5432372505543243E-10</v>
          </cell>
          <cell r="P196">
            <v>5.5432372505543243E-10</v>
          </cell>
          <cell r="Q196">
            <v>5.5432372505543243E-10</v>
          </cell>
          <cell r="R196">
            <v>5.5432372505543243E-10</v>
          </cell>
          <cell r="S196">
            <v>5.5432372505543243E-10</v>
          </cell>
          <cell r="T196">
            <v>5.5432372505543243E-10</v>
          </cell>
          <cell r="U196">
            <v>5.5432372505543243E-10</v>
          </cell>
          <cell r="V196">
            <v>5.5432372505543243E-10</v>
          </cell>
          <cell r="W196">
            <v>5.5432372505543243E-10</v>
          </cell>
          <cell r="X196">
            <v>5.5432372505543243E-10</v>
          </cell>
          <cell r="Y196">
            <v>5.5432372505543243E-10</v>
          </cell>
          <cell r="Z196">
            <v>5.5432372505543243E-10</v>
          </cell>
          <cell r="AA196">
            <v>5.5432372505543243E-10</v>
          </cell>
          <cell r="AB196">
            <v>5.5432372505543243E-10</v>
          </cell>
          <cell r="AC196">
            <v>5.5432372505543243E-10</v>
          </cell>
          <cell r="AD196">
            <v>5.5432372505543243E-10</v>
          </cell>
          <cell r="AE196">
            <v>5.5432372505543243E-10</v>
          </cell>
          <cell r="AF196">
            <v>5.5432372505543243E-10</v>
          </cell>
          <cell r="AG196">
            <v>5.5432372505543243E-10</v>
          </cell>
          <cell r="AH196">
            <v>5.5432372505543243E-10</v>
          </cell>
          <cell r="AI196">
            <v>5.5432372505543243E-10</v>
          </cell>
          <cell r="AJ196">
            <v>5.5432372505543243E-10</v>
          </cell>
          <cell r="AK196">
            <v>5.5432372505543243E-10</v>
          </cell>
          <cell r="AL196">
            <v>5.5432372505543243E-10</v>
          </cell>
          <cell r="AM196">
            <v>5.5432372505543243E-10</v>
          </cell>
          <cell r="AN196">
            <v>5.5432372505543243E-10</v>
          </cell>
          <cell r="AO196">
            <v>5.5432372505543243E-10</v>
          </cell>
          <cell r="AP196">
            <v>5.5432372505543243E-10</v>
          </cell>
          <cell r="AQ196">
            <v>5.5432372505543243E-10</v>
          </cell>
          <cell r="AR196">
            <v>5.5432372505543243E-10</v>
          </cell>
          <cell r="AS196">
            <v>5.5432372505543243E-10</v>
          </cell>
          <cell r="AT196">
            <v>5.5432372505543243E-10</v>
          </cell>
          <cell r="AU196">
            <v>5.5432372505543243E-10</v>
          </cell>
          <cell r="AV196">
            <v>5.5432372505543243E-10</v>
          </cell>
          <cell r="AW196">
            <v>5.5432372505543243E-10</v>
          </cell>
          <cell r="AX196">
            <v>5.5432372505543243E-10</v>
          </cell>
          <cell r="AY196">
            <v>5.5432372505543243E-10</v>
          </cell>
          <cell r="AZ196">
            <v>5.5432372505543243E-10</v>
          </cell>
          <cell r="BA196">
            <v>5.5432372505543243E-10</v>
          </cell>
          <cell r="BB196">
            <v>5.5432372505543243E-10</v>
          </cell>
          <cell r="BC196">
            <v>5.5432372505543243E-10</v>
          </cell>
          <cell r="BD196">
            <v>5.5432372505543243E-10</v>
          </cell>
          <cell r="BE196">
            <v>5.5432372505543243E-10</v>
          </cell>
          <cell r="BF196">
            <v>5.5432372505543243E-10</v>
          </cell>
          <cell r="BG196">
            <v>5.5432372505543243E-10</v>
          </cell>
          <cell r="BH196">
            <v>5.5432372505543243E-10</v>
          </cell>
          <cell r="BI196">
            <v>5.5432372505543243E-10</v>
          </cell>
          <cell r="BJ196">
            <v>5.5432372505543243E-10</v>
          </cell>
          <cell r="BK196">
            <v>5.5432372505543243E-10</v>
          </cell>
          <cell r="BL196">
            <v>5.5432372505543243E-10</v>
          </cell>
          <cell r="BM196">
            <v>5.5432372505543243E-10</v>
          </cell>
          <cell r="BN196">
            <v>5.5432372505543243E-10</v>
          </cell>
          <cell r="BO196">
            <v>5.5432372505543243E-10</v>
          </cell>
        </row>
        <row r="197">
          <cell r="G197">
            <v>3.424657534246575E-6</v>
          </cell>
          <cell r="H197">
            <v>3.424657534246575E-6</v>
          </cell>
          <cell r="I197">
            <v>3.424657534246575E-6</v>
          </cell>
          <cell r="J197">
            <v>3.424657534246575E-6</v>
          </cell>
          <cell r="K197">
            <v>3.424657534246575E-6</v>
          </cell>
          <cell r="L197">
            <v>3.4246575017589211E-6</v>
          </cell>
          <cell r="M197">
            <v>3.4246574688951269E-6</v>
          </cell>
          <cell r="N197">
            <v>3.424657588338578E-6</v>
          </cell>
          <cell r="O197">
            <v>3.424657624905455E-6</v>
          </cell>
          <cell r="P197">
            <v>3.424657614553792E-6</v>
          </cell>
          <cell r="Q197">
            <v>3.4246575911061341E-6</v>
          </cell>
          <cell r="R197">
            <v>3.4246575532977478E-6</v>
          </cell>
          <cell r="S197">
            <v>3.4246574162763721E-6</v>
          </cell>
          <cell r="T197">
            <v>3.424657456122538E-6</v>
          </cell>
          <cell r="U197">
            <v>3.424657591816569E-6</v>
          </cell>
          <cell r="V197">
            <v>3.4246575526403042E-6</v>
          </cell>
          <cell r="W197">
            <v>3.4246576354149468E-6</v>
          </cell>
          <cell r="X197">
            <v>3.4246573311677849E-6</v>
          </cell>
          <cell r="Y197">
            <v>3.4246576063966441E-6</v>
          </cell>
          <cell r="Z197">
            <v>3.4246573102097029E-6</v>
          </cell>
          <cell r="AA197">
            <v>3.4246581720054789E-6</v>
          </cell>
          <cell r="AB197">
            <v>3.4246581720054789E-6</v>
          </cell>
          <cell r="AC197">
            <v>3.4246581720054789E-6</v>
          </cell>
          <cell r="AD197">
            <v>3.4246581720054789E-6</v>
          </cell>
          <cell r="AE197">
            <v>3.4246581720054789E-6</v>
          </cell>
          <cell r="AF197">
            <v>3.4246581720054789E-6</v>
          </cell>
          <cell r="AG197">
            <v>3.4246581720054789E-6</v>
          </cell>
          <cell r="AH197">
            <v>3.4246581720054789E-6</v>
          </cell>
          <cell r="AI197">
            <v>3.4246581720054789E-6</v>
          </cell>
          <cell r="AJ197">
            <v>3.4246581720054789E-6</v>
          </cell>
          <cell r="AK197">
            <v>3.4246581720054789E-6</v>
          </cell>
          <cell r="AL197">
            <v>3.4246581720054789E-6</v>
          </cell>
          <cell r="AM197">
            <v>3.4246581720054789E-6</v>
          </cell>
          <cell r="AN197">
            <v>3.4246581720054789E-6</v>
          </cell>
          <cell r="AO197">
            <v>3.4246581720054789E-6</v>
          </cell>
          <cell r="AP197">
            <v>3.4246581720054789E-6</v>
          </cell>
          <cell r="AQ197">
            <v>3.4246581720054789E-6</v>
          </cell>
          <cell r="AR197">
            <v>3.4246581720054789E-6</v>
          </cell>
          <cell r="AS197">
            <v>3.4246581720054789E-6</v>
          </cell>
          <cell r="AT197">
            <v>3.4246581720054789E-6</v>
          </cell>
          <cell r="AU197">
            <v>3.4246581720054789E-6</v>
          </cell>
          <cell r="AV197">
            <v>3.4246581720054789E-6</v>
          </cell>
          <cell r="AW197">
            <v>3.4246581720054789E-6</v>
          </cell>
          <cell r="AX197">
            <v>3.4246581720054789E-6</v>
          </cell>
          <cell r="AY197">
            <v>3.4246581720054789E-6</v>
          </cell>
          <cell r="AZ197">
            <v>3.4246581720054789E-6</v>
          </cell>
          <cell r="BA197">
            <v>3.4246581720054789E-6</v>
          </cell>
          <cell r="BB197">
            <v>3.4246581720054789E-6</v>
          </cell>
          <cell r="BC197">
            <v>3.4246581720054789E-6</v>
          </cell>
          <cell r="BD197">
            <v>3.4246581720054789E-6</v>
          </cell>
          <cell r="BE197">
            <v>3.4246581720054789E-6</v>
          </cell>
          <cell r="BF197">
            <v>3.4246581720054789E-6</v>
          </cell>
          <cell r="BG197">
            <v>3.4246581720054789E-6</v>
          </cell>
          <cell r="BH197">
            <v>3.4246581720054789E-6</v>
          </cell>
          <cell r="BI197">
            <v>3.4246581720054789E-6</v>
          </cell>
          <cell r="BJ197">
            <v>3.4246581720054789E-6</v>
          </cell>
          <cell r="BK197">
            <v>3.4246581720054789E-6</v>
          </cell>
          <cell r="BL197">
            <v>3.4246581720054789E-6</v>
          </cell>
          <cell r="BM197">
            <v>3.4246581720054789E-6</v>
          </cell>
          <cell r="BN197">
            <v>3.4246581720054789E-6</v>
          </cell>
          <cell r="BO197">
            <v>3.4246581720054789E-6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</row>
        <row r="199">
          <cell r="G199">
            <v>1.6788491257742281E-7</v>
          </cell>
          <cell r="H199">
            <v>1.6788491257742281E-7</v>
          </cell>
          <cell r="I199">
            <v>1.6788491257742281E-7</v>
          </cell>
          <cell r="J199">
            <v>1.6788491257742281E-7</v>
          </cell>
          <cell r="K199">
            <v>1.6788491257742281E-7</v>
          </cell>
          <cell r="L199">
            <v>1.6788491257742281E-7</v>
          </cell>
          <cell r="M199">
            <v>1.6788491257742281E-7</v>
          </cell>
          <cell r="N199">
            <v>1.6788491257742281E-7</v>
          </cell>
          <cell r="O199">
            <v>1.6788491257742281E-7</v>
          </cell>
          <cell r="P199">
            <v>1.6788491257742281E-7</v>
          </cell>
          <cell r="Q199">
            <v>1.6788491257742281E-7</v>
          </cell>
          <cell r="R199">
            <v>1.6788491257742281E-7</v>
          </cell>
          <cell r="S199">
            <v>1.5512546419023579E-7</v>
          </cell>
          <cell r="T199">
            <v>1.592632578324288E-7</v>
          </cell>
          <cell r="U199">
            <v>2.0107795669940849E-7</v>
          </cell>
          <cell r="V199">
            <v>2.1244958604933221E-7</v>
          </cell>
          <cell r="W199">
            <v>2.0520066447350329E-7</v>
          </cell>
          <cell r="X199">
            <v>2.106154227077292E-7</v>
          </cell>
          <cell r="Y199">
            <v>2.0071006983574079E-7</v>
          </cell>
          <cell r="Z199">
            <v>2.151366994478328E-7</v>
          </cell>
          <cell r="AA199">
            <v>2.151366994478328E-7</v>
          </cell>
          <cell r="AB199">
            <v>2.151366994478328E-7</v>
          </cell>
          <cell r="AC199">
            <v>2.151366994478328E-7</v>
          </cell>
          <cell r="AD199">
            <v>2.151366994478328E-7</v>
          </cell>
          <cell r="AE199">
            <v>2.151366994478328E-7</v>
          </cell>
          <cell r="AF199">
            <v>2.151366994478328E-7</v>
          </cell>
          <cell r="AG199">
            <v>2.151366994478328E-7</v>
          </cell>
          <cell r="AH199">
            <v>2.151366994478328E-7</v>
          </cell>
          <cell r="AI199">
            <v>2.151366994478328E-7</v>
          </cell>
          <cell r="AJ199">
            <v>2.151366994478328E-7</v>
          </cell>
          <cell r="AK199">
            <v>2.151366994478328E-7</v>
          </cell>
          <cell r="AL199">
            <v>2.151366994478328E-7</v>
          </cell>
          <cell r="AM199">
            <v>2.151366994478328E-7</v>
          </cell>
          <cell r="AN199">
            <v>2.151366994478328E-7</v>
          </cell>
          <cell r="AO199">
            <v>2.151366994478328E-7</v>
          </cell>
          <cell r="AP199">
            <v>2.151366994478328E-7</v>
          </cell>
          <cell r="AQ199">
            <v>2.151366994478328E-7</v>
          </cell>
          <cell r="AR199">
            <v>2.151366994478328E-7</v>
          </cell>
          <cell r="AS199">
            <v>2.151366994478328E-7</v>
          </cell>
          <cell r="AT199">
            <v>2.151366994478328E-7</v>
          </cell>
          <cell r="AU199">
            <v>2.151366994478328E-7</v>
          </cell>
          <cell r="AV199">
            <v>2.151366994478328E-7</v>
          </cell>
          <cell r="AW199">
            <v>2.151366994478328E-7</v>
          </cell>
          <cell r="AX199">
            <v>2.151366994478328E-7</v>
          </cell>
          <cell r="AY199">
            <v>2.151366994478328E-7</v>
          </cell>
          <cell r="AZ199">
            <v>2.151366994478328E-7</v>
          </cell>
          <cell r="BA199">
            <v>2.151366994478328E-7</v>
          </cell>
          <cell r="BB199">
            <v>2.151366994478328E-7</v>
          </cell>
          <cell r="BC199">
            <v>2.151366994478328E-7</v>
          </cell>
          <cell r="BD199">
            <v>2.151366994478328E-7</v>
          </cell>
          <cell r="BE199">
            <v>2.151366994478328E-7</v>
          </cell>
          <cell r="BF199">
            <v>2.151366994478328E-7</v>
          </cell>
          <cell r="BG199">
            <v>2.151366994478328E-7</v>
          </cell>
          <cell r="BH199">
            <v>2.151366994478328E-7</v>
          </cell>
          <cell r="BI199">
            <v>2.151366994478328E-7</v>
          </cell>
          <cell r="BJ199">
            <v>2.151366994478328E-7</v>
          </cell>
          <cell r="BK199">
            <v>2.151366994478328E-7</v>
          </cell>
          <cell r="BL199">
            <v>2.151366994478328E-7</v>
          </cell>
          <cell r="BM199">
            <v>2.151366994478328E-7</v>
          </cell>
          <cell r="BN199">
            <v>2.151366994478328E-7</v>
          </cell>
          <cell r="BO199">
            <v>2.151366994478328E-7</v>
          </cell>
        </row>
        <row r="204">
          <cell r="K204">
            <v>1.1175668630983889E-4</v>
          </cell>
          <cell r="L204">
            <v>1.1175668630983889E-4</v>
          </cell>
          <cell r="M204">
            <v>1.1175668630983889E-4</v>
          </cell>
          <cell r="N204">
            <v>1.1175668630983889E-4</v>
          </cell>
          <cell r="O204">
            <v>1.1175668630983889E-4</v>
          </cell>
          <cell r="P204">
            <v>1.1175668630983889E-4</v>
          </cell>
          <cell r="Q204">
            <v>1.1175668630983889E-4</v>
          </cell>
          <cell r="R204">
            <v>1.1175668630983889E-4</v>
          </cell>
          <cell r="S204">
            <v>1.1175668630983889E-4</v>
          </cell>
          <cell r="T204">
            <v>1.1175668630983889E-4</v>
          </cell>
          <cell r="U204">
            <v>1.1175668630983889E-4</v>
          </cell>
        </row>
        <row r="205">
          <cell r="K205">
            <v>2.7113321080325711E-5</v>
          </cell>
          <cell r="L205">
            <v>2.7077888871239459E-5</v>
          </cell>
          <cell r="M205">
            <v>2.7077888005918938E-5</v>
          </cell>
          <cell r="N205">
            <v>2.7184465585479339E-5</v>
          </cell>
          <cell r="O205">
            <v>2.6972143412561949E-5</v>
          </cell>
          <cell r="P205">
            <v>2.6958105004664389E-5</v>
          </cell>
          <cell r="Q205">
            <v>2.6895119460728509E-5</v>
          </cell>
          <cell r="R205">
            <v>2.6867219158563549E-5</v>
          </cell>
          <cell r="S205">
            <v>2.6742384461495269E-5</v>
          </cell>
          <cell r="T205">
            <v>2.6666665996349271E-5</v>
          </cell>
          <cell r="U205">
            <v>2.6564103093349221E-5</v>
          </cell>
        </row>
        <row r="206">
          <cell r="K206">
            <v>6.1313868613138692E-5</v>
          </cell>
          <cell r="L206">
            <v>6.1313868138766428E-5</v>
          </cell>
          <cell r="M206">
            <v>6.1313869462298004E-5</v>
          </cell>
          <cell r="N206">
            <v>6.1313869712467138E-5</v>
          </cell>
          <cell r="O206">
            <v>6.1313866949254723E-5</v>
          </cell>
          <cell r="P206">
            <v>6.1313867329514349E-5</v>
          </cell>
          <cell r="Q206">
            <v>6.1313870763291564E-5</v>
          </cell>
          <cell r="R206">
            <v>6.1313870469788658E-5</v>
          </cell>
          <cell r="S206">
            <v>6.1313869216973098E-5</v>
          </cell>
          <cell r="T206">
            <v>6.1313867041350325E-5</v>
          </cell>
          <cell r="U206">
            <v>6.1313868919190358E-5</v>
          </cell>
        </row>
        <row r="207">
          <cell r="K207">
            <v>3.1774052579973508E-5</v>
          </cell>
          <cell r="L207">
            <v>3.2227118251513753E-5</v>
          </cell>
          <cell r="M207">
            <v>3.2355609586634572E-5</v>
          </cell>
          <cell r="N207">
            <v>3.2901160305946119E-5</v>
          </cell>
          <cell r="O207">
            <v>3.2503748834015233E-5</v>
          </cell>
          <cell r="P207">
            <v>3.1351447067992739E-5</v>
          </cell>
          <cell r="Q207">
            <v>3.1359292917827007E-5</v>
          </cell>
          <cell r="R207">
            <v>3.2099493019609661E-5</v>
          </cell>
          <cell r="S207">
            <v>3.1507917159657508E-5</v>
          </cell>
          <cell r="T207">
            <v>3.1092409089582657E-5</v>
          </cell>
          <cell r="U207">
            <v>3.1137121550441943E-5</v>
          </cell>
        </row>
        <row r="208">
          <cell r="K208">
            <v>2.9136316436985051E-5</v>
          </cell>
          <cell r="L208">
            <v>2.913631627440162E-5</v>
          </cell>
          <cell r="M208">
            <v>2.913631957988151E-5</v>
          </cell>
          <cell r="N208">
            <v>2.913632007863599E-5</v>
          </cell>
          <cell r="O208">
            <v>2.913631814080266E-5</v>
          </cell>
          <cell r="P208">
            <v>2.9136314239270181E-5</v>
          </cell>
          <cell r="Q208">
            <v>2.9136321338732601E-5</v>
          </cell>
          <cell r="R208">
            <v>2.9136319617032741E-5</v>
          </cell>
          <cell r="S208">
            <v>2.9136317273487739E-5</v>
          </cell>
          <cell r="T208">
            <v>2.913631116303177E-5</v>
          </cell>
          <cell r="U208">
            <v>2.913631390499838E-5</v>
          </cell>
        </row>
        <row r="209">
          <cell r="K209">
            <v>9.7232380041234356E-5</v>
          </cell>
          <cell r="L209">
            <v>9.7232549007062136E-5</v>
          </cell>
          <cell r="M209">
            <v>9.7232370172333833E-5</v>
          </cell>
          <cell r="N209">
            <v>9.723231873998881E-5</v>
          </cell>
          <cell r="O209">
            <v>9.7232545625814949E-5</v>
          </cell>
          <cell r="P209">
            <v>9.7232486670934109E-5</v>
          </cell>
          <cell r="Q209">
            <v>9.723250466133626E-5</v>
          </cell>
          <cell r="R209">
            <v>9.7232300512089192E-5</v>
          </cell>
          <cell r="S209">
            <v>9.723230535497032E-5</v>
          </cell>
          <cell r="T209">
            <v>9.723249049004251E-5</v>
          </cell>
          <cell r="U209">
            <v>9.7232311736099777E-5</v>
          </cell>
        </row>
        <row r="210"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D8B0-2A58-4981-B340-06E4D5886EC9}">
  <dimension ref="A1:X150"/>
  <sheetViews>
    <sheetView tabSelected="1" workbookViewId="0">
      <selection sqref="A1:X150"/>
    </sheetView>
  </sheetViews>
  <sheetFormatPr defaultRowHeight="15" x14ac:dyDescent="0.25"/>
  <sheetData>
    <row r="1" spans="1:24" x14ac:dyDescent="0.25">
      <c r="B1" t="s">
        <v>0</v>
      </c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25">
      <c r="A3" t="s">
        <v>14</v>
      </c>
      <c r="B3" t="s">
        <v>5</v>
      </c>
      <c r="C3" t="s">
        <v>15</v>
      </c>
      <c r="E3" t="s">
        <v>16</v>
      </c>
      <c r="G3" t="s">
        <v>17</v>
      </c>
      <c r="L3" t="s">
        <v>18</v>
      </c>
    </row>
    <row r="4" spans="1:24" x14ac:dyDescent="0.25">
      <c r="A4" t="s">
        <v>14</v>
      </c>
      <c r="B4" t="s">
        <v>5</v>
      </c>
      <c r="C4" t="s">
        <v>15</v>
      </c>
      <c r="E4" t="s">
        <v>16</v>
      </c>
      <c r="G4" t="s">
        <v>19</v>
      </c>
      <c r="H4" t="s">
        <v>20</v>
      </c>
    </row>
    <row r="5" spans="1:24" x14ac:dyDescent="0.25">
      <c r="A5" t="s">
        <v>21</v>
      </c>
      <c r="B5" t="s">
        <v>5</v>
      </c>
      <c r="C5" t="s">
        <v>15</v>
      </c>
      <c r="E5" t="s">
        <v>22</v>
      </c>
      <c r="G5" t="s">
        <v>17</v>
      </c>
      <c r="L5" t="s">
        <v>18</v>
      </c>
    </row>
    <row r="6" spans="1:24" x14ac:dyDescent="0.25">
      <c r="A6" t="s">
        <v>21</v>
      </c>
      <c r="B6" t="s">
        <v>5</v>
      </c>
      <c r="C6" t="s">
        <v>15</v>
      </c>
      <c r="E6" t="s">
        <v>22</v>
      </c>
      <c r="G6" t="s">
        <v>19</v>
      </c>
      <c r="H6" t="s">
        <v>23</v>
      </c>
    </row>
    <row r="7" spans="1:24" x14ac:dyDescent="0.25">
      <c r="A7" t="s">
        <v>21</v>
      </c>
      <c r="B7" t="s">
        <v>5</v>
      </c>
      <c r="C7" t="s">
        <v>15</v>
      </c>
      <c r="E7" t="s">
        <v>22</v>
      </c>
      <c r="G7" t="s">
        <v>24</v>
      </c>
      <c r="H7" t="b">
        <v>1</v>
      </c>
    </row>
    <row r="8" spans="1:24" x14ac:dyDescent="0.25">
      <c r="A8" t="s">
        <v>21</v>
      </c>
      <c r="B8" t="s">
        <v>5</v>
      </c>
      <c r="C8" t="s">
        <v>15</v>
      </c>
      <c r="E8" t="s">
        <v>22</v>
      </c>
      <c r="G8" t="s">
        <v>25</v>
      </c>
      <c r="K8" t="s">
        <v>26</v>
      </c>
      <c r="L8" t="s">
        <v>27</v>
      </c>
      <c r="M8">
        <f t="shared" ref="M8:W8" ca="1" si="0">M81*1.5</f>
        <v>17.984999999999999</v>
      </c>
      <c r="N8">
        <f t="shared" ca="1" si="0"/>
        <v>17.984999999999999</v>
      </c>
      <c r="O8">
        <f t="shared" ca="1" si="0"/>
        <v>7.7099999999999991</v>
      </c>
      <c r="P8">
        <f t="shared" ca="1" si="0"/>
        <v>4.3499999999999996</v>
      </c>
      <c r="Q8">
        <f t="shared" ca="1" si="0"/>
        <v>5.2949999999999999</v>
      </c>
      <c r="R8">
        <f t="shared" ca="1" si="0"/>
        <v>4.5149999999999997</v>
      </c>
      <c r="S8">
        <f t="shared" ca="1" si="0"/>
        <v>5.01</v>
      </c>
      <c r="T8">
        <f t="shared" ca="1" si="0"/>
        <v>4.74</v>
      </c>
      <c r="U8">
        <f t="shared" ca="1" si="0"/>
        <v>4.4550000000000001</v>
      </c>
      <c r="V8">
        <f t="shared" ca="1" si="0"/>
        <v>4.4550000000000001</v>
      </c>
      <c r="W8">
        <f t="shared" ca="1" si="0"/>
        <v>4.4550000000000001</v>
      </c>
      <c r="X8" t="s">
        <v>28</v>
      </c>
    </row>
    <row r="9" spans="1:24" x14ac:dyDescent="0.25">
      <c r="A9" t="s">
        <v>21</v>
      </c>
      <c r="B9" t="s">
        <v>5</v>
      </c>
      <c r="C9" t="s">
        <v>15</v>
      </c>
      <c r="E9" t="s">
        <v>22</v>
      </c>
      <c r="G9" t="s">
        <v>29</v>
      </c>
      <c r="H9" t="s">
        <v>30</v>
      </c>
      <c r="I9" t="s">
        <v>31</v>
      </c>
      <c r="K9" t="s">
        <v>32</v>
      </c>
      <c r="L9" t="s">
        <v>33</v>
      </c>
      <c r="M9">
        <f t="array" aca="1" ref="M9" ca="1">INDEX([1]Coefficients!$G$60:$BO$79,_xlfn.XMATCH($E9,[1]Coefficients!$B$60:$B$79),_xlfn.XMATCH(M$2,[1]Coefficients!$G$1:$BO$1))/INDEX([1]Coefficients!$G$29:$BO$48,_xlfn.XMATCH($E9,[1]Coefficients!$B$29:$B$48),_xlfn.XMATCH(M$2,[1]Coefficients!$G$1:$BO$1))</f>
        <v>5.0659506393256844E-2</v>
      </c>
      <c r="N9">
        <f t="array" aca="1" ref="N9" ca="1">INDEX([1]Coefficients!$G$60:$BO$79,_xlfn.XMATCH($E9,[1]Coefficients!$B$60:$B$79),_xlfn.XMATCH(N$2,[1]Coefficients!$G$1:$BO$1))/INDEX([1]Coefficients!$G$29:$BO$48,_xlfn.XMATCH($E9,[1]Coefficients!$B$29:$B$48),_xlfn.XMATCH(N$2,[1]Coefficients!$G$1:$BO$1))</f>
        <v>5.0269095405659991E-2</v>
      </c>
      <c r="O9">
        <f t="array" aca="1" ref="O9" ca="1">INDEX([1]Coefficients!$G$60:$BO$79,_xlfn.XMATCH($E9,[1]Coefficients!$B$60:$B$79),_xlfn.XMATCH(O$2,[1]Coefficients!$G$1:$BO$1))/INDEX([1]Coefficients!$G$29:$BO$48,_xlfn.XMATCH($E9,[1]Coefficients!$B$29:$B$48),_xlfn.XMATCH(O$2,[1]Coefficients!$G$1:$BO$1))</f>
        <v>4.9926715324116293E-2</v>
      </c>
      <c r="P9">
        <f t="array" aca="1" ref="P9" ca="1">INDEX([1]Coefficients!$G$60:$BO$79,_xlfn.XMATCH($E9,[1]Coefficients!$B$60:$B$79),_xlfn.XMATCH(P$2,[1]Coefficients!$G$1:$BO$1))/INDEX([1]Coefficients!$G$29:$BO$48,_xlfn.XMATCH($E9,[1]Coefficients!$B$29:$B$48),_xlfn.XMATCH(P$2,[1]Coefficients!$G$1:$BO$1))</f>
        <v>4.9020411139724607E-2</v>
      </c>
      <c r="Q9">
        <f t="array" aca="1" ref="Q9" ca="1">INDEX([1]Coefficients!$G$60:$BO$79,_xlfn.XMATCH($E9,[1]Coefficients!$B$60:$B$79),_xlfn.XMATCH(Q$2,[1]Coefficients!$G$1:$BO$1))/INDEX([1]Coefficients!$G$29:$BO$48,_xlfn.XMATCH($E9,[1]Coefficients!$B$29:$B$48),_xlfn.XMATCH(Q$2,[1]Coefficients!$G$1:$BO$1))</f>
        <v>4.8970518393498856E-2</v>
      </c>
      <c r="R9">
        <f t="array" aca="1" ref="R9" ca="1">INDEX([1]Coefficients!$G$60:$BO$79,_xlfn.XMATCH($E9,[1]Coefficients!$B$60:$B$79),_xlfn.XMATCH(R$2,[1]Coefficients!$G$1:$BO$1))/INDEX([1]Coefficients!$G$29:$BO$48,_xlfn.XMATCH($E9,[1]Coefficients!$B$29:$B$48),_xlfn.XMATCH(R$2,[1]Coefficients!$G$1:$BO$1))</f>
        <v>4.8970518393498856E-2</v>
      </c>
      <c r="S9">
        <f t="array" aca="1" ref="S9" ca="1">INDEX([1]Coefficients!$G$60:$BO$79,_xlfn.XMATCH($E9,[1]Coefficients!$B$60:$B$79),_xlfn.XMATCH(S$2,[1]Coefficients!$G$1:$BO$1))/INDEX([1]Coefficients!$G$29:$BO$48,_xlfn.XMATCH($E9,[1]Coefficients!$B$29:$B$48),_xlfn.XMATCH(S$2,[1]Coefficients!$G$1:$BO$1))</f>
        <v>4.8970518393498856E-2</v>
      </c>
      <c r="T9">
        <f t="array" aca="1" ref="T9" ca="1">INDEX([1]Coefficients!$G$60:$BO$79,_xlfn.XMATCH($E9,[1]Coefficients!$B$60:$B$79),_xlfn.XMATCH(T$2,[1]Coefficients!$G$1:$BO$1))/INDEX([1]Coefficients!$G$29:$BO$48,_xlfn.XMATCH($E9,[1]Coefficients!$B$29:$B$48),_xlfn.XMATCH(T$2,[1]Coefficients!$G$1:$BO$1))</f>
        <v>4.8970518393498856E-2</v>
      </c>
      <c r="U9">
        <f t="array" aca="1" ref="U9" ca="1">INDEX([1]Coefficients!$G$60:$BO$79,_xlfn.XMATCH($E9,[1]Coefficients!$B$60:$B$79),_xlfn.XMATCH(U$2,[1]Coefficients!$G$1:$BO$1))/INDEX([1]Coefficients!$G$29:$BO$48,_xlfn.XMATCH($E9,[1]Coefficients!$B$29:$B$48),_xlfn.XMATCH(U$2,[1]Coefficients!$G$1:$BO$1))</f>
        <v>4.8970518393498856E-2</v>
      </c>
      <c r="V9">
        <f t="array" aca="1" ref="V9" ca="1">INDEX([1]Coefficients!$G$60:$BO$79,_xlfn.XMATCH($E9,[1]Coefficients!$B$60:$B$79),_xlfn.XMATCH(V$2,[1]Coefficients!$G$1:$BO$1))/INDEX([1]Coefficients!$G$29:$BO$48,_xlfn.XMATCH($E9,[1]Coefficients!$B$29:$B$48),_xlfn.XMATCH(V$2,[1]Coefficients!$G$1:$BO$1))</f>
        <v>4.8970518393498856E-2</v>
      </c>
      <c r="W9">
        <f t="array" aca="1" ref="W9" ca="1">INDEX([1]Coefficients!$G$60:$BO$79,_xlfn.XMATCH($E9,[1]Coefficients!$B$60:$B$79),_xlfn.XMATCH(W$2,[1]Coefficients!$G$1:$BO$1))/INDEX([1]Coefficients!$G$29:$BO$48,_xlfn.XMATCH($E9,[1]Coefficients!$B$29:$B$48),_xlfn.XMATCH(W$2,[1]Coefficients!$G$1:$BO$1))</f>
        <v>4.8970518393498856E-2</v>
      </c>
    </row>
    <row r="10" spans="1:24" x14ac:dyDescent="0.25">
      <c r="A10" t="s">
        <v>21</v>
      </c>
      <c r="B10" t="s">
        <v>5</v>
      </c>
      <c r="C10" t="s">
        <v>15</v>
      </c>
      <c r="E10" t="s">
        <v>22</v>
      </c>
      <c r="G10" t="s">
        <v>34</v>
      </c>
      <c r="H10" t="s">
        <v>30</v>
      </c>
      <c r="I10" t="s">
        <v>31</v>
      </c>
      <c r="K10" t="s">
        <v>32</v>
      </c>
      <c r="L10" t="s">
        <v>33</v>
      </c>
      <c r="M10">
        <f t="array" aca="1" ref="M10" ca="1">INDEX([1]Coefficients!$G$132:$BO$151,_xlfn.XMATCH($E10,[1]Coefficients!$B$132:$B$151),_xlfn.XMATCH(M$2,[1]Coefficients!$G$1:$BO$1))</f>
        <v>0</v>
      </c>
      <c r="N10">
        <f t="array" aca="1" ref="N10" ca="1">INDEX([1]Coefficients!$G$132:$BO$151,_xlfn.XMATCH($E10,[1]Coefficients!$B$132:$B$151),_xlfn.XMATCH(N$2,[1]Coefficients!$G$1:$BO$1))</f>
        <v>0</v>
      </c>
      <c r="O10">
        <f t="array" aca="1" ref="O10" ca="1">INDEX([1]Coefficients!$G$132:$BO$151,_xlfn.XMATCH($E10,[1]Coefficients!$B$132:$B$151),_xlfn.XMATCH(O$2,[1]Coefficients!$G$1:$BO$1))</f>
        <v>0</v>
      </c>
      <c r="P10">
        <f t="array" aca="1" ref="P10" ca="1">INDEX([1]Coefficients!$G$132:$BO$151,_xlfn.XMATCH($E10,[1]Coefficients!$B$132:$B$151),_xlfn.XMATCH(P$2,[1]Coefficients!$G$1:$BO$1))</f>
        <v>0</v>
      </c>
      <c r="Q10">
        <f t="array" aca="1" ref="Q10" ca="1">INDEX([1]Coefficients!$G$132:$BO$151,_xlfn.XMATCH($E10,[1]Coefficients!$B$132:$B$151),_xlfn.XMATCH(Q$2,[1]Coefficients!$G$1:$BO$1))</f>
        <v>0</v>
      </c>
      <c r="R10">
        <f t="array" aca="1" ref="R10" ca="1">INDEX([1]Coefficients!$G$132:$BO$151,_xlfn.XMATCH($E10,[1]Coefficients!$B$132:$B$151),_xlfn.XMATCH(R$2,[1]Coefficients!$G$1:$BO$1))</f>
        <v>0</v>
      </c>
      <c r="S10">
        <f t="array" aca="1" ref="S10" ca="1">INDEX([1]Coefficients!$G$132:$BO$151,_xlfn.XMATCH($E10,[1]Coefficients!$B$132:$B$151),_xlfn.XMATCH(S$2,[1]Coefficients!$G$1:$BO$1))</f>
        <v>0</v>
      </c>
      <c r="T10">
        <f t="array" aca="1" ref="T10" ca="1">INDEX([1]Coefficients!$G$132:$BO$151,_xlfn.XMATCH($E10,[1]Coefficients!$B$132:$B$151),_xlfn.XMATCH(T$2,[1]Coefficients!$G$1:$BO$1))</f>
        <v>0</v>
      </c>
      <c r="U10">
        <f t="array" aca="1" ref="U10" ca="1">INDEX([1]Coefficients!$G$132:$BO$151,_xlfn.XMATCH($E10,[1]Coefficients!$B$132:$B$151),_xlfn.XMATCH(U$2,[1]Coefficients!$G$1:$BO$1))</f>
        <v>0</v>
      </c>
      <c r="V10">
        <f t="array" aca="1" ref="V10" ca="1">INDEX([1]Coefficients!$G$132:$BO$151,_xlfn.XMATCH($E10,[1]Coefficients!$B$132:$B$151),_xlfn.XMATCH(V$2,[1]Coefficients!$G$1:$BO$1))</f>
        <v>0</v>
      </c>
      <c r="W10">
        <f t="array" aca="1" ref="W10" ca="1">INDEX([1]Coefficients!$G$132:$BO$151,_xlfn.XMATCH($E10,[1]Coefficients!$B$132:$B$151),_xlfn.XMATCH(W$2,[1]Coefficients!$G$1:$BO$1))</f>
        <v>0</v>
      </c>
    </row>
    <row r="11" spans="1:24" x14ac:dyDescent="0.25">
      <c r="A11" t="s">
        <v>21</v>
      </c>
      <c r="B11" t="s">
        <v>5</v>
      </c>
      <c r="C11" t="s">
        <v>15</v>
      </c>
      <c r="E11" t="s">
        <v>22</v>
      </c>
      <c r="G11" t="s">
        <v>34</v>
      </c>
      <c r="H11" t="s">
        <v>35</v>
      </c>
      <c r="I11" t="s">
        <v>31</v>
      </c>
      <c r="K11" t="s">
        <v>32</v>
      </c>
      <c r="L11" t="s">
        <v>36</v>
      </c>
      <c r="M11">
        <f t="array" aca="1" ref="M11" ca="1">INDEX([1]Coefficients!$G$156:$BO$175,_xlfn.XMATCH($E11,[1]Coefficients!$B$132:$B$151),_xlfn.XMATCH(M$2,[1]Coefficients!$G$1:$BO$1))</f>
        <v>9.7394051232794818E-7</v>
      </c>
      <c r="N11">
        <f t="array" aca="1" ref="N11" ca="1">INDEX([1]Coefficients!$G$156:$BO$175,_xlfn.XMATCH($E11,[1]Coefficients!$B$132:$B$151),_xlfn.XMATCH(N$2,[1]Coefficients!$G$1:$BO$1))</f>
        <v>9.6706745968712354E-7</v>
      </c>
      <c r="O11">
        <f t="array" aca="1" ref="O11" ca="1">INDEX([1]Coefficients!$G$156:$BO$175,_xlfn.XMATCH($E11,[1]Coefficients!$B$132:$B$151),_xlfn.XMATCH(O$2,[1]Coefficients!$G$1:$BO$1))</f>
        <v>9.6053998074030376E-7</v>
      </c>
      <c r="P11">
        <f t="array" aca="1" ref="P11" ca="1">INDEX([1]Coefficients!$G$156:$BO$175,_xlfn.XMATCH($E11,[1]Coefficients!$B$132:$B$151),_xlfn.XMATCH(P$2,[1]Coefficients!$G$1:$BO$1))</f>
        <v>9.4291540484527353E-7</v>
      </c>
      <c r="Q11">
        <f t="array" aca="1" ref="Q11" ca="1">INDEX([1]Coefficients!$G$156:$BO$175,_xlfn.XMATCH($E11,[1]Coefficients!$B$132:$B$151),_xlfn.XMATCH(Q$2,[1]Coefficients!$G$1:$BO$1))</f>
        <v>9.4195570993630577E-7</v>
      </c>
      <c r="R11">
        <f t="array" aca="1" ref="R11" ca="1">INDEX([1]Coefficients!$G$156:$BO$175,_xlfn.XMATCH($E11,[1]Coefficients!$B$132:$B$151),_xlfn.XMATCH(R$2,[1]Coefficients!$G$1:$BO$1))</f>
        <v>9.4195570993630577E-7</v>
      </c>
      <c r="S11">
        <f t="array" aca="1" ref="S11" ca="1">INDEX([1]Coefficients!$G$156:$BO$175,_xlfn.XMATCH($E11,[1]Coefficients!$B$132:$B$151),_xlfn.XMATCH(S$2,[1]Coefficients!$G$1:$BO$1))</f>
        <v>9.4195570993630577E-7</v>
      </c>
      <c r="T11">
        <f t="array" aca="1" ref="T11" ca="1">INDEX([1]Coefficients!$G$156:$BO$175,_xlfn.XMATCH($E11,[1]Coefficients!$B$132:$B$151),_xlfn.XMATCH(T$2,[1]Coefficients!$G$1:$BO$1))</f>
        <v>9.4195570993630577E-7</v>
      </c>
      <c r="U11">
        <f t="array" aca="1" ref="U11" ca="1">INDEX([1]Coefficients!$G$156:$BO$175,_xlfn.XMATCH($E11,[1]Coefficients!$B$132:$B$151),_xlfn.XMATCH(U$2,[1]Coefficients!$G$1:$BO$1))</f>
        <v>9.4195570993630577E-7</v>
      </c>
      <c r="V11">
        <f t="array" aca="1" ref="V11" ca="1">INDEX([1]Coefficients!$G$156:$BO$175,_xlfn.XMATCH($E11,[1]Coefficients!$B$132:$B$151),_xlfn.XMATCH(V$2,[1]Coefficients!$G$1:$BO$1))</f>
        <v>9.4195570993630577E-7</v>
      </c>
      <c r="W11">
        <f t="array" aca="1" ref="W11" ca="1">INDEX([1]Coefficients!$G$156:$BO$175,_xlfn.XMATCH($E11,[1]Coefficients!$B$132:$B$151),_xlfn.XMATCH(W$2,[1]Coefficients!$G$1:$BO$1))</f>
        <v>9.4195570993630577E-7</v>
      </c>
    </row>
    <row r="12" spans="1:24" x14ac:dyDescent="0.25">
      <c r="A12" t="s">
        <v>21</v>
      </c>
      <c r="B12" t="s">
        <v>5</v>
      </c>
      <c r="C12" t="s">
        <v>15</v>
      </c>
      <c r="E12" t="s">
        <v>22</v>
      </c>
      <c r="G12" t="s">
        <v>34</v>
      </c>
      <c r="H12" t="s">
        <v>37</v>
      </c>
      <c r="I12" t="s">
        <v>31</v>
      </c>
      <c r="K12" t="s">
        <v>32</v>
      </c>
      <c r="L12" t="s">
        <v>38</v>
      </c>
      <c r="M12">
        <f t="array" aca="1" ref="M12" ca="1">INDEX([1]Coefficients!$G$180:$BO$199,_xlfn.XMATCH($E12,[1]Coefficients!$B$132:$B$151),_xlfn.XMATCH(M$2,[1]Coefficients!$G$1:$BO$1))</f>
        <v>8.6864964613033235E-7</v>
      </c>
      <c r="N12">
        <f t="array" aca="1" ref="N12" ca="1">INDEX([1]Coefficients!$G$180:$BO$199,_xlfn.XMATCH($E12,[1]Coefficients!$B$132:$B$151),_xlfn.XMATCH(N$2,[1]Coefficients!$G$1:$BO$1))</f>
        <v>8.6251962620743449E-7</v>
      </c>
      <c r="O12">
        <f t="array" aca="1" ref="O12" ca="1">INDEX([1]Coefficients!$G$180:$BO$199,_xlfn.XMATCH($E12,[1]Coefficients!$B$132:$B$151),_xlfn.XMATCH(O$2,[1]Coefficients!$G$1:$BO$1))</f>
        <v>8.5669782066027099E-7</v>
      </c>
      <c r="P12">
        <f t="array" aca="1" ref="P12" ca="1">INDEX([1]Coefficients!$G$180:$BO$199,_xlfn.XMATCH($E12,[1]Coefficients!$B$132:$B$151),_xlfn.XMATCH(P$2,[1]Coefficients!$G$1:$BO$1))</f>
        <v>8.409786043214603E-7</v>
      </c>
      <c r="Q12">
        <f t="array" aca="1" ref="Q12" ca="1">INDEX([1]Coefficients!$G$180:$BO$199,_xlfn.XMATCH($E12,[1]Coefficients!$B$132:$B$151),_xlfn.XMATCH(Q$2,[1]Coefficients!$G$1:$BO$1))</f>
        <v>8.4012266021346199E-7</v>
      </c>
      <c r="R12">
        <f t="array" aca="1" ref="R12" ca="1">INDEX([1]Coefficients!$G$180:$BO$199,_xlfn.XMATCH($E12,[1]Coefficients!$B$132:$B$151),_xlfn.XMATCH(R$2,[1]Coefficients!$G$1:$BO$1))</f>
        <v>8.4012266021346199E-7</v>
      </c>
      <c r="S12">
        <f t="array" aca="1" ref="S12" ca="1">INDEX([1]Coefficients!$G$180:$BO$199,_xlfn.XMATCH($E12,[1]Coefficients!$B$132:$B$151),_xlfn.XMATCH(S$2,[1]Coefficients!$G$1:$BO$1))</f>
        <v>8.4012266021346199E-7</v>
      </c>
      <c r="T12">
        <f t="array" aca="1" ref="T12" ca="1">INDEX([1]Coefficients!$G$180:$BO$199,_xlfn.XMATCH($E12,[1]Coefficients!$B$132:$B$151),_xlfn.XMATCH(T$2,[1]Coefficients!$G$1:$BO$1))</f>
        <v>8.4012266021346199E-7</v>
      </c>
      <c r="U12">
        <f t="array" aca="1" ref="U12" ca="1">INDEX([1]Coefficients!$G$180:$BO$199,_xlfn.XMATCH($E12,[1]Coefficients!$B$132:$B$151),_xlfn.XMATCH(U$2,[1]Coefficients!$G$1:$BO$1))</f>
        <v>8.4012266021346199E-7</v>
      </c>
      <c r="V12">
        <f t="array" aca="1" ref="V12" ca="1">INDEX([1]Coefficients!$G$180:$BO$199,_xlfn.XMATCH($E12,[1]Coefficients!$B$132:$B$151),_xlfn.XMATCH(V$2,[1]Coefficients!$G$1:$BO$1))</f>
        <v>8.4012266021346199E-7</v>
      </c>
      <c r="W12">
        <f t="array" aca="1" ref="W12" ca="1">INDEX([1]Coefficients!$G$180:$BO$199,_xlfn.XMATCH($E12,[1]Coefficients!$B$132:$B$151),_xlfn.XMATCH(W$2,[1]Coefficients!$G$1:$BO$1))</f>
        <v>8.4012266021346199E-7</v>
      </c>
    </row>
    <row r="13" spans="1:24" x14ac:dyDescent="0.25">
      <c r="A13" t="s">
        <v>39</v>
      </c>
      <c r="B13" t="s">
        <v>5</v>
      </c>
      <c r="C13" t="s">
        <v>15</v>
      </c>
      <c r="E13" t="s">
        <v>40</v>
      </c>
      <c r="G13" t="s">
        <v>17</v>
      </c>
      <c r="L13" t="s">
        <v>18</v>
      </c>
    </row>
    <row r="14" spans="1:24" x14ac:dyDescent="0.25">
      <c r="A14" t="s">
        <v>39</v>
      </c>
      <c r="B14" t="s">
        <v>5</v>
      </c>
      <c r="C14" t="s">
        <v>15</v>
      </c>
      <c r="E14" t="s">
        <v>40</v>
      </c>
      <c r="G14" t="s">
        <v>19</v>
      </c>
      <c r="H14" t="s">
        <v>23</v>
      </c>
    </row>
    <row r="15" spans="1:24" x14ac:dyDescent="0.25">
      <c r="A15" t="s">
        <v>39</v>
      </c>
      <c r="B15" t="s">
        <v>5</v>
      </c>
      <c r="C15" t="s">
        <v>15</v>
      </c>
      <c r="E15" t="s">
        <v>40</v>
      </c>
      <c r="G15" t="s">
        <v>24</v>
      </c>
      <c r="H15" t="b">
        <v>1</v>
      </c>
    </row>
    <row r="16" spans="1:24" x14ac:dyDescent="0.25">
      <c r="A16" t="s">
        <v>39</v>
      </c>
      <c r="B16" t="s">
        <v>5</v>
      </c>
      <c r="C16" t="s">
        <v>15</v>
      </c>
      <c r="E16" t="s">
        <v>40</v>
      </c>
      <c r="G16" t="s">
        <v>25</v>
      </c>
      <c r="K16" t="s">
        <v>26</v>
      </c>
      <c r="L16" t="s">
        <v>27</v>
      </c>
      <c r="M16">
        <v>1E-4</v>
      </c>
      <c r="N16">
        <v>1E-4</v>
      </c>
      <c r="O16">
        <v>1E-4</v>
      </c>
      <c r="P16">
        <v>1E-4</v>
      </c>
      <c r="Q16">
        <v>1E-4</v>
      </c>
      <c r="R16">
        <v>1E-4</v>
      </c>
      <c r="S16">
        <v>1E-4</v>
      </c>
      <c r="T16">
        <v>1E-4</v>
      </c>
      <c r="U16">
        <v>1E-4</v>
      </c>
      <c r="V16">
        <v>1E-4</v>
      </c>
      <c r="W16">
        <v>1E-4</v>
      </c>
      <c r="X16" t="s">
        <v>41</v>
      </c>
    </row>
    <row r="17" spans="1:24" x14ac:dyDescent="0.25">
      <c r="A17" t="s">
        <v>39</v>
      </c>
      <c r="B17" t="s">
        <v>5</v>
      </c>
      <c r="C17" t="s">
        <v>15</v>
      </c>
      <c r="E17" t="s">
        <v>40</v>
      </c>
      <c r="G17" t="s">
        <v>29</v>
      </c>
      <c r="H17" t="s">
        <v>30</v>
      </c>
      <c r="I17" t="s">
        <v>31</v>
      </c>
      <c r="K17" t="s">
        <v>32</v>
      </c>
      <c r="L17" t="s">
        <v>33</v>
      </c>
      <c r="M17">
        <f t="array" aca="1" ref="M17" ca="1">INDEX([1]Coefficients!$G$60:$BO$79,_xlfn.XMATCH($E17,[1]Coefficients!$B$60:$B$79),_xlfn.XMATCH(M$2,[1]Coefficients!$G$1:$BO$1))/INDEX([1]Coefficients!$G$29:$BO$48,_xlfn.XMATCH($E17,[1]Coefficients!$B$29:$B$48),_xlfn.XMATCH(M$2,[1]Coefficients!$G$1:$BO$1))</f>
        <v>9.1240875912408786E-2</v>
      </c>
      <c r="N17">
        <f t="array" aca="1" ref="N17" ca="1">INDEX([1]Coefficients!$G$60:$BO$79,_xlfn.XMATCH($E17,[1]Coefficients!$B$60:$B$79),_xlfn.XMATCH(N$2,[1]Coefficients!$G$1:$BO$1))/INDEX([1]Coefficients!$G$29:$BO$48,_xlfn.XMATCH($E17,[1]Coefficients!$B$29:$B$48),_xlfn.XMATCH(N$2,[1]Coefficients!$G$1:$BO$1))</f>
        <v>9.1240875206497679E-2</v>
      </c>
      <c r="O17">
        <f t="array" aca="1" ref="O17" ca="1">INDEX([1]Coefficients!$G$60:$BO$79,_xlfn.XMATCH($E17,[1]Coefficients!$B$60:$B$79),_xlfn.XMATCH(O$2,[1]Coefficients!$G$1:$BO$1))/INDEX([1]Coefficients!$G$29:$BO$48,_xlfn.XMATCH($E17,[1]Coefficients!$B$29:$B$48),_xlfn.XMATCH(O$2,[1]Coefficients!$G$1:$BO$1))</f>
        <v>9.1240879112040998E-2</v>
      </c>
      <c r="P17">
        <f t="array" aca="1" ref="P17" ca="1">INDEX([1]Coefficients!$G$60:$BO$79,_xlfn.XMATCH($E17,[1]Coefficients!$B$60:$B$79),_xlfn.XMATCH(P$2,[1]Coefficients!$G$1:$BO$1))/INDEX([1]Coefficients!$G$29:$BO$48,_xlfn.XMATCH($E17,[1]Coefficients!$B$29:$B$48),_xlfn.XMATCH(P$2,[1]Coefficients!$G$1:$BO$1))</f>
        <v>9.1240874197308114E-2</v>
      </c>
      <c r="Q17">
        <f t="array" aca="1" ref="Q17" ca="1">INDEX([1]Coefficients!$G$60:$BO$79,_xlfn.XMATCH($E17,[1]Coefficients!$B$60:$B$79),_xlfn.XMATCH(Q$2,[1]Coefficients!$G$1:$BO$1))/INDEX([1]Coefficients!$G$29:$BO$48,_xlfn.XMATCH($E17,[1]Coefficients!$B$29:$B$48),_xlfn.XMATCH(Q$2,[1]Coefficients!$G$1:$BO$1))</f>
        <v>9.1240878702549058E-2</v>
      </c>
      <c r="R17">
        <f t="array" aca="1" ref="R17" ca="1">INDEX([1]Coefficients!$G$60:$BO$79,_xlfn.XMATCH($E17,[1]Coefficients!$B$60:$B$79),_xlfn.XMATCH(R$2,[1]Coefficients!$G$1:$BO$1))/INDEX([1]Coefficients!$G$29:$BO$48,_xlfn.XMATCH($E17,[1]Coefficients!$B$29:$B$48),_xlfn.XMATCH(R$2,[1]Coefficients!$G$1:$BO$1))</f>
        <v>9.1240878702549058E-2</v>
      </c>
      <c r="S17">
        <f t="array" aca="1" ref="S17" ca="1">INDEX([1]Coefficients!$G$60:$BO$79,_xlfn.XMATCH($E17,[1]Coefficients!$B$60:$B$79),_xlfn.XMATCH(S$2,[1]Coefficients!$G$1:$BO$1))/INDEX([1]Coefficients!$G$29:$BO$48,_xlfn.XMATCH($E17,[1]Coefficients!$B$29:$B$48),_xlfn.XMATCH(S$2,[1]Coefficients!$G$1:$BO$1))</f>
        <v>9.1240878702549058E-2</v>
      </c>
      <c r="T17">
        <f t="array" aca="1" ref="T17" ca="1">INDEX([1]Coefficients!$G$60:$BO$79,_xlfn.XMATCH($E17,[1]Coefficients!$B$60:$B$79),_xlfn.XMATCH(T$2,[1]Coefficients!$G$1:$BO$1))/INDEX([1]Coefficients!$G$29:$BO$48,_xlfn.XMATCH($E17,[1]Coefficients!$B$29:$B$48),_xlfn.XMATCH(T$2,[1]Coefficients!$G$1:$BO$1))</f>
        <v>9.1240878702549058E-2</v>
      </c>
      <c r="U17">
        <f t="array" aca="1" ref="U17" ca="1">INDEX([1]Coefficients!$G$60:$BO$79,_xlfn.XMATCH($E17,[1]Coefficients!$B$60:$B$79),_xlfn.XMATCH(U$2,[1]Coefficients!$G$1:$BO$1))/INDEX([1]Coefficients!$G$29:$BO$48,_xlfn.XMATCH($E17,[1]Coefficients!$B$29:$B$48),_xlfn.XMATCH(U$2,[1]Coefficients!$G$1:$BO$1))</f>
        <v>9.1240878702549058E-2</v>
      </c>
      <c r="V17">
        <f t="array" aca="1" ref="V17" ca="1">INDEX([1]Coefficients!$G$60:$BO$79,_xlfn.XMATCH($E17,[1]Coefficients!$B$60:$B$79),_xlfn.XMATCH(V$2,[1]Coefficients!$G$1:$BO$1))/INDEX([1]Coefficients!$G$29:$BO$48,_xlfn.XMATCH($E17,[1]Coefficients!$B$29:$B$48),_xlfn.XMATCH(V$2,[1]Coefficients!$G$1:$BO$1))</f>
        <v>9.1240878702549058E-2</v>
      </c>
      <c r="W17">
        <f t="array" aca="1" ref="W17" ca="1">INDEX([1]Coefficients!$G$60:$BO$79,_xlfn.XMATCH($E17,[1]Coefficients!$B$60:$B$79),_xlfn.XMATCH(W$2,[1]Coefficients!$G$1:$BO$1))/INDEX([1]Coefficients!$G$29:$BO$48,_xlfn.XMATCH($E17,[1]Coefficients!$B$29:$B$48),_xlfn.XMATCH(W$2,[1]Coefficients!$G$1:$BO$1))</f>
        <v>9.1240878702549058E-2</v>
      </c>
    </row>
    <row r="18" spans="1:24" x14ac:dyDescent="0.25">
      <c r="A18" t="s">
        <v>39</v>
      </c>
      <c r="B18" t="s">
        <v>5</v>
      </c>
      <c r="C18" t="s">
        <v>15</v>
      </c>
      <c r="E18" t="s">
        <v>40</v>
      </c>
      <c r="G18" t="s">
        <v>34</v>
      </c>
      <c r="H18" t="s">
        <v>30</v>
      </c>
      <c r="I18" t="s">
        <v>31</v>
      </c>
      <c r="K18" t="s">
        <v>32</v>
      </c>
      <c r="L18" t="s">
        <v>33</v>
      </c>
      <c r="M18">
        <f t="array" aca="1" ref="M18" ca="1">INDEX([1]Coefficients!$G$132:$BO$151,_xlfn.XMATCH($E18,[1]Coefficients!$B$132:$B$151),_xlfn.XMATCH(M$2,[1]Coefficients!$G$1:$BO$1))</f>
        <v>0</v>
      </c>
      <c r="N18">
        <f t="array" aca="1" ref="N18" ca="1">INDEX([1]Coefficients!$G$132:$BO$151,_xlfn.XMATCH($E18,[1]Coefficients!$B$132:$B$151),_xlfn.XMATCH(N$2,[1]Coefficients!$G$1:$BO$1))</f>
        <v>0</v>
      </c>
      <c r="O18">
        <f t="array" aca="1" ref="O18" ca="1">INDEX([1]Coefficients!$G$132:$BO$151,_xlfn.XMATCH($E18,[1]Coefficients!$B$132:$B$151),_xlfn.XMATCH(O$2,[1]Coefficients!$G$1:$BO$1))</f>
        <v>0</v>
      </c>
      <c r="P18">
        <f t="array" aca="1" ref="P18" ca="1">INDEX([1]Coefficients!$G$132:$BO$151,_xlfn.XMATCH($E18,[1]Coefficients!$B$132:$B$151),_xlfn.XMATCH(P$2,[1]Coefficients!$G$1:$BO$1))</f>
        <v>0</v>
      </c>
      <c r="Q18">
        <f t="array" aca="1" ref="Q18" ca="1">INDEX([1]Coefficients!$G$132:$BO$151,_xlfn.XMATCH($E18,[1]Coefficients!$B$132:$B$151),_xlfn.XMATCH(Q$2,[1]Coefficients!$G$1:$BO$1))</f>
        <v>0</v>
      </c>
      <c r="R18">
        <f t="array" aca="1" ref="R18" ca="1">INDEX([1]Coefficients!$G$132:$BO$151,_xlfn.XMATCH($E18,[1]Coefficients!$B$132:$B$151),_xlfn.XMATCH(R$2,[1]Coefficients!$G$1:$BO$1))</f>
        <v>0</v>
      </c>
      <c r="S18">
        <f t="array" aca="1" ref="S18" ca="1">INDEX([1]Coefficients!$G$132:$BO$151,_xlfn.XMATCH($E18,[1]Coefficients!$B$132:$B$151),_xlfn.XMATCH(S$2,[1]Coefficients!$G$1:$BO$1))</f>
        <v>0</v>
      </c>
      <c r="T18">
        <f t="array" aca="1" ref="T18" ca="1">INDEX([1]Coefficients!$G$132:$BO$151,_xlfn.XMATCH($E18,[1]Coefficients!$B$132:$B$151),_xlfn.XMATCH(T$2,[1]Coefficients!$G$1:$BO$1))</f>
        <v>0</v>
      </c>
      <c r="U18">
        <f t="array" aca="1" ref="U18" ca="1">INDEX([1]Coefficients!$G$132:$BO$151,_xlfn.XMATCH($E18,[1]Coefficients!$B$132:$B$151),_xlfn.XMATCH(U$2,[1]Coefficients!$G$1:$BO$1))</f>
        <v>0</v>
      </c>
      <c r="V18">
        <f t="array" aca="1" ref="V18" ca="1">INDEX([1]Coefficients!$G$132:$BO$151,_xlfn.XMATCH($E18,[1]Coefficients!$B$132:$B$151),_xlfn.XMATCH(V$2,[1]Coefficients!$G$1:$BO$1))</f>
        <v>0</v>
      </c>
      <c r="W18">
        <f t="array" aca="1" ref="W18" ca="1">INDEX([1]Coefficients!$G$132:$BO$151,_xlfn.XMATCH($E18,[1]Coefficients!$B$132:$B$151),_xlfn.XMATCH(W$2,[1]Coefficients!$G$1:$BO$1))</f>
        <v>0</v>
      </c>
    </row>
    <row r="19" spans="1:24" x14ac:dyDescent="0.25">
      <c r="A19" t="s">
        <v>39</v>
      </c>
      <c r="B19" t="s">
        <v>5</v>
      </c>
      <c r="C19" t="s">
        <v>15</v>
      </c>
      <c r="E19" t="s">
        <v>40</v>
      </c>
      <c r="G19" t="s">
        <v>34</v>
      </c>
      <c r="H19" t="s">
        <v>35</v>
      </c>
      <c r="I19" t="s">
        <v>31</v>
      </c>
      <c r="K19" t="s">
        <v>32</v>
      </c>
      <c r="L19" t="s">
        <v>36</v>
      </c>
      <c r="M19">
        <f t="array" aca="1" ref="M19" ca="1">INDEX([1]Coefficients!$G$156:$BO$175,_xlfn.XMATCH($E19,[1]Coefficients!$B$132:$B$151),_xlfn.XMATCH(M$2,[1]Coefficients!$G$1:$BO$1))</f>
        <v>2.1897810218978099E-6</v>
      </c>
      <c r="N19">
        <f t="array" aca="1" ref="N19" ca="1">INDEX([1]Coefficients!$G$156:$BO$175,_xlfn.XMATCH($E19,[1]Coefficients!$B$132:$B$151),_xlfn.XMATCH(N$2,[1]Coefficients!$G$1:$BO$1))</f>
        <v>2.1897810049559439E-6</v>
      </c>
      <c r="O19">
        <f t="array" aca="1" ref="O19" ca="1">INDEX([1]Coefficients!$G$156:$BO$175,_xlfn.XMATCH($E19,[1]Coefficients!$B$132:$B$151),_xlfn.XMATCH(O$2,[1]Coefficients!$G$1:$BO$1))</f>
        <v>2.1897810986889838E-6</v>
      </c>
      <c r="P19">
        <f t="array" aca="1" ref="P19" ca="1">INDEX([1]Coefficients!$G$156:$BO$175,_xlfn.XMATCH($E19,[1]Coefficients!$B$132:$B$151),_xlfn.XMATCH(P$2,[1]Coefficients!$G$1:$BO$1))</f>
        <v>2.1897809807353959E-6</v>
      </c>
      <c r="Q19">
        <f t="array" aca="1" ref="Q19" ca="1">INDEX([1]Coefficients!$G$156:$BO$175,_xlfn.XMATCH($E19,[1]Coefficients!$B$132:$B$151),_xlfn.XMATCH(Q$2,[1]Coefficients!$G$1:$BO$1))</f>
        <v>2.1897810888611761E-6</v>
      </c>
      <c r="R19">
        <f t="array" aca="1" ref="R19" ca="1">INDEX([1]Coefficients!$G$156:$BO$175,_xlfn.XMATCH($E19,[1]Coefficients!$B$132:$B$151),_xlfn.XMATCH(R$2,[1]Coefficients!$G$1:$BO$1))</f>
        <v>2.1897810888611761E-6</v>
      </c>
      <c r="S19">
        <f t="array" aca="1" ref="S19" ca="1">INDEX([1]Coefficients!$G$156:$BO$175,_xlfn.XMATCH($E19,[1]Coefficients!$B$132:$B$151),_xlfn.XMATCH(S$2,[1]Coefficients!$G$1:$BO$1))</f>
        <v>2.1897810888611761E-6</v>
      </c>
      <c r="T19">
        <f t="array" aca="1" ref="T19" ca="1">INDEX([1]Coefficients!$G$156:$BO$175,_xlfn.XMATCH($E19,[1]Coefficients!$B$132:$B$151),_xlfn.XMATCH(T$2,[1]Coefficients!$G$1:$BO$1))</f>
        <v>2.1897810888611761E-6</v>
      </c>
      <c r="U19">
        <f t="array" aca="1" ref="U19" ca="1">INDEX([1]Coefficients!$G$156:$BO$175,_xlfn.XMATCH($E19,[1]Coefficients!$B$132:$B$151),_xlfn.XMATCH(U$2,[1]Coefficients!$G$1:$BO$1))</f>
        <v>2.1897810888611761E-6</v>
      </c>
      <c r="V19">
        <f t="array" aca="1" ref="V19" ca="1">INDEX([1]Coefficients!$G$156:$BO$175,_xlfn.XMATCH($E19,[1]Coefficients!$B$132:$B$151),_xlfn.XMATCH(V$2,[1]Coefficients!$G$1:$BO$1))</f>
        <v>2.1897810888611761E-6</v>
      </c>
      <c r="W19">
        <f t="array" aca="1" ref="W19" ca="1">INDEX([1]Coefficients!$G$156:$BO$175,_xlfn.XMATCH($E19,[1]Coefficients!$B$132:$B$151),_xlfn.XMATCH(W$2,[1]Coefficients!$G$1:$BO$1))</f>
        <v>2.1897810888611761E-6</v>
      </c>
    </row>
    <row r="20" spans="1:24" x14ac:dyDescent="0.25">
      <c r="A20" t="s">
        <v>39</v>
      </c>
      <c r="B20" t="s">
        <v>5</v>
      </c>
      <c r="C20" t="s">
        <v>15</v>
      </c>
      <c r="E20" t="s">
        <v>40</v>
      </c>
      <c r="G20" t="s">
        <v>34</v>
      </c>
      <c r="H20" t="s">
        <v>37</v>
      </c>
      <c r="I20" t="s">
        <v>31</v>
      </c>
      <c r="K20" t="s">
        <v>32</v>
      </c>
      <c r="L20" t="s">
        <v>38</v>
      </c>
      <c r="M20">
        <f t="array" aca="1" ref="M20" ca="1">INDEX([1]Coefficients!$G$180:$BO$199,_xlfn.XMATCH($E20,[1]Coefficients!$B$132:$B$151),_xlfn.XMATCH(M$2,[1]Coefficients!$G$1:$BO$1))</f>
        <v>3.649635036496351E-7</v>
      </c>
      <c r="N20">
        <f t="array" aca="1" ref="N20" ca="1">INDEX([1]Coefficients!$G$180:$BO$199,_xlfn.XMATCH($E20,[1]Coefficients!$B$132:$B$151),_xlfn.XMATCH(N$2,[1]Coefficients!$G$1:$BO$1))</f>
        <v>3.6496350082599058E-7</v>
      </c>
      <c r="O20">
        <f t="array" aca="1" ref="O20" ca="1">INDEX([1]Coefficients!$G$180:$BO$199,_xlfn.XMATCH($E20,[1]Coefficients!$B$132:$B$151),_xlfn.XMATCH(O$2,[1]Coefficients!$G$1:$BO$1))</f>
        <v>3.6496351644816402E-7</v>
      </c>
      <c r="P20">
        <f t="array" aca="1" ref="P20" ca="1">INDEX([1]Coefficients!$G$180:$BO$199,_xlfn.XMATCH($E20,[1]Coefficients!$B$132:$B$151),_xlfn.XMATCH(P$2,[1]Coefficients!$G$1:$BO$1))</f>
        <v>3.6496349678923251E-7</v>
      </c>
      <c r="Q20">
        <f t="array" aca="1" ref="Q20" ca="1">INDEX([1]Coefficients!$G$180:$BO$199,_xlfn.XMATCH($E20,[1]Coefficients!$B$132:$B$151),_xlfn.XMATCH(Q$2,[1]Coefficients!$G$1:$BO$1))</f>
        <v>3.6496351481019612E-7</v>
      </c>
      <c r="R20">
        <f t="array" aca="1" ref="R20" ca="1">INDEX([1]Coefficients!$G$180:$BO$199,_xlfn.XMATCH($E20,[1]Coefficients!$B$132:$B$151),_xlfn.XMATCH(R$2,[1]Coefficients!$G$1:$BO$1))</f>
        <v>3.6496351481019612E-7</v>
      </c>
      <c r="S20">
        <f t="array" aca="1" ref="S20" ca="1">INDEX([1]Coefficients!$G$180:$BO$199,_xlfn.XMATCH($E20,[1]Coefficients!$B$132:$B$151),_xlfn.XMATCH(S$2,[1]Coefficients!$G$1:$BO$1))</f>
        <v>3.6496351481019612E-7</v>
      </c>
      <c r="T20">
        <f t="array" aca="1" ref="T20" ca="1">INDEX([1]Coefficients!$G$180:$BO$199,_xlfn.XMATCH($E20,[1]Coefficients!$B$132:$B$151),_xlfn.XMATCH(T$2,[1]Coefficients!$G$1:$BO$1))</f>
        <v>3.6496351481019612E-7</v>
      </c>
      <c r="U20">
        <f t="array" aca="1" ref="U20" ca="1">INDEX([1]Coefficients!$G$180:$BO$199,_xlfn.XMATCH($E20,[1]Coefficients!$B$132:$B$151),_xlfn.XMATCH(U$2,[1]Coefficients!$G$1:$BO$1))</f>
        <v>3.6496351481019612E-7</v>
      </c>
      <c r="V20">
        <f t="array" aca="1" ref="V20" ca="1">INDEX([1]Coefficients!$G$180:$BO$199,_xlfn.XMATCH($E20,[1]Coefficients!$B$132:$B$151),_xlfn.XMATCH(V$2,[1]Coefficients!$G$1:$BO$1))</f>
        <v>3.6496351481019612E-7</v>
      </c>
      <c r="W20">
        <f t="array" aca="1" ref="W20" ca="1">INDEX([1]Coefficients!$G$180:$BO$199,_xlfn.XMATCH($E20,[1]Coefficients!$B$132:$B$151),_xlfn.XMATCH(W$2,[1]Coefficients!$G$1:$BO$1))</f>
        <v>3.6496351481019612E-7</v>
      </c>
    </row>
    <row r="21" spans="1:24" x14ac:dyDescent="0.25">
      <c r="A21" t="s">
        <v>42</v>
      </c>
      <c r="B21" t="s">
        <v>5</v>
      </c>
      <c r="C21" t="s">
        <v>15</v>
      </c>
      <c r="E21" t="s">
        <v>43</v>
      </c>
      <c r="G21" t="s">
        <v>17</v>
      </c>
      <c r="L21" t="s">
        <v>18</v>
      </c>
    </row>
    <row r="22" spans="1:24" x14ac:dyDescent="0.25">
      <c r="A22" t="s">
        <v>42</v>
      </c>
      <c r="B22" t="s">
        <v>5</v>
      </c>
      <c r="C22" t="s">
        <v>15</v>
      </c>
      <c r="E22" t="s">
        <v>43</v>
      </c>
      <c r="G22" t="s">
        <v>19</v>
      </c>
      <c r="H22" t="s">
        <v>23</v>
      </c>
    </row>
    <row r="23" spans="1:24" x14ac:dyDescent="0.25">
      <c r="A23" t="s">
        <v>42</v>
      </c>
      <c r="B23" t="s">
        <v>5</v>
      </c>
      <c r="C23" t="s">
        <v>15</v>
      </c>
      <c r="E23" t="s">
        <v>43</v>
      </c>
      <c r="G23" t="s">
        <v>24</v>
      </c>
      <c r="H23" t="b">
        <v>1</v>
      </c>
    </row>
    <row r="24" spans="1:24" x14ac:dyDescent="0.25">
      <c r="A24" t="s">
        <v>42</v>
      </c>
      <c r="B24" t="s">
        <v>5</v>
      </c>
      <c r="C24" t="s">
        <v>15</v>
      </c>
      <c r="E24" t="s">
        <v>43</v>
      </c>
      <c r="G24" t="s">
        <v>25</v>
      </c>
      <c r="K24" t="s">
        <v>26</v>
      </c>
      <c r="L24" t="s">
        <v>27</v>
      </c>
      <c r="M24">
        <f t="array" aca="1" ref="M24" ca="1">INDEX([1]!JCIMS_prices,_xlfn.XMATCH($E24,[1]!JCIMS_prices_index),_xlfn.XMATCH(M$2,[1]!CER_year))*[1]!JCIMS_price_inflator</f>
        <v>3.3868227490873544</v>
      </c>
      <c r="N24">
        <f t="array" aca="1" ref="N24" ca="1">INDEX([1]!JCIMS_prices,_xlfn.XMATCH($E24,[1]!JCIMS_prices_index),_xlfn.XMATCH(N$2,[1]!CER_year))*[1]!JCIMS_price_inflator</f>
        <v>3.287415745294838</v>
      </c>
      <c r="O24">
        <f t="array" aca="1" ref="O24" ca="1">INDEX([1]!JCIMS_prices,_xlfn.XMATCH($E24,[1]!JCIMS_prices_index),_xlfn.XMATCH(O$2,[1]!CER_year))*[1]!JCIMS_price_inflator</f>
        <v>2.9891947339172846</v>
      </c>
      <c r="P24">
        <f t="array" aca="1" ref="P24" ca="1">INDEX([1]!JCIMS_prices,_xlfn.XMATCH($E24,[1]!JCIMS_prices_index),_xlfn.XMATCH(P$2,[1]!CER_year))*[1]!JCIMS_price_inflator</f>
        <v>2.9891947339172846</v>
      </c>
      <c r="Q24">
        <f t="array" aca="1" ref="Q24" ca="1">INDEX([1]!JCIMS_prices,_xlfn.XMATCH($E24,[1]!JCIMS_prices_index),_xlfn.XMATCH(Q$2,[1]!CER_year))*[1]!JCIMS_price_inflator</f>
        <v>2.9891947339172846</v>
      </c>
      <c r="R24">
        <f t="array" aca="1" ref="R24" ca="1">INDEX([1]!JCIMS_prices,_xlfn.XMATCH($E24,[1]!JCIMS_prices_index),_xlfn.XMATCH(R$2,[1]!CER_year))*[1]!JCIMS_price_inflator</f>
        <v>2.9891947339172846</v>
      </c>
      <c r="S24">
        <f t="array" aca="1" ref="S24" ca="1">INDEX([1]!JCIMS_prices,_xlfn.XMATCH($E24,[1]!JCIMS_prices_index),_xlfn.XMATCH(S$2,[1]!CER_year))*[1]!JCIMS_price_inflator</f>
        <v>2.9891947339172846</v>
      </c>
      <c r="T24">
        <f t="array" aca="1" ref="T24" ca="1">INDEX([1]!JCIMS_prices,_xlfn.XMATCH($E24,[1]!JCIMS_prices_index),_xlfn.XMATCH(T$2,[1]!CER_year))*[1]!JCIMS_price_inflator</f>
        <v>2.9891947339172846</v>
      </c>
      <c r="U24">
        <f t="array" aca="1" ref="U24" ca="1">INDEX([1]!JCIMS_prices,_xlfn.XMATCH($E24,[1]!JCIMS_prices_index),_xlfn.XMATCH(U$2,[1]!CER_year))*[1]!JCIMS_price_inflator</f>
        <v>2.9891947339172846</v>
      </c>
      <c r="V24">
        <f t="array" aca="1" ref="V24" ca="1">INDEX([1]!JCIMS_prices,_xlfn.XMATCH($E24,[1]!JCIMS_prices_index),_xlfn.XMATCH(V$2,[1]!CER_year))*[1]!JCIMS_price_inflator</f>
        <v>2.9891947339172846</v>
      </c>
      <c r="W24">
        <f t="array" aca="1" ref="W24" ca="1">INDEX([1]!JCIMS_prices,_xlfn.XMATCH($E24,[1]!JCIMS_prices_index),_xlfn.XMATCH(W$2,[1]!CER_year))*[1]!JCIMS_price_inflator</f>
        <v>2.9891947339172846</v>
      </c>
      <c r="X24" t="s">
        <v>44</v>
      </c>
    </row>
    <row r="25" spans="1:24" x14ac:dyDescent="0.25">
      <c r="A25" t="s">
        <v>42</v>
      </c>
      <c r="B25" t="s">
        <v>5</v>
      </c>
      <c r="C25" t="s">
        <v>15</v>
      </c>
      <c r="E25" t="s">
        <v>43</v>
      </c>
      <c r="G25" t="s">
        <v>34</v>
      </c>
      <c r="H25" t="s">
        <v>30</v>
      </c>
      <c r="I25" t="s">
        <v>31</v>
      </c>
      <c r="K25" t="s">
        <v>32</v>
      </c>
      <c r="L25" t="s">
        <v>33</v>
      </c>
      <c r="M25">
        <f t="array" aca="1" ref="M25" ca="1">INDEX([1]Coefficients!$G$132:$BO$151,_xlfn.XMATCH($E25,[1]Coefficients!$B$132:$B$151),_xlfn.XMATCH(M$2,[1]Coefficients!$G$1:$BO$1))</f>
        <v>8.0091975639588225E-2</v>
      </c>
      <c r="N25">
        <f t="array" aca="1" ref="N25" ca="1">INDEX([1]Coefficients!$G$132:$BO$151,_xlfn.XMATCH($E25,[1]Coefficients!$B$132:$B$151),_xlfn.XMATCH(N$2,[1]Coefficients!$G$1:$BO$1))</f>
        <v>8.3828873070901838E-2</v>
      </c>
      <c r="O25">
        <f t="array" aca="1" ref="O25" ca="1">INDEX([1]Coefficients!$G$132:$BO$151,_xlfn.XMATCH($E25,[1]Coefficients!$B$132:$B$151),_xlfn.XMATCH(O$2,[1]Coefficients!$G$1:$BO$1))</f>
        <v>8.1571494077919054E-2</v>
      </c>
      <c r="P25">
        <f t="array" aca="1" ref="P25" ca="1">INDEX([1]Coefficients!$G$132:$BO$151,_xlfn.XMATCH($E25,[1]Coefficients!$B$132:$B$151),_xlfn.XMATCH(P$2,[1]Coefficients!$G$1:$BO$1))</f>
        <v>8.0767021208888012E-2</v>
      </c>
      <c r="Q25">
        <f t="array" aca="1" ref="Q25" ca="1">INDEX([1]Coefficients!$G$132:$BO$151,_xlfn.XMATCH($E25,[1]Coefficients!$B$132:$B$151),_xlfn.XMATCH(Q$2,[1]Coefficients!$G$1:$BO$1))</f>
        <v>8.1419557348284474E-2</v>
      </c>
      <c r="R25">
        <f t="array" aca="1" ref="R25" ca="1">INDEX([1]Coefficients!$G$132:$BO$151,_xlfn.XMATCH($E25,[1]Coefficients!$B$132:$B$151),_xlfn.XMATCH(R$2,[1]Coefficients!$G$1:$BO$1))</f>
        <v>8.1419557348284474E-2</v>
      </c>
      <c r="S25">
        <f t="array" aca="1" ref="S25" ca="1">INDEX([1]Coefficients!$G$132:$BO$151,_xlfn.XMATCH($E25,[1]Coefficients!$B$132:$B$151),_xlfn.XMATCH(S$2,[1]Coefficients!$G$1:$BO$1))</f>
        <v>8.1419557348284474E-2</v>
      </c>
      <c r="T25">
        <f t="array" aca="1" ref="T25" ca="1">INDEX([1]Coefficients!$G$132:$BO$151,_xlfn.XMATCH($E25,[1]Coefficients!$B$132:$B$151),_xlfn.XMATCH(T$2,[1]Coefficients!$G$1:$BO$1))</f>
        <v>8.1419557348284474E-2</v>
      </c>
      <c r="U25">
        <f t="array" aca="1" ref="U25" ca="1">INDEX([1]Coefficients!$G$132:$BO$151,_xlfn.XMATCH($E25,[1]Coefficients!$B$132:$B$151),_xlfn.XMATCH(U$2,[1]Coefficients!$G$1:$BO$1))</f>
        <v>8.1419557348284474E-2</v>
      </c>
      <c r="V25">
        <f t="array" aca="1" ref="V25" ca="1">INDEX([1]Coefficients!$G$132:$BO$151,_xlfn.XMATCH($E25,[1]Coefficients!$B$132:$B$151),_xlfn.XMATCH(V$2,[1]Coefficients!$G$1:$BO$1))</f>
        <v>8.1419557348284474E-2</v>
      </c>
      <c r="W25">
        <f t="array" aca="1" ref="W25" ca="1">INDEX([1]Coefficients!$G$132:$BO$151,_xlfn.XMATCH($E25,[1]Coefficients!$B$132:$B$151),_xlfn.XMATCH(W$2,[1]Coefficients!$G$1:$BO$1))</f>
        <v>8.1419557348284474E-2</v>
      </c>
    </row>
    <row r="26" spans="1:24" x14ac:dyDescent="0.25">
      <c r="A26" t="s">
        <v>42</v>
      </c>
      <c r="B26" t="s">
        <v>5</v>
      </c>
      <c r="C26" t="s">
        <v>15</v>
      </c>
      <c r="E26" t="s">
        <v>43</v>
      </c>
      <c r="G26" t="s">
        <v>34</v>
      </c>
      <c r="H26" t="s">
        <v>35</v>
      </c>
      <c r="I26" t="s">
        <v>31</v>
      </c>
      <c r="K26" t="s">
        <v>32</v>
      </c>
      <c r="L26" t="s">
        <v>36</v>
      </c>
      <c r="M26">
        <f t="array" aca="1" ref="M26" ca="1">INDEX([1]Coefficients!$G$156:$BO$175,_xlfn.XMATCH($E26,[1]Coefficients!$B$132:$B$151),_xlfn.XMATCH(M$2,[1]Coefficients!$G$1:$BO$1))</f>
        <v>1.099660992763225E-6</v>
      </c>
      <c r="N26">
        <f t="array" aca="1" ref="N26" ca="1">INDEX([1]Coefficients!$G$156:$BO$175,_xlfn.XMATCH($E26,[1]Coefficients!$B$132:$B$151),_xlfn.XMATCH(N$2,[1]Coefficients!$G$1:$BO$1))</f>
        <v>1.150968508982634E-6</v>
      </c>
      <c r="O26">
        <f t="array" aca="1" ref="O26" ca="1">INDEX([1]Coefficients!$G$156:$BO$175,_xlfn.XMATCH($E26,[1]Coefficients!$B$132:$B$151),_xlfn.XMATCH(O$2,[1]Coefficients!$G$1:$BO$1))</f>
        <v>1.11997474706525E-6</v>
      </c>
      <c r="P26">
        <f t="array" aca="1" ref="P26" ca="1">INDEX([1]Coefficients!$G$156:$BO$175,_xlfn.XMATCH($E26,[1]Coefficients!$B$132:$B$151),_xlfn.XMATCH(P$2,[1]Coefficients!$G$1:$BO$1))</f>
        <v>1.1089293529824439E-6</v>
      </c>
      <c r="Q26">
        <f t="array" aca="1" ref="Q26" ca="1">INDEX([1]Coefficients!$G$156:$BO$175,_xlfn.XMATCH($E26,[1]Coefficients!$B$132:$B$151),_xlfn.XMATCH(Q$2,[1]Coefficients!$G$1:$BO$1))</f>
        <v>1.1178886592441809E-6</v>
      </c>
      <c r="R26">
        <f t="array" aca="1" ref="R26" ca="1">INDEX([1]Coefficients!$G$156:$BO$175,_xlfn.XMATCH($E26,[1]Coefficients!$B$132:$B$151),_xlfn.XMATCH(R$2,[1]Coefficients!$G$1:$BO$1))</f>
        <v>1.1178886592441809E-6</v>
      </c>
      <c r="S26">
        <f t="array" aca="1" ref="S26" ca="1">INDEX([1]Coefficients!$G$156:$BO$175,_xlfn.XMATCH($E26,[1]Coefficients!$B$132:$B$151),_xlfn.XMATCH(S$2,[1]Coefficients!$G$1:$BO$1))</f>
        <v>1.1178886592441809E-6</v>
      </c>
      <c r="T26">
        <f t="array" aca="1" ref="T26" ca="1">INDEX([1]Coefficients!$G$156:$BO$175,_xlfn.XMATCH($E26,[1]Coefficients!$B$132:$B$151),_xlfn.XMATCH(T$2,[1]Coefficients!$G$1:$BO$1))</f>
        <v>1.1178886592441809E-6</v>
      </c>
      <c r="U26">
        <f t="array" aca="1" ref="U26" ca="1">INDEX([1]Coefficients!$G$156:$BO$175,_xlfn.XMATCH($E26,[1]Coefficients!$B$132:$B$151),_xlfn.XMATCH(U$2,[1]Coefficients!$G$1:$BO$1))</f>
        <v>1.1178886592441809E-6</v>
      </c>
      <c r="V26">
        <f t="array" aca="1" ref="V26" ca="1">INDEX([1]Coefficients!$G$156:$BO$175,_xlfn.XMATCH($E26,[1]Coefficients!$B$132:$B$151),_xlfn.XMATCH(V$2,[1]Coefficients!$G$1:$BO$1))</f>
        <v>1.1178886592441809E-6</v>
      </c>
      <c r="W26">
        <f t="array" aca="1" ref="W26" ca="1">INDEX([1]Coefficients!$G$156:$BO$175,_xlfn.XMATCH($E26,[1]Coefficients!$B$132:$B$151),_xlfn.XMATCH(W$2,[1]Coefficients!$G$1:$BO$1))</f>
        <v>1.1178886592441809E-6</v>
      </c>
    </row>
    <row r="27" spans="1:24" x14ac:dyDescent="0.25">
      <c r="A27" t="s">
        <v>42</v>
      </c>
      <c r="B27" t="s">
        <v>5</v>
      </c>
      <c r="C27" t="s">
        <v>15</v>
      </c>
      <c r="E27" t="s">
        <v>43</v>
      </c>
      <c r="G27" t="s">
        <v>34</v>
      </c>
      <c r="H27" t="s">
        <v>37</v>
      </c>
      <c r="I27" t="s">
        <v>31</v>
      </c>
      <c r="K27" t="s">
        <v>32</v>
      </c>
      <c r="L27" t="s">
        <v>38</v>
      </c>
      <c r="M27">
        <f t="array" aca="1" ref="M27" ca="1">INDEX([1]Coefficients!$G$180:$BO$199,_xlfn.XMATCH($E27,[1]Coefficients!$B$132:$B$151),_xlfn.XMATCH(M$2,[1]Coefficients!$G$1:$BO$1))</f>
        <v>7.3310732850881664E-7</v>
      </c>
      <c r="N27">
        <f t="array" aca="1" ref="N27" ca="1">INDEX([1]Coefficients!$G$180:$BO$199,_xlfn.XMATCH($E27,[1]Coefficients!$B$132:$B$151),_xlfn.XMATCH(N$2,[1]Coefficients!$G$1:$BO$1))</f>
        <v>7.6731233932175597E-7</v>
      </c>
      <c r="O27">
        <f t="array" aca="1" ref="O27" ca="1">INDEX([1]Coefficients!$G$180:$BO$199,_xlfn.XMATCH($E27,[1]Coefficients!$B$132:$B$151),_xlfn.XMATCH(O$2,[1]Coefficients!$G$1:$BO$1))</f>
        <v>7.4664983137683352E-7</v>
      </c>
      <c r="P27">
        <f t="array" aca="1" ref="P27" ca="1">INDEX([1]Coefficients!$G$180:$BO$199,_xlfn.XMATCH($E27,[1]Coefficients!$B$132:$B$151),_xlfn.XMATCH(P$2,[1]Coefficients!$G$1:$BO$1))</f>
        <v>7.3928623532162953E-7</v>
      </c>
      <c r="Q27">
        <f t="array" aca="1" ref="Q27" ca="1">INDEX([1]Coefficients!$G$180:$BO$199,_xlfn.XMATCH($E27,[1]Coefficients!$B$132:$B$151),_xlfn.XMATCH(Q$2,[1]Coefficients!$G$1:$BO$1))</f>
        <v>7.45259106162787E-7</v>
      </c>
      <c r="R27">
        <f t="array" aca="1" ref="R27" ca="1">INDEX([1]Coefficients!$G$180:$BO$199,_xlfn.XMATCH($E27,[1]Coefficients!$B$132:$B$151),_xlfn.XMATCH(R$2,[1]Coefficients!$G$1:$BO$1))</f>
        <v>7.45259106162787E-7</v>
      </c>
      <c r="S27">
        <f t="array" aca="1" ref="S27" ca="1">INDEX([1]Coefficients!$G$180:$BO$199,_xlfn.XMATCH($E27,[1]Coefficients!$B$132:$B$151),_xlfn.XMATCH(S$2,[1]Coefficients!$G$1:$BO$1))</f>
        <v>7.45259106162787E-7</v>
      </c>
      <c r="T27">
        <f t="array" aca="1" ref="T27" ca="1">INDEX([1]Coefficients!$G$180:$BO$199,_xlfn.XMATCH($E27,[1]Coefficients!$B$132:$B$151),_xlfn.XMATCH(T$2,[1]Coefficients!$G$1:$BO$1))</f>
        <v>7.45259106162787E-7</v>
      </c>
      <c r="U27">
        <f t="array" aca="1" ref="U27" ca="1">INDEX([1]Coefficients!$G$180:$BO$199,_xlfn.XMATCH($E27,[1]Coefficients!$B$132:$B$151),_xlfn.XMATCH(U$2,[1]Coefficients!$G$1:$BO$1))</f>
        <v>7.45259106162787E-7</v>
      </c>
      <c r="V27">
        <f t="array" aca="1" ref="V27" ca="1">INDEX([1]Coefficients!$G$180:$BO$199,_xlfn.XMATCH($E27,[1]Coefficients!$B$132:$B$151),_xlfn.XMATCH(V$2,[1]Coefficients!$G$1:$BO$1))</f>
        <v>7.45259106162787E-7</v>
      </c>
      <c r="W27">
        <f t="array" aca="1" ref="W27" ca="1">INDEX([1]Coefficients!$G$180:$BO$199,_xlfn.XMATCH($E27,[1]Coefficients!$B$132:$B$151),_xlfn.XMATCH(W$2,[1]Coefficients!$G$1:$BO$1))</f>
        <v>7.45259106162787E-7</v>
      </c>
    </row>
    <row r="28" spans="1:24" x14ac:dyDescent="0.25">
      <c r="A28" t="s">
        <v>45</v>
      </c>
      <c r="B28" t="s">
        <v>5</v>
      </c>
      <c r="C28" t="s">
        <v>15</v>
      </c>
      <c r="E28" t="s">
        <v>46</v>
      </c>
      <c r="G28" t="s">
        <v>17</v>
      </c>
      <c r="L28" t="s">
        <v>18</v>
      </c>
    </row>
    <row r="29" spans="1:24" x14ac:dyDescent="0.25">
      <c r="A29" t="s">
        <v>45</v>
      </c>
      <c r="B29" t="s">
        <v>5</v>
      </c>
      <c r="C29" t="s">
        <v>15</v>
      </c>
      <c r="E29" t="s">
        <v>46</v>
      </c>
      <c r="G29" t="s">
        <v>19</v>
      </c>
      <c r="H29" t="s">
        <v>23</v>
      </c>
    </row>
    <row r="30" spans="1:24" x14ac:dyDescent="0.25">
      <c r="A30" t="s">
        <v>45</v>
      </c>
      <c r="B30" t="s">
        <v>5</v>
      </c>
      <c r="C30" t="s">
        <v>15</v>
      </c>
      <c r="E30" t="s">
        <v>46</v>
      </c>
      <c r="G30" t="s">
        <v>24</v>
      </c>
      <c r="H30" t="b">
        <v>1</v>
      </c>
    </row>
    <row r="31" spans="1:24" x14ac:dyDescent="0.25">
      <c r="A31" t="s">
        <v>45</v>
      </c>
      <c r="B31" t="s">
        <v>5</v>
      </c>
      <c r="C31" t="s">
        <v>15</v>
      </c>
      <c r="E31" t="s">
        <v>46</v>
      </c>
      <c r="G31" t="s">
        <v>25</v>
      </c>
      <c r="K31" t="s">
        <v>26</v>
      </c>
      <c r="L31" t="s">
        <v>27</v>
      </c>
      <c r="M31">
        <f t="shared" ref="M31:W31" ca="1" si="1">M24</f>
        <v>3.3868227490873544</v>
      </c>
      <c r="N31">
        <f t="shared" ca="1" si="1"/>
        <v>3.287415745294838</v>
      </c>
      <c r="O31">
        <f t="shared" ca="1" si="1"/>
        <v>2.9891947339172846</v>
      </c>
      <c r="P31">
        <f t="shared" ca="1" si="1"/>
        <v>2.9891947339172846</v>
      </c>
      <c r="Q31">
        <f t="shared" ca="1" si="1"/>
        <v>2.9891947339172846</v>
      </c>
      <c r="R31">
        <f t="shared" ca="1" si="1"/>
        <v>2.9891947339172846</v>
      </c>
      <c r="S31">
        <f t="shared" ca="1" si="1"/>
        <v>2.9891947339172846</v>
      </c>
      <c r="T31">
        <f t="shared" ca="1" si="1"/>
        <v>2.9891947339172846</v>
      </c>
      <c r="U31">
        <f t="shared" ca="1" si="1"/>
        <v>2.9891947339172846</v>
      </c>
      <c r="V31">
        <f t="shared" ca="1" si="1"/>
        <v>2.9891947339172846</v>
      </c>
      <c r="W31">
        <f t="shared" ca="1" si="1"/>
        <v>2.9891947339172846</v>
      </c>
      <c r="X31" t="s">
        <v>44</v>
      </c>
    </row>
    <row r="32" spans="1:24" x14ac:dyDescent="0.25">
      <c r="A32" t="s">
        <v>45</v>
      </c>
      <c r="B32" t="s">
        <v>5</v>
      </c>
      <c r="C32" t="s">
        <v>15</v>
      </c>
      <c r="E32" t="s">
        <v>46</v>
      </c>
      <c r="G32" t="s">
        <v>34</v>
      </c>
      <c r="H32" t="s">
        <v>30</v>
      </c>
      <c r="I32" t="s">
        <v>47</v>
      </c>
      <c r="K32" t="s">
        <v>32</v>
      </c>
      <c r="L32" t="s">
        <v>33</v>
      </c>
      <c r="M32">
        <f t="shared" ref="M32:W32" ca="1" si="2">M25*0.75</f>
        <v>6.0068981729691169E-2</v>
      </c>
      <c r="N32">
        <f t="shared" ca="1" si="2"/>
        <v>6.2871654803176386E-2</v>
      </c>
      <c r="O32">
        <f t="shared" ca="1" si="2"/>
        <v>6.1178620558439291E-2</v>
      </c>
      <c r="P32">
        <f t="shared" ca="1" si="2"/>
        <v>6.0575265906666009E-2</v>
      </c>
      <c r="Q32">
        <f t="shared" ca="1" si="2"/>
        <v>6.1064668011213352E-2</v>
      </c>
      <c r="R32">
        <f t="shared" ca="1" si="2"/>
        <v>6.1064668011213352E-2</v>
      </c>
      <c r="S32">
        <f t="shared" ca="1" si="2"/>
        <v>6.1064668011213352E-2</v>
      </c>
      <c r="T32">
        <f t="shared" ca="1" si="2"/>
        <v>6.1064668011213352E-2</v>
      </c>
      <c r="U32">
        <f t="shared" ca="1" si="2"/>
        <v>6.1064668011213352E-2</v>
      </c>
      <c r="V32">
        <f t="shared" ca="1" si="2"/>
        <v>6.1064668011213352E-2</v>
      </c>
      <c r="W32">
        <f t="shared" ca="1" si="2"/>
        <v>6.1064668011213352E-2</v>
      </c>
    </row>
    <row r="33" spans="1:24" x14ac:dyDescent="0.25">
      <c r="A33" t="s">
        <v>45</v>
      </c>
      <c r="B33" t="s">
        <v>5</v>
      </c>
      <c r="C33" t="s">
        <v>15</v>
      </c>
      <c r="E33" t="s">
        <v>46</v>
      </c>
      <c r="G33" t="s">
        <v>34</v>
      </c>
      <c r="H33" t="s">
        <v>30</v>
      </c>
      <c r="I33" t="s">
        <v>31</v>
      </c>
      <c r="K33" t="s">
        <v>32</v>
      </c>
      <c r="L33" t="s">
        <v>33</v>
      </c>
      <c r="M33">
        <f t="shared" ref="M33:W33" ca="1" si="3">M25*0.25</f>
        <v>2.0022993909897056E-2</v>
      </c>
      <c r="N33">
        <f t="shared" ca="1" si="3"/>
        <v>2.095721826772546E-2</v>
      </c>
      <c r="O33">
        <f t="shared" ca="1" si="3"/>
        <v>2.0392873519479764E-2</v>
      </c>
      <c r="P33">
        <f t="shared" ca="1" si="3"/>
        <v>2.0191755302222003E-2</v>
      </c>
      <c r="Q33">
        <f t="shared" ca="1" si="3"/>
        <v>2.0354889337071119E-2</v>
      </c>
      <c r="R33">
        <f t="shared" ca="1" si="3"/>
        <v>2.0354889337071119E-2</v>
      </c>
      <c r="S33">
        <f t="shared" ca="1" si="3"/>
        <v>2.0354889337071119E-2</v>
      </c>
      <c r="T33">
        <f t="shared" ca="1" si="3"/>
        <v>2.0354889337071119E-2</v>
      </c>
      <c r="U33">
        <f t="shared" ca="1" si="3"/>
        <v>2.0354889337071119E-2</v>
      </c>
      <c r="V33">
        <f t="shared" ca="1" si="3"/>
        <v>2.0354889337071119E-2</v>
      </c>
      <c r="W33">
        <f t="shared" ca="1" si="3"/>
        <v>2.0354889337071119E-2</v>
      </c>
    </row>
    <row r="34" spans="1:24" x14ac:dyDescent="0.25">
      <c r="A34" t="s">
        <v>45</v>
      </c>
      <c r="B34" t="s">
        <v>5</v>
      </c>
      <c r="C34" t="s">
        <v>15</v>
      </c>
      <c r="E34" t="s">
        <v>46</v>
      </c>
      <c r="G34" t="s">
        <v>34</v>
      </c>
      <c r="H34" t="s">
        <v>35</v>
      </c>
      <c r="I34" t="s">
        <v>31</v>
      </c>
      <c r="K34" t="s">
        <v>32</v>
      </c>
      <c r="L34" t="s">
        <v>36</v>
      </c>
      <c r="M34">
        <f t="shared" ref="M34:W35" ca="1" si="4">M26</f>
        <v>1.099660992763225E-6</v>
      </c>
      <c r="N34">
        <f t="shared" ca="1" si="4"/>
        <v>1.150968508982634E-6</v>
      </c>
      <c r="O34">
        <f t="shared" ca="1" si="4"/>
        <v>1.11997474706525E-6</v>
      </c>
      <c r="P34">
        <f t="shared" ca="1" si="4"/>
        <v>1.1089293529824439E-6</v>
      </c>
      <c r="Q34">
        <f t="shared" ca="1" si="4"/>
        <v>1.1178886592441809E-6</v>
      </c>
      <c r="R34">
        <f t="shared" ca="1" si="4"/>
        <v>1.1178886592441809E-6</v>
      </c>
      <c r="S34">
        <f t="shared" ca="1" si="4"/>
        <v>1.1178886592441809E-6</v>
      </c>
      <c r="T34">
        <f t="shared" ca="1" si="4"/>
        <v>1.1178886592441809E-6</v>
      </c>
      <c r="U34">
        <f t="shared" ca="1" si="4"/>
        <v>1.1178886592441809E-6</v>
      </c>
      <c r="V34">
        <f t="shared" ca="1" si="4"/>
        <v>1.1178886592441809E-6</v>
      </c>
      <c r="W34">
        <f t="shared" ca="1" si="4"/>
        <v>1.1178886592441809E-6</v>
      </c>
    </row>
    <row r="35" spans="1:24" x14ac:dyDescent="0.25">
      <c r="A35" t="s">
        <v>45</v>
      </c>
      <c r="B35" t="s">
        <v>5</v>
      </c>
      <c r="C35" t="s">
        <v>15</v>
      </c>
      <c r="E35" t="s">
        <v>46</v>
      </c>
      <c r="G35" t="s">
        <v>34</v>
      </c>
      <c r="H35" t="s">
        <v>37</v>
      </c>
      <c r="I35" t="s">
        <v>31</v>
      </c>
      <c r="K35" t="s">
        <v>32</v>
      </c>
      <c r="L35" t="s">
        <v>38</v>
      </c>
      <c r="M35">
        <f t="shared" ca="1" si="4"/>
        <v>7.3310732850881664E-7</v>
      </c>
      <c r="N35">
        <f t="shared" ca="1" si="4"/>
        <v>7.6731233932175597E-7</v>
      </c>
      <c r="O35">
        <f t="shared" ca="1" si="4"/>
        <v>7.4664983137683352E-7</v>
      </c>
      <c r="P35">
        <f t="shared" ca="1" si="4"/>
        <v>7.3928623532162953E-7</v>
      </c>
      <c r="Q35">
        <f t="shared" ca="1" si="4"/>
        <v>7.45259106162787E-7</v>
      </c>
      <c r="R35">
        <f t="shared" ca="1" si="4"/>
        <v>7.45259106162787E-7</v>
      </c>
      <c r="S35">
        <f t="shared" ca="1" si="4"/>
        <v>7.45259106162787E-7</v>
      </c>
      <c r="T35">
        <f t="shared" ca="1" si="4"/>
        <v>7.45259106162787E-7</v>
      </c>
      <c r="U35">
        <f t="shared" ca="1" si="4"/>
        <v>7.45259106162787E-7</v>
      </c>
      <c r="V35">
        <f t="shared" ca="1" si="4"/>
        <v>7.45259106162787E-7</v>
      </c>
      <c r="W35">
        <f t="shared" ca="1" si="4"/>
        <v>7.45259106162787E-7</v>
      </c>
    </row>
    <row r="36" spans="1:24" x14ac:dyDescent="0.25">
      <c r="A36" t="s">
        <v>48</v>
      </c>
      <c r="B36" t="s">
        <v>5</v>
      </c>
      <c r="C36" t="s">
        <v>15</v>
      </c>
      <c r="E36" t="s">
        <v>49</v>
      </c>
      <c r="G36" t="s">
        <v>17</v>
      </c>
      <c r="L36" t="s">
        <v>18</v>
      </c>
    </row>
    <row r="37" spans="1:24" x14ac:dyDescent="0.25">
      <c r="A37" t="s">
        <v>48</v>
      </c>
      <c r="B37" t="s">
        <v>5</v>
      </c>
      <c r="C37" t="s">
        <v>15</v>
      </c>
      <c r="E37" t="s">
        <v>49</v>
      </c>
      <c r="G37" t="s">
        <v>19</v>
      </c>
      <c r="H37" t="s">
        <v>23</v>
      </c>
    </row>
    <row r="38" spans="1:24" x14ac:dyDescent="0.25">
      <c r="A38" t="s">
        <v>48</v>
      </c>
      <c r="B38" t="s">
        <v>5</v>
      </c>
      <c r="C38" t="s">
        <v>15</v>
      </c>
      <c r="E38" t="s">
        <v>49</v>
      </c>
      <c r="G38" t="s">
        <v>24</v>
      </c>
      <c r="H38" t="b">
        <v>1</v>
      </c>
    </row>
    <row r="39" spans="1:24" x14ac:dyDescent="0.25">
      <c r="A39" t="s">
        <v>48</v>
      </c>
      <c r="B39" t="s">
        <v>5</v>
      </c>
      <c r="C39" t="s">
        <v>15</v>
      </c>
      <c r="E39" t="s">
        <v>49</v>
      </c>
      <c r="G39" t="s">
        <v>25</v>
      </c>
      <c r="K39" t="s">
        <v>26</v>
      </c>
      <c r="L39" t="s">
        <v>27</v>
      </c>
      <c r="M39">
        <f t="array" aca="1" ref="M39" ca="1">INDEX([1]!JCIMS_prices,_xlfn.XMATCH($E39,[1]!JCIMS_prices_index),_xlfn.XMATCH(M$2,[1]!CER_year))*[1]!JCIMS_price_inflator</f>
        <v>3.4716607615953659</v>
      </c>
      <c r="N39">
        <f t="array" aca="1" ref="N39" ca="1">INDEX([1]!JCIMS_prices,_xlfn.XMATCH($E39,[1]!JCIMS_prices_index),_xlfn.XMATCH(N$2,[1]!CER_year))*[1]!JCIMS_price_inflator</f>
        <v>3.6789914519903935</v>
      </c>
      <c r="O39">
        <f t="array" aca="1" ref="O39" ca="1">INDEX([1]!JCIMS_prices,_xlfn.XMATCH($E39,[1]!JCIMS_prices_index),_xlfn.XMATCH(O$2,[1]!CER_year))*[1]!JCIMS_price_inflator</f>
        <v>4.300983523175435</v>
      </c>
      <c r="P39">
        <f t="array" aca="1" ref="P39" ca="1">INDEX([1]!JCIMS_prices,_xlfn.XMATCH($E39,[1]!JCIMS_prices_index),_xlfn.XMATCH(P$2,[1]!CER_year))*[1]!JCIMS_price_inflator</f>
        <v>4.300983523175435</v>
      </c>
      <c r="Q39">
        <f t="array" aca="1" ref="Q39" ca="1">INDEX([1]!JCIMS_prices,_xlfn.XMATCH($E39,[1]!JCIMS_prices_index),_xlfn.XMATCH(Q$2,[1]!CER_year))*[1]!JCIMS_price_inflator</f>
        <v>4.300983523175435</v>
      </c>
      <c r="R39">
        <f t="array" aca="1" ref="R39" ca="1">INDEX([1]!JCIMS_prices,_xlfn.XMATCH($E39,[1]!JCIMS_prices_index),_xlfn.XMATCH(R$2,[1]!CER_year))*[1]!JCIMS_price_inflator</f>
        <v>4.300983523175435</v>
      </c>
      <c r="S39">
        <f t="array" aca="1" ref="S39" ca="1">INDEX([1]!JCIMS_prices,_xlfn.XMATCH($E39,[1]!JCIMS_prices_index),_xlfn.XMATCH(S$2,[1]!CER_year))*[1]!JCIMS_price_inflator</f>
        <v>4.300983523175435</v>
      </c>
      <c r="T39">
        <f t="array" aca="1" ref="T39" ca="1">INDEX([1]!JCIMS_prices,_xlfn.XMATCH($E39,[1]!JCIMS_prices_index),_xlfn.XMATCH(T$2,[1]!CER_year))*[1]!JCIMS_price_inflator</f>
        <v>4.300983523175435</v>
      </c>
      <c r="U39">
        <f t="array" aca="1" ref="U39" ca="1">INDEX([1]!JCIMS_prices,_xlfn.XMATCH($E39,[1]!JCIMS_prices_index),_xlfn.XMATCH(U$2,[1]!CER_year))*[1]!JCIMS_price_inflator</f>
        <v>4.300983523175435</v>
      </c>
      <c r="V39">
        <f t="array" aca="1" ref="V39" ca="1">INDEX([1]!JCIMS_prices,_xlfn.XMATCH($E39,[1]!JCIMS_prices_index),_xlfn.XMATCH(V$2,[1]!CER_year))*[1]!JCIMS_price_inflator</f>
        <v>4.300983523175435</v>
      </c>
      <c r="W39">
        <f t="array" aca="1" ref="W39" ca="1">INDEX([1]!JCIMS_prices,_xlfn.XMATCH($E39,[1]!JCIMS_prices_index),_xlfn.XMATCH(W$2,[1]!CER_year))*[1]!JCIMS_price_inflator</f>
        <v>4.300983523175435</v>
      </c>
      <c r="X39" t="s">
        <v>50</v>
      </c>
    </row>
    <row r="40" spans="1:24" x14ac:dyDescent="0.25">
      <c r="A40" t="s">
        <v>48</v>
      </c>
      <c r="B40" t="s">
        <v>5</v>
      </c>
      <c r="C40" t="s">
        <v>15</v>
      </c>
      <c r="E40" t="s">
        <v>49</v>
      </c>
      <c r="G40" t="s">
        <v>34</v>
      </c>
      <c r="H40" t="s">
        <v>30</v>
      </c>
      <c r="I40" t="s">
        <v>31</v>
      </c>
      <c r="K40" t="s">
        <v>32</v>
      </c>
      <c r="L40" t="s">
        <v>33</v>
      </c>
      <c r="M40">
        <f t="array" aca="1" ref="M40" ca="1">INDEX([1]Coefficients!$G$132:$BO$151,_xlfn.XMATCH($E40,[1]Coefficients!$B$132:$B$151),_xlfn.XMATCH(M$2,[1]Coefficients!$G$1:$BO$1))</f>
        <v>0.11005896543936711</v>
      </c>
      <c r="N40">
        <f t="array" aca="1" ref="N40" ca="1">INDEX([1]Coefficients!$G$132:$BO$151,_xlfn.XMATCH($E40,[1]Coefficients!$B$132:$B$151),_xlfn.XMATCH(N$2,[1]Coefficients!$G$1:$BO$1))</f>
        <v>0.1100589661174718</v>
      </c>
      <c r="O40">
        <f t="array" aca="1" ref="O40" ca="1">INDEX([1]Coefficients!$G$132:$BO$151,_xlfn.XMATCH($E40,[1]Coefficients!$B$132:$B$151),_xlfn.XMATCH(O$2,[1]Coefficients!$G$1:$BO$1))</f>
        <v>0.1100589852473792</v>
      </c>
      <c r="P40">
        <f t="array" aca="1" ref="P40" ca="1">INDEX([1]Coefficients!$G$132:$BO$151,_xlfn.XMATCH($E40,[1]Coefficients!$B$132:$B$151),_xlfn.XMATCH(P$2,[1]Coefficients!$G$1:$BO$1))</f>
        <v>0.1100589696490938</v>
      </c>
      <c r="Q40">
        <f t="array" aca="1" ref="Q40" ca="1">INDEX([1]Coefficients!$G$132:$BO$151,_xlfn.XMATCH($E40,[1]Coefficients!$B$132:$B$151),_xlfn.XMATCH(Q$2,[1]Coefficients!$G$1:$BO$1))</f>
        <v>0.11005896413461121</v>
      </c>
      <c r="R40">
        <f t="array" aca="1" ref="R40" ca="1">INDEX([1]Coefficients!$G$132:$BO$151,_xlfn.XMATCH($E40,[1]Coefficients!$B$132:$B$151),_xlfn.XMATCH(R$2,[1]Coefficients!$G$1:$BO$1))</f>
        <v>0.11005896413461121</v>
      </c>
      <c r="S40">
        <f t="array" aca="1" ref="S40" ca="1">INDEX([1]Coefficients!$G$132:$BO$151,_xlfn.XMATCH($E40,[1]Coefficients!$B$132:$B$151),_xlfn.XMATCH(S$2,[1]Coefficients!$G$1:$BO$1))</f>
        <v>0.11005896413461121</v>
      </c>
      <c r="T40">
        <f t="array" aca="1" ref="T40" ca="1">INDEX([1]Coefficients!$G$132:$BO$151,_xlfn.XMATCH($E40,[1]Coefficients!$B$132:$B$151),_xlfn.XMATCH(T$2,[1]Coefficients!$G$1:$BO$1))</f>
        <v>0.11005896413461121</v>
      </c>
      <c r="U40">
        <f t="array" aca="1" ref="U40" ca="1">INDEX([1]Coefficients!$G$132:$BO$151,_xlfn.XMATCH($E40,[1]Coefficients!$B$132:$B$151),_xlfn.XMATCH(U$2,[1]Coefficients!$G$1:$BO$1))</f>
        <v>0.11005896413461121</v>
      </c>
      <c r="V40">
        <f t="array" aca="1" ref="V40" ca="1">INDEX([1]Coefficients!$G$132:$BO$151,_xlfn.XMATCH($E40,[1]Coefficients!$B$132:$B$151),_xlfn.XMATCH(V$2,[1]Coefficients!$G$1:$BO$1))</f>
        <v>0.11005896413461121</v>
      </c>
      <c r="W40">
        <f t="array" aca="1" ref="W40" ca="1">INDEX([1]Coefficients!$G$132:$BO$151,_xlfn.XMATCH($E40,[1]Coefficients!$B$132:$B$151),_xlfn.XMATCH(W$2,[1]Coefficients!$G$1:$BO$1))</f>
        <v>0.11005896413461121</v>
      </c>
    </row>
    <row r="41" spans="1:24" x14ac:dyDescent="0.25">
      <c r="A41" t="s">
        <v>48</v>
      </c>
      <c r="B41" t="s">
        <v>5</v>
      </c>
      <c r="C41" t="s">
        <v>15</v>
      </c>
      <c r="E41" t="s">
        <v>49</v>
      </c>
      <c r="G41" t="s">
        <v>34</v>
      </c>
      <c r="H41" t="s">
        <v>35</v>
      </c>
      <c r="I41" t="s">
        <v>31</v>
      </c>
      <c r="K41" t="s">
        <v>32</v>
      </c>
      <c r="L41" t="s">
        <v>36</v>
      </c>
      <c r="M41">
        <f t="array" aca="1" ref="M41" ca="1">INDEX([1]Coefficients!$G$156:$BO$175,_xlfn.XMATCH($E41,[1]Coefficients!$B$132:$B$151),_xlfn.XMATCH(M$2,[1]Coefficients!$G$1:$BO$1))</f>
        <v>1.040582717674445E-6</v>
      </c>
      <c r="N41">
        <f t="array" aca="1" ref="N41" ca="1">INDEX([1]Coefficients!$G$156:$BO$175,_xlfn.XMATCH($E41,[1]Coefficients!$B$132:$B$151),_xlfn.XMATCH(N$2,[1]Coefficients!$G$1:$BO$1))</f>
        <v>1.0405827240857721E-6</v>
      </c>
      <c r="O41">
        <f t="array" aca="1" ref="O41" ca="1">INDEX([1]Coefficients!$G$156:$BO$175,_xlfn.XMATCH($E41,[1]Coefficients!$B$132:$B$151),_xlfn.XMATCH(O$2,[1]Coefficients!$G$1:$BO$1))</f>
        <v>1.040582904954736E-6</v>
      </c>
      <c r="P41">
        <f t="array" aca="1" ref="P41" ca="1">INDEX([1]Coefficients!$G$156:$BO$175,_xlfn.XMATCH($E41,[1]Coefficients!$B$132:$B$151),_xlfn.XMATCH(P$2,[1]Coefficients!$G$1:$BO$1))</f>
        <v>1.040582757476462E-6</v>
      </c>
      <c r="Q41">
        <f t="array" aca="1" ref="Q41" ca="1">INDEX([1]Coefficients!$G$156:$BO$175,_xlfn.XMATCH($E41,[1]Coefficients!$B$132:$B$151),_xlfn.XMATCH(Q$2,[1]Coefficients!$G$1:$BO$1))</f>
        <v>1.040582705338272E-6</v>
      </c>
      <c r="R41">
        <f t="array" aca="1" ref="R41" ca="1">INDEX([1]Coefficients!$G$156:$BO$175,_xlfn.XMATCH($E41,[1]Coefficients!$B$132:$B$151),_xlfn.XMATCH(R$2,[1]Coefficients!$G$1:$BO$1))</f>
        <v>1.040582705338272E-6</v>
      </c>
      <c r="S41">
        <f t="array" aca="1" ref="S41" ca="1">INDEX([1]Coefficients!$G$156:$BO$175,_xlfn.XMATCH($E41,[1]Coefficients!$B$132:$B$151),_xlfn.XMATCH(S$2,[1]Coefficients!$G$1:$BO$1))</f>
        <v>1.040582705338272E-6</v>
      </c>
      <c r="T41">
        <f t="array" aca="1" ref="T41" ca="1">INDEX([1]Coefficients!$G$156:$BO$175,_xlfn.XMATCH($E41,[1]Coefficients!$B$132:$B$151),_xlfn.XMATCH(T$2,[1]Coefficients!$G$1:$BO$1))</f>
        <v>1.040582705338272E-6</v>
      </c>
      <c r="U41">
        <f t="array" aca="1" ref="U41" ca="1">INDEX([1]Coefficients!$G$156:$BO$175,_xlfn.XMATCH($E41,[1]Coefficients!$B$132:$B$151),_xlfn.XMATCH(U$2,[1]Coefficients!$G$1:$BO$1))</f>
        <v>1.040582705338272E-6</v>
      </c>
      <c r="V41">
        <f t="array" aca="1" ref="V41" ca="1">INDEX([1]Coefficients!$G$156:$BO$175,_xlfn.XMATCH($E41,[1]Coefficients!$B$132:$B$151),_xlfn.XMATCH(V$2,[1]Coefficients!$G$1:$BO$1))</f>
        <v>1.040582705338272E-6</v>
      </c>
      <c r="W41">
        <f t="array" aca="1" ref="W41" ca="1">INDEX([1]Coefficients!$G$156:$BO$175,_xlfn.XMATCH($E41,[1]Coefficients!$B$132:$B$151),_xlfn.XMATCH(W$2,[1]Coefficients!$G$1:$BO$1))</f>
        <v>1.040582705338272E-6</v>
      </c>
    </row>
    <row r="42" spans="1:24" x14ac:dyDescent="0.25">
      <c r="A42" t="s">
        <v>48</v>
      </c>
      <c r="B42" t="s">
        <v>5</v>
      </c>
      <c r="C42" t="s">
        <v>15</v>
      </c>
      <c r="E42" t="s">
        <v>49</v>
      </c>
      <c r="G42" t="s">
        <v>34</v>
      </c>
      <c r="H42" t="s">
        <v>37</v>
      </c>
      <c r="I42" t="s">
        <v>31</v>
      </c>
      <c r="K42" t="s">
        <v>32</v>
      </c>
      <c r="L42" t="s">
        <v>38</v>
      </c>
      <c r="M42">
        <f t="array" aca="1" ref="M42" ca="1">INDEX([1]Coefficients!$G$180:$BO$199,_xlfn.XMATCH($E42,[1]Coefficients!$B$132:$B$151),_xlfn.XMATCH(M$2,[1]Coefficients!$G$1:$BO$1))</f>
        <v>6.9372181178296311E-7</v>
      </c>
      <c r="N42">
        <f t="array" aca="1" ref="N42" ca="1">INDEX([1]Coefficients!$G$180:$BO$199,_xlfn.XMATCH($E42,[1]Coefficients!$B$132:$B$151),_xlfn.XMATCH(N$2,[1]Coefficients!$G$1:$BO$1))</f>
        <v>6.9372181605718157E-7</v>
      </c>
      <c r="O42">
        <f t="array" aca="1" ref="O42" ca="1">INDEX([1]Coefficients!$G$180:$BO$199,_xlfn.XMATCH($E42,[1]Coefficients!$B$132:$B$151),_xlfn.XMATCH(O$2,[1]Coefficients!$G$1:$BO$1))</f>
        <v>6.937219366364905E-7</v>
      </c>
      <c r="P42">
        <f t="array" aca="1" ref="P42" ca="1">INDEX([1]Coefficients!$G$180:$BO$199,_xlfn.XMATCH($E42,[1]Coefficients!$B$132:$B$151),_xlfn.XMATCH(P$2,[1]Coefficients!$G$1:$BO$1))</f>
        <v>6.9372183831764121E-7</v>
      </c>
      <c r="Q42">
        <f t="array" aca="1" ref="Q42" ca="1">INDEX([1]Coefficients!$G$180:$BO$199,_xlfn.XMATCH($E42,[1]Coefficients!$B$132:$B$151),_xlfn.XMATCH(Q$2,[1]Coefficients!$G$1:$BO$1))</f>
        <v>6.9372180355884812E-7</v>
      </c>
      <c r="R42">
        <f t="array" aca="1" ref="R42" ca="1">INDEX([1]Coefficients!$G$180:$BO$199,_xlfn.XMATCH($E42,[1]Coefficients!$B$132:$B$151),_xlfn.XMATCH(R$2,[1]Coefficients!$G$1:$BO$1))</f>
        <v>6.9372180355884812E-7</v>
      </c>
      <c r="S42">
        <f t="array" aca="1" ref="S42" ca="1">INDEX([1]Coefficients!$G$180:$BO$199,_xlfn.XMATCH($E42,[1]Coefficients!$B$132:$B$151),_xlfn.XMATCH(S$2,[1]Coefficients!$G$1:$BO$1))</f>
        <v>6.9372180355884812E-7</v>
      </c>
      <c r="T42">
        <f t="array" aca="1" ref="T42" ca="1">INDEX([1]Coefficients!$G$180:$BO$199,_xlfn.XMATCH($E42,[1]Coefficients!$B$132:$B$151),_xlfn.XMATCH(T$2,[1]Coefficients!$G$1:$BO$1))</f>
        <v>6.9372180355884812E-7</v>
      </c>
      <c r="U42">
        <f t="array" aca="1" ref="U42" ca="1">INDEX([1]Coefficients!$G$180:$BO$199,_xlfn.XMATCH($E42,[1]Coefficients!$B$132:$B$151),_xlfn.XMATCH(U$2,[1]Coefficients!$G$1:$BO$1))</f>
        <v>6.9372180355884812E-7</v>
      </c>
      <c r="V42">
        <f t="array" aca="1" ref="V42" ca="1">INDEX([1]Coefficients!$G$180:$BO$199,_xlfn.XMATCH($E42,[1]Coefficients!$B$132:$B$151),_xlfn.XMATCH(V$2,[1]Coefficients!$G$1:$BO$1))</f>
        <v>6.9372180355884812E-7</v>
      </c>
      <c r="W42">
        <f t="array" aca="1" ref="W42" ca="1">INDEX([1]Coefficients!$G$180:$BO$199,_xlfn.XMATCH($E42,[1]Coefficients!$B$132:$B$151),_xlfn.XMATCH(W$2,[1]Coefficients!$G$1:$BO$1))</f>
        <v>6.9372180355884812E-7</v>
      </c>
    </row>
    <row r="43" spans="1:24" x14ac:dyDescent="0.25">
      <c r="A43" t="s">
        <v>51</v>
      </c>
      <c r="B43" t="s">
        <v>5</v>
      </c>
      <c r="C43" t="s">
        <v>15</v>
      </c>
      <c r="E43" t="s">
        <v>52</v>
      </c>
      <c r="G43" t="s">
        <v>17</v>
      </c>
      <c r="L43" t="s">
        <v>18</v>
      </c>
    </row>
    <row r="44" spans="1:24" x14ac:dyDescent="0.25">
      <c r="A44" t="s">
        <v>51</v>
      </c>
      <c r="B44" t="s">
        <v>5</v>
      </c>
      <c r="C44" t="s">
        <v>15</v>
      </c>
      <c r="E44" t="s">
        <v>52</v>
      </c>
      <c r="G44" t="s">
        <v>19</v>
      </c>
      <c r="H44" t="s">
        <v>23</v>
      </c>
    </row>
    <row r="45" spans="1:24" x14ac:dyDescent="0.25">
      <c r="A45" t="s">
        <v>51</v>
      </c>
      <c r="B45" t="s">
        <v>5</v>
      </c>
      <c r="C45" t="s">
        <v>15</v>
      </c>
      <c r="E45" t="s">
        <v>52</v>
      </c>
      <c r="G45" t="s">
        <v>24</v>
      </c>
      <c r="H45" t="b">
        <v>1</v>
      </c>
    </row>
    <row r="46" spans="1:24" x14ac:dyDescent="0.25">
      <c r="A46" t="s">
        <v>51</v>
      </c>
      <c r="B46" t="s">
        <v>5</v>
      </c>
      <c r="C46" t="s">
        <v>15</v>
      </c>
      <c r="E46" t="s">
        <v>52</v>
      </c>
      <c r="G46" t="s">
        <v>25</v>
      </c>
      <c r="K46" t="s">
        <v>53</v>
      </c>
      <c r="L46" t="s">
        <v>27</v>
      </c>
      <c r="M46">
        <f t="array" aca="1" ref="M46" ca="1">ROUND(INDEX([1]!CER_prices,_xlfn.XMATCH("CAN"&amp;"Transportation"&amp;$A46,[1]!CER_prices_index),_xlfn.XMATCH(M$2,[1]!CER_year)),2)</f>
        <v>32.72</v>
      </c>
      <c r="N46">
        <f t="array" aca="1" ref="N46" ca="1">ROUND(INDEX([1]!CER_prices,_xlfn.XMATCH("CAN"&amp;"Transportation"&amp;$A46,[1]!CER_prices_index),_xlfn.XMATCH(N$2,[1]!CER_year)),2)</f>
        <v>33.14</v>
      </c>
      <c r="O46">
        <f t="array" aca="1" ref="O46" ca="1">ROUND(INDEX([1]!CER_prices,_xlfn.XMATCH("CAN"&amp;"Transportation"&amp;$A46,[1]!CER_prices_index),_xlfn.XMATCH(O$2,[1]!CER_year)),2)</f>
        <v>35.07</v>
      </c>
      <c r="P46">
        <f t="array" aca="1" ref="P46" ca="1">ROUND(INDEX([1]!CER_prices,_xlfn.XMATCH("CAN"&amp;"Transportation"&amp;$A46,[1]!CER_prices_index),_xlfn.XMATCH(P$2,[1]!CER_year)),2)</f>
        <v>33.75</v>
      </c>
      <c r="Q46">
        <f t="array" aca="1" ref="Q46" ca="1">ROUND(INDEX([1]!CER_prices,_xlfn.XMATCH("CAN"&amp;"Transportation"&amp;$A46,[1]!CER_prices_index),_xlfn.XMATCH(Q$2,[1]!CER_year)),2)</f>
        <v>32.799999999999997</v>
      </c>
      <c r="R46">
        <f t="array" aca="1" ref="R46" ca="1">ROUND(INDEX([1]!CER_prices,_xlfn.XMATCH("CAN"&amp;"Transportation"&amp;$A46,[1]!CER_prices_index),_xlfn.XMATCH(R$2,[1]!CER_year)),2)</f>
        <v>33.53</v>
      </c>
      <c r="S46">
        <f t="array" aca="1" ref="S46" ca="1">ROUND(INDEX([1]!CER_prices,_xlfn.XMATCH("CAN"&amp;"Transportation"&amp;$A46,[1]!CER_prices_index),_xlfn.XMATCH(S$2,[1]!CER_year)),2)</f>
        <v>33.299999999999997</v>
      </c>
      <c r="T46">
        <f t="array" aca="1" ref="T46" ca="1">ROUND(INDEX([1]!CER_prices,_xlfn.XMATCH("CAN"&amp;"Transportation"&amp;$A46,[1]!CER_prices_index),_xlfn.XMATCH(T$2,[1]!CER_year)),2)</f>
        <v>34.14</v>
      </c>
      <c r="U46">
        <f t="array" aca="1" ref="U46" ca="1">ROUND(INDEX([1]!CER_prices,_xlfn.XMATCH("CAN"&amp;"Transportation"&amp;$A46,[1]!CER_prices_index),_xlfn.XMATCH(U$2,[1]!CER_year)),2)</f>
        <v>35.31</v>
      </c>
      <c r="V46">
        <f t="array" aca="1" ref="V46" ca="1">ROUND(INDEX([1]!CER_prices,_xlfn.XMATCH("CAN"&amp;"Transportation"&amp;$A46,[1]!CER_prices_index),_xlfn.XMATCH(V$2,[1]!CER_year)),2)</f>
        <v>34.270000000000003</v>
      </c>
      <c r="W46">
        <f t="array" aca="1" ref="W46" ca="1">ROUND(INDEX([1]!CER_prices,_xlfn.XMATCH("CAN"&amp;"Transportation"&amp;$A46,[1]!CER_prices_index),_xlfn.XMATCH(W$2,[1]!CER_year)),2)</f>
        <v>32.58</v>
      </c>
      <c r="X46" t="s">
        <v>54</v>
      </c>
    </row>
    <row r="47" spans="1:24" x14ac:dyDescent="0.25">
      <c r="A47" t="s">
        <v>51</v>
      </c>
      <c r="B47" t="s">
        <v>5</v>
      </c>
      <c r="C47" t="s">
        <v>15</v>
      </c>
      <c r="E47" t="s">
        <v>52</v>
      </c>
      <c r="G47" t="s">
        <v>34</v>
      </c>
      <c r="H47" t="s">
        <v>30</v>
      </c>
      <c r="I47" t="s">
        <v>31</v>
      </c>
      <c r="K47" t="s">
        <v>32</v>
      </c>
      <c r="L47" t="s">
        <v>33</v>
      </c>
      <c r="M47">
        <f t="array" aca="1" ref="M47" ca="1">INDEX([1]Coefficients!$G$132:$BO$151,_xlfn.XMATCH($E47,[1]Coefficients!$B$132:$B$151),_xlfn.XMATCH(M$2,[1]Coefficients!$G$1:$BO$1))</f>
        <v>6.9545118551339213E-2</v>
      </c>
      <c r="N47">
        <f t="array" aca="1" ref="N47" ca="1">INDEX([1]Coefficients!$G$132:$BO$151,_xlfn.XMATCH($E47,[1]Coefficients!$B$132:$B$151),_xlfn.XMATCH(N$2,[1]Coefficients!$G$1:$BO$1))</f>
        <v>7.0235111930450358E-2</v>
      </c>
      <c r="O47">
        <f t="array" aca="1" ref="O47" ca="1">INDEX([1]Coefficients!$G$132:$BO$151,_xlfn.XMATCH($E47,[1]Coefficients!$B$132:$B$151),_xlfn.XMATCH(O$2,[1]Coefficients!$G$1:$BO$1))</f>
        <v>7.0235079897689179E-2</v>
      </c>
      <c r="P47">
        <f t="array" aca="1" ref="P47" ca="1">INDEX([1]Coefficients!$G$132:$BO$151,_xlfn.XMATCH($E47,[1]Coefficients!$B$132:$B$151),_xlfn.XMATCH(P$2,[1]Coefficients!$G$1:$BO$1))</f>
        <v>7.023507865734982E-2</v>
      </c>
      <c r="Q47">
        <f t="array" aca="1" ref="Q47" ca="1">INDEX([1]Coefficients!$G$132:$BO$151,_xlfn.XMATCH($E47,[1]Coefficients!$B$132:$B$151),_xlfn.XMATCH(Q$2,[1]Coefficients!$G$1:$BO$1))</f>
        <v>7.023511852444228E-2</v>
      </c>
      <c r="R47">
        <f t="array" aca="1" ref="R47" ca="1">INDEX([1]Coefficients!$G$132:$BO$151,_xlfn.XMATCH($E47,[1]Coefficients!$B$132:$B$151),_xlfn.XMATCH(R$2,[1]Coefficients!$G$1:$BO$1))</f>
        <v>7.023511852444228E-2</v>
      </c>
      <c r="S47">
        <f t="array" aca="1" ref="S47" ca="1">INDEX([1]Coefficients!$G$132:$BO$151,_xlfn.XMATCH($E47,[1]Coefficients!$B$132:$B$151),_xlfn.XMATCH(S$2,[1]Coefficients!$G$1:$BO$1))</f>
        <v>7.023511852444228E-2</v>
      </c>
      <c r="T47">
        <f t="array" aca="1" ref="T47" ca="1">INDEX([1]Coefficients!$G$132:$BO$151,_xlfn.XMATCH($E47,[1]Coefficients!$B$132:$B$151),_xlfn.XMATCH(T$2,[1]Coefficients!$G$1:$BO$1))</f>
        <v>7.023511852444228E-2</v>
      </c>
      <c r="U47">
        <f t="array" aca="1" ref="U47" ca="1">INDEX([1]Coefficients!$G$132:$BO$151,_xlfn.XMATCH($E47,[1]Coefficients!$B$132:$B$151),_xlfn.XMATCH(U$2,[1]Coefficients!$G$1:$BO$1))</f>
        <v>7.023511852444228E-2</v>
      </c>
      <c r="V47">
        <f t="array" aca="1" ref="V47" ca="1">INDEX([1]Coefficients!$G$132:$BO$151,_xlfn.XMATCH($E47,[1]Coefficients!$B$132:$B$151),_xlfn.XMATCH(V$2,[1]Coefficients!$G$1:$BO$1))</f>
        <v>7.023511852444228E-2</v>
      </c>
      <c r="W47">
        <f t="array" aca="1" ref="W47" ca="1">INDEX([1]Coefficients!$G$132:$BO$151,_xlfn.XMATCH($E47,[1]Coefficients!$B$132:$B$151),_xlfn.XMATCH(W$2,[1]Coefficients!$G$1:$BO$1))</f>
        <v>7.023511852444228E-2</v>
      </c>
    </row>
    <row r="48" spans="1:24" x14ac:dyDescent="0.25">
      <c r="A48" t="s">
        <v>51</v>
      </c>
      <c r="B48" t="s">
        <v>5</v>
      </c>
      <c r="C48" t="s">
        <v>15</v>
      </c>
      <c r="E48" t="s">
        <v>52</v>
      </c>
      <c r="G48" t="s">
        <v>34</v>
      </c>
      <c r="H48" t="s">
        <v>35</v>
      </c>
      <c r="I48" t="s">
        <v>31</v>
      </c>
      <c r="K48" t="s">
        <v>32</v>
      </c>
      <c r="L48" t="s">
        <v>36</v>
      </c>
      <c r="M48">
        <f t="array" aca="1" ref="M48" ca="1">INDEX([1]Coefficients!$G$156:$BO$175,_xlfn.XMATCH($E48,[1]Coefficients!$B$132:$B$151),_xlfn.XMATCH(M$2,[1]Coefficients!$G$1:$BO$1))</f>
        <v>3.4384761216833141E-6</v>
      </c>
      <c r="N48">
        <f t="array" aca="1" ref="N48" ca="1">INDEX([1]Coefficients!$G$156:$BO$175,_xlfn.XMATCH($E48,[1]Coefficients!$B$132:$B$151),_xlfn.XMATCH(N$2,[1]Coefficients!$G$1:$BO$1))</f>
        <v>3.472591035966505E-6</v>
      </c>
      <c r="O48">
        <f t="array" aca="1" ref="O48" ca="1">INDEX([1]Coefficients!$G$156:$BO$175,_xlfn.XMATCH($E48,[1]Coefficients!$B$132:$B$151),_xlfn.XMATCH(O$2,[1]Coefficients!$G$1:$BO$1))</f>
        <v>3.472589452190581E-6</v>
      </c>
      <c r="P48">
        <f t="array" aca="1" ref="P48" ca="1">INDEX([1]Coefficients!$G$156:$BO$175,_xlfn.XMATCH($E48,[1]Coefficients!$B$132:$B$151),_xlfn.XMATCH(P$2,[1]Coefficients!$G$1:$BO$1))</f>
        <v>3.472589390865252E-6</v>
      </c>
      <c r="Q48">
        <f t="array" aca="1" ref="Q48" ca="1">INDEX([1]Coefficients!$G$156:$BO$175,_xlfn.XMATCH($E48,[1]Coefficients!$B$132:$B$151),_xlfn.XMATCH(Q$2,[1]Coefficients!$G$1:$BO$1))</f>
        <v>3.472591361989154E-6</v>
      </c>
      <c r="R48">
        <f t="array" aca="1" ref="R48" ca="1">INDEX([1]Coefficients!$G$156:$BO$175,_xlfn.XMATCH($E48,[1]Coefficients!$B$132:$B$151),_xlfn.XMATCH(R$2,[1]Coefficients!$G$1:$BO$1))</f>
        <v>3.472591361989154E-6</v>
      </c>
      <c r="S48">
        <f t="array" aca="1" ref="S48" ca="1">INDEX([1]Coefficients!$G$156:$BO$175,_xlfn.XMATCH($E48,[1]Coefficients!$B$132:$B$151),_xlfn.XMATCH(S$2,[1]Coefficients!$G$1:$BO$1))</f>
        <v>3.472591361989154E-6</v>
      </c>
      <c r="T48">
        <f t="array" aca="1" ref="T48" ca="1">INDEX([1]Coefficients!$G$156:$BO$175,_xlfn.XMATCH($E48,[1]Coefficients!$B$132:$B$151),_xlfn.XMATCH(T$2,[1]Coefficients!$G$1:$BO$1))</f>
        <v>3.472591361989154E-6</v>
      </c>
      <c r="U48">
        <f t="array" aca="1" ref="U48" ca="1">INDEX([1]Coefficients!$G$156:$BO$175,_xlfn.XMATCH($E48,[1]Coefficients!$B$132:$B$151),_xlfn.XMATCH(U$2,[1]Coefficients!$G$1:$BO$1))</f>
        <v>3.472591361989154E-6</v>
      </c>
      <c r="V48">
        <f t="array" aca="1" ref="V48" ca="1">INDEX([1]Coefficients!$G$156:$BO$175,_xlfn.XMATCH($E48,[1]Coefficients!$B$132:$B$151),_xlfn.XMATCH(V$2,[1]Coefficients!$G$1:$BO$1))</f>
        <v>3.472591361989154E-6</v>
      </c>
      <c r="W48">
        <f t="array" aca="1" ref="W48" ca="1">INDEX([1]Coefficients!$G$156:$BO$175,_xlfn.XMATCH($E48,[1]Coefficients!$B$132:$B$151),_xlfn.XMATCH(W$2,[1]Coefficients!$G$1:$BO$1))</f>
        <v>3.472591361989154E-6</v>
      </c>
    </row>
    <row r="49" spans="1:24" x14ac:dyDescent="0.25">
      <c r="A49" t="s">
        <v>51</v>
      </c>
      <c r="B49" t="s">
        <v>5</v>
      </c>
      <c r="C49" t="s">
        <v>15</v>
      </c>
      <c r="E49" t="s">
        <v>52</v>
      </c>
      <c r="G49" t="s">
        <v>34</v>
      </c>
      <c r="H49" t="s">
        <v>37</v>
      </c>
      <c r="I49" t="s">
        <v>31</v>
      </c>
      <c r="K49" t="s">
        <v>32</v>
      </c>
      <c r="L49" t="s">
        <v>38</v>
      </c>
      <c r="M49">
        <f t="array" aca="1" ref="M49" ca="1">INDEX([1]Coefficients!$G$180:$BO$199,_xlfn.XMATCH($E49,[1]Coefficients!$B$132:$B$151),_xlfn.XMATCH(M$2,[1]Coefficients!$G$1:$BO$1))</f>
        <v>1.034128156897237E-5</v>
      </c>
      <c r="N49">
        <f t="array" aca="1" ref="N49" ca="1">INDEX([1]Coefficients!$G$180:$BO$199,_xlfn.XMATCH($E49,[1]Coefficients!$B$132:$B$151),_xlfn.XMATCH(N$2,[1]Coefficients!$G$1:$BO$1))</f>
        <v>1.0443882814936861E-5</v>
      </c>
      <c r="O49">
        <f t="array" aca="1" ref="O49" ca="1">INDEX([1]Coefficients!$G$180:$BO$199,_xlfn.XMATCH($E49,[1]Coefficients!$B$132:$B$151),_xlfn.XMATCH(O$2,[1]Coefficients!$G$1:$BO$1))</f>
        <v>1.044387805170099E-5</v>
      </c>
      <c r="P49">
        <f t="array" aca="1" ref="P49" ca="1">INDEX([1]Coefficients!$G$180:$BO$199,_xlfn.XMATCH($E49,[1]Coefficients!$B$132:$B$151),_xlfn.XMATCH(P$2,[1]Coefficients!$G$1:$BO$1))</f>
        <v>1.044387786726391E-5</v>
      </c>
      <c r="Q49">
        <f t="array" aca="1" ref="Q49" ca="1">INDEX([1]Coefficients!$G$180:$BO$199,_xlfn.XMATCH($E49,[1]Coefficients!$B$132:$B$151),_xlfn.XMATCH(Q$2,[1]Coefficients!$G$1:$BO$1))</f>
        <v>1.04438837954561E-5</v>
      </c>
      <c r="R49">
        <f t="array" aca="1" ref="R49" ca="1">INDEX([1]Coefficients!$G$180:$BO$199,_xlfn.XMATCH($E49,[1]Coefficients!$B$132:$B$151),_xlfn.XMATCH(R$2,[1]Coefficients!$G$1:$BO$1))</f>
        <v>1.04438837954561E-5</v>
      </c>
      <c r="S49">
        <f t="array" aca="1" ref="S49" ca="1">INDEX([1]Coefficients!$G$180:$BO$199,_xlfn.XMATCH($E49,[1]Coefficients!$B$132:$B$151),_xlfn.XMATCH(S$2,[1]Coefficients!$G$1:$BO$1))</f>
        <v>1.04438837954561E-5</v>
      </c>
      <c r="T49">
        <f t="array" aca="1" ref="T49" ca="1">INDEX([1]Coefficients!$G$180:$BO$199,_xlfn.XMATCH($E49,[1]Coefficients!$B$132:$B$151),_xlfn.XMATCH(T$2,[1]Coefficients!$G$1:$BO$1))</f>
        <v>1.04438837954561E-5</v>
      </c>
      <c r="U49">
        <f t="array" aca="1" ref="U49" ca="1">INDEX([1]Coefficients!$G$180:$BO$199,_xlfn.XMATCH($E49,[1]Coefficients!$B$132:$B$151),_xlfn.XMATCH(U$2,[1]Coefficients!$G$1:$BO$1))</f>
        <v>1.04438837954561E-5</v>
      </c>
      <c r="V49">
        <f t="array" aca="1" ref="V49" ca="1">INDEX([1]Coefficients!$G$180:$BO$199,_xlfn.XMATCH($E49,[1]Coefficients!$B$132:$B$151),_xlfn.XMATCH(V$2,[1]Coefficients!$G$1:$BO$1))</f>
        <v>1.04438837954561E-5</v>
      </c>
      <c r="W49">
        <f t="array" aca="1" ref="W49" ca="1">INDEX([1]Coefficients!$G$180:$BO$199,_xlfn.XMATCH($E49,[1]Coefficients!$B$132:$B$151),_xlfn.XMATCH(W$2,[1]Coefficients!$G$1:$BO$1))</f>
        <v>1.04438837954561E-5</v>
      </c>
    </row>
    <row r="50" spans="1:24" x14ac:dyDescent="0.25">
      <c r="A50" t="s">
        <v>55</v>
      </c>
      <c r="B50" t="s">
        <v>5</v>
      </c>
      <c r="C50" t="s">
        <v>15</v>
      </c>
      <c r="E50" t="s">
        <v>56</v>
      </c>
      <c r="G50" t="s">
        <v>17</v>
      </c>
      <c r="L50" t="s">
        <v>18</v>
      </c>
    </row>
    <row r="51" spans="1:24" x14ac:dyDescent="0.25">
      <c r="A51" t="s">
        <v>55</v>
      </c>
      <c r="B51" t="s">
        <v>5</v>
      </c>
      <c r="C51" t="s">
        <v>15</v>
      </c>
      <c r="E51" t="s">
        <v>56</v>
      </c>
      <c r="G51" t="s">
        <v>19</v>
      </c>
      <c r="H51" t="s">
        <v>23</v>
      </c>
    </row>
    <row r="52" spans="1:24" x14ac:dyDescent="0.25">
      <c r="A52" t="s">
        <v>55</v>
      </c>
      <c r="B52" t="s">
        <v>5</v>
      </c>
      <c r="C52" t="s">
        <v>15</v>
      </c>
      <c r="E52" t="s">
        <v>56</v>
      </c>
      <c r="G52" t="s">
        <v>24</v>
      </c>
      <c r="H52" t="b">
        <v>1</v>
      </c>
    </row>
    <row r="53" spans="1:24" x14ac:dyDescent="0.25">
      <c r="A53" t="s">
        <v>55</v>
      </c>
      <c r="B53" t="s">
        <v>5</v>
      </c>
      <c r="C53" t="s">
        <v>15</v>
      </c>
      <c r="E53" t="s">
        <v>56</v>
      </c>
      <c r="G53" t="s">
        <v>25</v>
      </c>
      <c r="K53" t="s">
        <v>53</v>
      </c>
      <c r="L53" t="s">
        <v>27</v>
      </c>
      <c r="M53" cm="1">
        <f t="array" aca="1" ref="M53" ca="1">ROUND(INDEX([1]!CER_prices,_xlfn.XMATCH("CAN"&amp;"Industrial"&amp;$A53,[1]!CER_prices_index),_xlfn.XMATCH(M$2,[1]!CER_year)),2)</f>
        <v>14.71</v>
      </c>
      <c r="N53">
        <f t="array" aca="1" ref="N53" ca="1">ROUND(INDEX([1]!CER_prices,_xlfn.XMATCH("CAN"&amp;"Industrial"&amp;$A53,[1]!CER_prices_index),_xlfn.XMATCH(N$2,[1]!CER_year)),2)</f>
        <v>16.170000000000002</v>
      </c>
      <c r="O53">
        <f t="array" aca="1" ref="O53" ca="1">ROUND(INDEX([1]!CER_prices,_xlfn.XMATCH("CAN"&amp;"Industrial"&amp;$A53,[1]!CER_prices_index),_xlfn.XMATCH(O$2,[1]!CER_year)),2)</f>
        <v>20.72</v>
      </c>
      <c r="P53">
        <f t="array" aca="1" ref="P53" ca="1">ROUND(INDEX([1]!CER_prices,_xlfn.XMATCH("CAN"&amp;"Industrial"&amp;$A53,[1]!CER_prices_index),_xlfn.XMATCH(P$2,[1]!CER_year)),2)</f>
        <v>21.31</v>
      </c>
      <c r="Q53">
        <f t="array" aca="1" ref="Q53" ca="1">ROUND(INDEX([1]!CER_prices,_xlfn.XMATCH("CAN"&amp;"Industrial"&amp;$A53,[1]!CER_prices_index),_xlfn.XMATCH(Q$2,[1]!CER_year)),2)</f>
        <v>23.23</v>
      </c>
      <c r="R53">
        <f t="array" aca="1" ref="R53" ca="1">ROUND(INDEX([1]!CER_prices,_xlfn.XMATCH("CAN"&amp;"Industrial"&amp;$A53,[1]!CER_prices_index),_xlfn.XMATCH(R$2,[1]!CER_year)),2)</f>
        <v>26.3</v>
      </c>
      <c r="S53">
        <f t="array" aca="1" ref="S53" ca="1">ROUND(INDEX([1]!CER_prices,_xlfn.XMATCH("CAN"&amp;"Industrial"&amp;$A53,[1]!CER_prices_index),_xlfn.XMATCH(S$2,[1]!CER_year)),2)</f>
        <v>26.77</v>
      </c>
      <c r="T53">
        <f t="array" aca="1" ref="T53" ca="1">ROUND(INDEX([1]!CER_prices,_xlfn.XMATCH("CAN"&amp;"Industrial"&amp;$A53,[1]!CER_prices_index),_xlfn.XMATCH(T$2,[1]!CER_year)),2)</f>
        <v>29</v>
      </c>
      <c r="U53">
        <f t="array" aca="1" ref="U53" ca="1">ROUND(INDEX([1]!CER_prices,_xlfn.XMATCH("CAN"&amp;"Industrial"&amp;$A53,[1]!CER_prices_index),_xlfn.XMATCH(U$2,[1]!CER_year)),2)</f>
        <v>32.090000000000003</v>
      </c>
      <c r="V53">
        <f t="array" aca="1" ref="V53" ca="1">ROUND(INDEX([1]!CER_prices,_xlfn.XMATCH("CAN"&amp;"Industrial"&amp;$A53,[1]!CER_prices_index),_xlfn.XMATCH(V$2,[1]!CER_year)),2)</f>
        <v>34.49</v>
      </c>
      <c r="W53">
        <f t="array" aca="1" ref="W53" ca="1">ROUND(INDEX([1]!CER_prices,_xlfn.XMATCH("CAN"&amp;"Industrial"&amp;$A53,[1]!CER_prices_index),_xlfn.XMATCH(W$2,[1]!CER_year)),2)</f>
        <v>35.49</v>
      </c>
      <c r="X53" t="s">
        <v>57</v>
      </c>
    </row>
    <row r="54" spans="1:24" x14ac:dyDescent="0.25">
      <c r="A54" t="s">
        <v>55</v>
      </c>
      <c r="B54" t="s">
        <v>5</v>
      </c>
      <c r="C54" t="s">
        <v>15</v>
      </c>
      <c r="E54" t="s">
        <v>56</v>
      </c>
      <c r="G54" t="s">
        <v>34</v>
      </c>
      <c r="H54" t="s">
        <v>30</v>
      </c>
      <c r="I54" t="s">
        <v>31</v>
      </c>
      <c r="K54" t="s">
        <v>32</v>
      </c>
      <c r="L54" t="s">
        <v>33</v>
      </c>
      <c r="M54">
        <f t="array" aca="1" ref="M54" ca="1">INDEX([1]Coefficients!$G$132:$BO$151,_xlfn.XMATCH($E54,[1]Coefficients!$B$132:$B$151),_xlfn.XMATCH(M$2,[1]Coefficients!$G$1:$BO$1))</f>
        <v>7.4258820594561403E-2</v>
      </c>
      <c r="N54">
        <f t="array" aca="1" ref="N54" ca="1">INDEX([1]Coefficients!$G$132:$BO$151,_xlfn.XMATCH($E54,[1]Coefficients!$B$132:$B$151),_xlfn.XMATCH(N$2,[1]Coefficients!$G$1:$BO$1))</f>
        <v>7.4258832926937329E-2</v>
      </c>
      <c r="O54">
        <f t="array" aca="1" ref="O54" ca="1">INDEX([1]Coefficients!$G$132:$BO$151,_xlfn.XMATCH($E54,[1]Coefficients!$B$132:$B$151),_xlfn.XMATCH(O$2,[1]Coefficients!$G$1:$BO$1))</f>
        <v>7.4258830425409775E-2</v>
      </c>
      <c r="P54">
        <f t="array" aca="1" ref="P54" ca="1">INDEX([1]Coefficients!$G$132:$BO$151,_xlfn.XMATCH($E54,[1]Coefficients!$B$132:$B$151),_xlfn.XMATCH(P$2,[1]Coefficients!$G$1:$BO$1))</f>
        <v>7.4258813837745491E-2</v>
      </c>
      <c r="Q54">
        <f t="array" aca="1" ref="Q54" ca="1">INDEX([1]Coefficients!$G$132:$BO$151,_xlfn.XMATCH($E54,[1]Coefficients!$B$132:$B$151),_xlfn.XMATCH(Q$2,[1]Coefficients!$G$1:$BO$1))</f>
        <v>7.4259150432924262E-2</v>
      </c>
      <c r="R54">
        <f t="array" aca="1" ref="R54" ca="1">INDEX([1]Coefficients!$G$132:$BO$151,_xlfn.XMATCH($E54,[1]Coefficients!$B$132:$B$151),_xlfn.XMATCH(R$2,[1]Coefficients!$G$1:$BO$1))</f>
        <v>7.4259150432924262E-2</v>
      </c>
      <c r="S54">
        <f t="array" aca="1" ref="S54" ca="1">INDEX([1]Coefficients!$G$132:$BO$151,_xlfn.XMATCH($E54,[1]Coefficients!$B$132:$B$151),_xlfn.XMATCH(S$2,[1]Coefficients!$G$1:$BO$1))</f>
        <v>7.4259150432924262E-2</v>
      </c>
      <c r="T54">
        <f t="array" aca="1" ref="T54" ca="1">INDEX([1]Coefficients!$G$132:$BO$151,_xlfn.XMATCH($E54,[1]Coefficients!$B$132:$B$151),_xlfn.XMATCH(T$2,[1]Coefficients!$G$1:$BO$1))</f>
        <v>7.4259150432924262E-2</v>
      </c>
      <c r="U54">
        <f t="array" aca="1" ref="U54" ca="1">INDEX([1]Coefficients!$G$132:$BO$151,_xlfn.XMATCH($E54,[1]Coefficients!$B$132:$B$151),_xlfn.XMATCH(U$2,[1]Coefficients!$G$1:$BO$1))</f>
        <v>7.4259150432924262E-2</v>
      </c>
      <c r="V54">
        <f t="array" aca="1" ref="V54" ca="1">INDEX([1]Coefficients!$G$132:$BO$151,_xlfn.XMATCH($E54,[1]Coefficients!$B$132:$B$151),_xlfn.XMATCH(V$2,[1]Coefficients!$G$1:$BO$1))</f>
        <v>7.4259150432924262E-2</v>
      </c>
      <c r="W54">
        <f t="array" aca="1" ref="W54" ca="1">INDEX([1]Coefficients!$G$132:$BO$151,_xlfn.XMATCH($E54,[1]Coefficients!$B$132:$B$151),_xlfn.XMATCH(W$2,[1]Coefficients!$G$1:$BO$1))</f>
        <v>7.4259150432924262E-2</v>
      </c>
    </row>
    <row r="55" spans="1:24" x14ac:dyDescent="0.25">
      <c r="A55" t="s">
        <v>55</v>
      </c>
      <c r="B55" t="s">
        <v>5</v>
      </c>
      <c r="C55" t="s">
        <v>15</v>
      </c>
      <c r="E55" t="s">
        <v>56</v>
      </c>
      <c r="G55" t="s">
        <v>34</v>
      </c>
      <c r="H55" t="s">
        <v>35</v>
      </c>
      <c r="I55" t="s">
        <v>31</v>
      </c>
      <c r="K55" t="s">
        <v>32</v>
      </c>
      <c r="L55" t="s">
        <v>36</v>
      </c>
      <c r="M55">
        <f t="array" aca="1" ref="M55" ca="1">INDEX([1]Coefficients!$G$156:$BO$175,_xlfn.XMATCH($E55,[1]Coefficients!$B$132:$B$151),_xlfn.XMATCH(M$2,[1]Coefficients!$G$1:$BO$1))</f>
        <v>2.8235293001734369E-6</v>
      </c>
      <c r="N55">
        <f t="array" aca="1" ref="N55" ca="1">INDEX([1]Coefficients!$G$156:$BO$175,_xlfn.XMATCH($E55,[1]Coefficients!$B$132:$B$151),_xlfn.XMATCH(N$2,[1]Coefficients!$G$1:$BO$1))</f>
        <v>2.8235297690850701E-6</v>
      </c>
      <c r="O55">
        <f t="array" aca="1" ref="O55" ca="1">INDEX([1]Coefficients!$G$156:$BO$175,_xlfn.XMATCH($E55,[1]Coefficients!$B$132:$B$151),_xlfn.XMATCH(O$2,[1]Coefficients!$G$1:$BO$1))</f>
        <v>2.8235296739699528E-6</v>
      </c>
      <c r="P55">
        <f t="array" aca="1" ref="P55" ca="1">INDEX([1]Coefficients!$G$156:$BO$175,_xlfn.XMATCH($E55,[1]Coefficients!$B$132:$B$151),_xlfn.XMATCH(P$2,[1]Coefficients!$G$1:$BO$1))</f>
        <v>2.8235290432602849E-6</v>
      </c>
      <c r="Q55">
        <f t="array" aca="1" ref="Q55" ca="1">INDEX([1]Coefficients!$G$156:$BO$175,_xlfn.XMATCH($E55,[1]Coefficients!$B$132:$B$151),_xlfn.XMATCH(Q$2,[1]Coefficients!$G$1:$BO$1))</f>
        <v>2.8235418415560562E-6</v>
      </c>
      <c r="R55">
        <f t="array" aca="1" ref="R55" ca="1">INDEX([1]Coefficients!$G$156:$BO$175,_xlfn.XMATCH($E55,[1]Coefficients!$B$132:$B$151),_xlfn.XMATCH(R$2,[1]Coefficients!$G$1:$BO$1))</f>
        <v>2.8235418415560562E-6</v>
      </c>
      <c r="S55">
        <f t="array" aca="1" ref="S55" ca="1">INDEX([1]Coefficients!$G$156:$BO$175,_xlfn.XMATCH($E55,[1]Coefficients!$B$132:$B$151),_xlfn.XMATCH(S$2,[1]Coefficients!$G$1:$BO$1))</f>
        <v>2.8235418415560562E-6</v>
      </c>
      <c r="T55">
        <f t="array" aca="1" ref="T55" ca="1">INDEX([1]Coefficients!$G$156:$BO$175,_xlfn.XMATCH($E55,[1]Coefficients!$B$132:$B$151),_xlfn.XMATCH(T$2,[1]Coefficients!$G$1:$BO$1))</f>
        <v>2.8235418415560562E-6</v>
      </c>
      <c r="U55">
        <f t="array" aca="1" ref="U55" ca="1">INDEX([1]Coefficients!$G$156:$BO$175,_xlfn.XMATCH($E55,[1]Coefficients!$B$132:$B$151),_xlfn.XMATCH(U$2,[1]Coefficients!$G$1:$BO$1))</f>
        <v>2.8235418415560562E-6</v>
      </c>
      <c r="V55">
        <f t="array" aca="1" ref="V55" ca="1">INDEX([1]Coefficients!$G$156:$BO$175,_xlfn.XMATCH($E55,[1]Coefficients!$B$132:$B$151),_xlfn.XMATCH(V$2,[1]Coefficients!$G$1:$BO$1))</f>
        <v>2.8235418415560562E-6</v>
      </c>
      <c r="W55">
        <f t="array" aca="1" ref="W55" ca="1">INDEX([1]Coefficients!$G$156:$BO$175,_xlfn.XMATCH($E55,[1]Coefficients!$B$132:$B$151),_xlfn.XMATCH(W$2,[1]Coefficients!$G$1:$BO$1))</f>
        <v>2.8235418415560562E-6</v>
      </c>
    </row>
    <row r="56" spans="1:24" x14ac:dyDescent="0.25">
      <c r="A56" t="s">
        <v>55</v>
      </c>
      <c r="B56" t="s">
        <v>5</v>
      </c>
      <c r="C56" t="s">
        <v>15</v>
      </c>
      <c r="E56" t="s">
        <v>56</v>
      </c>
      <c r="G56" t="s">
        <v>34</v>
      </c>
      <c r="H56" t="s">
        <v>37</v>
      </c>
      <c r="I56" t="s">
        <v>31</v>
      </c>
      <c r="K56" t="s">
        <v>32</v>
      </c>
      <c r="L56" t="s">
        <v>38</v>
      </c>
      <c r="M56">
        <f t="array" aca="1" ref="M56" ca="1">INDEX([1]Coefficients!$G$180:$BO$199,_xlfn.XMATCH($E56,[1]Coefficients!$B$132:$B$151),_xlfn.XMATCH(M$2,[1]Coefficients!$G$1:$BO$1))</f>
        <v>1.505882293425833E-6</v>
      </c>
      <c r="N56">
        <f t="array" aca="1" ref="N56" ca="1">INDEX([1]Coefficients!$G$180:$BO$199,_xlfn.XMATCH($E56,[1]Coefficients!$B$132:$B$151),_xlfn.XMATCH(N$2,[1]Coefficients!$G$1:$BO$1))</f>
        <v>1.5058825435120371E-6</v>
      </c>
      <c r="O56">
        <f t="array" aca="1" ref="O56" ca="1">INDEX([1]Coefficients!$G$180:$BO$199,_xlfn.XMATCH($E56,[1]Coefficients!$B$132:$B$151),_xlfn.XMATCH(O$2,[1]Coefficients!$G$1:$BO$1))</f>
        <v>1.505882492783975E-6</v>
      </c>
      <c r="P56">
        <f t="array" aca="1" ref="P56" ca="1">INDEX([1]Coefficients!$G$180:$BO$199,_xlfn.XMATCH($E56,[1]Coefficients!$B$132:$B$151),_xlfn.XMATCH(P$2,[1]Coefficients!$G$1:$BO$1))</f>
        <v>1.505882156405485E-6</v>
      </c>
      <c r="Q56">
        <f t="array" aca="1" ref="Q56" ca="1">INDEX([1]Coefficients!$G$180:$BO$199,_xlfn.XMATCH($E56,[1]Coefficients!$B$132:$B$151),_xlfn.XMATCH(Q$2,[1]Coefficients!$G$1:$BO$1))</f>
        <v>1.5058889821632299E-6</v>
      </c>
      <c r="R56">
        <f t="array" aca="1" ref="R56" ca="1">INDEX([1]Coefficients!$G$180:$BO$199,_xlfn.XMATCH($E56,[1]Coefficients!$B$132:$B$151),_xlfn.XMATCH(R$2,[1]Coefficients!$G$1:$BO$1))</f>
        <v>1.5058889821632299E-6</v>
      </c>
      <c r="S56">
        <f t="array" aca="1" ref="S56" ca="1">INDEX([1]Coefficients!$G$180:$BO$199,_xlfn.XMATCH($E56,[1]Coefficients!$B$132:$B$151),_xlfn.XMATCH(S$2,[1]Coefficients!$G$1:$BO$1))</f>
        <v>1.5058889821632299E-6</v>
      </c>
      <c r="T56">
        <f t="array" aca="1" ref="T56" ca="1">INDEX([1]Coefficients!$G$180:$BO$199,_xlfn.XMATCH($E56,[1]Coefficients!$B$132:$B$151),_xlfn.XMATCH(T$2,[1]Coefficients!$G$1:$BO$1))</f>
        <v>1.5058889821632299E-6</v>
      </c>
      <c r="U56">
        <f t="array" aca="1" ref="U56" ca="1">INDEX([1]Coefficients!$G$180:$BO$199,_xlfn.XMATCH($E56,[1]Coefficients!$B$132:$B$151),_xlfn.XMATCH(U$2,[1]Coefficients!$G$1:$BO$1))</f>
        <v>1.5058889821632299E-6</v>
      </c>
      <c r="V56">
        <f t="array" aca="1" ref="V56" ca="1">INDEX([1]Coefficients!$G$180:$BO$199,_xlfn.XMATCH($E56,[1]Coefficients!$B$132:$B$151),_xlfn.XMATCH(V$2,[1]Coefficients!$G$1:$BO$1))</f>
        <v>1.5058889821632299E-6</v>
      </c>
      <c r="W56">
        <f t="array" aca="1" ref="W56" ca="1">INDEX([1]Coefficients!$G$180:$BO$199,_xlfn.XMATCH($E56,[1]Coefficients!$B$132:$B$151),_xlfn.XMATCH(W$2,[1]Coefficients!$G$1:$BO$1))</f>
        <v>1.5058889821632299E-6</v>
      </c>
    </row>
    <row r="57" spans="1:24" x14ac:dyDescent="0.25">
      <c r="A57" t="s">
        <v>58</v>
      </c>
      <c r="B57" t="s">
        <v>5</v>
      </c>
      <c r="C57" t="s">
        <v>15</v>
      </c>
      <c r="E57" t="s">
        <v>59</v>
      </c>
      <c r="G57" t="s">
        <v>17</v>
      </c>
      <c r="L57" t="s">
        <v>18</v>
      </c>
    </row>
    <row r="58" spans="1:24" x14ac:dyDescent="0.25">
      <c r="A58" t="s">
        <v>58</v>
      </c>
      <c r="B58" t="s">
        <v>5</v>
      </c>
      <c r="C58" t="s">
        <v>15</v>
      </c>
      <c r="E58" t="s">
        <v>59</v>
      </c>
      <c r="G58" t="s">
        <v>19</v>
      </c>
      <c r="H58" t="s">
        <v>23</v>
      </c>
    </row>
    <row r="59" spans="1:24" x14ac:dyDescent="0.25">
      <c r="A59" t="s">
        <v>58</v>
      </c>
      <c r="B59" t="s">
        <v>5</v>
      </c>
      <c r="C59" t="s">
        <v>15</v>
      </c>
      <c r="E59" t="s">
        <v>59</v>
      </c>
      <c r="G59" t="s">
        <v>24</v>
      </c>
      <c r="H59" t="b">
        <v>1</v>
      </c>
    </row>
    <row r="60" spans="1:24" x14ac:dyDescent="0.25">
      <c r="A60" t="s">
        <v>58</v>
      </c>
      <c r="B60" t="s">
        <v>5</v>
      </c>
      <c r="C60" t="s">
        <v>15</v>
      </c>
      <c r="E60" t="s">
        <v>59</v>
      </c>
      <c r="G60" t="s">
        <v>25</v>
      </c>
      <c r="K60" t="s">
        <v>53</v>
      </c>
      <c r="L60" t="s">
        <v>27</v>
      </c>
      <c r="M60">
        <f t="array" aca="1" ref="M60" ca="1">ROUND(INDEX([1]!CER_prices,_xlfn.XMATCH("CAN"&amp;"Transportation"&amp;$A60,[1]!CER_prices_index),_xlfn.XMATCH(M$2,[1]!CER_year)),2)</f>
        <v>34.94</v>
      </c>
      <c r="N60">
        <f t="array" aca="1" ref="N60" ca="1">ROUND(INDEX([1]!CER_prices,_xlfn.XMATCH("CAN"&amp;"Transportation"&amp;$A60,[1]!CER_prices_index),_xlfn.XMATCH(N$2,[1]!CER_year)),2)</f>
        <v>35.29</v>
      </c>
      <c r="O60">
        <f t="array" aca="1" ref="O60" ca="1">ROUND(INDEX([1]!CER_prices,_xlfn.XMATCH("CAN"&amp;"Transportation"&amp;$A60,[1]!CER_prices_index),_xlfn.XMATCH(O$2,[1]!CER_year)),2)</f>
        <v>37.36</v>
      </c>
      <c r="P60">
        <f t="array" aca="1" ref="P60" ca="1">ROUND(INDEX([1]!CER_prices,_xlfn.XMATCH("CAN"&amp;"Transportation"&amp;$A60,[1]!CER_prices_index),_xlfn.XMATCH(P$2,[1]!CER_year)),2)</f>
        <v>36.04</v>
      </c>
      <c r="Q60">
        <f t="array" aca="1" ref="Q60" ca="1">ROUND(INDEX([1]!CER_prices,_xlfn.XMATCH("CAN"&amp;"Transportation"&amp;$A60,[1]!CER_prices_index),_xlfn.XMATCH(Q$2,[1]!CER_year)),2)</f>
        <v>35.950000000000003</v>
      </c>
      <c r="R60">
        <f t="array" aca="1" ref="R60" ca="1">ROUND(INDEX([1]!CER_prices,_xlfn.XMATCH("CAN"&amp;"Transportation"&amp;$A60,[1]!CER_prices_index),_xlfn.XMATCH(R$2,[1]!CER_year)),2)</f>
        <v>37.700000000000003</v>
      </c>
      <c r="S60">
        <f t="array" aca="1" ref="S60" ca="1">ROUND(INDEX([1]!CER_prices,_xlfn.XMATCH("CAN"&amp;"Transportation"&amp;$A60,[1]!CER_prices_index),_xlfn.XMATCH(S$2,[1]!CER_year)),2)</f>
        <v>37.57</v>
      </c>
      <c r="T60">
        <f t="array" aca="1" ref="T60" ca="1">ROUND(INDEX([1]!CER_prices,_xlfn.XMATCH("CAN"&amp;"Transportation"&amp;$A60,[1]!CER_prices_index),_xlfn.XMATCH(T$2,[1]!CER_year)),2)</f>
        <v>39.65</v>
      </c>
      <c r="U60">
        <f t="array" aca="1" ref="U60" ca="1">ROUND(INDEX([1]!CER_prices,_xlfn.XMATCH("CAN"&amp;"Transportation"&amp;$A60,[1]!CER_prices_index),_xlfn.XMATCH(U$2,[1]!CER_year)),2)</f>
        <v>43.86</v>
      </c>
      <c r="V60">
        <f t="array" aca="1" ref="V60" ca="1">ROUND(INDEX([1]!CER_prices,_xlfn.XMATCH("CAN"&amp;"Transportation"&amp;$A60,[1]!CER_prices_index),_xlfn.XMATCH(V$2,[1]!CER_year)),2)</f>
        <v>48.53</v>
      </c>
      <c r="W60">
        <f t="array" aca="1" ref="W60" ca="1">ROUND(INDEX([1]!CER_prices,_xlfn.XMATCH("CAN"&amp;"Transportation"&amp;$A60,[1]!CER_prices_index),_xlfn.XMATCH(W$2,[1]!CER_year)),2)</f>
        <v>50.89</v>
      </c>
      <c r="X60" t="s">
        <v>54</v>
      </c>
    </row>
    <row r="61" spans="1:24" x14ac:dyDescent="0.25">
      <c r="A61" t="s">
        <v>58</v>
      </c>
      <c r="B61" t="s">
        <v>5</v>
      </c>
      <c r="C61" t="s">
        <v>15</v>
      </c>
      <c r="E61" t="s">
        <v>59</v>
      </c>
      <c r="G61" t="s">
        <v>34</v>
      </c>
      <c r="H61" t="s">
        <v>30</v>
      </c>
      <c r="I61" t="s">
        <v>31</v>
      </c>
      <c r="K61" t="s">
        <v>32</v>
      </c>
      <c r="L61" t="s">
        <v>33</v>
      </c>
      <c r="M61">
        <f t="array" aca="1" ref="M61" ca="1">INDEX([1]Coefficients!$G$132:$BO$151,_xlfn.XMATCH($E61,[1]Coefficients!$B$132:$B$151),_xlfn.XMATCH(M$2,[1]Coefficients!$G$1:$BO$1))</f>
        <v>6.6820544015017649E-2</v>
      </c>
      <c r="N61">
        <f t="array" aca="1" ref="N61" ca="1">INDEX([1]Coefficients!$G$132:$BO$151,_xlfn.XMATCH($E61,[1]Coefficients!$B$132:$B$151),_xlfn.XMATCH(N$2,[1]Coefficients!$G$1:$BO$1))</f>
        <v>6.617145172090251E-2</v>
      </c>
      <c r="O61">
        <f t="array" aca="1" ref="O61" ca="1">INDEX([1]Coefficients!$G$132:$BO$151,_xlfn.XMATCH($E61,[1]Coefficients!$B$132:$B$151),_xlfn.XMATCH(O$2,[1]Coefficients!$G$1:$BO$1))</f>
        <v>6.6171385002939842E-2</v>
      </c>
      <c r="P61">
        <f t="array" aca="1" ref="P61" ca="1">INDEX([1]Coefficients!$G$132:$BO$151,_xlfn.XMATCH($E61,[1]Coefficients!$B$132:$B$151),_xlfn.XMATCH(P$2,[1]Coefficients!$G$1:$BO$1))</f>
        <v>6.6171491685726766E-2</v>
      </c>
      <c r="Q61">
        <f t="array" aca="1" ref="Q61" ca="1">INDEX([1]Coefficients!$G$132:$BO$151,_xlfn.XMATCH($E61,[1]Coefficients!$B$132:$B$151),_xlfn.XMATCH(Q$2,[1]Coefficients!$G$1:$BO$1))</f>
        <v>6.6171498750999591E-2</v>
      </c>
      <c r="R61">
        <f t="array" aca="1" ref="R61" ca="1">INDEX([1]Coefficients!$G$132:$BO$151,_xlfn.XMATCH($E61,[1]Coefficients!$B$132:$B$151),_xlfn.XMATCH(R$2,[1]Coefficients!$G$1:$BO$1))</f>
        <v>6.6171498750999591E-2</v>
      </c>
      <c r="S61">
        <f t="array" aca="1" ref="S61" ca="1">INDEX([1]Coefficients!$G$132:$BO$151,_xlfn.XMATCH($E61,[1]Coefficients!$B$132:$B$151),_xlfn.XMATCH(S$2,[1]Coefficients!$G$1:$BO$1))</f>
        <v>6.6171498750999591E-2</v>
      </c>
      <c r="T61">
        <f t="array" aca="1" ref="T61" ca="1">INDEX([1]Coefficients!$G$132:$BO$151,_xlfn.XMATCH($E61,[1]Coefficients!$B$132:$B$151),_xlfn.XMATCH(T$2,[1]Coefficients!$G$1:$BO$1))</f>
        <v>6.6171498750999591E-2</v>
      </c>
      <c r="U61">
        <f t="array" aca="1" ref="U61" ca="1">INDEX([1]Coefficients!$G$132:$BO$151,_xlfn.XMATCH($E61,[1]Coefficients!$B$132:$B$151),_xlfn.XMATCH(U$2,[1]Coefficients!$G$1:$BO$1))</f>
        <v>6.6171498750999591E-2</v>
      </c>
      <c r="V61">
        <f t="array" aca="1" ref="V61" ca="1">INDEX([1]Coefficients!$G$132:$BO$151,_xlfn.XMATCH($E61,[1]Coefficients!$B$132:$B$151),_xlfn.XMATCH(V$2,[1]Coefficients!$G$1:$BO$1))</f>
        <v>6.6171498750999591E-2</v>
      </c>
      <c r="W61">
        <f t="array" aca="1" ref="W61" ca="1">INDEX([1]Coefficients!$G$132:$BO$151,_xlfn.XMATCH($E61,[1]Coefficients!$B$132:$B$151),_xlfn.XMATCH(W$2,[1]Coefficients!$G$1:$BO$1))</f>
        <v>6.6171498750999591E-2</v>
      </c>
    </row>
    <row r="62" spans="1:24" x14ac:dyDescent="0.25">
      <c r="A62" t="s">
        <v>58</v>
      </c>
      <c r="B62" t="s">
        <v>5</v>
      </c>
      <c r="C62" t="s">
        <v>15</v>
      </c>
      <c r="E62" t="s">
        <v>59</v>
      </c>
      <c r="G62" t="s">
        <v>34</v>
      </c>
      <c r="H62" t="s">
        <v>35</v>
      </c>
      <c r="I62" t="s">
        <v>31</v>
      </c>
      <c r="K62" t="s">
        <v>32</v>
      </c>
      <c r="L62" t="s">
        <v>36</v>
      </c>
      <c r="M62">
        <f t="array" aca="1" ref="M62" ca="1">INDEX([1]Coefficients!$G$156:$BO$175,_xlfn.XMATCH($E62,[1]Coefficients!$B$132:$B$151),_xlfn.XMATCH(M$2,[1]Coefficients!$G$1:$BO$1))</f>
        <v>2.8851702942581019E-6</v>
      </c>
      <c r="N62">
        <f t="array" aca="1" ref="N62" ca="1">INDEX([1]Coefficients!$G$156:$BO$175,_xlfn.XMATCH($E62,[1]Coefficients!$B$132:$B$151),_xlfn.XMATCH(N$2,[1]Coefficients!$G$1:$BO$1))</f>
        <v>2.8571438566883642E-6</v>
      </c>
      <c r="O62">
        <f t="array" aca="1" ref="O62" ca="1">INDEX([1]Coefficients!$G$156:$BO$175,_xlfn.XMATCH($E62,[1]Coefficients!$B$132:$B$151),_xlfn.XMATCH(O$2,[1]Coefficients!$G$1:$BO$1))</f>
        <v>2.8571409759473159E-6</v>
      </c>
      <c r="P62">
        <f t="array" aca="1" ref="P62" ca="1">INDEX([1]Coefficients!$G$156:$BO$175,_xlfn.XMATCH($E62,[1]Coefficients!$B$132:$B$151),_xlfn.XMATCH(P$2,[1]Coefficients!$G$1:$BO$1))</f>
        <v>2.857145582285266E-6</v>
      </c>
      <c r="Q62">
        <f t="array" aca="1" ref="Q62" ca="1">INDEX([1]Coefficients!$G$156:$BO$175,_xlfn.XMATCH($E62,[1]Coefficients!$B$132:$B$151),_xlfn.XMATCH(Q$2,[1]Coefficients!$G$1:$BO$1))</f>
        <v>2.8571458873488601E-6</v>
      </c>
      <c r="R62">
        <f t="array" aca="1" ref="R62" ca="1">INDEX([1]Coefficients!$G$156:$BO$175,_xlfn.XMATCH($E62,[1]Coefficients!$B$132:$B$151),_xlfn.XMATCH(R$2,[1]Coefficients!$G$1:$BO$1))</f>
        <v>2.8571458873488601E-6</v>
      </c>
      <c r="S62">
        <f t="array" aca="1" ref="S62" ca="1">INDEX([1]Coefficients!$G$156:$BO$175,_xlfn.XMATCH($E62,[1]Coefficients!$B$132:$B$151),_xlfn.XMATCH(S$2,[1]Coefficients!$G$1:$BO$1))</f>
        <v>2.8571458873488601E-6</v>
      </c>
      <c r="T62">
        <f t="array" aca="1" ref="T62" ca="1">INDEX([1]Coefficients!$G$156:$BO$175,_xlfn.XMATCH($E62,[1]Coefficients!$B$132:$B$151),_xlfn.XMATCH(T$2,[1]Coefficients!$G$1:$BO$1))</f>
        <v>2.8571458873488601E-6</v>
      </c>
      <c r="U62">
        <f t="array" aca="1" ref="U62" ca="1">INDEX([1]Coefficients!$G$156:$BO$175,_xlfn.XMATCH($E62,[1]Coefficients!$B$132:$B$151),_xlfn.XMATCH(U$2,[1]Coefficients!$G$1:$BO$1))</f>
        <v>2.8571458873488601E-6</v>
      </c>
      <c r="V62">
        <f t="array" aca="1" ref="V62" ca="1">INDEX([1]Coefficients!$G$156:$BO$175,_xlfn.XMATCH($E62,[1]Coefficients!$B$132:$B$151),_xlfn.XMATCH(V$2,[1]Coefficients!$G$1:$BO$1))</f>
        <v>2.8571458873488601E-6</v>
      </c>
      <c r="W62">
        <f t="array" aca="1" ref="W62" ca="1">INDEX([1]Coefficients!$G$156:$BO$175,_xlfn.XMATCH($E62,[1]Coefficients!$B$132:$B$151),_xlfn.XMATCH(W$2,[1]Coefficients!$G$1:$BO$1))</f>
        <v>2.8571458873488601E-6</v>
      </c>
    </row>
    <row r="63" spans="1:24" x14ac:dyDescent="0.25">
      <c r="A63" t="s">
        <v>58</v>
      </c>
      <c r="B63" t="s">
        <v>5</v>
      </c>
      <c r="C63" t="s">
        <v>15</v>
      </c>
      <c r="E63" t="s">
        <v>59</v>
      </c>
      <c r="G63" t="s">
        <v>34</v>
      </c>
      <c r="H63" t="s">
        <v>37</v>
      </c>
      <c r="I63" t="s">
        <v>31</v>
      </c>
      <c r="K63" t="s">
        <v>32</v>
      </c>
      <c r="L63" t="s">
        <v>38</v>
      </c>
      <c r="M63">
        <f t="array" aca="1" ref="M63" ca="1">INDEX([1]Coefficients!$G$180:$BO$199,_xlfn.XMATCH($E63,[1]Coefficients!$B$132:$B$151),_xlfn.XMATCH(M$2,[1]Coefficients!$G$1:$BO$1))</f>
        <v>5.7703405885162051E-7</v>
      </c>
      <c r="N63">
        <f t="array" aca="1" ref="N63" ca="1">INDEX([1]Coefficients!$G$180:$BO$199,_xlfn.XMATCH($E63,[1]Coefficients!$B$132:$B$151),_xlfn.XMATCH(N$2,[1]Coefficients!$G$1:$BO$1))</f>
        <v>5.7142877133767288E-7</v>
      </c>
      <c r="O63">
        <f t="array" aca="1" ref="O63" ca="1">INDEX([1]Coefficients!$G$180:$BO$199,_xlfn.XMATCH($E63,[1]Coefficients!$B$132:$B$151),_xlfn.XMATCH(O$2,[1]Coefficients!$G$1:$BO$1))</f>
        <v>5.7142819518946321E-7</v>
      </c>
      <c r="P63">
        <f t="array" aca="1" ref="P63" ca="1">INDEX([1]Coefficients!$G$180:$BO$199,_xlfn.XMATCH($E63,[1]Coefficients!$B$132:$B$151),_xlfn.XMATCH(P$2,[1]Coefficients!$G$1:$BO$1))</f>
        <v>5.7142911645705326E-7</v>
      </c>
      <c r="Q63">
        <f t="array" aca="1" ref="Q63" ca="1">INDEX([1]Coefficients!$G$180:$BO$199,_xlfn.XMATCH($E63,[1]Coefficients!$B$132:$B$151),_xlfn.XMATCH(Q$2,[1]Coefficients!$G$1:$BO$1))</f>
        <v>5.71429177469772E-7</v>
      </c>
      <c r="R63">
        <f t="array" aca="1" ref="R63" ca="1">INDEX([1]Coefficients!$G$180:$BO$199,_xlfn.XMATCH($E63,[1]Coefficients!$B$132:$B$151),_xlfn.XMATCH(R$2,[1]Coefficients!$G$1:$BO$1))</f>
        <v>5.71429177469772E-7</v>
      </c>
      <c r="S63">
        <f t="array" aca="1" ref="S63" ca="1">INDEX([1]Coefficients!$G$180:$BO$199,_xlfn.XMATCH($E63,[1]Coefficients!$B$132:$B$151),_xlfn.XMATCH(S$2,[1]Coefficients!$G$1:$BO$1))</f>
        <v>5.71429177469772E-7</v>
      </c>
      <c r="T63">
        <f t="array" aca="1" ref="T63" ca="1">INDEX([1]Coefficients!$G$180:$BO$199,_xlfn.XMATCH($E63,[1]Coefficients!$B$132:$B$151),_xlfn.XMATCH(T$2,[1]Coefficients!$G$1:$BO$1))</f>
        <v>5.71429177469772E-7</v>
      </c>
      <c r="U63">
        <f t="array" aca="1" ref="U63" ca="1">INDEX([1]Coefficients!$G$180:$BO$199,_xlfn.XMATCH($E63,[1]Coefficients!$B$132:$B$151),_xlfn.XMATCH(U$2,[1]Coefficients!$G$1:$BO$1))</f>
        <v>5.71429177469772E-7</v>
      </c>
      <c r="V63">
        <f t="array" aca="1" ref="V63" ca="1">INDEX([1]Coefficients!$G$180:$BO$199,_xlfn.XMATCH($E63,[1]Coefficients!$B$132:$B$151),_xlfn.XMATCH(V$2,[1]Coefficients!$G$1:$BO$1))</f>
        <v>5.71429177469772E-7</v>
      </c>
      <c r="W63">
        <f t="array" aca="1" ref="W63" ca="1">INDEX([1]Coefficients!$G$180:$BO$199,_xlfn.XMATCH($E63,[1]Coefficients!$B$132:$B$151),_xlfn.XMATCH(W$2,[1]Coefficients!$G$1:$BO$1))</f>
        <v>5.71429177469772E-7</v>
      </c>
    </row>
    <row r="64" spans="1:24" x14ac:dyDescent="0.25">
      <c r="A64" t="s">
        <v>60</v>
      </c>
      <c r="B64" t="s">
        <v>5</v>
      </c>
      <c r="C64" t="s">
        <v>15</v>
      </c>
      <c r="E64" t="s">
        <v>61</v>
      </c>
      <c r="G64" t="s">
        <v>17</v>
      </c>
      <c r="L64" t="s">
        <v>18</v>
      </c>
    </row>
    <row r="65" spans="1:24" x14ac:dyDescent="0.25">
      <c r="A65" t="s">
        <v>60</v>
      </c>
      <c r="B65" t="s">
        <v>5</v>
      </c>
      <c r="C65" t="s">
        <v>15</v>
      </c>
      <c r="E65" t="s">
        <v>61</v>
      </c>
      <c r="G65" t="s">
        <v>19</v>
      </c>
      <c r="H65" t="s">
        <v>23</v>
      </c>
    </row>
    <row r="66" spans="1:24" x14ac:dyDescent="0.25">
      <c r="A66" t="s">
        <v>60</v>
      </c>
      <c r="B66" t="s">
        <v>5</v>
      </c>
      <c r="C66" t="s">
        <v>15</v>
      </c>
      <c r="E66" t="s">
        <v>61</v>
      </c>
      <c r="G66" t="s">
        <v>24</v>
      </c>
      <c r="H66" t="b">
        <v>1</v>
      </c>
    </row>
    <row r="67" spans="1:24" x14ac:dyDescent="0.25">
      <c r="A67" t="s">
        <v>60</v>
      </c>
      <c r="B67" t="s">
        <v>5</v>
      </c>
      <c r="C67" t="s">
        <v>15</v>
      </c>
      <c r="E67" t="s">
        <v>61</v>
      </c>
      <c r="G67" t="s">
        <v>25</v>
      </c>
      <c r="K67" t="s">
        <v>26</v>
      </c>
      <c r="L67" t="s">
        <v>27</v>
      </c>
      <c r="M67">
        <f t="array" aca="1" ref="M67" ca="1">INDEX([1]!JCIMS_prices,_xlfn.XMATCH($E67,[1]!JCIMS_prices_index),_xlfn.XMATCH(M$2,[1]!CER_year))*[1]!JCIMS_price_inflator</f>
        <v>22.519919250358978</v>
      </c>
      <c r="N67">
        <f t="array" aca="1" ref="N67" ca="1">INDEX([1]!JCIMS_prices,_xlfn.XMATCH($E67,[1]!JCIMS_prices_index),_xlfn.XMATCH(N$2,[1]!CER_year))*[1]!JCIMS_price_inflator</f>
        <v>25.974377625801658</v>
      </c>
      <c r="O67">
        <f t="array" aca="1" ref="O67" ca="1">INDEX([1]!JCIMS_prices,_xlfn.XMATCH($E67,[1]!JCIMS_prices_index),_xlfn.XMATCH(O$2,[1]!CER_year))*[1]!JCIMS_price_inflator</f>
        <v>34.832046245850542</v>
      </c>
      <c r="P67">
        <f t="array" aca="1" ref="P67" ca="1">INDEX([1]!JCIMS_prices,_xlfn.XMATCH($E67,[1]!JCIMS_prices_index),_xlfn.XMATCH(P$2,[1]!CER_year))*[1]!JCIMS_price_inflator</f>
        <v>35.584899498990282</v>
      </c>
      <c r="Q67">
        <f t="array" aca="1" ref="Q67" ca="1">INDEX([1]!JCIMS_prices,_xlfn.XMATCH($E67,[1]!JCIMS_prices_index),_xlfn.XMATCH(Q$2,[1]!CER_year))*[1]!JCIMS_price_inflator</f>
        <v>42.035931261204688</v>
      </c>
      <c r="R67">
        <f t="array" aca="1" ref="R67" ca="1">INDEX([1]!JCIMS_prices,_xlfn.XMATCH($E67,[1]!JCIMS_prices_index),_xlfn.XMATCH(R$2,[1]!CER_year))*[1]!JCIMS_price_inflator</f>
        <v>44.595473418587396</v>
      </c>
      <c r="S67">
        <f t="array" aca="1" ref="S67" ca="1">INDEX([1]!JCIMS_prices,_xlfn.XMATCH($E67,[1]!JCIMS_prices_index),_xlfn.XMATCH(S$2,[1]!CER_year))*[1]!JCIMS_price_inflator</f>
        <v>46.29150031902018</v>
      </c>
      <c r="T67">
        <f t="array" aca="1" ref="T67" ca="1">INDEX([1]!JCIMS_prices,_xlfn.XMATCH($E67,[1]!JCIMS_prices_index),_xlfn.XMATCH(T$2,[1]!CER_year))*[1]!JCIMS_price_inflator</f>
        <v>47.05574628232727</v>
      </c>
      <c r="U67">
        <f t="array" aca="1" ref="U67" ca="1">INDEX([1]!JCIMS_prices,_xlfn.XMATCH($E67,[1]!JCIMS_prices_index),_xlfn.XMATCH(U$2,[1]!CER_year))*[1]!JCIMS_price_inflator</f>
        <v>48.437242689417488</v>
      </c>
      <c r="V67">
        <f t="array" aca="1" ref="V67" ca="1">INDEX([1]!JCIMS_prices,_xlfn.XMATCH($E67,[1]!JCIMS_prices_index),_xlfn.XMATCH(V$2,[1]!CER_year))*[1]!JCIMS_price_inflator</f>
        <v>48.437242689417488</v>
      </c>
      <c r="W67">
        <f t="array" aca="1" ref="W67" ca="1">INDEX([1]!JCIMS_prices,_xlfn.XMATCH($E67,[1]!JCIMS_prices_index),_xlfn.XMATCH(W$2,[1]!CER_year))*[1]!JCIMS_price_inflator</f>
        <v>48.437242689417488</v>
      </c>
      <c r="X67" t="s">
        <v>62</v>
      </c>
    </row>
    <row r="68" spans="1:24" x14ac:dyDescent="0.25">
      <c r="A68" t="s">
        <v>60</v>
      </c>
      <c r="B68" t="s">
        <v>5</v>
      </c>
      <c r="C68" t="s">
        <v>15</v>
      </c>
      <c r="E68" t="s">
        <v>61</v>
      </c>
      <c r="G68" t="s">
        <v>34</v>
      </c>
      <c r="H68" t="s">
        <v>30</v>
      </c>
      <c r="I68" t="s">
        <v>31</v>
      </c>
      <c r="K68" t="s">
        <v>32</v>
      </c>
      <c r="L68" t="s">
        <v>33</v>
      </c>
      <c r="M68">
        <f t="array" aca="1" ref="M68" ca="1">INDEX([1]Coefficients!$G$132:$BO$151,_xlfn.XMATCH($E68,[1]Coefficients!$B$132:$B$151),_xlfn.XMATCH(M$2,[1]Coefficients!$G$1:$BO$1))</f>
        <v>7.0387861677160102E-2</v>
      </c>
      <c r="N68">
        <f t="array" aca="1" ref="N68" ca="1">INDEX([1]Coefficients!$G$132:$BO$151,_xlfn.XMATCH($E68,[1]Coefficients!$B$132:$B$151),_xlfn.XMATCH(N$2,[1]Coefficients!$G$1:$BO$1))</f>
        <v>6.844885998589674E-2</v>
      </c>
      <c r="O68">
        <f t="array" aca="1" ref="O68" ca="1">INDEX([1]Coefficients!$G$132:$BO$151,_xlfn.XMATCH($E68,[1]Coefficients!$B$132:$B$151),_xlfn.XMATCH(O$2,[1]Coefficients!$G$1:$BO$1))</f>
        <v>6.8448873072360611E-2</v>
      </c>
      <c r="P68">
        <f t="array" aca="1" ref="P68" ca="1">INDEX([1]Coefficients!$G$132:$BO$151,_xlfn.XMATCH($E68,[1]Coefficients!$B$132:$B$151),_xlfn.XMATCH(P$2,[1]Coefficients!$G$1:$BO$1))</f>
        <v>6.8448884545662614E-2</v>
      </c>
      <c r="Q68">
        <f t="array" aca="1" ref="Q68" ca="1">INDEX([1]Coefficients!$G$132:$BO$151,_xlfn.XMATCH($E68,[1]Coefficients!$B$132:$B$151),_xlfn.XMATCH(Q$2,[1]Coefficients!$G$1:$BO$1))</f>
        <v>6.8449580905341784E-2</v>
      </c>
      <c r="R68">
        <f t="array" aca="1" ref="R68" ca="1">INDEX([1]Coefficients!$G$132:$BO$151,_xlfn.XMATCH($E68,[1]Coefficients!$B$132:$B$151),_xlfn.XMATCH(R$2,[1]Coefficients!$G$1:$BO$1))</f>
        <v>6.8449580905341784E-2</v>
      </c>
      <c r="S68">
        <f t="array" aca="1" ref="S68" ca="1">INDEX([1]Coefficients!$G$132:$BO$151,_xlfn.XMATCH($E68,[1]Coefficients!$B$132:$B$151),_xlfn.XMATCH(S$2,[1]Coefficients!$G$1:$BO$1))</f>
        <v>6.8449580905341784E-2</v>
      </c>
      <c r="T68">
        <f t="array" aca="1" ref="T68" ca="1">INDEX([1]Coefficients!$G$132:$BO$151,_xlfn.XMATCH($E68,[1]Coefficients!$B$132:$B$151),_xlfn.XMATCH(T$2,[1]Coefficients!$G$1:$BO$1))</f>
        <v>6.8449580905341784E-2</v>
      </c>
      <c r="U68">
        <f t="array" aca="1" ref="U68" ca="1">INDEX([1]Coefficients!$G$132:$BO$151,_xlfn.XMATCH($E68,[1]Coefficients!$B$132:$B$151),_xlfn.XMATCH(U$2,[1]Coefficients!$G$1:$BO$1))</f>
        <v>6.8449580905341784E-2</v>
      </c>
      <c r="V68">
        <f t="array" aca="1" ref="V68" ca="1">INDEX([1]Coefficients!$G$132:$BO$151,_xlfn.XMATCH($E68,[1]Coefficients!$B$132:$B$151),_xlfn.XMATCH(V$2,[1]Coefficients!$G$1:$BO$1))</f>
        <v>6.8449580905341784E-2</v>
      </c>
      <c r="W68">
        <f t="array" aca="1" ref="W68" ca="1">INDEX([1]Coefficients!$G$132:$BO$151,_xlfn.XMATCH($E68,[1]Coefficients!$B$132:$B$151),_xlfn.XMATCH(W$2,[1]Coefficients!$G$1:$BO$1))</f>
        <v>6.8449580905341784E-2</v>
      </c>
    </row>
    <row r="69" spans="1:24" x14ac:dyDescent="0.25">
      <c r="A69" t="s">
        <v>60</v>
      </c>
      <c r="B69" t="s">
        <v>5</v>
      </c>
      <c r="C69" t="s">
        <v>15</v>
      </c>
      <c r="E69" t="s">
        <v>61</v>
      </c>
      <c r="G69" t="s">
        <v>34</v>
      </c>
      <c r="H69" t="s">
        <v>35</v>
      </c>
      <c r="I69" t="s">
        <v>31</v>
      </c>
      <c r="K69" t="s">
        <v>32</v>
      </c>
      <c r="L69" t="s">
        <v>36</v>
      </c>
      <c r="M69">
        <f t="array" aca="1" ref="M69" ca="1">INDEX([1]Coefficients!$G$156:$BO$175,_xlfn.XMATCH($E69,[1]Coefficients!$B$132:$B$151),_xlfn.XMATCH(M$2,[1]Coefficients!$G$1:$BO$1))</f>
        <v>7.9736249556157934E-7</v>
      </c>
      <c r="N69">
        <f t="array" aca="1" ref="N69" ca="1">INDEX([1]Coefficients!$G$156:$BO$175,_xlfn.XMATCH($E69,[1]Coefficients!$B$132:$B$151),_xlfn.XMATCH(N$2,[1]Coefficients!$G$1:$BO$1))</f>
        <v>7.7539724202773649E-7</v>
      </c>
      <c r="O69">
        <f t="array" aca="1" ref="O69" ca="1">INDEX([1]Coefficients!$G$156:$BO$175,_xlfn.XMATCH($E69,[1]Coefficients!$B$132:$B$151),_xlfn.XMATCH(O$2,[1]Coefficients!$G$1:$BO$1))</f>
        <v>7.7539739027283511E-7</v>
      </c>
      <c r="P69">
        <f t="array" aca="1" ref="P69" ca="1">INDEX([1]Coefficients!$G$156:$BO$175,_xlfn.XMATCH($E69,[1]Coefficients!$B$132:$B$151),_xlfn.XMATCH(P$2,[1]Coefficients!$G$1:$BO$1))</f>
        <v>7.7539752024383434E-7</v>
      </c>
      <c r="Q69">
        <f t="array" aca="1" ref="Q69" ca="1">INDEX([1]Coefficients!$G$156:$BO$175,_xlfn.XMATCH($E69,[1]Coefficients!$B$132:$B$151),_xlfn.XMATCH(Q$2,[1]Coefficients!$G$1:$BO$1))</f>
        <v>7.7540540869332489E-7</v>
      </c>
      <c r="R69">
        <f t="array" aca="1" ref="R69" ca="1">INDEX([1]Coefficients!$G$156:$BO$175,_xlfn.XMATCH($E69,[1]Coefficients!$B$132:$B$151),_xlfn.XMATCH(R$2,[1]Coefficients!$G$1:$BO$1))</f>
        <v>7.7540540869332489E-7</v>
      </c>
      <c r="S69">
        <f t="array" aca="1" ref="S69" ca="1">INDEX([1]Coefficients!$G$156:$BO$175,_xlfn.XMATCH($E69,[1]Coefficients!$B$132:$B$151),_xlfn.XMATCH(S$2,[1]Coefficients!$G$1:$BO$1))</f>
        <v>7.7540540869332489E-7</v>
      </c>
      <c r="T69">
        <f t="array" aca="1" ref="T69" ca="1">INDEX([1]Coefficients!$G$156:$BO$175,_xlfn.XMATCH($E69,[1]Coefficients!$B$132:$B$151),_xlfn.XMATCH(T$2,[1]Coefficients!$G$1:$BO$1))</f>
        <v>7.7540540869332489E-7</v>
      </c>
      <c r="U69">
        <f t="array" aca="1" ref="U69" ca="1">INDEX([1]Coefficients!$G$156:$BO$175,_xlfn.XMATCH($E69,[1]Coefficients!$B$132:$B$151),_xlfn.XMATCH(U$2,[1]Coefficients!$G$1:$BO$1))</f>
        <v>7.7540540869332489E-7</v>
      </c>
      <c r="V69">
        <f t="array" aca="1" ref="V69" ca="1">INDEX([1]Coefficients!$G$156:$BO$175,_xlfn.XMATCH($E69,[1]Coefficients!$B$132:$B$151),_xlfn.XMATCH(V$2,[1]Coefficients!$G$1:$BO$1))</f>
        <v>7.7540540869332489E-7</v>
      </c>
      <c r="W69">
        <f t="array" aca="1" ref="W69" ca="1">INDEX([1]Coefficients!$G$156:$BO$175,_xlfn.XMATCH($E69,[1]Coefficients!$B$132:$B$151),_xlfn.XMATCH(W$2,[1]Coefficients!$G$1:$BO$1))</f>
        <v>7.7540540869332489E-7</v>
      </c>
    </row>
    <row r="70" spans="1:24" x14ac:dyDescent="0.25">
      <c r="A70" t="s">
        <v>60</v>
      </c>
      <c r="B70" t="s">
        <v>5</v>
      </c>
      <c r="C70" t="s">
        <v>15</v>
      </c>
      <c r="E70" t="s">
        <v>61</v>
      </c>
      <c r="G70" t="s">
        <v>34</v>
      </c>
      <c r="H70" t="s">
        <v>37</v>
      </c>
      <c r="I70" t="s">
        <v>31</v>
      </c>
      <c r="K70" t="s">
        <v>32</v>
      </c>
      <c r="L70" t="s">
        <v>38</v>
      </c>
      <c r="M70">
        <f t="array" aca="1" ref="M70" ca="1">INDEX([1]Coefficients!$G$180:$BO$199,_xlfn.XMATCH($E70,[1]Coefficients!$B$132:$B$151),_xlfn.XMATCH(M$2,[1]Coefficients!$G$1:$BO$1))</f>
        <v>1.9521633512024869E-6</v>
      </c>
      <c r="N70">
        <f t="array" aca="1" ref="N70" ca="1">INDEX([1]Coefficients!$G$180:$BO$199,_xlfn.XMATCH($E70,[1]Coefficients!$B$132:$B$151),_xlfn.XMATCH(N$2,[1]Coefficients!$G$1:$BO$1))</f>
        <v>1.898386351171355E-6</v>
      </c>
      <c r="O70">
        <f t="array" aca="1" ref="O70" ca="1">INDEX([1]Coefficients!$G$180:$BO$199,_xlfn.XMATCH($E70,[1]Coefficients!$B$132:$B$151),_xlfn.XMATCH(O$2,[1]Coefficients!$G$1:$BO$1))</f>
        <v>1.8983867141162521E-6</v>
      </c>
      <c r="P70">
        <f t="array" aca="1" ref="P70" ca="1">INDEX([1]Coefficients!$G$180:$BO$199,_xlfn.XMATCH($E70,[1]Coefficients!$B$132:$B$151),_xlfn.XMATCH(P$2,[1]Coefficients!$G$1:$BO$1))</f>
        <v>1.898387032321112E-6</v>
      </c>
      <c r="Q70">
        <f t="array" aca="1" ref="Q70" ca="1">INDEX([1]Coefficients!$G$180:$BO$199,_xlfn.XMATCH($E70,[1]Coefficients!$B$132:$B$151),_xlfn.XMATCH(Q$2,[1]Coefficients!$G$1:$BO$1))</f>
        <v>1.898406345421589E-6</v>
      </c>
      <c r="R70">
        <f t="array" aca="1" ref="R70" ca="1">INDEX([1]Coefficients!$G$180:$BO$199,_xlfn.XMATCH($E70,[1]Coefficients!$B$132:$B$151),_xlfn.XMATCH(R$2,[1]Coefficients!$G$1:$BO$1))</f>
        <v>1.898406345421589E-6</v>
      </c>
      <c r="S70">
        <f t="array" aca="1" ref="S70" ca="1">INDEX([1]Coefficients!$G$180:$BO$199,_xlfn.XMATCH($E70,[1]Coefficients!$B$132:$B$151),_xlfn.XMATCH(S$2,[1]Coefficients!$G$1:$BO$1))</f>
        <v>1.898406345421589E-6</v>
      </c>
      <c r="T70">
        <f t="array" aca="1" ref="T70" ca="1">INDEX([1]Coefficients!$G$180:$BO$199,_xlfn.XMATCH($E70,[1]Coefficients!$B$132:$B$151),_xlfn.XMATCH(T$2,[1]Coefficients!$G$1:$BO$1))</f>
        <v>1.898406345421589E-6</v>
      </c>
      <c r="U70">
        <f t="array" aca="1" ref="U70" ca="1">INDEX([1]Coefficients!$G$180:$BO$199,_xlfn.XMATCH($E70,[1]Coefficients!$B$132:$B$151),_xlfn.XMATCH(U$2,[1]Coefficients!$G$1:$BO$1))</f>
        <v>1.898406345421589E-6</v>
      </c>
      <c r="V70">
        <f t="array" aca="1" ref="V70" ca="1">INDEX([1]Coefficients!$G$180:$BO$199,_xlfn.XMATCH($E70,[1]Coefficients!$B$132:$B$151),_xlfn.XMATCH(V$2,[1]Coefficients!$G$1:$BO$1))</f>
        <v>1.898406345421589E-6</v>
      </c>
      <c r="W70">
        <f t="array" aca="1" ref="W70" ca="1">INDEX([1]Coefficients!$G$180:$BO$199,_xlfn.XMATCH($E70,[1]Coefficients!$B$132:$B$151),_xlfn.XMATCH(W$2,[1]Coefficients!$G$1:$BO$1))</f>
        <v>1.898406345421589E-6</v>
      </c>
    </row>
    <row r="71" spans="1:24" x14ac:dyDescent="0.25">
      <c r="A71" t="s">
        <v>63</v>
      </c>
      <c r="B71" t="s">
        <v>5</v>
      </c>
      <c r="C71" t="s">
        <v>15</v>
      </c>
      <c r="E71" t="s">
        <v>64</v>
      </c>
      <c r="G71" t="s">
        <v>17</v>
      </c>
      <c r="L71" t="s">
        <v>18</v>
      </c>
    </row>
    <row r="72" spans="1:24" x14ac:dyDescent="0.25">
      <c r="A72" t="s">
        <v>63</v>
      </c>
      <c r="B72" t="s">
        <v>5</v>
      </c>
      <c r="C72" t="s">
        <v>15</v>
      </c>
      <c r="E72" t="s">
        <v>64</v>
      </c>
      <c r="G72" t="s">
        <v>19</v>
      </c>
      <c r="H72" t="s">
        <v>23</v>
      </c>
    </row>
    <row r="73" spans="1:24" x14ac:dyDescent="0.25">
      <c r="A73" t="s">
        <v>63</v>
      </c>
      <c r="B73" t="s">
        <v>5</v>
      </c>
      <c r="C73" t="s">
        <v>15</v>
      </c>
      <c r="E73" t="s">
        <v>64</v>
      </c>
      <c r="G73" t="s">
        <v>24</v>
      </c>
      <c r="H73" t="b">
        <v>1</v>
      </c>
    </row>
    <row r="74" spans="1:24" x14ac:dyDescent="0.25">
      <c r="A74" t="s">
        <v>63</v>
      </c>
      <c r="B74" t="s">
        <v>5</v>
      </c>
      <c r="C74" t="s">
        <v>15</v>
      </c>
      <c r="E74" t="s">
        <v>64</v>
      </c>
      <c r="G74" t="s">
        <v>25</v>
      </c>
      <c r="K74" t="s">
        <v>26</v>
      </c>
      <c r="L74" t="s">
        <v>27</v>
      </c>
      <c r="M74">
        <f t="array" aca="1" ref="M74" ca="1">INDEX([1]!JCIMS_prices,_xlfn.XMATCH($E74,[1]!JCIMS_prices_index),_xlfn.XMATCH(M$2,[1]!CER_year))*[1]!JCIMS_price_inflator</f>
        <v>44.370594789134067</v>
      </c>
      <c r="N74">
        <f t="array" aca="1" ref="N74" ca="1">INDEX([1]!JCIMS_prices,_xlfn.XMATCH($E74,[1]!JCIMS_prices_index),_xlfn.XMATCH(N$2,[1]!CER_year))*[1]!JCIMS_price_inflator</f>
        <v>35.647320687620834</v>
      </c>
      <c r="O74">
        <f t="array" aca="1" ref="O74" ca="1">INDEX([1]!JCIMS_prices,_xlfn.XMATCH($E74,[1]!JCIMS_prices_index),_xlfn.XMATCH(O$2,[1]!CER_year))*[1]!JCIMS_price_inflator</f>
        <v>45.389873032196903</v>
      </c>
      <c r="P74">
        <f t="array" aca="1" ref="P74" ca="1">INDEX([1]!JCIMS_prices,_xlfn.XMATCH($E74,[1]!JCIMS_prices_index),_xlfn.XMATCH(P$2,[1]!CER_year))*[1]!JCIMS_price_inflator</f>
        <v>27.433685707639139</v>
      </c>
      <c r="Q74">
        <f t="array" aca="1" ref="Q74" ca="1">INDEX([1]!JCIMS_prices,_xlfn.XMATCH($E74,[1]!JCIMS_prices_index),_xlfn.XMATCH(Q$2,[1]!CER_year))*[1]!JCIMS_price_inflator</f>
        <v>36.56916338547429</v>
      </c>
      <c r="R74">
        <f t="array" aca="1" ref="R74" ca="1">INDEX([1]!JCIMS_prices,_xlfn.XMATCH($E74,[1]!JCIMS_prices_index),_xlfn.XMATCH(R$2,[1]!CER_year))*[1]!JCIMS_price_inflator</f>
        <v>38.910973204281611</v>
      </c>
      <c r="S74">
        <f t="array" aca="1" ref="S74" ca="1">INDEX([1]!JCIMS_prices,_xlfn.XMATCH($E74,[1]!JCIMS_prices_index),_xlfn.XMATCH(S$2,[1]!CER_year))*[1]!JCIMS_price_inflator</f>
        <v>39.680924020988954</v>
      </c>
      <c r="T74">
        <f t="array" aca="1" ref="T74" ca="1">INDEX([1]!JCIMS_prices,_xlfn.XMATCH($E74,[1]!JCIMS_prices_index),_xlfn.XMATCH(T$2,[1]!CER_year))*[1]!JCIMS_price_inflator</f>
        <v>40.358633783686564</v>
      </c>
      <c r="U74">
        <f t="array" aca="1" ref="U74" ca="1">INDEX([1]!JCIMS_prices,_xlfn.XMATCH($E74,[1]!JCIMS_prices_index),_xlfn.XMATCH(U$2,[1]!CER_year))*[1]!JCIMS_price_inflator</f>
        <v>41.147645603767486</v>
      </c>
      <c r="V74">
        <f t="array" aca="1" ref="V74" ca="1">INDEX([1]!JCIMS_prices,_xlfn.XMATCH($E74,[1]!JCIMS_prices_index),_xlfn.XMATCH(V$2,[1]!CER_year))*[1]!JCIMS_price_inflator</f>
        <v>41.147645603767486</v>
      </c>
      <c r="W74">
        <f t="array" aca="1" ref="W74" ca="1">INDEX([1]!JCIMS_prices,_xlfn.XMATCH($E74,[1]!JCIMS_prices_index),_xlfn.XMATCH(W$2,[1]!CER_year))*[1]!JCIMS_price_inflator</f>
        <v>41.147645603767486</v>
      </c>
      <c r="X74" t="s">
        <v>65</v>
      </c>
    </row>
    <row r="75" spans="1:24" x14ac:dyDescent="0.25">
      <c r="A75" t="s">
        <v>63</v>
      </c>
      <c r="B75" t="s">
        <v>5</v>
      </c>
      <c r="C75" t="s">
        <v>15</v>
      </c>
      <c r="E75" t="s">
        <v>64</v>
      </c>
      <c r="G75" t="s">
        <v>34</v>
      </c>
      <c r="H75" t="s">
        <v>30</v>
      </c>
      <c r="I75" t="s">
        <v>31</v>
      </c>
      <c r="K75" t="s">
        <v>32</v>
      </c>
      <c r="L75" t="s">
        <v>33</v>
      </c>
      <c r="M75">
        <f t="array" aca="1" ref="M75" ca="1">INDEX([1]Coefficients!$G$132:$BO$151,_xlfn.XMATCH($E75,[1]Coefficients!$B$132:$B$151),_xlfn.XMATCH(M$2,[1]Coefficients!$G$1:$BO$1))</f>
        <v>5.6428552456839302E-2</v>
      </c>
      <c r="N75">
        <f t="array" aca="1" ref="N75" ca="1">INDEX([1]Coefficients!$G$132:$BO$151,_xlfn.XMATCH($E75,[1]Coefficients!$B$132:$B$151),_xlfn.XMATCH(N$2,[1]Coefficients!$G$1:$BO$1))</f>
        <v>5.6530067848684633E-2</v>
      </c>
      <c r="O75">
        <f t="array" aca="1" ref="O75" ca="1">INDEX([1]Coefficients!$G$132:$BO$151,_xlfn.XMATCH($E75,[1]Coefficients!$B$132:$B$151),_xlfn.XMATCH(O$2,[1]Coefficients!$G$1:$BO$1))</f>
        <v>5.6530067848684633E-2</v>
      </c>
      <c r="P75">
        <f t="array" aca="1" ref="P75" ca="1">INDEX([1]Coefficients!$G$132:$BO$151,_xlfn.XMATCH($E75,[1]Coefficients!$B$132:$B$151),_xlfn.XMATCH(P$2,[1]Coefficients!$G$1:$BO$1))</f>
        <v>5.6530067848684633E-2</v>
      </c>
      <c r="Q75">
        <f t="array" aca="1" ref="Q75" ca="1">INDEX([1]Coefficients!$G$132:$BO$151,_xlfn.XMATCH($E75,[1]Coefficients!$B$132:$B$151),_xlfn.XMATCH(Q$2,[1]Coefficients!$G$1:$BO$1))</f>
        <v>5.6530067848684633E-2</v>
      </c>
      <c r="R75">
        <f t="array" aca="1" ref="R75" ca="1">INDEX([1]Coefficients!$G$132:$BO$151,_xlfn.XMATCH($E75,[1]Coefficients!$B$132:$B$151),_xlfn.XMATCH(R$2,[1]Coefficients!$G$1:$BO$1))</f>
        <v>5.6530067848684633E-2</v>
      </c>
      <c r="S75">
        <f t="array" aca="1" ref="S75" ca="1">INDEX([1]Coefficients!$G$132:$BO$151,_xlfn.XMATCH($E75,[1]Coefficients!$B$132:$B$151),_xlfn.XMATCH(S$2,[1]Coefficients!$G$1:$BO$1))</f>
        <v>5.6530067848684633E-2</v>
      </c>
      <c r="T75">
        <f t="array" aca="1" ref="T75" ca="1">INDEX([1]Coefficients!$G$132:$BO$151,_xlfn.XMATCH($E75,[1]Coefficients!$B$132:$B$151),_xlfn.XMATCH(T$2,[1]Coefficients!$G$1:$BO$1))</f>
        <v>5.6530067848684633E-2</v>
      </c>
      <c r="U75">
        <f t="array" aca="1" ref="U75" ca="1">INDEX([1]Coefficients!$G$132:$BO$151,_xlfn.XMATCH($E75,[1]Coefficients!$B$132:$B$151),_xlfn.XMATCH(U$2,[1]Coefficients!$G$1:$BO$1))</f>
        <v>5.6530067848684633E-2</v>
      </c>
      <c r="V75">
        <f t="array" aca="1" ref="V75" ca="1">INDEX([1]Coefficients!$G$132:$BO$151,_xlfn.XMATCH($E75,[1]Coefficients!$B$132:$B$151),_xlfn.XMATCH(V$2,[1]Coefficients!$G$1:$BO$1))</f>
        <v>5.6530067848684633E-2</v>
      </c>
      <c r="W75">
        <f t="array" aca="1" ref="W75" ca="1">INDEX([1]Coefficients!$G$132:$BO$151,_xlfn.XMATCH($E75,[1]Coefficients!$B$132:$B$151),_xlfn.XMATCH(W$2,[1]Coefficients!$G$1:$BO$1))</f>
        <v>5.6530067848684633E-2</v>
      </c>
    </row>
    <row r="76" spans="1:24" x14ac:dyDescent="0.25">
      <c r="A76" t="s">
        <v>63</v>
      </c>
      <c r="B76" t="s">
        <v>5</v>
      </c>
      <c r="C76" t="s">
        <v>15</v>
      </c>
      <c r="E76" t="s">
        <v>64</v>
      </c>
      <c r="G76" t="s">
        <v>34</v>
      </c>
      <c r="H76" t="s">
        <v>35</v>
      </c>
      <c r="I76" t="s">
        <v>31</v>
      </c>
      <c r="K76" t="s">
        <v>32</v>
      </c>
      <c r="L76" t="s">
        <v>36</v>
      </c>
      <c r="M76">
        <f t="array" aca="1" ref="M76" ca="1">INDEX([1]Coefficients!$G$156:$BO$175,_xlfn.XMATCH($E76,[1]Coefficients!$B$132:$B$151),_xlfn.XMATCH(M$2,[1]Coefficients!$G$1:$BO$1))</f>
        <v>8.9391766268260293E-7</v>
      </c>
      <c r="N76">
        <f t="array" aca="1" ref="N76" ca="1">INDEX([1]Coefficients!$G$156:$BO$175,_xlfn.XMATCH($E76,[1]Coefficients!$B$132:$B$151),_xlfn.XMATCH(N$2,[1]Coefficients!$G$1:$BO$1))</f>
        <v>8.9552582730589518E-7</v>
      </c>
      <c r="O76">
        <f t="array" aca="1" ref="O76" ca="1">INDEX([1]Coefficients!$G$156:$BO$175,_xlfn.XMATCH($E76,[1]Coefficients!$B$132:$B$151),_xlfn.XMATCH(O$2,[1]Coefficients!$G$1:$BO$1))</f>
        <v>8.9552582730589518E-7</v>
      </c>
      <c r="P76">
        <f t="array" aca="1" ref="P76" ca="1">INDEX([1]Coefficients!$G$156:$BO$175,_xlfn.XMATCH($E76,[1]Coefficients!$B$132:$B$151),_xlfn.XMATCH(P$2,[1]Coefficients!$G$1:$BO$1))</f>
        <v>8.9552582730589518E-7</v>
      </c>
      <c r="Q76">
        <f t="array" aca="1" ref="Q76" ca="1">INDEX([1]Coefficients!$G$156:$BO$175,_xlfn.XMATCH($E76,[1]Coefficients!$B$132:$B$151),_xlfn.XMATCH(Q$2,[1]Coefficients!$G$1:$BO$1))</f>
        <v>8.9552582730589518E-7</v>
      </c>
      <c r="R76">
        <f t="array" aca="1" ref="R76" ca="1">INDEX([1]Coefficients!$G$156:$BO$175,_xlfn.XMATCH($E76,[1]Coefficients!$B$132:$B$151),_xlfn.XMATCH(R$2,[1]Coefficients!$G$1:$BO$1))</f>
        <v>8.9552582730589518E-7</v>
      </c>
      <c r="S76">
        <f t="array" aca="1" ref="S76" ca="1">INDEX([1]Coefficients!$G$156:$BO$175,_xlfn.XMATCH($E76,[1]Coefficients!$B$132:$B$151),_xlfn.XMATCH(S$2,[1]Coefficients!$G$1:$BO$1))</f>
        <v>8.9552582730589518E-7</v>
      </c>
      <c r="T76">
        <f t="array" aca="1" ref="T76" ca="1">INDEX([1]Coefficients!$G$156:$BO$175,_xlfn.XMATCH($E76,[1]Coefficients!$B$132:$B$151),_xlfn.XMATCH(T$2,[1]Coefficients!$G$1:$BO$1))</f>
        <v>8.9552582730589518E-7</v>
      </c>
      <c r="U76">
        <f t="array" aca="1" ref="U76" ca="1">INDEX([1]Coefficients!$G$156:$BO$175,_xlfn.XMATCH($E76,[1]Coefficients!$B$132:$B$151),_xlfn.XMATCH(U$2,[1]Coefficients!$G$1:$BO$1))</f>
        <v>8.9552582730589518E-7</v>
      </c>
      <c r="V76">
        <f t="array" aca="1" ref="V76" ca="1">INDEX([1]Coefficients!$G$156:$BO$175,_xlfn.XMATCH($E76,[1]Coefficients!$B$132:$B$151),_xlfn.XMATCH(V$2,[1]Coefficients!$G$1:$BO$1))</f>
        <v>8.9552582730589518E-7</v>
      </c>
      <c r="W76">
        <f t="array" aca="1" ref="W76" ca="1">INDEX([1]Coefficients!$G$156:$BO$175,_xlfn.XMATCH($E76,[1]Coefficients!$B$132:$B$151),_xlfn.XMATCH(W$2,[1]Coefficients!$G$1:$BO$1))</f>
        <v>8.9552582730589518E-7</v>
      </c>
    </row>
    <row r="77" spans="1:24" x14ac:dyDescent="0.25">
      <c r="A77" t="s">
        <v>63</v>
      </c>
      <c r="B77" t="s">
        <v>5</v>
      </c>
      <c r="C77" t="s">
        <v>15</v>
      </c>
      <c r="E77" t="s">
        <v>64</v>
      </c>
      <c r="G77" t="s">
        <v>34</v>
      </c>
      <c r="H77" t="s">
        <v>37</v>
      </c>
      <c r="I77" t="s">
        <v>31</v>
      </c>
      <c r="K77" t="s">
        <v>32</v>
      </c>
      <c r="L77" t="s">
        <v>38</v>
      </c>
      <c r="M77">
        <f t="array" aca="1" ref="M77" ca="1">INDEX([1]Coefficients!$G$180:$BO$199,_xlfn.XMATCH($E77,[1]Coefficients!$B$132:$B$151),_xlfn.XMATCH(M$2,[1]Coefficients!$G$1:$BO$1))</f>
        <v>4.0226294820717126E-6</v>
      </c>
      <c r="N77">
        <f t="array" aca="1" ref="N77" ca="1">INDEX([1]Coefficients!$G$180:$BO$199,_xlfn.XMATCH($E77,[1]Coefficients!$B$132:$B$151),_xlfn.XMATCH(N$2,[1]Coefficients!$G$1:$BO$1))</f>
        <v>4.0298662228765281E-6</v>
      </c>
      <c r="O77">
        <f t="array" aca="1" ref="O77" ca="1">INDEX([1]Coefficients!$G$180:$BO$199,_xlfn.XMATCH($E77,[1]Coefficients!$B$132:$B$151),_xlfn.XMATCH(O$2,[1]Coefficients!$G$1:$BO$1))</f>
        <v>4.0298662228765281E-6</v>
      </c>
      <c r="P77">
        <f t="array" aca="1" ref="P77" ca="1">INDEX([1]Coefficients!$G$180:$BO$199,_xlfn.XMATCH($E77,[1]Coefficients!$B$132:$B$151),_xlfn.XMATCH(P$2,[1]Coefficients!$G$1:$BO$1))</f>
        <v>4.0298662228765281E-6</v>
      </c>
      <c r="Q77">
        <f t="array" aca="1" ref="Q77" ca="1">INDEX([1]Coefficients!$G$180:$BO$199,_xlfn.XMATCH($E77,[1]Coefficients!$B$132:$B$151),_xlfn.XMATCH(Q$2,[1]Coefficients!$G$1:$BO$1))</f>
        <v>4.0298662228765281E-6</v>
      </c>
      <c r="R77">
        <f t="array" aca="1" ref="R77" ca="1">INDEX([1]Coefficients!$G$180:$BO$199,_xlfn.XMATCH($E77,[1]Coefficients!$B$132:$B$151),_xlfn.XMATCH(R$2,[1]Coefficients!$G$1:$BO$1))</f>
        <v>4.0298662228765281E-6</v>
      </c>
      <c r="S77">
        <f t="array" aca="1" ref="S77" ca="1">INDEX([1]Coefficients!$G$180:$BO$199,_xlfn.XMATCH($E77,[1]Coefficients!$B$132:$B$151),_xlfn.XMATCH(S$2,[1]Coefficients!$G$1:$BO$1))</f>
        <v>4.0298662228765281E-6</v>
      </c>
      <c r="T77">
        <f t="array" aca="1" ref="T77" ca="1">INDEX([1]Coefficients!$G$180:$BO$199,_xlfn.XMATCH($E77,[1]Coefficients!$B$132:$B$151),_xlfn.XMATCH(T$2,[1]Coefficients!$G$1:$BO$1))</f>
        <v>4.0298662228765281E-6</v>
      </c>
      <c r="U77">
        <f t="array" aca="1" ref="U77" ca="1">INDEX([1]Coefficients!$G$180:$BO$199,_xlfn.XMATCH($E77,[1]Coefficients!$B$132:$B$151),_xlfn.XMATCH(U$2,[1]Coefficients!$G$1:$BO$1))</f>
        <v>4.0298662228765281E-6</v>
      </c>
      <c r="V77">
        <f t="array" aca="1" ref="V77" ca="1">INDEX([1]Coefficients!$G$180:$BO$199,_xlfn.XMATCH($E77,[1]Coefficients!$B$132:$B$151),_xlfn.XMATCH(V$2,[1]Coefficients!$G$1:$BO$1))</f>
        <v>4.0298662228765281E-6</v>
      </c>
      <c r="W77">
        <f t="array" aca="1" ref="W77" ca="1">INDEX([1]Coefficients!$G$180:$BO$199,_xlfn.XMATCH($E77,[1]Coefficients!$B$132:$B$151),_xlfn.XMATCH(W$2,[1]Coefficients!$G$1:$BO$1))</f>
        <v>4.0298662228765281E-6</v>
      </c>
    </row>
    <row r="78" spans="1:24" x14ac:dyDescent="0.25">
      <c r="A78" t="s">
        <v>66</v>
      </c>
      <c r="B78" t="s">
        <v>5</v>
      </c>
      <c r="C78" t="s">
        <v>15</v>
      </c>
      <c r="E78" t="s">
        <v>67</v>
      </c>
      <c r="G78" t="s">
        <v>17</v>
      </c>
      <c r="L78" t="s">
        <v>18</v>
      </c>
    </row>
    <row r="79" spans="1:24" x14ac:dyDescent="0.25">
      <c r="A79" t="s">
        <v>66</v>
      </c>
      <c r="B79" t="s">
        <v>5</v>
      </c>
      <c r="C79" t="s">
        <v>15</v>
      </c>
      <c r="E79" t="s">
        <v>67</v>
      </c>
      <c r="G79" t="s">
        <v>19</v>
      </c>
      <c r="H79" t="s">
        <v>23</v>
      </c>
    </row>
    <row r="80" spans="1:24" x14ac:dyDescent="0.25">
      <c r="A80" t="s">
        <v>66</v>
      </c>
      <c r="B80" t="s">
        <v>5</v>
      </c>
      <c r="C80" t="s">
        <v>15</v>
      </c>
      <c r="E80" t="s">
        <v>67</v>
      </c>
      <c r="G80" t="s">
        <v>24</v>
      </c>
      <c r="H80" t="b">
        <v>1</v>
      </c>
    </row>
    <row r="81" spans="1:24" x14ac:dyDescent="0.25">
      <c r="A81" t="s">
        <v>66</v>
      </c>
      <c r="B81" t="s">
        <v>5</v>
      </c>
      <c r="C81" t="s">
        <v>15</v>
      </c>
      <c r="E81" t="s">
        <v>67</v>
      </c>
      <c r="G81" t="s">
        <v>25</v>
      </c>
      <c r="K81" t="s">
        <v>53</v>
      </c>
      <c r="L81" t="s">
        <v>27</v>
      </c>
      <c r="M81">
        <f t="array" aca="1" ref="M81" ca="1">ROUND(INDEX([1]!CER_prod_cost,_xlfn.XMATCH("CAN"&amp;"Production cost"&amp;$A81,[1]!CER_prod_cost_index),_xlfn.XMATCH(M$2,[1]!CER_year)),2)</f>
        <v>11.99</v>
      </c>
      <c r="N81">
        <f t="array" aca="1" ref="N81" ca="1">ROUND(INDEX([1]!CER_prod_cost,_xlfn.XMATCH("CAN"&amp;"Production cost"&amp;$A81,[1]!CER_prod_cost_index),_xlfn.XMATCH(N$2,[1]!CER_year)),2)</f>
        <v>11.99</v>
      </c>
      <c r="O81">
        <f t="array" aca="1" ref="O81" ca="1">ROUND(INDEX([1]!CER_prod_cost,_xlfn.XMATCH("CAN"&amp;"Production cost"&amp;$A81,[1]!CER_prod_cost_index),_xlfn.XMATCH(O$2,[1]!CER_year)),2)</f>
        <v>5.14</v>
      </c>
      <c r="P81">
        <f t="array" aca="1" ref="P81" ca="1">ROUND(INDEX([1]!CER_prod_cost,_xlfn.XMATCH("CAN"&amp;"Production cost"&amp;$A81,[1]!CER_prod_cost_index),_xlfn.XMATCH(P$2,[1]!CER_year)),2)</f>
        <v>2.9</v>
      </c>
      <c r="Q81">
        <f t="array" aca="1" ref="Q81" ca="1">ROUND(INDEX([1]!CER_prod_cost,_xlfn.XMATCH("CAN"&amp;"Production cost"&amp;$A81,[1]!CER_prod_cost_index),_xlfn.XMATCH(Q$2,[1]!CER_year)),2)</f>
        <v>3.53</v>
      </c>
      <c r="R81">
        <f t="array" aca="1" ref="R81" ca="1">ROUND(INDEX([1]!CER_prod_cost,_xlfn.XMATCH("CAN"&amp;"Production cost"&amp;$A81,[1]!CER_prod_cost_index),_xlfn.XMATCH(R$2,[1]!CER_year)),2)</f>
        <v>3.01</v>
      </c>
      <c r="S81">
        <f t="array" aca="1" ref="S81" ca="1">ROUND(INDEX([1]!CER_prod_cost,_xlfn.XMATCH("CAN"&amp;"Production cost"&amp;$A81,[1]!CER_prod_cost_index),_xlfn.XMATCH(S$2,[1]!CER_year)),2)</f>
        <v>3.34</v>
      </c>
      <c r="T81">
        <f t="array" aca="1" ref="T81" ca="1">ROUND(INDEX([1]!CER_prod_cost,_xlfn.XMATCH("CAN"&amp;"Production cost"&amp;$A81,[1]!CER_prod_cost_index),_xlfn.XMATCH(T$2,[1]!CER_year)),2)</f>
        <v>3.16</v>
      </c>
      <c r="U81">
        <f t="array" aca="1" ref="U81" ca="1">ROUND(INDEX([1]!CER_prod_cost,_xlfn.XMATCH("CAN"&amp;"Production cost"&amp;$A81,[1]!CER_prod_cost_index),_xlfn.XMATCH(U$2,[1]!CER_year)),2)</f>
        <v>2.97</v>
      </c>
      <c r="V81">
        <f t="array" aca="1" ref="V81" ca="1">ROUND(INDEX([1]!CER_prod_cost,_xlfn.XMATCH("CAN"&amp;"Production cost"&amp;$A81,[1]!CER_prod_cost_index),_xlfn.XMATCH(V$2,[1]!CER_year)),2)</f>
        <v>2.97</v>
      </c>
      <c r="W81">
        <f t="array" aca="1" ref="W81" ca="1">ROUND(INDEX([1]!CER_prod_cost,_xlfn.XMATCH("CAN"&amp;"Production cost"&amp;$A81,[1]!CER_prod_cost_index),_xlfn.XMATCH(W$2,[1]!CER_year)),2)</f>
        <v>2.97</v>
      </c>
      <c r="X81" t="s">
        <v>54</v>
      </c>
    </row>
    <row r="82" spans="1:24" x14ac:dyDescent="0.25">
      <c r="A82" t="s">
        <v>66</v>
      </c>
      <c r="B82" t="s">
        <v>5</v>
      </c>
      <c r="C82" t="s">
        <v>15</v>
      </c>
      <c r="E82" t="s">
        <v>67</v>
      </c>
      <c r="G82" t="s">
        <v>34</v>
      </c>
      <c r="H82" t="s">
        <v>30</v>
      </c>
      <c r="I82" t="s">
        <v>31</v>
      </c>
      <c r="K82" t="s">
        <v>32</v>
      </c>
      <c r="L82" t="s">
        <v>33</v>
      </c>
      <c r="M82">
        <f t="array" aca="1" ref="M82" ca="1">INDEX([1]Coefficients!$G$132:$BO$151,_xlfn.XMATCH($E82,[1]Coefficients!$B$132:$B$151),_xlfn.XMATCH(M$2,[1]Coefficients!$G$1:$BO$1))</f>
        <v>5.0659506393256851E-2</v>
      </c>
      <c r="N82">
        <f t="array" aca="1" ref="N82" ca="1">INDEX([1]Coefficients!$G$132:$BO$151,_xlfn.XMATCH($E82,[1]Coefficients!$B$132:$B$151),_xlfn.XMATCH(N$2,[1]Coefficients!$G$1:$BO$1))</f>
        <v>5.0269095405659998E-2</v>
      </c>
      <c r="O82">
        <f t="array" aca="1" ref="O82" ca="1">INDEX([1]Coefficients!$G$132:$BO$151,_xlfn.XMATCH($E82,[1]Coefficients!$B$132:$B$151),_xlfn.XMATCH(O$2,[1]Coefficients!$G$1:$BO$1))</f>
        <v>4.9926715324116293E-2</v>
      </c>
      <c r="P82">
        <f t="array" aca="1" ref="P82" ca="1">INDEX([1]Coefficients!$G$132:$BO$151,_xlfn.XMATCH($E82,[1]Coefficients!$B$132:$B$151),_xlfn.XMATCH(P$2,[1]Coefficients!$G$1:$BO$1))</f>
        <v>4.9020411139724628E-2</v>
      </c>
      <c r="Q82">
        <f t="array" aca="1" ref="Q82" ca="1">INDEX([1]Coefficients!$G$132:$BO$151,_xlfn.XMATCH($E82,[1]Coefficients!$B$132:$B$151),_xlfn.XMATCH(Q$2,[1]Coefficients!$G$1:$BO$1))</f>
        <v>4.8970518393498863E-2</v>
      </c>
      <c r="R82">
        <f t="array" aca="1" ref="R82" ca="1">INDEX([1]Coefficients!$G$132:$BO$151,_xlfn.XMATCH($E82,[1]Coefficients!$B$132:$B$151),_xlfn.XMATCH(R$2,[1]Coefficients!$G$1:$BO$1))</f>
        <v>4.8970518393498863E-2</v>
      </c>
      <c r="S82">
        <f t="array" aca="1" ref="S82" ca="1">INDEX([1]Coefficients!$G$132:$BO$151,_xlfn.XMATCH($E82,[1]Coefficients!$B$132:$B$151),_xlfn.XMATCH(S$2,[1]Coefficients!$G$1:$BO$1))</f>
        <v>4.8970518393498863E-2</v>
      </c>
      <c r="T82">
        <f t="array" aca="1" ref="T82" ca="1">INDEX([1]Coefficients!$G$132:$BO$151,_xlfn.XMATCH($E82,[1]Coefficients!$B$132:$B$151),_xlfn.XMATCH(T$2,[1]Coefficients!$G$1:$BO$1))</f>
        <v>4.8970518393498863E-2</v>
      </c>
      <c r="U82">
        <f t="array" aca="1" ref="U82" ca="1">INDEX([1]Coefficients!$G$132:$BO$151,_xlfn.XMATCH($E82,[1]Coefficients!$B$132:$B$151),_xlfn.XMATCH(U$2,[1]Coefficients!$G$1:$BO$1))</f>
        <v>4.8970518393498863E-2</v>
      </c>
      <c r="V82">
        <f t="array" aca="1" ref="V82" ca="1">INDEX([1]Coefficients!$G$132:$BO$151,_xlfn.XMATCH($E82,[1]Coefficients!$B$132:$B$151),_xlfn.XMATCH(V$2,[1]Coefficients!$G$1:$BO$1))</f>
        <v>4.8970518393498863E-2</v>
      </c>
      <c r="W82">
        <f t="array" aca="1" ref="W82" ca="1">INDEX([1]Coefficients!$G$132:$BO$151,_xlfn.XMATCH($E82,[1]Coefficients!$B$132:$B$151),_xlfn.XMATCH(W$2,[1]Coefficients!$G$1:$BO$1))</f>
        <v>4.8970518393498863E-2</v>
      </c>
    </row>
    <row r="83" spans="1:24" x14ac:dyDescent="0.25">
      <c r="A83" t="s">
        <v>66</v>
      </c>
      <c r="B83" t="s">
        <v>5</v>
      </c>
      <c r="C83" t="s">
        <v>15</v>
      </c>
      <c r="E83" t="s">
        <v>67</v>
      </c>
      <c r="G83" t="s">
        <v>34</v>
      </c>
      <c r="H83" t="s">
        <v>35</v>
      </c>
      <c r="I83" t="s">
        <v>31</v>
      </c>
      <c r="K83" t="s">
        <v>32</v>
      </c>
      <c r="L83" t="s">
        <v>36</v>
      </c>
      <c r="M83">
        <f t="array" aca="1" ref="M83" ca="1">INDEX([1]Coefficients!$G$156:$BO$175,_xlfn.XMATCH($E83,[1]Coefficients!$B$132:$B$151),_xlfn.XMATCH(M$2,[1]Coefficients!$G$1:$BO$1))</f>
        <v>9.7394051232794818E-7</v>
      </c>
      <c r="N83">
        <f t="array" aca="1" ref="N83" ca="1">INDEX([1]Coefficients!$G$156:$BO$175,_xlfn.XMATCH($E83,[1]Coefficients!$B$132:$B$151),_xlfn.XMATCH(N$2,[1]Coefficients!$G$1:$BO$1))</f>
        <v>9.6706745968712354E-7</v>
      </c>
      <c r="O83">
        <f t="array" aca="1" ref="O83" ca="1">INDEX([1]Coefficients!$G$156:$BO$175,_xlfn.XMATCH($E83,[1]Coefficients!$B$132:$B$151),_xlfn.XMATCH(O$2,[1]Coefficients!$G$1:$BO$1))</f>
        <v>9.6053998074030376E-7</v>
      </c>
      <c r="P83">
        <f t="array" aca="1" ref="P83" ca="1">INDEX([1]Coefficients!$G$156:$BO$175,_xlfn.XMATCH($E83,[1]Coefficients!$B$132:$B$151),_xlfn.XMATCH(P$2,[1]Coefficients!$G$1:$BO$1))</f>
        <v>9.4291540484527353E-7</v>
      </c>
      <c r="Q83">
        <f t="array" aca="1" ref="Q83" ca="1">INDEX([1]Coefficients!$G$156:$BO$175,_xlfn.XMATCH($E83,[1]Coefficients!$B$132:$B$151),_xlfn.XMATCH(Q$2,[1]Coefficients!$G$1:$BO$1))</f>
        <v>9.4195570993630577E-7</v>
      </c>
      <c r="R83">
        <f t="array" aca="1" ref="R83" ca="1">INDEX([1]Coefficients!$G$156:$BO$175,_xlfn.XMATCH($E83,[1]Coefficients!$B$132:$B$151),_xlfn.XMATCH(R$2,[1]Coefficients!$G$1:$BO$1))</f>
        <v>9.4195570993630577E-7</v>
      </c>
      <c r="S83">
        <f t="array" aca="1" ref="S83" ca="1">INDEX([1]Coefficients!$G$156:$BO$175,_xlfn.XMATCH($E83,[1]Coefficients!$B$132:$B$151),_xlfn.XMATCH(S$2,[1]Coefficients!$G$1:$BO$1))</f>
        <v>9.4195570993630577E-7</v>
      </c>
      <c r="T83">
        <f t="array" aca="1" ref="T83" ca="1">INDEX([1]Coefficients!$G$156:$BO$175,_xlfn.XMATCH($E83,[1]Coefficients!$B$132:$B$151),_xlfn.XMATCH(T$2,[1]Coefficients!$G$1:$BO$1))</f>
        <v>9.4195570993630577E-7</v>
      </c>
      <c r="U83">
        <f t="array" aca="1" ref="U83" ca="1">INDEX([1]Coefficients!$G$156:$BO$175,_xlfn.XMATCH($E83,[1]Coefficients!$B$132:$B$151),_xlfn.XMATCH(U$2,[1]Coefficients!$G$1:$BO$1))</f>
        <v>9.4195570993630577E-7</v>
      </c>
      <c r="V83">
        <f t="array" aca="1" ref="V83" ca="1">INDEX([1]Coefficients!$G$156:$BO$175,_xlfn.XMATCH($E83,[1]Coefficients!$B$132:$B$151),_xlfn.XMATCH(V$2,[1]Coefficients!$G$1:$BO$1))</f>
        <v>9.4195570993630577E-7</v>
      </c>
      <c r="W83">
        <f t="array" aca="1" ref="W83" ca="1">INDEX([1]Coefficients!$G$156:$BO$175,_xlfn.XMATCH($E83,[1]Coefficients!$B$132:$B$151),_xlfn.XMATCH(W$2,[1]Coefficients!$G$1:$BO$1))</f>
        <v>9.4195570993630577E-7</v>
      </c>
    </row>
    <row r="84" spans="1:24" x14ac:dyDescent="0.25">
      <c r="A84" t="s">
        <v>66</v>
      </c>
      <c r="B84" t="s">
        <v>5</v>
      </c>
      <c r="C84" t="s">
        <v>15</v>
      </c>
      <c r="E84" t="s">
        <v>67</v>
      </c>
      <c r="G84" t="s">
        <v>34</v>
      </c>
      <c r="H84" t="s">
        <v>37</v>
      </c>
      <c r="I84" t="s">
        <v>31</v>
      </c>
      <c r="K84" t="s">
        <v>32</v>
      </c>
      <c r="L84" t="s">
        <v>38</v>
      </c>
      <c r="M84">
        <f t="array" aca="1" ref="M84" ca="1">INDEX([1]Coefficients!$G$180:$BO$199,_xlfn.XMATCH($E84,[1]Coefficients!$B$132:$B$151),_xlfn.XMATCH(M$2,[1]Coefficients!$G$1:$BO$1))</f>
        <v>8.6864964613033235E-7</v>
      </c>
      <c r="N84">
        <f t="array" aca="1" ref="N84" ca="1">INDEX([1]Coefficients!$G$180:$BO$199,_xlfn.XMATCH($E84,[1]Coefficients!$B$132:$B$151),_xlfn.XMATCH(N$2,[1]Coefficients!$G$1:$BO$1))</f>
        <v>8.6251962620743449E-7</v>
      </c>
      <c r="O84">
        <f t="array" aca="1" ref="O84" ca="1">INDEX([1]Coefficients!$G$180:$BO$199,_xlfn.XMATCH($E84,[1]Coefficients!$B$132:$B$151),_xlfn.XMATCH(O$2,[1]Coefficients!$G$1:$BO$1))</f>
        <v>8.5669782066027099E-7</v>
      </c>
      <c r="P84">
        <f t="array" aca="1" ref="P84" ca="1">INDEX([1]Coefficients!$G$180:$BO$199,_xlfn.XMATCH($E84,[1]Coefficients!$B$132:$B$151),_xlfn.XMATCH(P$2,[1]Coefficients!$G$1:$BO$1))</f>
        <v>8.409786043214603E-7</v>
      </c>
      <c r="Q84">
        <f t="array" aca="1" ref="Q84" ca="1">INDEX([1]Coefficients!$G$180:$BO$199,_xlfn.XMATCH($E84,[1]Coefficients!$B$132:$B$151),_xlfn.XMATCH(Q$2,[1]Coefficients!$G$1:$BO$1))</f>
        <v>8.4012266021346199E-7</v>
      </c>
      <c r="R84">
        <f t="array" aca="1" ref="R84" ca="1">INDEX([1]Coefficients!$G$180:$BO$199,_xlfn.XMATCH($E84,[1]Coefficients!$B$132:$B$151),_xlfn.XMATCH(R$2,[1]Coefficients!$G$1:$BO$1))</f>
        <v>8.4012266021346199E-7</v>
      </c>
      <c r="S84">
        <f t="array" aca="1" ref="S84" ca="1">INDEX([1]Coefficients!$G$180:$BO$199,_xlfn.XMATCH($E84,[1]Coefficients!$B$132:$B$151),_xlfn.XMATCH(S$2,[1]Coefficients!$G$1:$BO$1))</f>
        <v>8.4012266021346199E-7</v>
      </c>
      <c r="T84">
        <f t="array" aca="1" ref="T84" ca="1">INDEX([1]Coefficients!$G$180:$BO$199,_xlfn.XMATCH($E84,[1]Coefficients!$B$132:$B$151),_xlfn.XMATCH(T$2,[1]Coefficients!$G$1:$BO$1))</f>
        <v>8.4012266021346199E-7</v>
      </c>
      <c r="U84">
        <f t="array" aca="1" ref="U84" ca="1">INDEX([1]Coefficients!$G$180:$BO$199,_xlfn.XMATCH($E84,[1]Coefficients!$B$132:$B$151),_xlfn.XMATCH(U$2,[1]Coefficients!$G$1:$BO$1))</f>
        <v>8.4012266021346199E-7</v>
      </c>
      <c r="V84">
        <f t="array" aca="1" ref="V84" ca="1">INDEX([1]Coefficients!$G$180:$BO$199,_xlfn.XMATCH($E84,[1]Coefficients!$B$132:$B$151),_xlfn.XMATCH(V$2,[1]Coefficients!$G$1:$BO$1))</f>
        <v>8.4012266021346199E-7</v>
      </c>
      <c r="W84">
        <f t="array" aca="1" ref="W84" ca="1">INDEX([1]Coefficients!$G$180:$BO$199,_xlfn.XMATCH($E84,[1]Coefficients!$B$132:$B$151),_xlfn.XMATCH(W$2,[1]Coefficients!$G$1:$BO$1))</f>
        <v>8.4012266021346199E-7</v>
      </c>
    </row>
    <row r="85" spans="1:24" x14ac:dyDescent="0.25">
      <c r="A85" t="s">
        <v>68</v>
      </c>
      <c r="B85" t="s">
        <v>5</v>
      </c>
      <c r="C85" t="s">
        <v>15</v>
      </c>
      <c r="E85" t="s">
        <v>69</v>
      </c>
      <c r="G85" t="s">
        <v>17</v>
      </c>
      <c r="L85" t="s">
        <v>18</v>
      </c>
    </row>
    <row r="86" spans="1:24" x14ac:dyDescent="0.25">
      <c r="A86" t="s">
        <v>68</v>
      </c>
      <c r="B86" t="s">
        <v>5</v>
      </c>
      <c r="C86" t="s">
        <v>15</v>
      </c>
      <c r="E86" t="s">
        <v>69</v>
      </c>
      <c r="G86" t="s">
        <v>19</v>
      </c>
      <c r="H86" t="s">
        <v>23</v>
      </c>
    </row>
    <row r="87" spans="1:24" x14ac:dyDescent="0.25">
      <c r="A87" t="s">
        <v>68</v>
      </c>
      <c r="B87" t="s">
        <v>5</v>
      </c>
      <c r="C87" t="s">
        <v>15</v>
      </c>
      <c r="E87" t="s">
        <v>69</v>
      </c>
      <c r="G87" t="s">
        <v>24</v>
      </c>
      <c r="H87" t="b">
        <v>1</v>
      </c>
    </row>
    <row r="88" spans="1:24" x14ac:dyDescent="0.25">
      <c r="A88" t="s">
        <v>68</v>
      </c>
      <c r="B88" t="s">
        <v>5</v>
      </c>
      <c r="C88" t="s">
        <v>15</v>
      </c>
      <c r="E88" t="s">
        <v>69</v>
      </c>
      <c r="G88" t="s">
        <v>25</v>
      </c>
      <c r="K88" t="s">
        <v>53</v>
      </c>
      <c r="L88" t="s">
        <v>27</v>
      </c>
      <c r="M88">
        <f t="shared" ref="M88:W88" ca="1" si="5">M81</f>
        <v>11.99</v>
      </c>
      <c r="N88">
        <f t="shared" ca="1" si="5"/>
        <v>11.99</v>
      </c>
      <c r="O88">
        <f t="shared" ca="1" si="5"/>
        <v>5.14</v>
      </c>
      <c r="P88">
        <f t="shared" ca="1" si="5"/>
        <v>2.9</v>
      </c>
      <c r="Q88">
        <f t="shared" ca="1" si="5"/>
        <v>3.53</v>
      </c>
      <c r="R88">
        <f t="shared" ca="1" si="5"/>
        <v>3.01</v>
      </c>
      <c r="S88">
        <f t="shared" ca="1" si="5"/>
        <v>3.34</v>
      </c>
      <c r="T88">
        <f t="shared" ca="1" si="5"/>
        <v>3.16</v>
      </c>
      <c r="U88">
        <f t="shared" ca="1" si="5"/>
        <v>2.97</v>
      </c>
      <c r="V88">
        <f t="shared" ca="1" si="5"/>
        <v>2.97</v>
      </c>
      <c r="W88">
        <f t="shared" ca="1" si="5"/>
        <v>2.97</v>
      </c>
    </row>
    <row r="89" spans="1:24" x14ac:dyDescent="0.25">
      <c r="A89" t="s">
        <v>70</v>
      </c>
      <c r="B89" t="s">
        <v>5</v>
      </c>
      <c r="C89" t="s">
        <v>15</v>
      </c>
      <c r="E89" t="s">
        <v>71</v>
      </c>
      <c r="G89" t="s">
        <v>17</v>
      </c>
      <c r="L89" t="s">
        <v>18</v>
      </c>
    </row>
    <row r="90" spans="1:24" x14ac:dyDescent="0.25">
      <c r="A90" t="s">
        <v>70</v>
      </c>
      <c r="B90" t="s">
        <v>5</v>
      </c>
      <c r="C90" t="s">
        <v>15</v>
      </c>
      <c r="E90" t="s">
        <v>71</v>
      </c>
      <c r="G90" t="s">
        <v>19</v>
      </c>
      <c r="H90" t="s">
        <v>23</v>
      </c>
    </row>
    <row r="91" spans="1:24" x14ac:dyDescent="0.25">
      <c r="A91" t="s">
        <v>70</v>
      </c>
      <c r="B91" t="s">
        <v>5</v>
      </c>
      <c r="C91" t="s">
        <v>15</v>
      </c>
      <c r="E91" t="s">
        <v>71</v>
      </c>
      <c r="G91" t="s">
        <v>24</v>
      </c>
      <c r="H91" t="b">
        <v>1</v>
      </c>
    </row>
    <row r="92" spans="1:24" x14ac:dyDescent="0.25">
      <c r="A92" t="s">
        <v>70</v>
      </c>
      <c r="B92" t="s">
        <v>5</v>
      </c>
      <c r="C92" t="s">
        <v>15</v>
      </c>
      <c r="E92" t="s">
        <v>71</v>
      </c>
      <c r="G92" t="s">
        <v>25</v>
      </c>
      <c r="K92" t="s">
        <v>26</v>
      </c>
      <c r="L92" t="s">
        <v>27</v>
      </c>
      <c r="M92">
        <f t="array" aca="1" ref="M92" ca="1">INDEX([1]!JCIMS_prices,_xlfn.XMATCH($E92,[1]!JCIMS_prices_index),_xlfn.XMATCH(M$2,[1]!CER_year))*[1]!JCIMS_price_inflator</f>
        <v>3.4716607615953659</v>
      </c>
      <c r="N92">
        <f t="array" aca="1" ref="N92" ca="1">INDEX([1]!JCIMS_prices,_xlfn.XMATCH($E92,[1]!JCIMS_prices_index),_xlfn.XMATCH(N$2,[1]!CER_year))*[1]!JCIMS_price_inflator</f>
        <v>3.6789914519903935</v>
      </c>
      <c r="O92">
        <f t="array" aca="1" ref="O92" ca="1">INDEX([1]!JCIMS_prices,_xlfn.XMATCH($E92,[1]!JCIMS_prices_index),_xlfn.XMATCH(O$2,[1]!CER_year))*[1]!JCIMS_price_inflator</f>
        <v>4.300983523175435</v>
      </c>
      <c r="P92">
        <f t="array" aca="1" ref="P92" ca="1">INDEX([1]!JCIMS_prices,_xlfn.XMATCH($E92,[1]!JCIMS_prices_index),_xlfn.XMATCH(P$2,[1]!CER_year))*[1]!JCIMS_price_inflator</f>
        <v>4.300983523175435</v>
      </c>
      <c r="Q92">
        <f t="array" aca="1" ref="Q92" ca="1">INDEX([1]!JCIMS_prices,_xlfn.XMATCH($E92,[1]!JCIMS_prices_index),_xlfn.XMATCH(Q$2,[1]!CER_year))*[1]!JCIMS_price_inflator</f>
        <v>4.300983523175435</v>
      </c>
      <c r="R92">
        <f t="array" aca="1" ref="R92" ca="1">INDEX([1]!JCIMS_prices,_xlfn.XMATCH($E92,[1]!JCIMS_prices_index),_xlfn.XMATCH(R$2,[1]!CER_year))*[1]!JCIMS_price_inflator</f>
        <v>4.300983523175435</v>
      </c>
      <c r="S92">
        <f t="array" aca="1" ref="S92" ca="1">INDEX([1]!JCIMS_prices,_xlfn.XMATCH($E92,[1]!JCIMS_prices_index),_xlfn.XMATCH(S$2,[1]!CER_year))*[1]!JCIMS_price_inflator</f>
        <v>4.300983523175435</v>
      </c>
      <c r="T92">
        <f t="array" aca="1" ref="T92" ca="1">INDEX([1]!JCIMS_prices,_xlfn.XMATCH($E92,[1]!JCIMS_prices_index),_xlfn.XMATCH(T$2,[1]!CER_year))*[1]!JCIMS_price_inflator</f>
        <v>4.300983523175435</v>
      </c>
      <c r="U92">
        <f t="array" aca="1" ref="U92" ca="1">INDEX([1]!JCIMS_prices,_xlfn.XMATCH($E92,[1]!JCIMS_prices_index),_xlfn.XMATCH(U$2,[1]!CER_year))*[1]!JCIMS_price_inflator</f>
        <v>4.300983523175435</v>
      </c>
      <c r="V92">
        <f t="array" aca="1" ref="V92" ca="1">INDEX([1]!JCIMS_prices,_xlfn.XMATCH($E92,[1]!JCIMS_prices_index),_xlfn.XMATCH(V$2,[1]!CER_year))*[1]!JCIMS_price_inflator</f>
        <v>4.300983523175435</v>
      </c>
      <c r="W92">
        <f t="array" aca="1" ref="W92" ca="1">INDEX([1]!JCIMS_prices,_xlfn.XMATCH($E92,[1]!JCIMS_prices_index),_xlfn.XMATCH(W$2,[1]!CER_year))*[1]!JCIMS_price_inflator</f>
        <v>4.300983523175435</v>
      </c>
      <c r="X92" t="s">
        <v>72</v>
      </c>
    </row>
    <row r="93" spans="1:24" x14ac:dyDescent="0.25">
      <c r="A93" t="s">
        <v>70</v>
      </c>
      <c r="B93" t="s">
        <v>5</v>
      </c>
      <c r="C93" t="s">
        <v>15</v>
      </c>
      <c r="E93" t="s">
        <v>71</v>
      </c>
      <c r="G93" t="s">
        <v>34</v>
      </c>
      <c r="H93" t="s">
        <v>30</v>
      </c>
      <c r="I93" t="s">
        <v>31</v>
      </c>
      <c r="K93" t="s">
        <v>32</v>
      </c>
      <c r="L93" t="s">
        <v>33</v>
      </c>
      <c r="M93">
        <f t="array" aca="1" ref="M93" ca="1">INDEX([1]Coefficients!$G$132:$BO$151,_xlfn.XMATCH($E93,[1]Coefficients!$B$132:$B$151),_xlfn.XMATCH(M$2,[1]Coefficients!$G$1:$BO$1))</f>
        <v>7.762551786473218E-2</v>
      </c>
      <c r="N93">
        <f t="array" aca="1" ref="N93" ca="1">INDEX([1]Coefficients!$G$132:$BO$151,_xlfn.XMATCH($E93,[1]Coefficients!$B$132:$B$151),_xlfn.XMATCH(N$2,[1]Coefficients!$G$1:$BO$1))</f>
        <v>7.9901480514705525E-2</v>
      </c>
      <c r="O93">
        <f t="array" aca="1" ref="O93" ca="1">INDEX([1]Coefficients!$G$132:$BO$151,_xlfn.XMATCH($E93,[1]Coefficients!$B$132:$B$151),_xlfn.XMATCH(O$2,[1]Coefficients!$G$1:$BO$1))</f>
        <v>8.0477022875806686E-2</v>
      </c>
      <c r="P93">
        <f t="array" aca="1" ref="P93" ca="1">INDEX([1]Coefficients!$G$132:$BO$151,_xlfn.XMATCH($E93,[1]Coefficients!$B$132:$B$151),_xlfn.XMATCH(P$2,[1]Coefficients!$G$1:$BO$1))</f>
        <v>7.9010927100618897E-2</v>
      </c>
      <c r="Q93">
        <f t="array" aca="1" ref="Q93" ca="1">INDEX([1]Coefficients!$G$132:$BO$151,_xlfn.XMATCH($E93,[1]Coefficients!$B$132:$B$151),_xlfn.XMATCH(Q$2,[1]Coefficients!$G$1:$BO$1))</f>
        <v>8.0332825143026143E-2</v>
      </c>
      <c r="R93">
        <f t="array" aca="1" ref="R93" ca="1">INDEX([1]Coefficients!$G$132:$BO$151,_xlfn.XMATCH($E93,[1]Coefficients!$B$132:$B$151),_xlfn.XMATCH(R$2,[1]Coefficients!$G$1:$BO$1))</f>
        <v>8.0332825143026143E-2</v>
      </c>
      <c r="S93">
        <f t="array" aca="1" ref="S93" ca="1">INDEX([1]Coefficients!$G$132:$BO$151,_xlfn.XMATCH($E93,[1]Coefficients!$B$132:$B$151),_xlfn.XMATCH(S$2,[1]Coefficients!$G$1:$BO$1))</f>
        <v>8.0332825143026143E-2</v>
      </c>
      <c r="T93">
        <f t="array" aca="1" ref="T93" ca="1">INDEX([1]Coefficients!$G$132:$BO$151,_xlfn.XMATCH($E93,[1]Coefficients!$B$132:$B$151),_xlfn.XMATCH(T$2,[1]Coefficients!$G$1:$BO$1))</f>
        <v>8.0332825143026143E-2</v>
      </c>
      <c r="U93">
        <f t="array" aca="1" ref="U93" ca="1">INDEX([1]Coefficients!$G$132:$BO$151,_xlfn.XMATCH($E93,[1]Coefficients!$B$132:$B$151),_xlfn.XMATCH(U$2,[1]Coefficients!$G$1:$BO$1))</f>
        <v>8.0332825143026143E-2</v>
      </c>
      <c r="V93">
        <f t="array" aca="1" ref="V93" ca="1">INDEX([1]Coefficients!$G$132:$BO$151,_xlfn.XMATCH($E93,[1]Coefficients!$B$132:$B$151),_xlfn.XMATCH(V$2,[1]Coefficients!$G$1:$BO$1))</f>
        <v>8.0332825143026143E-2</v>
      </c>
      <c r="W93">
        <f t="array" aca="1" ref="W93" ca="1">INDEX([1]Coefficients!$G$132:$BO$151,_xlfn.XMATCH($E93,[1]Coefficients!$B$132:$B$151),_xlfn.XMATCH(W$2,[1]Coefficients!$G$1:$BO$1))</f>
        <v>8.0332825143026143E-2</v>
      </c>
    </row>
    <row r="94" spans="1:24" x14ac:dyDescent="0.25">
      <c r="A94" t="s">
        <v>70</v>
      </c>
      <c r="B94" t="s">
        <v>5</v>
      </c>
      <c r="C94" t="s">
        <v>15</v>
      </c>
      <c r="E94" t="s">
        <v>71</v>
      </c>
      <c r="G94" t="s">
        <v>34</v>
      </c>
      <c r="H94" t="s">
        <v>35</v>
      </c>
      <c r="I94" t="s">
        <v>31</v>
      </c>
      <c r="K94" t="s">
        <v>32</v>
      </c>
      <c r="L94" t="s">
        <v>36</v>
      </c>
      <c r="M94">
        <f t="array" aca="1" ref="M94" ca="1">INDEX([1]Coefficients!$G$156:$BO$175,_xlfn.XMATCH($E94,[1]Coefficients!$B$132:$B$151),_xlfn.XMATCH(M$2,[1]Coefficients!$G$1:$BO$1))</f>
        <v>2.5889967532216271E-6</v>
      </c>
      <c r="N94">
        <f t="array" aca="1" ref="N94" ca="1">INDEX([1]Coefficients!$G$156:$BO$175,_xlfn.XMATCH($E94,[1]Coefficients!$B$132:$B$151),_xlfn.XMATCH(N$2,[1]Coefficients!$G$1:$BO$1))</f>
        <v>2.5889967686127562E-6</v>
      </c>
      <c r="O94">
        <f t="array" aca="1" ref="O94" ca="1">INDEX([1]Coefficients!$G$156:$BO$175,_xlfn.XMATCH($E94,[1]Coefficients!$B$132:$B$151),_xlfn.XMATCH(O$2,[1]Coefficients!$G$1:$BO$1))</f>
        <v>2.5889975645349421E-6</v>
      </c>
      <c r="P94">
        <f t="array" aca="1" ref="P94" ca="1">INDEX([1]Coefficients!$G$156:$BO$175,_xlfn.XMATCH($E94,[1]Coefficients!$B$132:$B$151),_xlfn.XMATCH(P$2,[1]Coefficients!$G$1:$BO$1))</f>
        <v>2.5888319141025711E-6</v>
      </c>
      <c r="Q94">
        <f t="array" aca="1" ref="Q94" ca="1">INDEX([1]Coefficients!$G$156:$BO$175,_xlfn.XMATCH($E94,[1]Coefficients!$B$132:$B$151),_xlfn.XMATCH(Q$2,[1]Coefficients!$G$1:$BO$1))</f>
        <v>2.588832670277672E-6</v>
      </c>
      <c r="R94">
        <f t="array" aca="1" ref="R94" ca="1">INDEX([1]Coefficients!$G$156:$BO$175,_xlfn.XMATCH($E94,[1]Coefficients!$B$132:$B$151),_xlfn.XMATCH(R$2,[1]Coefficients!$G$1:$BO$1))</f>
        <v>2.588832670277672E-6</v>
      </c>
      <c r="S94">
        <f t="array" aca="1" ref="S94" ca="1">INDEX([1]Coefficients!$G$156:$BO$175,_xlfn.XMATCH($E94,[1]Coefficients!$B$132:$B$151),_xlfn.XMATCH(S$2,[1]Coefficients!$G$1:$BO$1))</f>
        <v>2.588832670277672E-6</v>
      </c>
      <c r="T94">
        <f t="array" aca="1" ref="T94" ca="1">INDEX([1]Coefficients!$G$156:$BO$175,_xlfn.XMATCH($E94,[1]Coefficients!$B$132:$B$151),_xlfn.XMATCH(T$2,[1]Coefficients!$G$1:$BO$1))</f>
        <v>2.588832670277672E-6</v>
      </c>
      <c r="U94">
        <f t="array" aca="1" ref="U94" ca="1">INDEX([1]Coefficients!$G$156:$BO$175,_xlfn.XMATCH($E94,[1]Coefficients!$B$132:$B$151),_xlfn.XMATCH(U$2,[1]Coefficients!$G$1:$BO$1))</f>
        <v>2.588832670277672E-6</v>
      </c>
      <c r="V94">
        <f t="array" aca="1" ref="V94" ca="1">INDEX([1]Coefficients!$G$156:$BO$175,_xlfn.XMATCH($E94,[1]Coefficients!$B$132:$B$151),_xlfn.XMATCH(V$2,[1]Coefficients!$G$1:$BO$1))</f>
        <v>2.588832670277672E-6</v>
      </c>
      <c r="W94">
        <f t="array" aca="1" ref="W94" ca="1">INDEX([1]Coefficients!$G$156:$BO$175,_xlfn.XMATCH($E94,[1]Coefficients!$B$132:$B$151),_xlfn.XMATCH(W$2,[1]Coefficients!$G$1:$BO$1))</f>
        <v>2.588832670277672E-6</v>
      </c>
    </row>
    <row r="95" spans="1:24" x14ac:dyDescent="0.25">
      <c r="A95" t="s">
        <v>70</v>
      </c>
      <c r="B95" t="s">
        <v>5</v>
      </c>
      <c r="C95" t="s">
        <v>15</v>
      </c>
      <c r="E95" t="s">
        <v>71</v>
      </c>
      <c r="G95" t="s">
        <v>34</v>
      </c>
      <c r="H95" t="s">
        <v>37</v>
      </c>
      <c r="I95" t="s">
        <v>31</v>
      </c>
      <c r="K95" t="s">
        <v>32</v>
      </c>
      <c r="L95" t="s">
        <v>38</v>
      </c>
      <c r="M95">
        <f t="array" aca="1" ref="M95" ca="1">INDEX([1]Coefficients!$G$180:$BO$199,_xlfn.XMATCH($E95,[1]Coefficients!$B$132:$B$151),_xlfn.XMATCH(M$2,[1]Coefficients!$G$1:$BO$1))</f>
        <v>5.9546925324097432E-7</v>
      </c>
      <c r="N95">
        <f t="array" aca="1" ref="N95" ca="1">INDEX([1]Coefficients!$G$180:$BO$199,_xlfn.XMATCH($E95,[1]Coefficients!$B$132:$B$151),_xlfn.XMATCH(N$2,[1]Coefficients!$G$1:$BO$1))</f>
        <v>5.9331175947375652E-7</v>
      </c>
      <c r="O95">
        <f t="array" aca="1" ref="O95" ca="1">INDEX([1]Coefficients!$G$180:$BO$199,_xlfn.XMATCH($E95,[1]Coefficients!$B$132:$B$151),_xlfn.XMATCH(O$2,[1]Coefficients!$G$1:$BO$1))</f>
        <v>5.9331194187259091E-7</v>
      </c>
      <c r="P95">
        <f t="array" aca="1" ref="P95" ca="1">INDEX([1]Coefficients!$G$180:$BO$199,_xlfn.XMATCH($E95,[1]Coefficients!$B$132:$B$151),_xlfn.XMATCH(P$2,[1]Coefficients!$G$1:$BO$1))</f>
        <v>5.9327398031517265E-7</v>
      </c>
      <c r="Q95">
        <f t="array" aca="1" ref="Q95" ca="1">INDEX([1]Coefficients!$G$180:$BO$199,_xlfn.XMATCH($E95,[1]Coefficients!$B$132:$B$151),_xlfn.XMATCH(Q$2,[1]Coefficients!$G$1:$BO$1))</f>
        <v>5.9327415360529985E-7</v>
      </c>
      <c r="R95">
        <f t="array" aca="1" ref="R95" ca="1">INDEX([1]Coefficients!$G$180:$BO$199,_xlfn.XMATCH($E95,[1]Coefficients!$B$132:$B$151),_xlfn.XMATCH(R$2,[1]Coefficients!$G$1:$BO$1))</f>
        <v>5.9327415360529985E-7</v>
      </c>
      <c r="S95">
        <f t="array" aca="1" ref="S95" ca="1">INDEX([1]Coefficients!$G$180:$BO$199,_xlfn.XMATCH($E95,[1]Coefficients!$B$132:$B$151),_xlfn.XMATCH(S$2,[1]Coefficients!$G$1:$BO$1))</f>
        <v>5.9327415360529985E-7</v>
      </c>
      <c r="T95">
        <f t="array" aca="1" ref="T95" ca="1">INDEX([1]Coefficients!$G$180:$BO$199,_xlfn.XMATCH($E95,[1]Coefficients!$B$132:$B$151),_xlfn.XMATCH(T$2,[1]Coefficients!$G$1:$BO$1))</f>
        <v>5.9327415360529985E-7</v>
      </c>
      <c r="U95">
        <f t="array" aca="1" ref="U95" ca="1">INDEX([1]Coefficients!$G$180:$BO$199,_xlfn.XMATCH($E95,[1]Coefficients!$B$132:$B$151),_xlfn.XMATCH(U$2,[1]Coefficients!$G$1:$BO$1))</f>
        <v>5.9327415360529985E-7</v>
      </c>
      <c r="V95">
        <f t="array" aca="1" ref="V95" ca="1">INDEX([1]Coefficients!$G$180:$BO$199,_xlfn.XMATCH($E95,[1]Coefficients!$B$132:$B$151),_xlfn.XMATCH(V$2,[1]Coefficients!$G$1:$BO$1))</f>
        <v>5.9327415360529985E-7</v>
      </c>
      <c r="W95">
        <f t="array" aca="1" ref="W95" ca="1">INDEX([1]Coefficients!$G$180:$BO$199,_xlfn.XMATCH($E95,[1]Coefficients!$B$132:$B$151),_xlfn.XMATCH(W$2,[1]Coefficients!$G$1:$BO$1))</f>
        <v>5.9327415360529985E-7</v>
      </c>
    </row>
    <row r="96" spans="1:24" x14ac:dyDescent="0.25">
      <c r="A96" t="s">
        <v>73</v>
      </c>
      <c r="B96" t="s">
        <v>5</v>
      </c>
      <c r="C96" t="s">
        <v>15</v>
      </c>
      <c r="E96" t="s">
        <v>74</v>
      </c>
      <c r="G96" t="s">
        <v>17</v>
      </c>
      <c r="L96" t="s">
        <v>18</v>
      </c>
    </row>
    <row r="97" spans="1:24" x14ac:dyDescent="0.25">
      <c r="A97" t="s">
        <v>73</v>
      </c>
      <c r="B97" t="s">
        <v>5</v>
      </c>
      <c r="C97" t="s">
        <v>15</v>
      </c>
      <c r="E97" t="s">
        <v>74</v>
      </c>
      <c r="G97" t="s">
        <v>19</v>
      </c>
      <c r="H97" t="s">
        <v>23</v>
      </c>
    </row>
    <row r="98" spans="1:24" x14ac:dyDescent="0.25">
      <c r="A98" t="s">
        <v>73</v>
      </c>
      <c r="B98" t="s">
        <v>5</v>
      </c>
      <c r="C98" t="s">
        <v>15</v>
      </c>
      <c r="E98" t="s">
        <v>74</v>
      </c>
      <c r="G98" t="s">
        <v>24</v>
      </c>
      <c r="H98" t="b">
        <v>1</v>
      </c>
    </row>
    <row r="99" spans="1:24" x14ac:dyDescent="0.25">
      <c r="A99" t="s">
        <v>73</v>
      </c>
      <c r="B99" t="s">
        <v>5</v>
      </c>
      <c r="C99" t="s">
        <v>15</v>
      </c>
      <c r="E99" t="s">
        <v>74</v>
      </c>
      <c r="G99" t="s">
        <v>25</v>
      </c>
      <c r="K99" t="s">
        <v>26</v>
      </c>
      <c r="L99" t="s">
        <v>27</v>
      </c>
      <c r="M99">
        <f t="array" aca="1" ref="M99" ca="1">INDEX([1]!JCIMS_prices,_xlfn.XMATCH($E99,[1]!JCIMS_prices_index),_xlfn.XMATCH(M$2,[1]!CER_year))*[1]!JCIMS_price_inflator</f>
        <v>17.153003406339085</v>
      </c>
      <c r="N99">
        <f t="shared" ref="N99:W99" ca="1" si="6">M99</f>
        <v>17.153003406339085</v>
      </c>
      <c r="O99">
        <f t="shared" ca="1" si="6"/>
        <v>17.153003406339085</v>
      </c>
      <c r="P99">
        <f t="shared" ca="1" si="6"/>
        <v>17.153003406339085</v>
      </c>
      <c r="Q99">
        <f t="shared" ca="1" si="6"/>
        <v>17.153003406339085</v>
      </c>
      <c r="R99">
        <f t="shared" ca="1" si="6"/>
        <v>17.153003406339085</v>
      </c>
      <c r="S99">
        <f t="shared" ca="1" si="6"/>
        <v>17.153003406339085</v>
      </c>
      <c r="T99">
        <f t="shared" ca="1" si="6"/>
        <v>17.153003406339085</v>
      </c>
      <c r="U99">
        <f t="shared" ca="1" si="6"/>
        <v>17.153003406339085</v>
      </c>
      <c r="V99">
        <f t="shared" ca="1" si="6"/>
        <v>17.153003406339085</v>
      </c>
      <c r="W99">
        <f t="shared" ca="1" si="6"/>
        <v>17.153003406339085</v>
      </c>
      <c r="X99" t="s">
        <v>75</v>
      </c>
    </row>
    <row r="100" spans="1:24" x14ac:dyDescent="0.25">
      <c r="A100" t="s">
        <v>73</v>
      </c>
      <c r="B100" t="s">
        <v>5</v>
      </c>
      <c r="C100" t="s">
        <v>15</v>
      </c>
      <c r="E100" t="s">
        <v>74</v>
      </c>
      <c r="G100" t="s">
        <v>34</v>
      </c>
      <c r="H100" t="s">
        <v>30</v>
      </c>
      <c r="I100" t="s">
        <v>31</v>
      </c>
      <c r="K100" t="s">
        <v>32</v>
      </c>
      <c r="L100" t="s">
        <v>33</v>
      </c>
      <c r="M100">
        <f t="array" aca="1" ref="M100" ca="1">INDEX([1]Coefficients!$G$132:$BO$151,_xlfn.XMATCH($E100,[1]Coefficients!$B$132:$B$151),_xlfn.XMATCH(M$2,[1]Coefficients!$G$1:$BO$1))</f>
        <v>5.9857766397253279E-2</v>
      </c>
      <c r="N100">
        <f t="array" aca="1" ref="N100" ca="1">INDEX([1]Coefficients!$G$132:$BO$151,_xlfn.XMATCH($E100,[1]Coefficients!$B$132:$B$151),_xlfn.XMATCH(N$2,[1]Coefficients!$G$1:$BO$1))</f>
        <v>5.985775273523862E-2</v>
      </c>
      <c r="O100">
        <f t="array" aca="1" ref="O100" ca="1">INDEX([1]Coefficients!$G$132:$BO$151,_xlfn.XMATCH($E100,[1]Coefficients!$B$132:$B$151),_xlfn.XMATCH(O$2,[1]Coefficients!$G$1:$BO$1))</f>
        <v>5.9857810547601559E-2</v>
      </c>
      <c r="P100">
        <f t="array" aca="1" ref="P100" ca="1">INDEX([1]Coefficients!$G$132:$BO$151,_xlfn.XMATCH($E100,[1]Coefficients!$B$132:$B$151),_xlfn.XMATCH(P$2,[1]Coefficients!$G$1:$BO$1))</f>
        <v>5.9857814030780353E-2</v>
      </c>
      <c r="Q100">
        <f t="array" aca="1" ref="Q100" ca="1">INDEX([1]Coefficients!$G$132:$BO$151,_xlfn.XMATCH($E100,[1]Coefficients!$B$132:$B$151),_xlfn.XMATCH(Q$2,[1]Coefficients!$G$1:$BO$1))</f>
        <v>5.9860457516754152E-2</v>
      </c>
      <c r="R100">
        <f t="array" aca="1" ref="R100" ca="1">INDEX([1]Coefficients!$G$132:$BO$151,_xlfn.XMATCH($E100,[1]Coefficients!$B$132:$B$151),_xlfn.XMATCH(R$2,[1]Coefficients!$G$1:$BO$1))</f>
        <v>5.9860457516754152E-2</v>
      </c>
      <c r="S100">
        <f t="array" aca="1" ref="S100" ca="1">INDEX([1]Coefficients!$G$132:$BO$151,_xlfn.XMATCH($E100,[1]Coefficients!$B$132:$B$151),_xlfn.XMATCH(S$2,[1]Coefficients!$G$1:$BO$1))</f>
        <v>5.9860457516754152E-2</v>
      </c>
      <c r="T100">
        <f t="array" aca="1" ref="T100" ca="1">INDEX([1]Coefficients!$G$132:$BO$151,_xlfn.XMATCH($E100,[1]Coefficients!$B$132:$B$151),_xlfn.XMATCH(T$2,[1]Coefficients!$G$1:$BO$1))</f>
        <v>5.9860457516754152E-2</v>
      </c>
      <c r="U100">
        <f t="array" aca="1" ref="U100" ca="1">INDEX([1]Coefficients!$G$132:$BO$151,_xlfn.XMATCH($E100,[1]Coefficients!$B$132:$B$151),_xlfn.XMATCH(U$2,[1]Coefficients!$G$1:$BO$1))</f>
        <v>5.9860457516754152E-2</v>
      </c>
      <c r="V100">
        <f t="array" aca="1" ref="V100" ca="1">INDEX([1]Coefficients!$G$132:$BO$151,_xlfn.XMATCH($E100,[1]Coefficients!$B$132:$B$151),_xlfn.XMATCH(V$2,[1]Coefficients!$G$1:$BO$1))</f>
        <v>5.9860457516754152E-2</v>
      </c>
      <c r="W100">
        <f t="array" aca="1" ref="W100" ca="1">INDEX([1]Coefficients!$G$132:$BO$151,_xlfn.XMATCH($E100,[1]Coefficients!$B$132:$B$151),_xlfn.XMATCH(W$2,[1]Coefficients!$G$1:$BO$1))</f>
        <v>5.9860457516754152E-2</v>
      </c>
    </row>
    <row r="101" spans="1:24" x14ac:dyDescent="0.25">
      <c r="A101" t="s">
        <v>73</v>
      </c>
      <c r="B101" t="s">
        <v>5</v>
      </c>
      <c r="C101" t="s">
        <v>15</v>
      </c>
      <c r="E101" t="s">
        <v>74</v>
      </c>
      <c r="G101" t="s">
        <v>34</v>
      </c>
      <c r="H101" t="s">
        <v>35</v>
      </c>
      <c r="I101" t="s">
        <v>31</v>
      </c>
      <c r="K101" t="s">
        <v>32</v>
      </c>
      <c r="L101" t="s">
        <v>36</v>
      </c>
      <c r="M101">
        <f t="array" aca="1" ref="M101" ca="1">INDEX([1]Coefficients!$G$156:$BO$175,_xlfn.XMATCH($E101,[1]Coefficients!$B$132:$B$151),_xlfn.XMATCH(M$2,[1]Coefficients!$G$1:$BO$1))</f>
        <v>9.4824184391688377E-7</v>
      </c>
      <c r="N101">
        <f t="array" aca="1" ref="N101" ca="1">INDEX([1]Coefficients!$G$156:$BO$175,_xlfn.XMATCH($E101,[1]Coefficients!$B$132:$B$151),_xlfn.XMATCH(N$2,[1]Coefficients!$G$1:$BO$1))</f>
        <v>9.482416274889288E-7</v>
      </c>
      <c r="O101">
        <f t="array" aca="1" ref="O101" ca="1">INDEX([1]Coefficients!$G$156:$BO$175,_xlfn.XMATCH($E101,[1]Coefficients!$B$132:$B$151),_xlfn.XMATCH(O$2,[1]Coefficients!$G$1:$BO$1))</f>
        <v>9.4824254332834167E-7</v>
      </c>
      <c r="P101">
        <f t="array" aca="1" ref="P101" ca="1">INDEX([1]Coefficients!$G$156:$BO$175,_xlfn.XMATCH($E101,[1]Coefficients!$B$132:$B$151),_xlfn.XMATCH(P$2,[1]Coefficients!$G$1:$BO$1))</f>
        <v>9.4824259850741151E-7</v>
      </c>
      <c r="Q101">
        <f t="array" aca="1" ref="Q101" ca="1">INDEX([1]Coefficients!$G$156:$BO$175,_xlfn.XMATCH($E101,[1]Coefficients!$B$132:$B$151),_xlfn.XMATCH(Q$2,[1]Coefficients!$G$1:$BO$1))</f>
        <v>9.4828447551293711E-7</v>
      </c>
      <c r="R101">
        <f t="array" aca="1" ref="R101" ca="1">INDEX([1]Coefficients!$G$156:$BO$175,_xlfn.XMATCH($E101,[1]Coefficients!$B$132:$B$151),_xlfn.XMATCH(R$2,[1]Coefficients!$G$1:$BO$1))</f>
        <v>9.4828447551293711E-7</v>
      </c>
      <c r="S101">
        <f t="array" aca="1" ref="S101" ca="1">INDEX([1]Coefficients!$G$156:$BO$175,_xlfn.XMATCH($E101,[1]Coefficients!$B$132:$B$151),_xlfn.XMATCH(S$2,[1]Coefficients!$G$1:$BO$1))</f>
        <v>9.4828447551293711E-7</v>
      </c>
      <c r="T101">
        <f t="array" aca="1" ref="T101" ca="1">INDEX([1]Coefficients!$G$156:$BO$175,_xlfn.XMATCH($E101,[1]Coefficients!$B$132:$B$151),_xlfn.XMATCH(T$2,[1]Coefficients!$G$1:$BO$1))</f>
        <v>9.4828447551293711E-7</v>
      </c>
      <c r="U101">
        <f t="array" aca="1" ref="U101" ca="1">INDEX([1]Coefficients!$G$156:$BO$175,_xlfn.XMATCH($E101,[1]Coefficients!$B$132:$B$151),_xlfn.XMATCH(U$2,[1]Coefficients!$G$1:$BO$1))</f>
        <v>9.4828447551293711E-7</v>
      </c>
      <c r="V101">
        <f t="array" aca="1" ref="V101" ca="1">INDEX([1]Coefficients!$G$156:$BO$175,_xlfn.XMATCH($E101,[1]Coefficients!$B$132:$B$151),_xlfn.XMATCH(V$2,[1]Coefficients!$G$1:$BO$1))</f>
        <v>9.4828447551293711E-7</v>
      </c>
      <c r="W101">
        <f t="array" aca="1" ref="W101" ca="1">INDEX([1]Coefficients!$G$156:$BO$175,_xlfn.XMATCH($E101,[1]Coefficients!$B$132:$B$151),_xlfn.XMATCH(W$2,[1]Coefficients!$G$1:$BO$1))</f>
        <v>9.4828447551293711E-7</v>
      </c>
    </row>
    <row r="102" spans="1:24" x14ac:dyDescent="0.25">
      <c r="A102" t="s">
        <v>73</v>
      </c>
      <c r="B102" t="s">
        <v>5</v>
      </c>
      <c r="C102" t="s">
        <v>15</v>
      </c>
      <c r="E102" t="s">
        <v>74</v>
      </c>
      <c r="G102" t="s">
        <v>34</v>
      </c>
      <c r="H102" t="s">
        <v>37</v>
      </c>
      <c r="I102" t="s">
        <v>31</v>
      </c>
      <c r="K102" t="s">
        <v>32</v>
      </c>
      <c r="L102" t="s">
        <v>38</v>
      </c>
      <c r="M102">
        <f t="array" aca="1" ref="M102" ca="1">INDEX([1]Coefficients!$G$180:$BO$199,_xlfn.XMATCH($E102,[1]Coefficients!$B$132:$B$151),_xlfn.XMATCH(M$2,[1]Coefficients!$G$1:$BO$1))</f>
        <v>4.2670882976259764E-6</v>
      </c>
      <c r="N102">
        <f t="array" aca="1" ref="N102" ca="1">INDEX([1]Coefficients!$G$180:$BO$199,_xlfn.XMATCH($E102,[1]Coefficients!$B$132:$B$151),_xlfn.XMATCH(N$2,[1]Coefficients!$G$1:$BO$1))</f>
        <v>4.2670873237001804E-6</v>
      </c>
      <c r="O102">
        <f t="array" aca="1" ref="O102" ca="1">INDEX([1]Coefficients!$G$180:$BO$199,_xlfn.XMATCH($E102,[1]Coefficients!$B$132:$B$151),_xlfn.XMATCH(O$2,[1]Coefficients!$G$1:$BO$1))</f>
        <v>4.2670914449775371E-6</v>
      </c>
      <c r="P102">
        <f t="array" aca="1" ref="P102" ca="1">INDEX([1]Coefficients!$G$180:$BO$199,_xlfn.XMATCH($E102,[1]Coefficients!$B$132:$B$151),_xlfn.XMATCH(P$2,[1]Coefficients!$G$1:$BO$1))</f>
        <v>4.2670916932833516E-6</v>
      </c>
      <c r="Q102">
        <f t="array" aca="1" ref="Q102" ca="1">INDEX([1]Coefficients!$G$180:$BO$199,_xlfn.XMATCH($E102,[1]Coefficients!$B$132:$B$151),_xlfn.XMATCH(Q$2,[1]Coefficients!$G$1:$BO$1))</f>
        <v>4.2672801398082167E-6</v>
      </c>
      <c r="R102">
        <f t="array" aca="1" ref="R102" ca="1">INDEX([1]Coefficients!$G$180:$BO$199,_xlfn.XMATCH($E102,[1]Coefficients!$B$132:$B$151),_xlfn.XMATCH(R$2,[1]Coefficients!$G$1:$BO$1))</f>
        <v>4.2672801398082167E-6</v>
      </c>
      <c r="S102">
        <f t="array" aca="1" ref="S102" ca="1">INDEX([1]Coefficients!$G$180:$BO$199,_xlfn.XMATCH($E102,[1]Coefficients!$B$132:$B$151),_xlfn.XMATCH(S$2,[1]Coefficients!$G$1:$BO$1))</f>
        <v>4.2672801398082167E-6</v>
      </c>
      <c r="T102">
        <f t="array" aca="1" ref="T102" ca="1">INDEX([1]Coefficients!$G$180:$BO$199,_xlfn.XMATCH($E102,[1]Coefficients!$B$132:$B$151),_xlfn.XMATCH(T$2,[1]Coefficients!$G$1:$BO$1))</f>
        <v>4.2672801398082167E-6</v>
      </c>
      <c r="U102">
        <f t="array" aca="1" ref="U102" ca="1">INDEX([1]Coefficients!$G$180:$BO$199,_xlfn.XMATCH($E102,[1]Coefficients!$B$132:$B$151),_xlfn.XMATCH(U$2,[1]Coefficients!$G$1:$BO$1))</f>
        <v>4.2672801398082167E-6</v>
      </c>
      <c r="V102">
        <f t="array" aca="1" ref="V102" ca="1">INDEX([1]Coefficients!$G$180:$BO$199,_xlfn.XMATCH($E102,[1]Coefficients!$B$132:$B$151),_xlfn.XMATCH(V$2,[1]Coefficients!$G$1:$BO$1))</f>
        <v>4.2672801398082167E-6</v>
      </c>
      <c r="W102">
        <f t="array" aca="1" ref="W102" ca="1">INDEX([1]Coefficients!$G$180:$BO$199,_xlfn.XMATCH($E102,[1]Coefficients!$B$132:$B$151),_xlfn.XMATCH(W$2,[1]Coefficients!$G$1:$BO$1))</f>
        <v>4.2672801398082167E-6</v>
      </c>
    </row>
    <row r="103" spans="1:24" x14ac:dyDescent="0.25">
      <c r="A103" t="s">
        <v>76</v>
      </c>
      <c r="B103" t="s">
        <v>5</v>
      </c>
      <c r="C103" t="s">
        <v>15</v>
      </c>
      <c r="E103" t="s">
        <v>77</v>
      </c>
      <c r="G103" t="s">
        <v>17</v>
      </c>
      <c r="L103" t="s">
        <v>18</v>
      </c>
    </row>
    <row r="104" spans="1:24" x14ac:dyDescent="0.25">
      <c r="A104" t="s">
        <v>76</v>
      </c>
      <c r="B104" t="s">
        <v>5</v>
      </c>
      <c r="C104" t="s">
        <v>15</v>
      </c>
      <c r="E104" t="s">
        <v>77</v>
      </c>
      <c r="G104" t="s">
        <v>19</v>
      </c>
      <c r="H104" t="s">
        <v>23</v>
      </c>
    </row>
    <row r="105" spans="1:24" x14ac:dyDescent="0.25">
      <c r="A105" t="s">
        <v>76</v>
      </c>
      <c r="B105" t="s">
        <v>5</v>
      </c>
      <c r="C105" t="s">
        <v>15</v>
      </c>
      <c r="E105" t="s">
        <v>77</v>
      </c>
      <c r="G105" t="s">
        <v>24</v>
      </c>
      <c r="H105" t="b">
        <v>1</v>
      </c>
    </row>
    <row r="106" spans="1:24" x14ac:dyDescent="0.25">
      <c r="A106" t="s">
        <v>76</v>
      </c>
      <c r="B106" t="s">
        <v>5</v>
      </c>
      <c r="C106" t="s">
        <v>15</v>
      </c>
      <c r="E106" t="s">
        <v>77</v>
      </c>
      <c r="G106" t="s">
        <v>25</v>
      </c>
      <c r="K106" t="s">
        <v>26</v>
      </c>
      <c r="L106" t="s">
        <v>27</v>
      </c>
      <c r="M106">
        <f t="array" aca="1" ref="M106" ca="1">INDEX([1]!JCIMS_prices,_xlfn.XMATCH($E106,[1]!JCIMS_prices_index),_xlfn.XMATCH(M$2,[1]!CER_year))*[1]!JCIMS_price_inflator</f>
        <v>0</v>
      </c>
      <c r="N106">
        <f t="array" aca="1" ref="N106" ca="1">INDEX([1]!JCIMS_prices,_xlfn.XMATCH($E106,[1]!JCIMS_prices_index),_xlfn.XMATCH(N$2,[1]!CER_year))*[1]!JCIMS_price_inflator</f>
        <v>0</v>
      </c>
      <c r="O106">
        <f t="array" aca="1" ref="O106" ca="1">INDEX([1]!JCIMS_prices,_xlfn.XMATCH($E106,[1]!JCIMS_prices_index),_xlfn.XMATCH(O$2,[1]!CER_year))*[1]!JCIMS_price_inflator</f>
        <v>0</v>
      </c>
      <c r="P106">
        <f t="array" aca="1" ref="P106" ca="1">INDEX([1]!JCIMS_prices,_xlfn.XMATCH($E106,[1]!JCIMS_prices_index),_xlfn.XMATCH(P$2,[1]!CER_year))*[1]!JCIMS_price_inflator</f>
        <v>0</v>
      </c>
      <c r="Q106">
        <f t="array" aca="1" ref="Q106" ca="1">INDEX([1]!JCIMS_prices,_xlfn.XMATCH($E106,[1]!JCIMS_prices_index),_xlfn.XMATCH(Q$2,[1]!CER_year))*[1]!JCIMS_price_inflator</f>
        <v>0</v>
      </c>
      <c r="R106">
        <f t="array" aca="1" ref="R106" ca="1">INDEX([1]!JCIMS_prices,_xlfn.XMATCH($E106,[1]!JCIMS_prices_index),_xlfn.XMATCH(R$2,[1]!CER_year))*[1]!JCIMS_price_inflator</f>
        <v>0</v>
      </c>
      <c r="S106">
        <f t="array" aca="1" ref="S106" ca="1">INDEX([1]!JCIMS_prices,_xlfn.XMATCH($E106,[1]!JCIMS_prices_index),_xlfn.XMATCH(S$2,[1]!CER_year))*[1]!JCIMS_price_inflator</f>
        <v>0</v>
      </c>
      <c r="T106">
        <f t="array" aca="1" ref="T106" ca="1">INDEX([1]!JCIMS_prices,_xlfn.XMATCH($E106,[1]!JCIMS_prices_index),_xlfn.XMATCH(T$2,[1]!CER_year))*[1]!JCIMS_price_inflator</f>
        <v>0</v>
      </c>
      <c r="U106">
        <f t="array" aca="1" ref="U106" ca="1">INDEX([1]!JCIMS_prices,_xlfn.XMATCH($E106,[1]!JCIMS_prices_index),_xlfn.XMATCH(U$2,[1]!CER_year))*[1]!JCIMS_price_inflator</f>
        <v>0</v>
      </c>
      <c r="V106">
        <f t="array" aca="1" ref="V106" ca="1">INDEX([1]!JCIMS_prices,_xlfn.XMATCH($E106,[1]!JCIMS_prices_index),_xlfn.XMATCH(V$2,[1]!CER_year))*[1]!JCIMS_price_inflator</f>
        <v>0</v>
      </c>
      <c r="W106">
        <f t="array" aca="1" ref="W106" ca="1">INDEX([1]!JCIMS_prices,_xlfn.XMATCH($E106,[1]!JCIMS_prices_index),_xlfn.XMATCH(W$2,[1]!CER_year))*[1]!JCIMS_price_inflator</f>
        <v>0</v>
      </c>
      <c r="X106" t="s">
        <v>78</v>
      </c>
    </row>
    <row r="107" spans="1:24" x14ac:dyDescent="0.25">
      <c r="A107" t="s">
        <v>76</v>
      </c>
      <c r="B107" t="s">
        <v>5</v>
      </c>
      <c r="C107" t="s">
        <v>15</v>
      </c>
      <c r="E107" t="s">
        <v>77</v>
      </c>
      <c r="G107" t="s">
        <v>34</v>
      </c>
      <c r="H107" t="s">
        <v>30</v>
      </c>
      <c r="I107" t="s">
        <v>31</v>
      </c>
      <c r="K107" t="s">
        <v>32</v>
      </c>
      <c r="L107" t="s">
        <v>33</v>
      </c>
      <c r="M107">
        <f t="array" aca="1" ref="M107" ca="1">INDEX([1]Coefficients!$G$132:$BO$151,_xlfn.XMATCH($E107,[1]Coefficients!$B$132:$B$151),_xlfn.XMATCH(M$2,[1]Coefficients!$G$1:$BO$1))</f>
        <v>5.1259752560403472E-2</v>
      </c>
      <c r="N107">
        <f t="array" aca="1" ref="N107" ca="1">INDEX([1]Coefficients!$G$132:$BO$151,_xlfn.XMATCH($E107,[1]Coefficients!$B$132:$B$151),_xlfn.XMATCH(N$2,[1]Coefficients!$G$1:$BO$1))</f>
        <v>5.2366651626647387E-2</v>
      </c>
      <c r="O107">
        <f t="array" aca="1" ref="O107" ca="1">INDEX([1]Coefficients!$G$132:$BO$151,_xlfn.XMATCH($E107,[1]Coefficients!$B$132:$B$151),_xlfn.XMATCH(O$2,[1]Coefficients!$G$1:$BO$1))</f>
        <v>5.4633254600389917E-2</v>
      </c>
      <c r="P107">
        <f t="array" aca="1" ref="P107" ca="1">INDEX([1]Coefficients!$G$132:$BO$151,_xlfn.XMATCH($E107,[1]Coefficients!$B$132:$B$151),_xlfn.XMATCH(P$2,[1]Coefficients!$G$1:$BO$1))</f>
        <v>5.9238777445698089E-2</v>
      </c>
      <c r="Q107">
        <f t="array" aca="1" ref="Q107" ca="1">INDEX([1]Coefficients!$G$132:$BO$151,_xlfn.XMATCH($E107,[1]Coefficients!$B$132:$B$151),_xlfn.XMATCH(Q$2,[1]Coefficients!$G$1:$BO$1))</f>
        <v>5.513328633900514E-2</v>
      </c>
      <c r="R107">
        <f t="array" aca="1" ref="R107" ca="1">INDEX([1]Coefficients!$G$132:$BO$151,_xlfn.XMATCH($E107,[1]Coefficients!$B$132:$B$151),_xlfn.XMATCH(R$2,[1]Coefficients!$G$1:$BO$1))</f>
        <v>5.513328633900514E-2</v>
      </c>
      <c r="S107">
        <f t="array" aca="1" ref="S107" ca="1">INDEX([1]Coefficients!$G$132:$BO$151,_xlfn.XMATCH($E107,[1]Coefficients!$B$132:$B$151),_xlfn.XMATCH(S$2,[1]Coefficients!$G$1:$BO$1))</f>
        <v>5.513328633900514E-2</v>
      </c>
      <c r="T107">
        <f t="array" aca="1" ref="T107" ca="1">INDEX([1]Coefficients!$G$132:$BO$151,_xlfn.XMATCH($E107,[1]Coefficients!$B$132:$B$151),_xlfn.XMATCH(T$2,[1]Coefficients!$G$1:$BO$1))</f>
        <v>5.513328633900514E-2</v>
      </c>
      <c r="U107">
        <f t="array" aca="1" ref="U107" ca="1">INDEX([1]Coefficients!$G$132:$BO$151,_xlfn.XMATCH($E107,[1]Coefficients!$B$132:$B$151),_xlfn.XMATCH(U$2,[1]Coefficients!$G$1:$BO$1))</f>
        <v>5.513328633900514E-2</v>
      </c>
      <c r="V107">
        <f t="array" aca="1" ref="V107" ca="1">INDEX([1]Coefficients!$G$132:$BO$151,_xlfn.XMATCH($E107,[1]Coefficients!$B$132:$B$151),_xlfn.XMATCH(V$2,[1]Coefficients!$G$1:$BO$1))</f>
        <v>5.513328633900514E-2</v>
      </c>
      <c r="W107">
        <f t="array" aca="1" ref="W107" ca="1">INDEX([1]Coefficients!$G$132:$BO$151,_xlfn.XMATCH($E107,[1]Coefficients!$B$132:$B$151),_xlfn.XMATCH(W$2,[1]Coefficients!$G$1:$BO$1))</f>
        <v>5.513328633900514E-2</v>
      </c>
    </row>
    <row r="108" spans="1:24" x14ac:dyDescent="0.25">
      <c r="A108" t="s">
        <v>76</v>
      </c>
      <c r="B108" t="s">
        <v>5</v>
      </c>
      <c r="C108" t="s">
        <v>15</v>
      </c>
      <c r="E108" t="s">
        <v>77</v>
      </c>
      <c r="G108" t="s">
        <v>34</v>
      </c>
      <c r="H108" t="s">
        <v>35</v>
      </c>
      <c r="I108" t="s">
        <v>31</v>
      </c>
      <c r="K108" t="s">
        <v>32</v>
      </c>
      <c r="L108" t="s">
        <v>36</v>
      </c>
      <c r="M108">
        <f t="array" aca="1" ref="M108" ca="1">INDEX([1]Coefficients!$G$156:$BO$175,_xlfn.XMATCH($E108,[1]Coefficients!$B$132:$B$151),_xlfn.XMATCH(M$2,[1]Coefficients!$G$1:$BO$1))</f>
        <v>9.3680709534368085E-7</v>
      </c>
      <c r="N108">
        <f t="array" aca="1" ref="N108" ca="1">INDEX([1]Coefficients!$G$156:$BO$175,_xlfn.XMATCH($E108,[1]Coefficients!$B$132:$B$151),_xlfn.XMATCH(N$2,[1]Coefficients!$G$1:$BO$1))</f>
        <v>8.8691796008869141E-7</v>
      </c>
      <c r="O108">
        <f t="array" aca="1" ref="O108" ca="1">INDEX([1]Coefficients!$G$156:$BO$175,_xlfn.XMATCH($E108,[1]Coefficients!$B$132:$B$151),_xlfn.XMATCH(O$2,[1]Coefficients!$G$1:$BO$1))</f>
        <v>8.8968957871396907E-7</v>
      </c>
      <c r="P108">
        <f t="array" aca="1" ref="P108" ca="1">INDEX([1]Coefficients!$G$156:$BO$175,_xlfn.XMATCH($E108,[1]Coefficients!$B$132:$B$151),_xlfn.XMATCH(P$2,[1]Coefficients!$G$1:$BO$1))</f>
        <v>8.5920177383592024E-7</v>
      </c>
      <c r="Q108">
        <f t="array" aca="1" ref="Q108" ca="1">INDEX([1]Coefficients!$G$156:$BO$175,_xlfn.XMATCH($E108,[1]Coefficients!$B$132:$B$151),_xlfn.XMATCH(Q$2,[1]Coefficients!$G$1:$BO$1))</f>
        <v>8.5920177383592024E-7</v>
      </c>
      <c r="R108">
        <f t="array" aca="1" ref="R108" ca="1">INDEX([1]Coefficients!$G$156:$BO$175,_xlfn.XMATCH($E108,[1]Coefficients!$B$132:$B$151),_xlfn.XMATCH(R$2,[1]Coefficients!$G$1:$BO$1))</f>
        <v>8.5920177383592024E-7</v>
      </c>
      <c r="S108">
        <f t="array" aca="1" ref="S108" ca="1">INDEX([1]Coefficients!$G$156:$BO$175,_xlfn.XMATCH($E108,[1]Coefficients!$B$132:$B$151),_xlfn.XMATCH(S$2,[1]Coefficients!$G$1:$BO$1))</f>
        <v>8.5920177383592024E-7</v>
      </c>
      <c r="T108">
        <f t="array" aca="1" ref="T108" ca="1">INDEX([1]Coefficients!$G$156:$BO$175,_xlfn.XMATCH($E108,[1]Coefficients!$B$132:$B$151),_xlfn.XMATCH(T$2,[1]Coefficients!$G$1:$BO$1))</f>
        <v>8.5920177383592024E-7</v>
      </c>
      <c r="U108">
        <f t="array" aca="1" ref="U108" ca="1">INDEX([1]Coefficients!$G$156:$BO$175,_xlfn.XMATCH($E108,[1]Coefficients!$B$132:$B$151),_xlfn.XMATCH(U$2,[1]Coefficients!$G$1:$BO$1))</f>
        <v>8.5920177383592024E-7</v>
      </c>
      <c r="V108">
        <f t="array" aca="1" ref="V108" ca="1">INDEX([1]Coefficients!$G$156:$BO$175,_xlfn.XMATCH($E108,[1]Coefficients!$B$132:$B$151),_xlfn.XMATCH(V$2,[1]Coefficients!$G$1:$BO$1))</f>
        <v>8.5920177383592024E-7</v>
      </c>
      <c r="W108">
        <f t="array" aca="1" ref="W108" ca="1">INDEX([1]Coefficients!$G$156:$BO$175,_xlfn.XMATCH($E108,[1]Coefficients!$B$132:$B$151),_xlfn.XMATCH(W$2,[1]Coefficients!$G$1:$BO$1))</f>
        <v>8.5920177383592024E-7</v>
      </c>
    </row>
    <row r="109" spans="1:24" x14ac:dyDescent="0.25">
      <c r="A109" t="s">
        <v>76</v>
      </c>
      <c r="B109" t="s">
        <v>5</v>
      </c>
      <c r="C109" t="s">
        <v>15</v>
      </c>
      <c r="E109" t="s">
        <v>77</v>
      </c>
      <c r="G109" t="s">
        <v>34</v>
      </c>
      <c r="H109" t="s">
        <v>37</v>
      </c>
      <c r="I109" t="s">
        <v>31</v>
      </c>
      <c r="K109" t="s">
        <v>32</v>
      </c>
      <c r="L109" t="s">
        <v>38</v>
      </c>
      <c r="M109">
        <f t="array" aca="1" ref="M109" ca="1">INDEX([1]Coefficients!$G$180:$BO$199,_xlfn.XMATCH($E109,[1]Coefficients!$B$132:$B$151),_xlfn.XMATCH(M$2,[1]Coefficients!$G$1:$BO$1))</f>
        <v>5.5432372505543243E-10</v>
      </c>
      <c r="N109">
        <f t="array" aca="1" ref="N109" ca="1">INDEX([1]Coefficients!$G$180:$BO$199,_xlfn.XMATCH($E109,[1]Coefficients!$B$132:$B$151),_xlfn.XMATCH(N$2,[1]Coefficients!$G$1:$BO$1))</f>
        <v>5.5432372505543243E-10</v>
      </c>
      <c r="O109">
        <f t="array" aca="1" ref="O109" ca="1">INDEX([1]Coefficients!$G$180:$BO$199,_xlfn.XMATCH($E109,[1]Coefficients!$B$132:$B$151),_xlfn.XMATCH(O$2,[1]Coefficients!$G$1:$BO$1))</f>
        <v>5.5432372505543243E-10</v>
      </c>
      <c r="P109">
        <f t="array" aca="1" ref="P109" ca="1">INDEX([1]Coefficients!$G$180:$BO$199,_xlfn.XMATCH($E109,[1]Coefficients!$B$132:$B$151),_xlfn.XMATCH(P$2,[1]Coefficients!$G$1:$BO$1))</f>
        <v>5.5432372505543243E-10</v>
      </c>
      <c r="Q109">
        <f t="array" aca="1" ref="Q109" ca="1">INDEX([1]Coefficients!$G$180:$BO$199,_xlfn.XMATCH($E109,[1]Coefficients!$B$132:$B$151),_xlfn.XMATCH(Q$2,[1]Coefficients!$G$1:$BO$1))</f>
        <v>5.5432372505543243E-10</v>
      </c>
      <c r="R109">
        <f t="array" aca="1" ref="R109" ca="1">INDEX([1]Coefficients!$G$180:$BO$199,_xlfn.XMATCH($E109,[1]Coefficients!$B$132:$B$151),_xlfn.XMATCH(R$2,[1]Coefficients!$G$1:$BO$1))</f>
        <v>5.5432372505543243E-10</v>
      </c>
      <c r="S109">
        <f t="array" aca="1" ref="S109" ca="1">INDEX([1]Coefficients!$G$180:$BO$199,_xlfn.XMATCH($E109,[1]Coefficients!$B$132:$B$151),_xlfn.XMATCH(S$2,[1]Coefficients!$G$1:$BO$1))</f>
        <v>5.5432372505543243E-10</v>
      </c>
      <c r="T109">
        <f t="array" aca="1" ref="T109" ca="1">INDEX([1]Coefficients!$G$180:$BO$199,_xlfn.XMATCH($E109,[1]Coefficients!$B$132:$B$151),_xlfn.XMATCH(T$2,[1]Coefficients!$G$1:$BO$1))</f>
        <v>5.5432372505543243E-10</v>
      </c>
      <c r="U109">
        <f t="array" aca="1" ref="U109" ca="1">INDEX([1]Coefficients!$G$180:$BO$199,_xlfn.XMATCH($E109,[1]Coefficients!$B$132:$B$151),_xlfn.XMATCH(U$2,[1]Coefficients!$G$1:$BO$1))</f>
        <v>5.5432372505543243E-10</v>
      </c>
      <c r="V109">
        <f t="array" aca="1" ref="V109" ca="1">INDEX([1]Coefficients!$G$180:$BO$199,_xlfn.XMATCH($E109,[1]Coefficients!$B$132:$B$151),_xlfn.XMATCH(V$2,[1]Coefficients!$G$1:$BO$1))</f>
        <v>5.5432372505543243E-10</v>
      </c>
      <c r="W109">
        <f t="array" aca="1" ref="W109" ca="1">INDEX([1]Coefficients!$G$180:$BO$199,_xlfn.XMATCH($E109,[1]Coefficients!$B$132:$B$151),_xlfn.XMATCH(W$2,[1]Coefficients!$G$1:$BO$1))</f>
        <v>5.5432372505543243E-10</v>
      </c>
    </row>
    <row r="110" spans="1:24" x14ac:dyDescent="0.25">
      <c r="A110" t="s">
        <v>79</v>
      </c>
      <c r="B110" t="s">
        <v>5</v>
      </c>
      <c r="C110" t="s">
        <v>15</v>
      </c>
      <c r="E110" t="s">
        <v>80</v>
      </c>
      <c r="G110" t="s">
        <v>17</v>
      </c>
      <c r="L110" t="s">
        <v>18</v>
      </c>
    </row>
    <row r="111" spans="1:24" x14ac:dyDescent="0.25">
      <c r="A111" t="s">
        <v>79</v>
      </c>
      <c r="B111" t="s">
        <v>5</v>
      </c>
      <c r="C111" t="s">
        <v>15</v>
      </c>
      <c r="E111" t="s">
        <v>80</v>
      </c>
      <c r="G111" t="s">
        <v>19</v>
      </c>
      <c r="H111" t="s">
        <v>23</v>
      </c>
    </row>
    <row r="112" spans="1:24" x14ac:dyDescent="0.25">
      <c r="A112" t="s">
        <v>79</v>
      </c>
      <c r="B112" t="s">
        <v>5</v>
      </c>
      <c r="C112" t="s">
        <v>15</v>
      </c>
      <c r="E112" t="s">
        <v>80</v>
      </c>
      <c r="G112" t="s">
        <v>24</v>
      </c>
      <c r="H112" t="b">
        <v>1</v>
      </c>
    </row>
    <row r="113" spans="1:24" x14ac:dyDescent="0.25">
      <c r="A113" t="s">
        <v>79</v>
      </c>
      <c r="B113" t="s">
        <v>5</v>
      </c>
      <c r="C113" t="s">
        <v>15</v>
      </c>
      <c r="E113" t="s">
        <v>80</v>
      </c>
      <c r="G113" t="s">
        <v>25</v>
      </c>
      <c r="K113" t="s">
        <v>26</v>
      </c>
      <c r="L113" t="s">
        <v>27</v>
      </c>
      <c r="M113">
        <v>50.8253659210541</v>
      </c>
      <c r="N113">
        <v>50.8253659210541</v>
      </c>
      <c r="O113">
        <v>53.318256392907102</v>
      </c>
      <c r="P113">
        <v>53.147546132209797</v>
      </c>
      <c r="Q113">
        <v>52.893006927828502</v>
      </c>
      <c r="R113">
        <v>52.893006927828502</v>
      </c>
      <c r="S113">
        <v>52.893006927828502</v>
      </c>
      <c r="T113">
        <v>52.893006927828502</v>
      </c>
      <c r="U113">
        <v>52.893006927828502</v>
      </c>
      <c r="V113">
        <v>52.893006927828502</v>
      </c>
      <c r="W113">
        <v>52.893006927828502</v>
      </c>
      <c r="X113" t="s">
        <v>81</v>
      </c>
    </row>
    <row r="114" spans="1:24" x14ac:dyDescent="0.25">
      <c r="A114" t="s">
        <v>79</v>
      </c>
      <c r="B114" t="s">
        <v>5</v>
      </c>
      <c r="C114" t="s">
        <v>15</v>
      </c>
      <c r="E114" t="s">
        <v>80</v>
      </c>
      <c r="G114" t="s">
        <v>29</v>
      </c>
      <c r="H114" t="s">
        <v>30</v>
      </c>
      <c r="I114" t="s">
        <v>31</v>
      </c>
      <c r="K114" t="s">
        <v>32</v>
      </c>
      <c r="L114" t="s">
        <v>33</v>
      </c>
      <c r="M114">
        <f t="shared" ref="M114:W114" ca="1" si="7">M$57</f>
        <v>0</v>
      </c>
      <c r="N114">
        <f t="shared" ca="1" si="7"/>
        <v>0</v>
      </c>
      <c r="O114">
        <f t="shared" ca="1" si="7"/>
        <v>0</v>
      </c>
      <c r="P114">
        <f t="shared" ca="1" si="7"/>
        <v>0</v>
      </c>
      <c r="Q114">
        <f t="shared" ca="1" si="7"/>
        <v>0</v>
      </c>
      <c r="R114">
        <f t="shared" ca="1" si="7"/>
        <v>0</v>
      </c>
      <c r="S114">
        <f t="shared" ca="1" si="7"/>
        <v>0</v>
      </c>
      <c r="T114">
        <f t="shared" ca="1" si="7"/>
        <v>0</v>
      </c>
      <c r="U114">
        <f t="shared" ca="1" si="7"/>
        <v>0</v>
      </c>
      <c r="V114">
        <f t="shared" ca="1" si="7"/>
        <v>0</v>
      </c>
      <c r="W114">
        <f t="shared" ca="1" si="7"/>
        <v>0</v>
      </c>
    </row>
    <row r="115" spans="1:24" x14ac:dyDescent="0.25">
      <c r="A115" t="s">
        <v>79</v>
      </c>
      <c r="B115" t="s">
        <v>5</v>
      </c>
      <c r="C115" t="s">
        <v>15</v>
      </c>
      <c r="E115" t="s">
        <v>80</v>
      </c>
      <c r="G115" t="s">
        <v>34</v>
      </c>
      <c r="H115" t="s">
        <v>30</v>
      </c>
      <c r="I115" t="s">
        <v>31</v>
      </c>
      <c r="K115" t="s">
        <v>32</v>
      </c>
      <c r="L115" t="s">
        <v>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4" x14ac:dyDescent="0.25">
      <c r="A116" t="s">
        <v>79</v>
      </c>
      <c r="B116" t="s">
        <v>5</v>
      </c>
      <c r="C116" t="s">
        <v>15</v>
      </c>
      <c r="E116" t="s">
        <v>80</v>
      </c>
      <c r="G116" t="s">
        <v>34</v>
      </c>
      <c r="H116" t="s">
        <v>35</v>
      </c>
      <c r="I116" t="s">
        <v>31</v>
      </c>
      <c r="K116" t="s">
        <v>32</v>
      </c>
      <c r="L116" t="s">
        <v>36</v>
      </c>
      <c r="M116">
        <f t="shared" ref="M116:W117" ca="1" si="8">M48</f>
        <v>3.4384761216833141E-6</v>
      </c>
      <c r="N116">
        <f t="shared" ca="1" si="8"/>
        <v>3.472591035966505E-6</v>
      </c>
      <c r="O116">
        <f t="shared" ca="1" si="8"/>
        <v>3.472589452190581E-6</v>
      </c>
      <c r="P116">
        <f t="shared" ca="1" si="8"/>
        <v>3.472589390865252E-6</v>
      </c>
      <c r="Q116">
        <f t="shared" ca="1" si="8"/>
        <v>3.472591361989154E-6</v>
      </c>
      <c r="R116">
        <f t="shared" ca="1" si="8"/>
        <v>3.472591361989154E-6</v>
      </c>
      <c r="S116">
        <f t="shared" ca="1" si="8"/>
        <v>3.472591361989154E-6</v>
      </c>
      <c r="T116">
        <f t="shared" ca="1" si="8"/>
        <v>3.472591361989154E-6</v>
      </c>
      <c r="U116">
        <f t="shared" ca="1" si="8"/>
        <v>3.472591361989154E-6</v>
      </c>
      <c r="V116">
        <f t="shared" ca="1" si="8"/>
        <v>3.472591361989154E-6</v>
      </c>
      <c r="W116">
        <f t="shared" ca="1" si="8"/>
        <v>3.472591361989154E-6</v>
      </c>
    </row>
    <row r="117" spans="1:24" x14ac:dyDescent="0.25">
      <c r="A117" t="s">
        <v>79</v>
      </c>
      <c r="B117" t="s">
        <v>5</v>
      </c>
      <c r="C117" t="s">
        <v>15</v>
      </c>
      <c r="E117" t="s">
        <v>80</v>
      </c>
      <c r="G117" t="s">
        <v>34</v>
      </c>
      <c r="H117" t="s">
        <v>37</v>
      </c>
      <c r="I117" t="s">
        <v>31</v>
      </c>
      <c r="K117" t="s">
        <v>32</v>
      </c>
      <c r="L117" t="s">
        <v>38</v>
      </c>
      <c r="M117">
        <f t="shared" ca="1" si="8"/>
        <v>1.034128156897237E-5</v>
      </c>
      <c r="N117">
        <f t="shared" ca="1" si="8"/>
        <v>1.0443882814936861E-5</v>
      </c>
      <c r="O117">
        <f t="shared" ca="1" si="8"/>
        <v>1.044387805170099E-5</v>
      </c>
      <c r="P117">
        <f t="shared" ca="1" si="8"/>
        <v>1.044387786726391E-5</v>
      </c>
      <c r="Q117">
        <f t="shared" ca="1" si="8"/>
        <v>1.04438837954561E-5</v>
      </c>
      <c r="R117">
        <f t="shared" ca="1" si="8"/>
        <v>1.04438837954561E-5</v>
      </c>
      <c r="S117">
        <f t="shared" ca="1" si="8"/>
        <v>1.04438837954561E-5</v>
      </c>
      <c r="T117">
        <f t="shared" ca="1" si="8"/>
        <v>1.04438837954561E-5</v>
      </c>
      <c r="U117">
        <f t="shared" ca="1" si="8"/>
        <v>1.04438837954561E-5</v>
      </c>
      <c r="V117">
        <f t="shared" ca="1" si="8"/>
        <v>1.04438837954561E-5</v>
      </c>
      <c r="W117">
        <f t="shared" ca="1" si="8"/>
        <v>1.04438837954561E-5</v>
      </c>
    </row>
    <row r="118" spans="1:24" x14ac:dyDescent="0.25">
      <c r="A118" t="s">
        <v>82</v>
      </c>
      <c r="B118" t="s">
        <v>5</v>
      </c>
      <c r="C118" t="s">
        <v>15</v>
      </c>
      <c r="E118" t="s">
        <v>83</v>
      </c>
      <c r="G118" t="s">
        <v>17</v>
      </c>
      <c r="L118" t="s">
        <v>18</v>
      </c>
    </row>
    <row r="119" spans="1:24" x14ac:dyDescent="0.25">
      <c r="A119" t="s">
        <v>82</v>
      </c>
      <c r="B119" t="s">
        <v>5</v>
      </c>
      <c r="C119" t="s">
        <v>15</v>
      </c>
      <c r="E119" t="s">
        <v>83</v>
      </c>
      <c r="G119" t="s">
        <v>19</v>
      </c>
      <c r="H119" t="s">
        <v>23</v>
      </c>
    </row>
    <row r="120" spans="1:24" x14ac:dyDescent="0.25">
      <c r="A120" t="s">
        <v>82</v>
      </c>
      <c r="B120" t="s">
        <v>5</v>
      </c>
      <c r="C120" t="s">
        <v>15</v>
      </c>
      <c r="E120" t="s">
        <v>83</v>
      </c>
      <c r="G120" t="s">
        <v>24</v>
      </c>
      <c r="H120" t="b">
        <v>1</v>
      </c>
    </row>
    <row r="121" spans="1:24" x14ac:dyDescent="0.25">
      <c r="A121" t="s">
        <v>82</v>
      </c>
      <c r="B121" t="s">
        <v>5</v>
      </c>
      <c r="C121" t="s">
        <v>15</v>
      </c>
      <c r="E121" t="s">
        <v>83</v>
      </c>
      <c r="G121" t="s">
        <v>25</v>
      </c>
      <c r="K121" t="s">
        <v>26</v>
      </c>
      <c r="L121" t="s">
        <v>27</v>
      </c>
      <c r="M121">
        <v>58.639048862983103</v>
      </c>
      <c r="N121">
        <v>58.639048862983103</v>
      </c>
      <c r="O121">
        <v>59.5023126710323</v>
      </c>
      <c r="P121">
        <v>59.311802772190298</v>
      </c>
      <c r="Q121">
        <v>59.0277411383043</v>
      </c>
      <c r="R121">
        <v>59.0277411383043</v>
      </c>
      <c r="S121">
        <v>59.0277411383043</v>
      </c>
      <c r="T121">
        <v>59.0277411383043</v>
      </c>
      <c r="U121">
        <v>59.0277411383043</v>
      </c>
      <c r="V121">
        <v>59.0277411383043</v>
      </c>
      <c r="W121">
        <v>59.0277411383043</v>
      </c>
      <c r="X121" t="s">
        <v>81</v>
      </c>
    </row>
    <row r="122" spans="1:24" x14ac:dyDescent="0.25">
      <c r="A122" t="s">
        <v>82</v>
      </c>
      <c r="B122" t="s">
        <v>5</v>
      </c>
      <c r="C122" t="s">
        <v>15</v>
      </c>
      <c r="E122" t="s">
        <v>83</v>
      </c>
      <c r="G122" t="s">
        <v>29</v>
      </c>
      <c r="H122" t="s">
        <v>30</v>
      </c>
      <c r="I122" t="s">
        <v>31</v>
      </c>
      <c r="K122" t="s">
        <v>32</v>
      </c>
      <c r="L122" t="s">
        <v>33</v>
      </c>
      <c r="M122">
        <f t="shared" ref="M122:W122" ca="1" si="9">M$71</f>
        <v>0</v>
      </c>
      <c r="N122">
        <f t="shared" ca="1" si="9"/>
        <v>0</v>
      </c>
      <c r="O122">
        <f t="shared" ca="1" si="9"/>
        <v>0</v>
      </c>
      <c r="P122">
        <f t="shared" ca="1" si="9"/>
        <v>0</v>
      </c>
      <c r="Q122">
        <f t="shared" ca="1" si="9"/>
        <v>0</v>
      </c>
      <c r="R122">
        <f t="shared" ca="1" si="9"/>
        <v>0</v>
      </c>
      <c r="S122">
        <f t="shared" ca="1" si="9"/>
        <v>0</v>
      </c>
      <c r="T122">
        <f t="shared" ca="1" si="9"/>
        <v>0</v>
      </c>
      <c r="U122">
        <f t="shared" ca="1" si="9"/>
        <v>0</v>
      </c>
      <c r="V122">
        <f t="shared" ca="1" si="9"/>
        <v>0</v>
      </c>
      <c r="W122">
        <f t="shared" ca="1" si="9"/>
        <v>0</v>
      </c>
    </row>
    <row r="123" spans="1:24" x14ac:dyDescent="0.25">
      <c r="A123" t="s">
        <v>82</v>
      </c>
      <c r="B123" t="s">
        <v>5</v>
      </c>
      <c r="C123" t="s">
        <v>15</v>
      </c>
      <c r="E123" t="s">
        <v>83</v>
      </c>
      <c r="G123" t="s">
        <v>34</v>
      </c>
      <c r="H123" t="s">
        <v>30</v>
      </c>
      <c r="I123" t="s">
        <v>31</v>
      </c>
      <c r="K123" t="s">
        <v>32</v>
      </c>
      <c r="L123" t="s">
        <v>33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4" x14ac:dyDescent="0.25">
      <c r="A124" t="s">
        <v>82</v>
      </c>
      <c r="B124" t="s">
        <v>5</v>
      </c>
      <c r="C124" t="s">
        <v>15</v>
      </c>
      <c r="E124" t="s">
        <v>83</v>
      </c>
      <c r="G124" t="s">
        <v>34</v>
      </c>
      <c r="H124" t="s">
        <v>35</v>
      </c>
      <c r="I124" t="s">
        <v>31</v>
      </c>
      <c r="K124" t="s">
        <v>32</v>
      </c>
      <c r="L124" t="s">
        <v>36</v>
      </c>
      <c r="M124">
        <f t="shared" ref="M124:W125" ca="1" si="10">M62</f>
        <v>2.8851702942581019E-6</v>
      </c>
      <c r="N124">
        <f t="shared" ca="1" si="10"/>
        <v>2.8571438566883642E-6</v>
      </c>
      <c r="O124">
        <f t="shared" ca="1" si="10"/>
        <v>2.8571409759473159E-6</v>
      </c>
      <c r="P124">
        <f t="shared" ca="1" si="10"/>
        <v>2.857145582285266E-6</v>
      </c>
      <c r="Q124">
        <f t="shared" ca="1" si="10"/>
        <v>2.8571458873488601E-6</v>
      </c>
      <c r="R124">
        <f t="shared" ca="1" si="10"/>
        <v>2.8571458873488601E-6</v>
      </c>
      <c r="S124">
        <f t="shared" ca="1" si="10"/>
        <v>2.8571458873488601E-6</v>
      </c>
      <c r="T124">
        <f t="shared" ca="1" si="10"/>
        <v>2.8571458873488601E-6</v>
      </c>
      <c r="U124">
        <f t="shared" ca="1" si="10"/>
        <v>2.8571458873488601E-6</v>
      </c>
      <c r="V124">
        <f t="shared" ca="1" si="10"/>
        <v>2.8571458873488601E-6</v>
      </c>
      <c r="W124">
        <f t="shared" ca="1" si="10"/>
        <v>2.8571458873488601E-6</v>
      </c>
    </row>
    <row r="125" spans="1:24" x14ac:dyDescent="0.25">
      <c r="A125" t="s">
        <v>82</v>
      </c>
      <c r="B125" t="s">
        <v>5</v>
      </c>
      <c r="C125" t="s">
        <v>15</v>
      </c>
      <c r="E125" t="s">
        <v>83</v>
      </c>
      <c r="G125" t="s">
        <v>34</v>
      </c>
      <c r="H125" t="s">
        <v>37</v>
      </c>
      <c r="I125" t="s">
        <v>31</v>
      </c>
      <c r="K125" t="s">
        <v>32</v>
      </c>
      <c r="L125" t="s">
        <v>38</v>
      </c>
      <c r="M125">
        <f t="shared" ca="1" si="10"/>
        <v>5.7703405885162051E-7</v>
      </c>
      <c r="N125">
        <f t="shared" ca="1" si="10"/>
        <v>5.7142877133767288E-7</v>
      </c>
      <c r="O125">
        <f t="shared" ca="1" si="10"/>
        <v>5.7142819518946321E-7</v>
      </c>
      <c r="P125">
        <f t="shared" ca="1" si="10"/>
        <v>5.7142911645705326E-7</v>
      </c>
      <c r="Q125">
        <f t="shared" ca="1" si="10"/>
        <v>5.71429177469772E-7</v>
      </c>
      <c r="R125">
        <f t="shared" ca="1" si="10"/>
        <v>5.71429177469772E-7</v>
      </c>
      <c r="S125">
        <f t="shared" ca="1" si="10"/>
        <v>5.71429177469772E-7</v>
      </c>
      <c r="T125">
        <f t="shared" ca="1" si="10"/>
        <v>5.71429177469772E-7</v>
      </c>
      <c r="U125">
        <f t="shared" ca="1" si="10"/>
        <v>5.71429177469772E-7</v>
      </c>
      <c r="V125">
        <f t="shared" ca="1" si="10"/>
        <v>5.71429177469772E-7</v>
      </c>
      <c r="W125">
        <f t="shared" ca="1" si="10"/>
        <v>5.71429177469772E-7</v>
      </c>
    </row>
    <row r="126" spans="1:24" x14ac:dyDescent="0.25">
      <c r="A126" t="s">
        <v>84</v>
      </c>
      <c r="B126" t="s">
        <v>5</v>
      </c>
      <c r="C126" t="s">
        <v>15</v>
      </c>
      <c r="E126" t="s">
        <v>85</v>
      </c>
      <c r="G126" t="s">
        <v>17</v>
      </c>
      <c r="L126" t="s">
        <v>18</v>
      </c>
    </row>
    <row r="127" spans="1:24" x14ac:dyDescent="0.25">
      <c r="A127" t="s">
        <v>84</v>
      </c>
      <c r="B127" t="s">
        <v>5</v>
      </c>
      <c r="C127" t="s">
        <v>15</v>
      </c>
      <c r="E127" t="s">
        <v>85</v>
      </c>
      <c r="G127" t="s">
        <v>19</v>
      </c>
      <c r="H127" t="s">
        <v>23</v>
      </c>
    </row>
    <row r="128" spans="1:24" x14ac:dyDescent="0.25">
      <c r="A128" t="s">
        <v>84</v>
      </c>
      <c r="B128" t="s">
        <v>5</v>
      </c>
      <c r="C128" t="s">
        <v>15</v>
      </c>
      <c r="E128" t="s">
        <v>85</v>
      </c>
      <c r="G128" t="s">
        <v>24</v>
      </c>
      <c r="H128" t="b">
        <v>1</v>
      </c>
    </row>
    <row r="129" spans="1:24" x14ac:dyDescent="0.25">
      <c r="A129" t="s">
        <v>84</v>
      </c>
      <c r="B129" t="s">
        <v>5</v>
      </c>
      <c r="C129" t="s">
        <v>15</v>
      </c>
      <c r="E129" t="s">
        <v>85</v>
      </c>
      <c r="G129" t="s">
        <v>25</v>
      </c>
      <c r="K129" t="s">
        <v>26</v>
      </c>
      <c r="L129" t="s">
        <v>27</v>
      </c>
      <c r="M129">
        <f t="array" aca="1" ref="M129" ca="1">INDEX([1]!JCIMS_prices,_xlfn.XMATCH($E129,[1]!JCIMS_prices_index),_xlfn.XMATCH(M$2,[1]!CER_year))*[1]!JCIMS_price_inflator</f>
        <v>1.9275012914504481</v>
      </c>
      <c r="N129">
        <f t="array" aca="1" ref="N129" ca="1">INDEX([1]!JCIMS_prices,_xlfn.XMATCH($E129,[1]!JCIMS_prices_index),_xlfn.XMATCH(N$2,[1]!CER_year))*[1]!JCIMS_price_inflator</f>
        <v>1.5642187023516965</v>
      </c>
      <c r="O129">
        <f t="array" aca="1" ref="O129" ca="1">INDEX([1]!JCIMS_prices,_xlfn.XMATCH($E129,[1]!JCIMS_prices_index),_xlfn.XMATCH(O$2,[1]!CER_year))*[1]!JCIMS_price_inflator</f>
        <v>0.47437093505530448</v>
      </c>
      <c r="P129">
        <f t="array" aca="1" ref="P129" ca="1">INDEX([1]!JCIMS_prices,_xlfn.XMATCH($E129,[1]!JCIMS_prices_index),_xlfn.XMATCH(P$2,[1]!CER_year))*[1]!JCIMS_price_inflator</f>
        <v>0.47437093505530448</v>
      </c>
      <c r="Q129">
        <f t="array" aca="1" ref="Q129" ca="1">INDEX([1]!JCIMS_prices,_xlfn.XMATCH($E129,[1]!JCIMS_prices_index),_xlfn.XMATCH(Q$2,[1]!CER_year))*[1]!JCIMS_price_inflator</f>
        <v>0.47437093505530448</v>
      </c>
      <c r="R129">
        <f t="array" aca="1" ref="R129" ca="1">INDEX([1]!JCIMS_prices,_xlfn.XMATCH($E129,[1]!JCIMS_prices_index),_xlfn.XMATCH(R$2,[1]!CER_year))*[1]!JCIMS_price_inflator</f>
        <v>0.47437093505530448</v>
      </c>
      <c r="S129">
        <f t="array" aca="1" ref="S129" ca="1">INDEX([1]!JCIMS_prices,_xlfn.XMATCH($E129,[1]!JCIMS_prices_index),_xlfn.XMATCH(S$2,[1]!CER_year))*[1]!JCIMS_price_inflator</f>
        <v>0.47437093505530448</v>
      </c>
      <c r="T129">
        <f t="array" aca="1" ref="T129" ca="1">INDEX([1]!JCIMS_prices,_xlfn.XMATCH($E129,[1]!JCIMS_prices_index),_xlfn.XMATCH(T$2,[1]!CER_year))*[1]!JCIMS_price_inflator</f>
        <v>0.47437093505530448</v>
      </c>
      <c r="U129">
        <f t="array" aca="1" ref="U129" ca="1">INDEX([1]!JCIMS_prices,_xlfn.XMATCH($E129,[1]!JCIMS_prices_index),_xlfn.XMATCH(U$2,[1]!CER_year))*[1]!JCIMS_price_inflator</f>
        <v>0.47437093505530448</v>
      </c>
      <c r="V129">
        <f t="array" aca="1" ref="V129" ca="1">INDEX([1]!JCIMS_prices,_xlfn.XMATCH($E129,[1]!JCIMS_prices_index),_xlfn.XMATCH(V$2,[1]!CER_year))*[1]!JCIMS_price_inflator</f>
        <v>0.47437093505530448</v>
      </c>
      <c r="W129">
        <f t="array" aca="1" ref="W129" ca="1">INDEX([1]!JCIMS_prices,_xlfn.XMATCH($E129,[1]!JCIMS_prices_index),_xlfn.XMATCH(W$2,[1]!CER_year))*[1]!JCIMS_price_inflator</f>
        <v>0.47437093505530448</v>
      </c>
      <c r="X129" t="s">
        <v>86</v>
      </c>
    </row>
    <row r="130" spans="1:24" x14ac:dyDescent="0.25">
      <c r="A130" t="s">
        <v>84</v>
      </c>
      <c r="B130" t="s">
        <v>5</v>
      </c>
      <c r="C130" t="s">
        <v>15</v>
      </c>
      <c r="E130" t="s">
        <v>85</v>
      </c>
      <c r="G130" t="s">
        <v>29</v>
      </c>
      <c r="H130" t="s">
        <v>30</v>
      </c>
      <c r="I130" t="s">
        <v>31</v>
      </c>
      <c r="K130" t="s">
        <v>32</v>
      </c>
      <c r="L130" t="s">
        <v>33</v>
      </c>
      <c r="M130">
        <f t="array" aca="1" ref="M130" ca="1">INDEX([1]Coefficients!$G$60:$BO$79,_xlfn.XMATCH($E130,[1]Coefficients!$B$60:$B$79),_xlfn.XMATCH(M$2,[1]Coefficients!$G$1:$BO$1))/INDEX([1]Coefficients!$G$29:$BO$48,_xlfn.XMATCH($E130,[1]Coefficients!$B$29:$B$48),_xlfn.XMATCH(M$2,[1]Coefficients!$G$1:$BO$1))</f>
        <v>8.3904109589041112E-2</v>
      </c>
      <c r="N130">
        <f t="array" aca="1" ref="N130" ca="1">INDEX([1]Coefficients!$G$60:$BO$79,_xlfn.XMATCH($E130,[1]Coefficients!$B$60:$B$79),_xlfn.XMATCH(N$2,[1]Coefficients!$G$1:$BO$1))/INDEX([1]Coefficients!$G$29:$BO$48,_xlfn.XMATCH($E130,[1]Coefficients!$B$29:$B$48),_xlfn.XMATCH(N$2,[1]Coefficients!$G$1:$BO$1))</f>
        <v>8.3904108793093596E-2</v>
      </c>
      <c r="O130">
        <f t="array" aca="1" ref="O130" ca="1">INDEX([1]Coefficients!$G$60:$BO$79,_xlfn.XMATCH($E130,[1]Coefficients!$B$60:$B$79),_xlfn.XMATCH(O$2,[1]Coefficients!$G$1:$BO$1))/INDEX([1]Coefficients!$G$29:$BO$48,_xlfn.XMATCH($E130,[1]Coefficients!$B$29:$B$48),_xlfn.XMATCH(O$2,[1]Coefficients!$G$1:$BO$1))</f>
        <v>8.390411098210028E-2</v>
      </c>
      <c r="P130">
        <f t="array" aca="1" ref="P130" ca="1">INDEX([1]Coefficients!$G$60:$BO$79,_xlfn.XMATCH($E130,[1]Coefficients!$B$60:$B$79),_xlfn.XMATCH(P$2,[1]Coefficients!$G$1:$BO$1))/INDEX([1]Coefficients!$G$29:$BO$48,_xlfn.XMATCH($E130,[1]Coefficients!$B$29:$B$48),_xlfn.XMATCH(P$2,[1]Coefficients!$G$1:$BO$1))</f>
        <v>8.3904110039687479E-2</v>
      </c>
      <c r="Q130">
        <f t="array" aca="1" ref="Q130" ca="1">INDEX([1]Coefficients!$G$60:$BO$79,_xlfn.XMATCH($E130,[1]Coefficients!$B$60:$B$79),_xlfn.XMATCH(Q$2,[1]Coefficients!$G$1:$BO$1))/INDEX([1]Coefficients!$G$29:$BO$48,_xlfn.XMATCH($E130,[1]Coefficients!$B$29:$B$48),_xlfn.XMATCH(Q$2,[1]Coefficients!$G$1:$BO$1))</f>
        <v>8.390412521413429E-2</v>
      </c>
      <c r="R130">
        <f t="array" aca="1" ref="R130" ca="1">INDEX([1]Coefficients!$G$60:$BO$79,_xlfn.XMATCH($E130,[1]Coefficients!$B$60:$B$79),_xlfn.XMATCH(R$2,[1]Coefficients!$G$1:$BO$1))/INDEX([1]Coefficients!$G$29:$BO$48,_xlfn.XMATCH($E130,[1]Coefficients!$B$29:$B$48),_xlfn.XMATCH(R$2,[1]Coefficients!$G$1:$BO$1))</f>
        <v>8.390412521413429E-2</v>
      </c>
      <c r="S130">
        <f t="array" aca="1" ref="S130" ca="1">INDEX([1]Coefficients!$G$60:$BO$79,_xlfn.XMATCH($E130,[1]Coefficients!$B$60:$B$79),_xlfn.XMATCH(S$2,[1]Coefficients!$G$1:$BO$1))/INDEX([1]Coefficients!$G$29:$BO$48,_xlfn.XMATCH($E130,[1]Coefficients!$B$29:$B$48),_xlfn.XMATCH(S$2,[1]Coefficients!$G$1:$BO$1))</f>
        <v>8.390412521413429E-2</v>
      </c>
      <c r="T130">
        <f t="array" aca="1" ref="T130" ca="1">INDEX([1]Coefficients!$G$60:$BO$79,_xlfn.XMATCH($E130,[1]Coefficients!$B$60:$B$79),_xlfn.XMATCH(T$2,[1]Coefficients!$G$1:$BO$1))/INDEX([1]Coefficients!$G$29:$BO$48,_xlfn.XMATCH($E130,[1]Coefficients!$B$29:$B$48),_xlfn.XMATCH(T$2,[1]Coefficients!$G$1:$BO$1))</f>
        <v>8.390412521413429E-2</v>
      </c>
      <c r="U130">
        <f t="array" aca="1" ref="U130" ca="1">INDEX([1]Coefficients!$G$60:$BO$79,_xlfn.XMATCH($E130,[1]Coefficients!$B$60:$B$79),_xlfn.XMATCH(U$2,[1]Coefficients!$G$1:$BO$1))/INDEX([1]Coefficients!$G$29:$BO$48,_xlfn.XMATCH($E130,[1]Coefficients!$B$29:$B$48),_xlfn.XMATCH(U$2,[1]Coefficients!$G$1:$BO$1))</f>
        <v>8.390412521413429E-2</v>
      </c>
      <c r="V130">
        <f t="array" aca="1" ref="V130" ca="1">INDEX([1]Coefficients!$G$60:$BO$79,_xlfn.XMATCH($E130,[1]Coefficients!$B$60:$B$79),_xlfn.XMATCH(V$2,[1]Coefficients!$G$1:$BO$1))/INDEX([1]Coefficients!$G$29:$BO$48,_xlfn.XMATCH($E130,[1]Coefficients!$B$29:$B$48),_xlfn.XMATCH(V$2,[1]Coefficients!$G$1:$BO$1))</f>
        <v>8.390412521413429E-2</v>
      </c>
      <c r="W130">
        <f t="array" aca="1" ref="W130" ca="1">INDEX([1]Coefficients!$G$60:$BO$79,_xlfn.XMATCH($E130,[1]Coefficients!$B$60:$B$79),_xlfn.XMATCH(W$2,[1]Coefficients!$G$1:$BO$1))/INDEX([1]Coefficients!$G$29:$BO$48,_xlfn.XMATCH($E130,[1]Coefficients!$B$29:$B$48),_xlfn.XMATCH(W$2,[1]Coefficients!$G$1:$BO$1))</f>
        <v>8.390412521413429E-2</v>
      </c>
    </row>
    <row r="131" spans="1:24" x14ac:dyDescent="0.25">
      <c r="A131" t="s">
        <v>84</v>
      </c>
      <c r="B131" t="s">
        <v>5</v>
      </c>
      <c r="C131" t="s">
        <v>15</v>
      </c>
      <c r="E131" t="s">
        <v>85</v>
      </c>
      <c r="G131" t="s">
        <v>34</v>
      </c>
      <c r="H131" t="s">
        <v>30</v>
      </c>
      <c r="I131" t="s">
        <v>31</v>
      </c>
      <c r="K131" t="s">
        <v>32</v>
      </c>
      <c r="L131" t="s">
        <v>33</v>
      </c>
      <c r="M131">
        <f t="array" aca="1" ref="M131" ca="1">INDEX([1]Coefficients!$G$132:$BO$151,_xlfn.XMATCH($E131,[1]Coefficients!$B$132:$B$151),_xlfn.XMATCH(M$2,[1]Coefficients!$G$1:$BO$1))</f>
        <v>0</v>
      </c>
      <c r="N131">
        <f t="array" aca="1" ref="N131" ca="1">INDEX([1]Coefficients!$G$132:$BO$151,_xlfn.XMATCH($E131,[1]Coefficients!$B$132:$B$151),_xlfn.XMATCH(N$2,[1]Coefficients!$G$1:$BO$1))</f>
        <v>0</v>
      </c>
      <c r="O131">
        <f t="array" aca="1" ref="O131" ca="1">INDEX([1]Coefficients!$G$132:$BO$151,_xlfn.XMATCH($E131,[1]Coefficients!$B$132:$B$151),_xlfn.XMATCH(O$2,[1]Coefficients!$G$1:$BO$1))</f>
        <v>0</v>
      </c>
      <c r="P131">
        <f t="array" aca="1" ref="P131" ca="1">INDEX([1]Coefficients!$G$132:$BO$151,_xlfn.XMATCH($E131,[1]Coefficients!$B$132:$B$151),_xlfn.XMATCH(P$2,[1]Coefficients!$G$1:$BO$1))</f>
        <v>0</v>
      </c>
      <c r="Q131">
        <f t="array" aca="1" ref="Q131" ca="1">INDEX([1]Coefficients!$G$132:$BO$151,_xlfn.XMATCH($E131,[1]Coefficients!$B$132:$B$151),_xlfn.XMATCH(Q$2,[1]Coefficients!$G$1:$BO$1))</f>
        <v>0</v>
      </c>
      <c r="R131">
        <f t="array" aca="1" ref="R131" ca="1">INDEX([1]Coefficients!$G$132:$BO$151,_xlfn.XMATCH($E131,[1]Coefficients!$B$132:$B$151),_xlfn.XMATCH(R$2,[1]Coefficients!$G$1:$BO$1))</f>
        <v>0</v>
      </c>
      <c r="S131">
        <f t="array" aca="1" ref="S131" ca="1">INDEX([1]Coefficients!$G$132:$BO$151,_xlfn.XMATCH($E131,[1]Coefficients!$B$132:$B$151),_xlfn.XMATCH(S$2,[1]Coefficients!$G$1:$BO$1))</f>
        <v>0</v>
      </c>
      <c r="T131">
        <f t="array" aca="1" ref="T131" ca="1">INDEX([1]Coefficients!$G$132:$BO$151,_xlfn.XMATCH($E131,[1]Coefficients!$B$132:$B$151),_xlfn.XMATCH(T$2,[1]Coefficients!$G$1:$BO$1))</f>
        <v>0</v>
      </c>
      <c r="U131">
        <f t="array" aca="1" ref="U131" ca="1">INDEX([1]Coefficients!$G$132:$BO$151,_xlfn.XMATCH($E131,[1]Coefficients!$B$132:$B$151),_xlfn.XMATCH(U$2,[1]Coefficients!$G$1:$BO$1))</f>
        <v>0</v>
      </c>
      <c r="V131">
        <f t="array" aca="1" ref="V131" ca="1">INDEX([1]Coefficients!$G$132:$BO$151,_xlfn.XMATCH($E131,[1]Coefficients!$B$132:$B$151),_xlfn.XMATCH(V$2,[1]Coefficients!$G$1:$BO$1))</f>
        <v>0</v>
      </c>
      <c r="W131">
        <f t="array" aca="1" ref="W131" ca="1">INDEX([1]Coefficients!$G$132:$BO$151,_xlfn.XMATCH($E131,[1]Coefficients!$B$132:$B$151),_xlfn.XMATCH(W$2,[1]Coefficients!$G$1:$BO$1))</f>
        <v>0</v>
      </c>
    </row>
    <row r="132" spans="1:24" x14ac:dyDescent="0.25">
      <c r="A132" t="s">
        <v>84</v>
      </c>
      <c r="B132" t="s">
        <v>5</v>
      </c>
      <c r="C132" t="s">
        <v>15</v>
      </c>
      <c r="E132" t="s">
        <v>85</v>
      </c>
      <c r="G132" t="s">
        <v>34</v>
      </c>
      <c r="H132" t="s">
        <v>35</v>
      </c>
      <c r="I132" t="s">
        <v>31</v>
      </c>
      <c r="K132" t="s">
        <v>32</v>
      </c>
      <c r="L132" t="s">
        <v>36</v>
      </c>
      <c r="M132">
        <f t="array" aca="1" ref="M132" ca="1">INDEX([1]Coefficients!$G$156:$BO$175,_xlfn.XMATCH($E132,[1]Coefficients!$B$132:$B$151),_xlfn.XMATCH(M$2,[1]Coefficients!$G$1:$BO$1))</f>
        <v>4.8923679060665363E-6</v>
      </c>
      <c r="N132">
        <f t="array" aca="1" ref="N132" ca="1">INDEX([1]Coefficients!$G$156:$BO$175,_xlfn.XMATCH($E132,[1]Coefficients!$B$132:$B$151),_xlfn.XMATCH(N$2,[1]Coefficients!$G$1:$BO$1))</f>
        <v>4.8923678596555996E-6</v>
      </c>
      <c r="O132">
        <f t="array" aca="1" ref="O132" ca="1">INDEX([1]Coefficients!$G$156:$BO$175,_xlfn.XMATCH($E132,[1]Coefficients!$B$132:$B$151),_xlfn.XMATCH(O$2,[1]Coefficients!$G$1:$BO$1))</f>
        <v>4.8923679872944769E-6</v>
      </c>
      <c r="P132">
        <f t="array" aca="1" ref="P132" ca="1">INDEX([1]Coefficients!$G$156:$BO$175,_xlfn.XMATCH($E132,[1]Coefficients!$B$132:$B$151),_xlfn.XMATCH(P$2,[1]Coefficients!$G$1:$BO$1))</f>
        <v>4.8923679323432924E-6</v>
      </c>
      <c r="Q132">
        <f t="array" aca="1" ref="Q132" ca="1">INDEX([1]Coefficients!$G$156:$BO$175,_xlfn.XMATCH($E132,[1]Coefficients!$B$132:$B$151),_xlfn.XMATCH(Q$2,[1]Coefficients!$G$1:$BO$1))</f>
        <v>4.8923688171506836E-6</v>
      </c>
      <c r="R132">
        <f t="array" aca="1" ref="R132" ca="1">INDEX([1]Coefficients!$G$156:$BO$175,_xlfn.XMATCH($E132,[1]Coefficients!$B$132:$B$151),_xlfn.XMATCH(R$2,[1]Coefficients!$G$1:$BO$1))</f>
        <v>4.8923688171506836E-6</v>
      </c>
      <c r="S132">
        <f t="array" aca="1" ref="S132" ca="1">INDEX([1]Coefficients!$G$156:$BO$175,_xlfn.XMATCH($E132,[1]Coefficients!$B$132:$B$151),_xlfn.XMATCH(S$2,[1]Coefficients!$G$1:$BO$1))</f>
        <v>4.8923688171506836E-6</v>
      </c>
      <c r="T132">
        <f t="array" aca="1" ref="T132" ca="1">INDEX([1]Coefficients!$G$156:$BO$175,_xlfn.XMATCH($E132,[1]Coefficients!$B$132:$B$151),_xlfn.XMATCH(T$2,[1]Coefficients!$G$1:$BO$1))</f>
        <v>4.8923688171506836E-6</v>
      </c>
      <c r="U132">
        <f t="array" aca="1" ref="U132" ca="1">INDEX([1]Coefficients!$G$156:$BO$175,_xlfn.XMATCH($E132,[1]Coefficients!$B$132:$B$151),_xlfn.XMATCH(U$2,[1]Coefficients!$G$1:$BO$1))</f>
        <v>4.8923688171506836E-6</v>
      </c>
      <c r="V132">
        <f t="array" aca="1" ref="V132" ca="1">INDEX([1]Coefficients!$G$156:$BO$175,_xlfn.XMATCH($E132,[1]Coefficients!$B$132:$B$151),_xlfn.XMATCH(V$2,[1]Coefficients!$G$1:$BO$1))</f>
        <v>4.8923688171506836E-6</v>
      </c>
      <c r="W132">
        <f t="array" aca="1" ref="W132" ca="1">INDEX([1]Coefficients!$G$156:$BO$175,_xlfn.XMATCH($E132,[1]Coefficients!$B$132:$B$151),_xlfn.XMATCH(W$2,[1]Coefficients!$G$1:$BO$1))</f>
        <v>4.8923688171506836E-6</v>
      </c>
    </row>
    <row r="133" spans="1:24" x14ac:dyDescent="0.25">
      <c r="A133" t="s">
        <v>84</v>
      </c>
      <c r="B133" t="s">
        <v>5</v>
      </c>
      <c r="C133" t="s">
        <v>15</v>
      </c>
      <c r="E133" t="s">
        <v>85</v>
      </c>
      <c r="G133" t="s">
        <v>34</v>
      </c>
      <c r="H133" t="s">
        <v>37</v>
      </c>
      <c r="I133" t="s">
        <v>31</v>
      </c>
      <c r="K133" t="s">
        <v>32</v>
      </c>
      <c r="L133" t="s">
        <v>38</v>
      </c>
      <c r="M133">
        <f t="array" aca="1" ref="M133" ca="1">INDEX([1]Coefficients!$G$180:$BO$199,_xlfn.XMATCH($E133,[1]Coefficients!$B$132:$B$151),_xlfn.XMATCH(M$2,[1]Coefficients!$G$1:$BO$1))</f>
        <v>3.424657534246575E-6</v>
      </c>
      <c r="N133">
        <f t="array" aca="1" ref="N133" ca="1">INDEX([1]Coefficients!$G$180:$BO$199,_xlfn.XMATCH($E133,[1]Coefficients!$B$132:$B$151),_xlfn.XMATCH(N$2,[1]Coefficients!$G$1:$BO$1))</f>
        <v>3.4246575017589211E-6</v>
      </c>
      <c r="O133">
        <f t="array" aca="1" ref="O133" ca="1">INDEX([1]Coefficients!$G$180:$BO$199,_xlfn.XMATCH($E133,[1]Coefficients!$B$132:$B$151),_xlfn.XMATCH(O$2,[1]Coefficients!$G$1:$BO$1))</f>
        <v>3.4246575911061341E-6</v>
      </c>
      <c r="P133">
        <f t="array" aca="1" ref="P133" ca="1">INDEX([1]Coefficients!$G$180:$BO$199,_xlfn.XMATCH($E133,[1]Coefficients!$B$132:$B$151),_xlfn.XMATCH(P$2,[1]Coefficients!$G$1:$BO$1))</f>
        <v>3.4246575526403042E-6</v>
      </c>
      <c r="Q133">
        <f t="array" aca="1" ref="Q133" ca="1">INDEX([1]Coefficients!$G$180:$BO$199,_xlfn.XMATCH($E133,[1]Coefficients!$B$132:$B$151),_xlfn.XMATCH(Q$2,[1]Coefficients!$G$1:$BO$1))</f>
        <v>3.4246581720054789E-6</v>
      </c>
      <c r="R133">
        <f t="array" aca="1" ref="R133" ca="1">INDEX([1]Coefficients!$G$180:$BO$199,_xlfn.XMATCH($E133,[1]Coefficients!$B$132:$B$151),_xlfn.XMATCH(R$2,[1]Coefficients!$G$1:$BO$1))</f>
        <v>3.4246581720054789E-6</v>
      </c>
      <c r="S133">
        <f t="array" aca="1" ref="S133" ca="1">INDEX([1]Coefficients!$G$180:$BO$199,_xlfn.XMATCH($E133,[1]Coefficients!$B$132:$B$151),_xlfn.XMATCH(S$2,[1]Coefficients!$G$1:$BO$1))</f>
        <v>3.4246581720054789E-6</v>
      </c>
      <c r="T133">
        <f t="array" aca="1" ref="T133" ca="1">INDEX([1]Coefficients!$G$180:$BO$199,_xlfn.XMATCH($E133,[1]Coefficients!$B$132:$B$151),_xlfn.XMATCH(T$2,[1]Coefficients!$G$1:$BO$1))</f>
        <v>3.4246581720054789E-6</v>
      </c>
      <c r="U133">
        <f t="array" aca="1" ref="U133" ca="1">INDEX([1]Coefficients!$G$180:$BO$199,_xlfn.XMATCH($E133,[1]Coefficients!$B$132:$B$151),_xlfn.XMATCH(U$2,[1]Coefficients!$G$1:$BO$1))</f>
        <v>3.4246581720054789E-6</v>
      </c>
      <c r="V133">
        <f t="array" aca="1" ref="V133" ca="1">INDEX([1]Coefficients!$G$180:$BO$199,_xlfn.XMATCH($E133,[1]Coefficients!$B$132:$B$151),_xlfn.XMATCH(V$2,[1]Coefficients!$G$1:$BO$1))</f>
        <v>3.4246581720054789E-6</v>
      </c>
      <c r="W133">
        <f t="array" aca="1" ref="W133" ca="1">INDEX([1]Coefficients!$G$180:$BO$199,_xlfn.XMATCH($E133,[1]Coefficients!$B$132:$B$151),_xlfn.XMATCH(W$2,[1]Coefficients!$G$1:$BO$1))</f>
        <v>3.4246581720054789E-6</v>
      </c>
    </row>
    <row r="134" spans="1:24" x14ac:dyDescent="0.25">
      <c r="A134" t="s">
        <v>87</v>
      </c>
      <c r="B134" t="s">
        <v>5</v>
      </c>
      <c r="C134" t="s">
        <v>15</v>
      </c>
      <c r="E134" t="s">
        <v>88</v>
      </c>
      <c r="G134" t="s">
        <v>17</v>
      </c>
      <c r="L134" t="s">
        <v>18</v>
      </c>
    </row>
    <row r="135" spans="1:24" x14ac:dyDescent="0.25">
      <c r="A135" t="s">
        <v>87</v>
      </c>
      <c r="B135" t="s">
        <v>5</v>
      </c>
      <c r="C135" t="s">
        <v>15</v>
      </c>
      <c r="E135" t="s">
        <v>88</v>
      </c>
      <c r="G135" t="s">
        <v>19</v>
      </c>
      <c r="H135" t="s">
        <v>23</v>
      </c>
    </row>
    <row r="136" spans="1:24" x14ac:dyDescent="0.25">
      <c r="A136" t="s">
        <v>87</v>
      </c>
      <c r="B136" t="s">
        <v>5</v>
      </c>
      <c r="C136" t="s">
        <v>15</v>
      </c>
      <c r="E136" t="s">
        <v>88</v>
      </c>
      <c r="G136" t="s">
        <v>24</v>
      </c>
      <c r="H136" t="b">
        <v>1</v>
      </c>
    </row>
    <row r="137" spans="1:24" x14ac:dyDescent="0.25">
      <c r="A137" t="s">
        <v>87</v>
      </c>
      <c r="B137" t="s">
        <v>5</v>
      </c>
      <c r="C137" t="s">
        <v>15</v>
      </c>
      <c r="E137" t="s">
        <v>88</v>
      </c>
      <c r="G137" t="s">
        <v>25</v>
      </c>
      <c r="K137" t="s">
        <v>26</v>
      </c>
      <c r="L137" t="s">
        <v>27</v>
      </c>
      <c r="M137">
        <f t="array" aca="1" ref="M137" ca="1">INDEX([1]!JCIMS_prices,_xlfn.XMATCH($E137,[1]!JCIMS_prices_index),_xlfn.XMATCH(M$2,[1]!CER_year))*[1]!JCIMS_price_inflator</f>
        <v>0.20274985839690043</v>
      </c>
      <c r="N137">
        <f t="array" aca="1" ref="N137" ca="1">INDEX([1]!JCIMS_prices,_xlfn.XMATCH($E137,[1]!JCIMS_prices_index),_xlfn.XMATCH(N$2,[1]!CER_year))*[1]!JCIMS_price_inflator</f>
        <v>0.20116264914018692</v>
      </c>
      <c r="O137">
        <f t="array" aca="1" ref="O137" ca="1">INDEX([1]!JCIMS_prices,_xlfn.XMATCH($E137,[1]!JCIMS_prices_index),_xlfn.XMATCH(O$2,[1]!CER_year))*[1]!JCIMS_price_inflator</f>
        <v>0.19640102137004639</v>
      </c>
      <c r="P137">
        <f t="array" aca="1" ref="P137" ca="1">INDEX([1]!JCIMS_prices,_xlfn.XMATCH($E137,[1]!JCIMS_prices_index),_xlfn.XMATCH(P$2,[1]!CER_year))*[1]!JCIMS_price_inflator</f>
        <v>0.19640102137004639</v>
      </c>
      <c r="Q137">
        <f t="array" aca="1" ref="Q137" ca="1">INDEX([1]!JCIMS_prices,_xlfn.XMATCH($E137,[1]!JCIMS_prices_index),_xlfn.XMATCH(Q$2,[1]!CER_year))*[1]!JCIMS_price_inflator</f>
        <v>0.19640102137004639</v>
      </c>
      <c r="R137">
        <f t="array" aca="1" ref="R137" ca="1">INDEX([1]!JCIMS_prices,_xlfn.XMATCH($E137,[1]!JCIMS_prices_index),_xlfn.XMATCH(R$2,[1]!CER_year))*[1]!JCIMS_price_inflator</f>
        <v>0.19640102137004639</v>
      </c>
      <c r="S137">
        <f t="array" aca="1" ref="S137" ca="1">INDEX([1]!JCIMS_prices,_xlfn.XMATCH($E137,[1]!JCIMS_prices_index),_xlfn.XMATCH(S$2,[1]!CER_year))*[1]!JCIMS_price_inflator</f>
        <v>0.19640102137004639</v>
      </c>
      <c r="T137">
        <f t="array" aca="1" ref="T137" ca="1">INDEX([1]!JCIMS_prices,_xlfn.XMATCH($E137,[1]!JCIMS_prices_index),_xlfn.XMATCH(T$2,[1]!CER_year))*[1]!JCIMS_price_inflator</f>
        <v>0.19640102137004639</v>
      </c>
      <c r="U137">
        <f t="array" aca="1" ref="U137" ca="1">INDEX([1]!JCIMS_prices,_xlfn.XMATCH($E137,[1]!JCIMS_prices_index),_xlfn.XMATCH(U$2,[1]!CER_year))*[1]!JCIMS_price_inflator</f>
        <v>0.19640102137004639</v>
      </c>
      <c r="V137">
        <f t="array" aca="1" ref="V137" ca="1">INDEX([1]!JCIMS_prices,_xlfn.XMATCH($E137,[1]!JCIMS_prices_index),_xlfn.XMATCH(V$2,[1]!CER_year))*[1]!JCIMS_price_inflator</f>
        <v>0.19640102137004639</v>
      </c>
      <c r="W137">
        <f t="array" aca="1" ref="W137" ca="1">INDEX([1]!JCIMS_prices,_xlfn.XMATCH($E137,[1]!JCIMS_prices_index),_xlfn.XMATCH(W$2,[1]!CER_year))*[1]!JCIMS_price_inflator</f>
        <v>0.19640102137004639</v>
      </c>
      <c r="X137" t="s">
        <v>89</v>
      </c>
    </row>
    <row r="138" spans="1:24" x14ac:dyDescent="0.25">
      <c r="A138" t="s">
        <v>87</v>
      </c>
      <c r="B138" t="s">
        <v>5</v>
      </c>
      <c r="C138" t="s">
        <v>15</v>
      </c>
      <c r="E138" t="s">
        <v>88</v>
      </c>
      <c r="G138" t="s">
        <v>34</v>
      </c>
      <c r="H138" t="s">
        <v>30</v>
      </c>
      <c r="I138" t="s">
        <v>31</v>
      </c>
      <c r="K138" t="s">
        <v>32</v>
      </c>
      <c r="L138" t="s">
        <v>33</v>
      </c>
      <c r="M138">
        <f t="array" aca="1" ref="M138" ca="1">INDEX([1]Coefficients!$G$132:$BO$151,_xlfn.XMATCH($E138,[1]Coefficients!$B$132:$B$151),_xlfn.XMATCH(M$2,[1]Coefficients!$G$1:$BO$1))</f>
        <v>0</v>
      </c>
      <c r="N138">
        <f t="array" aca="1" ref="N138" ca="1">INDEX([1]Coefficients!$G$132:$BO$151,_xlfn.XMATCH($E138,[1]Coefficients!$B$132:$B$151),_xlfn.XMATCH(N$2,[1]Coefficients!$G$1:$BO$1))</f>
        <v>0</v>
      </c>
      <c r="O138">
        <f t="array" aca="1" ref="O138" ca="1">INDEX([1]Coefficients!$G$132:$BO$151,_xlfn.XMATCH($E138,[1]Coefficients!$B$132:$B$151),_xlfn.XMATCH(O$2,[1]Coefficients!$G$1:$BO$1))</f>
        <v>0</v>
      </c>
      <c r="P138">
        <f t="array" aca="1" ref="P138" ca="1">INDEX([1]Coefficients!$G$132:$BO$151,_xlfn.XMATCH($E138,[1]Coefficients!$B$132:$B$151),_xlfn.XMATCH(P$2,[1]Coefficients!$G$1:$BO$1))</f>
        <v>0</v>
      </c>
      <c r="Q138">
        <f t="array" aca="1" ref="Q138" ca="1">INDEX([1]Coefficients!$G$132:$BO$151,_xlfn.XMATCH($E138,[1]Coefficients!$B$132:$B$151),_xlfn.XMATCH(Q$2,[1]Coefficients!$G$1:$BO$1))</f>
        <v>0</v>
      </c>
      <c r="R138">
        <f t="array" aca="1" ref="R138" ca="1">INDEX([1]Coefficients!$G$132:$BO$151,_xlfn.XMATCH($E138,[1]Coefficients!$B$132:$B$151),_xlfn.XMATCH(R$2,[1]Coefficients!$G$1:$BO$1))</f>
        <v>0</v>
      </c>
      <c r="S138">
        <f t="array" aca="1" ref="S138" ca="1">INDEX([1]Coefficients!$G$132:$BO$151,_xlfn.XMATCH($E138,[1]Coefficients!$B$132:$B$151),_xlfn.XMATCH(S$2,[1]Coefficients!$G$1:$BO$1))</f>
        <v>0</v>
      </c>
      <c r="T138">
        <f t="array" aca="1" ref="T138" ca="1">INDEX([1]Coefficients!$G$132:$BO$151,_xlfn.XMATCH($E138,[1]Coefficients!$B$132:$B$151),_xlfn.XMATCH(T$2,[1]Coefficients!$G$1:$BO$1))</f>
        <v>0</v>
      </c>
      <c r="U138">
        <f t="array" aca="1" ref="U138" ca="1">INDEX([1]Coefficients!$G$132:$BO$151,_xlfn.XMATCH($E138,[1]Coefficients!$B$132:$B$151),_xlfn.XMATCH(U$2,[1]Coefficients!$G$1:$BO$1))</f>
        <v>0</v>
      </c>
      <c r="V138">
        <f t="array" aca="1" ref="V138" ca="1">INDEX([1]Coefficients!$G$132:$BO$151,_xlfn.XMATCH($E138,[1]Coefficients!$B$132:$B$151),_xlfn.XMATCH(V$2,[1]Coefficients!$G$1:$BO$1))</f>
        <v>0</v>
      </c>
      <c r="W138">
        <f t="array" aca="1" ref="W138" ca="1">INDEX([1]Coefficients!$G$132:$BO$151,_xlfn.XMATCH($E138,[1]Coefficients!$B$132:$B$151),_xlfn.XMATCH(W$2,[1]Coefficients!$G$1:$BO$1))</f>
        <v>0</v>
      </c>
    </row>
    <row r="139" spans="1:24" x14ac:dyDescent="0.25">
      <c r="A139" t="s">
        <v>87</v>
      </c>
      <c r="B139" t="s">
        <v>5</v>
      </c>
      <c r="C139" t="s">
        <v>15</v>
      </c>
      <c r="E139" t="s">
        <v>88</v>
      </c>
      <c r="G139" t="s">
        <v>34</v>
      </c>
      <c r="H139" t="s">
        <v>35</v>
      </c>
      <c r="I139" t="s">
        <v>31</v>
      </c>
      <c r="K139" t="s">
        <v>32</v>
      </c>
      <c r="L139" t="s">
        <v>36</v>
      </c>
      <c r="M139">
        <f t="array" aca="1" ref="M139" ca="1">INDEX([1]Coefficients!$G$156:$BO$175,_xlfn.XMATCH($E139,[1]Coefficients!$B$132:$B$151),_xlfn.XMATCH(M$2,[1]Coefficients!$G$1:$BO$1))</f>
        <v>0</v>
      </c>
      <c r="N139">
        <f t="array" aca="1" ref="N139" ca="1">INDEX([1]Coefficients!$G$156:$BO$175,_xlfn.XMATCH($E139,[1]Coefficients!$B$132:$B$151),_xlfn.XMATCH(N$2,[1]Coefficients!$G$1:$BO$1))</f>
        <v>0</v>
      </c>
      <c r="O139">
        <f t="array" aca="1" ref="O139" ca="1">INDEX([1]Coefficients!$G$156:$BO$175,_xlfn.XMATCH($E139,[1]Coefficients!$B$132:$B$151),_xlfn.XMATCH(O$2,[1]Coefficients!$G$1:$BO$1))</f>
        <v>0</v>
      </c>
      <c r="P139">
        <f t="array" aca="1" ref="P139" ca="1">INDEX([1]Coefficients!$G$156:$BO$175,_xlfn.XMATCH($E139,[1]Coefficients!$B$132:$B$151),_xlfn.XMATCH(P$2,[1]Coefficients!$G$1:$BO$1))</f>
        <v>0</v>
      </c>
      <c r="Q139">
        <f t="array" aca="1" ref="Q139" ca="1">INDEX([1]Coefficients!$G$156:$BO$175,_xlfn.XMATCH($E139,[1]Coefficients!$B$132:$B$151),_xlfn.XMATCH(Q$2,[1]Coefficients!$G$1:$BO$1))</f>
        <v>0</v>
      </c>
      <c r="R139">
        <f t="array" aca="1" ref="R139" ca="1">INDEX([1]Coefficients!$G$156:$BO$175,_xlfn.XMATCH($E139,[1]Coefficients!$B$132:$B$151),_xlfn.XMATCH(R$2,[1]Coefficients!$G$1:$BO$1))</f>
        <v>0</v>
      </c>
      <c r="S139">
        <f t="array" aca="1" ref="S139" ca="1">INDEX([1]Coefficients!$G$156:$BO$175,_xlfn.XMATCH($E139,[1]Coefficients!$B$132:$B$151),_xlfn.XMATCH(S$2,[1]Coefficients!$G$1:$BO$1))</f>
        <v>0</v>
      </c>
      <c r="T139">
        <f t="array" aca="1" ref="T139" ca="1">INDEX([1]Coefficients!$G$156:$BO$175,_xlfn.XMATCH($E139,[1]Coefficients!$B$132:$B$151),_xlfn.XMATCH(T$2,[1]Coefficients!$G$1:$BO$1))</f>
        <v>0</v>
      </c>
      <c r="U139">
        <f t="array" aca="1" ref="U139" ca="1">INDEX([1]Coefficients!$G$156:$BO$175,_xlfn.XMATCH($E139,[1]Coefficients!$B$132:$B$151),_xlfn.XMATCH(U$2,[1]Coefficients!$G$1:$BO$1))</f>
        <v>0</v>
      </c>
      <c r="V139">
        <f t="array" aca="1" ref="V139" ca="1">INDEX([1]Coefficients!$G$156:$BO$175,_xlfn.XMATCH($E139,[1]Coefficients!$B$132:$B$151),_xlfn.XMATCH(V$2,[1]Coefficients!$G$1:$BO$1))</f>
        <v>0</v>
      </c>
      <c r="W139">
        <f t="array" aca="1" ref="W139" ca="1">INDEX([1]Coefficients!$G$156:$BO$175,_xlfn.XMATCH($E139,[1]Coefficients!$B$132:$B$151),_xlfn.XMATCH(W$2,[1]Coefficients!$G$1:$BO$1))</f>
        <v>0</v>
      </c>
    </row>
    <row r="140" spans="1:24" x14ac:dyDescent="0.25">
      <c r="A140" t="s">
        <v>87</v>
      </c>
      <c r="B140" t="s">
        <v>5</v>
      </c>
      <c r="C140" t="s">
        <v>15</v>
      </c>
      <c r="E140" t="s">
        <v>88</v>
      </c>
      <c r="G140" t="s">
        <v>34</v>
      </c>
      <c r="H140" t="s">
        <v>37</v>
      </c>
      <c r="I140" t="s">
        <v>31</v>
      </c>
      <c r="K140" t="s">
        <v>32</v>
      </c>
      <c r="L140" t="s">
        <v>38</v>
      </c>
      <c r="M140">
        <f t="array" aca="1" ref="M140" ca="1">INDEX([1]Coefficients!$G$180:$BO$199,_xlfn.XMATCH($E140,[1]Coefficients!$B$132:$B$151),_xlfn.XMATCH(M$2,[1]Coefficients!$G$1:$BO$1))</f>
        <v>0</v>
      </c>
      <c r="N140">
        <f t="array" aca="1" ref="N140" ca="1">INDEX([1]Coefficients!$G$180:$BO$199,_xlfn.XMATCH($E140,[1]Coefficients!$B$132:$B$151),_xlfn.XMATCH(N$2,[1]Coefficients!$G$1:$BO$1))</f>
        <v>0</v>
      </c>
      <c r="O140">
        <f t="array" aca="1" ref="O140" ca="1">INDEX([1]Coefficients!$G$180:$BO$199,_xlfn.XMATCH($E140,[1]Coefficients!$B$132:$B$151),_xlfn.XMATCH(O$2,[1]Coefficients!$G$1:$BO$1))</f>
        <v>0</v>
      </c>
      <c r="P140">
        <f t="array" aca="1" ref="P140" ca="1">INDEX([1]Coefficients!$G$180:$BO$199,_xlfn.XMATCH($E140,[1]Coefficients!$B$132:$B$151),_xlfn.XMATCH(P$2,[1]Coefficients!$G$1:$BO$1))</f>
        <v>0</v>
      </c>
      <c r="Q140">
        <f t="array" aca="1" ref="Q140" ca="1">INDEX([1]Coefficients!$G$180:$BO$199,_xlfn.XMATCH($E140,[1]Coefficients!$B$132:$B$151),_xlfn.XMATCH(Q$2,[1]Coefficients!$G$1:$BO$1))</f>
        <v>0</v>
      </c>
      <c r="R140">
        <f t="array" aca="1" ref="R140" ca="1">INDEX([1]Coefficients!$G$180:$BO$199,_xlfn.XMATCH($E140,[1]Coefficients!$B$132:$B$151),_xlfn.XMATCH(R$2,[1]Coefficients!$G$1:$BO$1))</f>
        <v>0</v>
      </c>
      <c r="S140">
        <f t="array" aca="1" ref="S140" ca="1">INDEX([1]Coefficients!$G$180:$BO$199,_xlfn.XMATCH($E140,[1]Coefficients!$B$132:$B$151),_xlfn.XMATCH(S$2,[1]Coefficients!$G$1:$BO$1))</f>
        <v>0</v>
      </c>
      <c r="T140">
        <f t="array" aca="1" ref="T140" ca="1">INDEX([1]Coefficients!$G$180:$BO$199,_xlfn.XMATCH($E140,[1]Coefficients!$B$132:$B$151),_xlfn.XMATCH(T$2,[1]Coefficients!$G$1:$BO$1))</f>
        <v>0</v>
      </c>
      <c r="U140">
        <f t="array" aca="1" ref="U140" ca="1">INDEX([1]Coefficients!$G$180:$BO$199,_xlfn.XMATCH($E140,[1]Coefficients!$B$132:$B$151),_xlfn.XMATCH(U$2,[1]Coefficients!$G$1:$BO$1))</f>
        <v>0</v>
      </c>
      <c r="V140">
        <f t="array" aca="1" ref="V140" ca="1">INDEX([1]Coefficients!$G$180:$BO$199,_xlfn.XMATCH($E140,[1]Coefficients!$B$132:$B$151),_xlfn.XMATCH(V$2,[1]Coefficients!$G$1:$BO$1))</f>
        <v>0</v>
      </c>
      <c r="W140">
        <f t="array" aca="1" ref="W140" ca="1">INDEX([1]Coefficients!$G$180:$BO$199,_xlfn.XMATCH($E140,[1]Coefficients!$B$132:$B$151),_xlfn.XMATCH(W$2,[1]Coefficients!$G$1:$BO$1))</f>
        <v>0</v>
      </c>
    </row>
    <row r="141" spans="1:24" x14ac:dyDescent="0.25">
      <c r="A141" t="s">
        <v>90</v>
      </c>
      <c r="B141" t="s">
        <v>5</v>
      </c>
      <c r="C141" t="s">
        <v>15</v>
      </c>
      <c r="E141" t="s">
        <v>91</v>
      </c>
      <c r="G141" t="s">
        <v>17</v>
      </c>
      <c r="L141" t="s">
        <v>18</v>
      </c>
    </row>
    <row r="142" spans="1:24" x14ac:dyDescent="0.25">
      <c r="A142" t="s">
        <v>90</v>
      </c>
      <c r="B142" t="s">
        <v>5</v>
      </c>
      <c r="C142" t="s">
        <v>15</v>
      </c>
      <c r="E142" t="s">
        <v>91</v>
      </c>
      <c r="G142" t="s">
        <v>19</v>
      </c>
      <c r="H142" t="s">
        <v>23</v>
      </c>
    </row>
    <row r="143" spans="1:24" x14ac:dyDescent="0.25">
      <c r="A143" t="s">
        <v>90</v>
      </c>
      <c r="B143" t="s">
        <v>5</v>
      </c>
      <c r="C143" t="s">
        <v>15</v>
      </c>
      <c r="E143" t="s">
        <v>91</v>
      </c>
      <c r="G143" t="s">
        <v>24</v>
      </c>
      <c r="H143" t="b">
        <v>1</v>
      </c>
    </row>
    <row r="144" spans="1:24" x14ac:dyDescent="0.25">
      <c r="A144" t="s">
        <v>90</v>
      </c>
      <c r="B144" t="s">
        <v>5</v>
      </c>
      <c r="C144" t="s">
        <v>15</v>
      </c>
      <c r="E144" t="s">
        <v>91</v>
      </c>
      <c r="G144" t="s">
        <v>25</v>
      </c>
      <c r="K144" t="s">
        <v>26</v>
      </c>
      <c r="L144" t="s">
        <v>27</v>
      </c>
      <c r="M144">
        <f t="array" aca="1" ref="M144" ca="1">INDEX([1]!JCIMS_prices,_xlfn.XMATCH($E144,[1]!JCIMS_prices_index),_xlfn.XMATCH(M$2,[1]!CER_year))*[1]!JCIMS_price_inflator</f>
        <v>1.3374069905107038</v>
      </c>
      <c r="N144">
        <f t="array" aca="1" ref="N144" ca="1">INDEX([1]!JCIMS_prices,_xlfn.XMATCH($E144,[1]!JCIMS_prices_index),_xlfn.XMATCH(N$2,[1]!CER_year))*[1]!JCIMS_price_inflator</f>
        <v>1.3530491775342168</v>
      </c>
      <c r="O144">
        <f t="array" aca="1" ref="O144" ca="1">INDEX([1]!JCIMS_prices,_xlfn.XMATCH($E144,[1]!JCIMS_prices_index),_xlfn.XMATCH(O$2,[1]!CER_year))*[1]!JCIMS_price_inflator</f>
        <v>1.3999757386047567</v>
      </c>
      <c r="P144">
        <f t="array" aca="1" ref="P144" ca="1">INDEX([1]!JCIMS_prices,_xlfn.XMATCH($E144,[1]!JCIMS_prices_index),_xlfn.XMATCH(P$2,[1]!CER_year))*[1]!JCIMS_price_inflator</f>
        <v>1.3999757386047567</v>
      </c>
      <c r="Q144">
        <f t="array" aca="1" ref="Q144" ca="1">INDEX([1]!JCIMS_prices,_xlfn.XMATCH($E144,[1]!JCIMS_prices_index),_xlfn.XMATCH(Q$2,[1]!CER_year))*[1]!JCIMS_price_inflator</f>
        <v>1.3999757386047567</v>
      </c>
      <c r="R144">
        <f t="array" aca="1" ref="R144" ca="1">INDEX([1]!JCIMS_prices,_xlfn.XMATCH($E144,[1]!JCIMS_prices_index),_xlfn.XMATCH(R$2,[1]!CER_year))*[1]!JCIMS_price_inflator</f>
        <v>1.3999757386047567</v>
      </c>
      <c r="S144">
        <f t="array" aca="1" ref="S144" ca="1">INDEX([1]!JCIMS_prices,_xlfn.XMATCH($E144,[1]!JCIMS_prices_index),_xlfn.XMATCH(S$2,[1]!CER_year))*[1]!JCIMS_price_inflator</f>
        <v>1.3999757386047567</v>
      </c>
      <c r="T144">
        <f t="array" aca="1" ref="T144" ca="1">INDEX([1]!JCIMS_prices,_xlfn.XMATCH($E144,[1]!JCIMS_prices_index),_xlfn.XMATCH(T$2,[1]!CER_year))*[1]!JCIMS_price_inflator</f>
        <v>1.3999757386047567</v>
      </c>
      <c r="U144">
        <f t="array" aca="1" ref="U144" ca="1">INDEX([1]!JCIMS_prices,_xlfn.XMATCH($E144,[1]!JCIMS_prices_index),_xlfn.XMATCH(U$2,[1]!CER_year))*[1]!JCIMS_price_inflator</f>
        <v>1.3999757386047567</v>
      </c>
      <c r="V144">
        <f t="array" aca="1" ref="V144" ca="1">INDEX([1]!JCIMS_prices,_xlfn.XMATCH($E144,[1]!JCIMS_prices_index),_xlfn.XMATCH(V$2,[1]!CER_year))*[1]!JCIMS_price_inflator</f>
        <v>1.3999757386047567</v>
      </c>
      <c r="W144">
        <f t="array" aca="1" ref="W144" ca="1">INDEX([1]!JCIMS_prices,_xlfn.XMATCH($E144,[1]!JCIMS_prices_index),_xlfn.XMATCH(W$2,[1]!CER_year))*[1]!JCIMS_price_inflator</f>
        <v>1.3999757386047567</v>
      </c>
      <c r="X144" t="s">
        <v>92</v>
      </c>
    </row>
    <row r="145" spans="1:24" x14ac:dyDescent="0.25">
      <c r="A145" t="s">
        <v>90</v>
      </c>
      <c r="B145" t="s">
        <v>5</v>
      </c>
      <c r="C145" t="s">
        <v>15</v>
      </c>
      <c r="E145" t="s">
        <v>91</v>
      </c>
      <c r="G145" t="s">
        <v>34</v>
      </c>
      <c r="H145" t="s">
        <v>30</v>
      </c>
      <c r="I145" t="s">
        <v>31</v>
      </c>
      <c r="K145" t="s">
        <v>32</v>
      </c>
      <c r="L145" t="s">
        <v>33</v>
      </c>
      <c r="M145">
        <f t="array" aca="1" ref="M145" ca="1">INDEX([1]Coefficients!$G$132:$BO$151,_xlfn.XMATCH($E145,[1]Coefficients!$B$132:$B$151),_xlfn.XMATCH(M$2,[1]Coefficients!$G$1:$BO$1))</f>
        <v>3.2569673040020032E-3</v>
      </c>
      <c r="N145">
        <f t="array" aca="1" ref="N145" ca="1">INDEX([1]Coefficients!$G$132:$BO$151,_xlfn.XMATCH($E145,[1]Coefficients!$B$132:$B$151),_xlfn.XMATCH(N$2,[1]Coefficients!$G$1:$BO$1))</f>
        <v>3.4080637253216832E-3</v>
      </c>
      <c r="O145">
        <f t="array" aca="1" ref="O145" ca="1">INDEX([1]Coefficients!$G$132:$BO$151,_xlfn.XMATCH($E145,[1]Coefficients!$B$132:$B$151),_xlfn.XMATCH(O$2,[1]Coefficients!$G$1:$BO$1))</f>
        <v>3.361895374362892E-3</v>
      </c>
      <c r="P145">
        <f t="array" aca="1" ref="P145" ca="1">INDEX([1]Coefficients!$G$132:$BO$151,_xlfn.XMATCH($E145,[1]Coefficients!$B$132:$B$151),_xlfn.XMATCH(P$2,[1]Coefficients!$G$1:$BO$1))</f>
        <v>4.2543029606378771E-3</v>
      </c>
      <c r="Q145">
        <f t="array" aca="1" ref="Q145" ca="1">INDEX([1]Coefficients!$G$132:$BO$151,_xlfn.XMATCH($E145,[1]Coefficients!$B$132:$B$151),_xlfn.XMATCH(Q$2,[1]Coefficients!$G$1:$BO$1))</f>
        <v>4.3081124064428527E-3</v>
      </c>
      <c r="R145">
        <f t="array" aca="1" ref="R145" ca="1">INDEX([1]Coefficients!$G$132:$BO$151,_xlfn.XMATCH($E145,[1]Coefficients!$B$132:$B$151),_xlfn.XMATCH(R$2,[1]Coefficients!$G$1:$BO$1))</f>
        <v>4.3081124064428527E-3</v>
      </c>
      <c r="S145">
        <f t="array" aca="1" ref="S145" ca="1">INDEX([1]Coefficients!$G$132:$BO$151,_xlfn.XMATCH($E145,[1]Coefficients!$B$132:$B$151),_xlfn.XMATCH(S$2,[1]Coefficients!$G$1:$BO$1))</f>
        <v>4.3081124064428527E-3</v>
      </c>
      <c r="T145">
        <f t="array" aca="1" ref="T145" ca="1">INDEX([1]Coefficients!$G$132:$BO$151,_xlfn.XMATCH($E145,[1]Coefficients!$B$132:$B$151),_xlfn.XMATCH(T$2,[1]Coefficients!$G$1:$BO$1))</f>
        <v>4.3081124064428527E-3</v>
      </c>
      <c r="U145">
        <f t="array" aca="1" ref="U145" ca="1">INDEX([1]Coefficients!$G$132:$BO$151,_xlfn.XMATCH($E145,[1]Coefficients!$B$132:$B$151),_xlfn.XMATCH(U$2,[1]Coefficients!$G$1:$BO$1))</f>
        <v>4.3081124064428527E-3</v>
      </c>
      <c r="V145">
        <f t="array" aca="1" ref="V145" ca="1">INDEX([1]Coefficients!$G$132:$BO$151,_xlfn.XMATCH($E145,[1]Coefficients!$B$132:$B$151),_xlfn.XMATCH(V$2,[1]Coefficients!$G$1:$BO$1))</f>
        <v>4.3081124064428527E-3</v>
      </c>
      <c r="W145">
        <f t="array" aca="1" ref="W145" ca="1">INDEX([1]Coefficients!$G$132:$BO$151,_xlfn.XMATCH($E145,[1]Coefficients!$B$132:$B$151),_xlfn.XMATCH(W$2,[1]Coefficients!$G$1:$BO$1))</f>
        <v>4.3081124064428527E-3</v>
      </c>
    </row>
    <row r="146" spans="1:24" x14ac:dyDescent="0.25">
      <c r="A146" t="s">
        <v>90</v>
      </c>
      <c r="B146" t="s">
        <v>5</v>
      </c>
      <c r="C146" t="s">
        <v>15</v>
      </c>
      <c r="E146" t="s">
        <v>91</v>
      </c>
      <c r="G146" t="s">
        <v>34</v>
      </c>
      <c r="H146" t="s">
        <v>35</v>
      </c>
      <c r="I146" t="s">
        <v>31</v>
      </c>
      <c r="K146" t="s">
        <v>32</v>
      </c>
      <c r="L146" t="s">
        <v>36</v>
      </c>
      <c r="M146">
        <f t="array" aca="1" ref="M146" ca="1">INDEX([1]Coefficients!$G$156:$BO$175,_xlfn.XMATCH($E146,[1]Coefficients!$B$132:$B$151),_xlfn.XMATCH(M$2,[1]Coefficients!$G$1:$BO$1))</f>
        <v>1.259136844330671E-6</v>
      </c>
      <c r="N146">
        <f t="array" aca="1" ref="N146" ca="1">INDEX([1]Coefficients!$G$156:$BO$175,_xlfn.XMATCH($E146,[1]Coefficients!$B$132:$B$151),_xlfn.XMATCH(N$2,[1]Coefficients!$G$1:$BO$1))</f>
        <v>1.259136844330671E-6</v>
      </c>
      <c r="O146">
        <f t="array" aca="1" ref="O146" ca="1">INDEX([1]Coefficients!$G$156:$BO$175,_xlfn.XMATCH($E146,[1]Coefficients!$B$132:$B$151),_xlfn.XMATCH(O$2,[1]Coefficients!$G$1:$BO$1))</f>
        <v>1.259136844330671E-6</v>
      </c>
      <c r="P146">
        <f t="array" aca="1" ref="P146" ca="1">INDEX([1]Coefficients!$G$156:$BO$175,_xlfn.XMATCH($E146,[1]Coefficients!$B$132:$B$151),_xlfn.XMATCH(P$2,[1]Coefficients!$G$1:$BO$1))</f>
        <v>1.5933718953699911E-6</v>
      </c>
      <c r="Q146">
        <f t="array" aca="1" ref="Q146" ca="1">INDEX([1]Coefficients!$G$156:$BO$175,_xlfn.XMATCH($E146,[1]Coefficients!$B$132:$B$151),_xlfn.XMATCH(Q$2,[1]Coefficients!$G$1:$BO$1))</f>
        <v>1.613525245858746E-6</v>
      </c>
      <c r="R146">
        <f t="array" aca="1" ref="R146" ca="1">INDEX([1]Coefficients!$G$156:$BO$175,_xlfn.XMATCH($E146,[1]Coefficients!$B$132:$B$151),_xlfn.XMATCH(R$2,[1]Coefficients!$G$1:$BO$1))</f>
        <v>1.613525245858746E-6</v>
      </c>
      <c r="S146">
        <f t="array" aca="1" ref="S146" ca="1">INDEX([1]Coefficients!$G$156:$BO$175,_xlfn.XMATCH($E146,[1]Coefficients!$B$132:$B$151),_xlfn.XMATCH(S$2,[1]Coefficients!$G$1:$BO$1))</f>
        <v>1.613525245858746E-6</v>
      </c>
      <c r="T146">
        <f t="array" aca="1" ref="T146" ca="1">INDEX([1]Coefficients!$G$156:$BO$175,_xlfn.XMATCH($E146,[1]Coefficients!$B$132:$B$151),_xlfn.XMATCH(T$2,[1]Coefficients!$G$1:$BO$1))</f>
        <v>1.613525245858746E-6</v>
      </c>
      <c r="U146">
        <f t="array" aca="1" ref="U146" ca="1">INDEX([1]Coefficients!$G$156:$BO$175,_xlfn.XMATCH($E146,[1]Coefficients!$B$132:$B$151),_xlfn.XMATCH(U$2,[1]Coefficients!$G$1:$BO$1))</f>
        <v>1.613525245858746E-6</v>
      </c>
      <c r="V146">
        <f t="array" aca="1" ref="V146" ca="1">INDEX([1]Coefficients!$G$156:$BO$175,_xlfn.XMATCH($E146,[1]Coefficients!$B$132:$B$151),_xlfn.XMATCH(V$2,[1]Coefficients!$G$1:$BO$1))</f>
        <v>1.613525245858746E-6</v>
      </c>
      <c r="W146">
        <f t="array" aca="1" ref="W146" ca="1">INDEX([1]Coefficients!$G$156:$BO$175,_xlfn.XMATCH($E146,[1]Coefficients!$B$132:$B$151),_xlfn.XMATCH(W$2,[1]Coefficients!$G$1:$BO$1))</f>
        <v>1.613525245858746E-6</v>
      </c>
    </row>
    <row r="147" spans="1:24" x14ac:dyDescent="0.25">
      <c r="A147" t="s">
        <v>90</v>
      </c>
      <c r="B147" t="s">
        <v>5</v>
      </c>
      <c r="C147" t="s">
        <v>15</v>
      </c>
      <c r="E147" t="s">
        <v>91</v>
      </c>
      <c r="G147" t="s">
        <v>34</v>
      </c>
      <c r="H147" t="s">
        <v>37</v>
      </c>
      <c r="I147" t="s">
        <v>31</v>
      </c>
      <c r="K147" t="s">
        <v>32</v>
      </c>
      <c r="L147" t="s">
        <v>38</v>
      </c>
      <c r="M147">
        <f t="array" aca="1" ref="M147" ca="1">INDEX([1]Coefficients!$G$180:$BO$199,_xlfn.XMATCH($E147,[1]Coefficients!$B$132:$B$151),_xlfn.XMATCH(M$2,[1]Coefficients!$G$1:$BO$1))</f>
        <v>1.6788491257742281E-7</v>
      </c>
      <c r="N147">
        <f t="array" aca="1" ref="N147" ca="1">INDEX([1]Coefficients!$G$180:$BO$199,_xlfn.XMATCH($E147,[1]Coefficients!$B$132:$B$151),_xlfn.XMATCH(N$2,[1]Coefficients!$G$1:$BO$1))</f>
        <v>1.6788491257742281E-7</v>
      </c>
      <c r="O147">
        <f t="array" aca="1" ref="O147" ca="1">INDEX([1]Coefficients!$G$180:$BO$199,_xlfn.XMATCH($E147,[1]Coefficients!$B$132:$B$151),_xlfn.XMATCH(O$2,[1]Coefficients!$G$1:$BO$1))</f>
        <v>1.6788491257742281E-7</v>
      </c>
      <c r="P147">
        <f t="array" aca="1" ref="P147" ca="1">INDEX([1]Coefficients!$G$180:$BO$199,_xlfn.XMATCH($E147,[1]Coefficients!$B$132:$B$151),_xlfn.XMATCH(P$2,[1]Coefficients!$G$1:$BO$1))</f>
        <v>2.1244958604933221E-7</v>
      </c>
      <c r="Q147">
        <f t="array" aca="1" ref="Q147" ca="1">INDEX([1]Coefficients!$G$180:$BO$199,_xlfn.XMATCH($E147,[1]Coefficients!$B$132:$B$151),_xlfn.XMATCH(Q$2,[1]Coefficients!$G$1:$BO$1))</f>
        <v>2.151366994478328E-7</v>
      </c>
      <c r="R147">
        <f t="array" aca="1" ref="R147" ca="1">INDEX([1]Coefficients!$G$180:$BO$199,_xlfn.XMATCH($E147,[1]Coefficients!$B$132:$B$151),_xlfn.XMATCH(R$2,[1]Coefficients!$G$1:$BO$1))</f>
        <v>2.151366994478328E-7</v>
      </c>
      <c r="S147">
        <f t="array" aca="1" ref="S147" ca="1">INDEX([1]Coefficients!$G$180:$BO$199,_xlfn.XMATCH($E147,[1]Coefficients!$B$132:$B$151),_xlfn.XMATCH(S$2,[1]Coefficients!$G$1:$BO$1))</f>
        <v>2.151366994478328E-7</v>
      </c>
      <c r="T147">
        <f t="array" aca="1" ref="T147" ca="1">INDEX([1]Coefficients!$G$180:$BO$199,_xlfn.XMATCH($E147,[1]Coefficients!$B$132:$B$151),_xlfn.XMATCH(T$2,[1]Coefficients!$G$1:$BO$1))</f>
        <v>2.151366994478328E-7</v>
      </c>
      <c r="U147">
        <f t="array" aca="1" ref="U147" ca="1">INDEX([1]Coefficients!$G$180:$BO$199,_xlfn.XMATCH($E147,[1]Coefficients!$B$132:$B$151),_xlfn.XMATCH(U$2,[1]Coefficients!$G$1:$BO$1))</f>
        <v>2.151366994478328E-7</v>
      </c>
      <c r="V147">
        <f t="array" aca="1" ref="V147" ca="1">INDEX([1]Coefficients!$G$180:$BO$199,_xlfn.XMATCH($E147,[1]Coefficients!$B$132:$B$151),_xlfn.XMATCH(V$2,[1]Coefficients!$G$1:$BO$1))</f>
        <v>2.151366994478328E-7</v>
      </c>
      <c r="W147">
        <f t="array" aca="1" ref="W147" ca="1">INDEX([1]Coefficients!$G$180:$BO$199,_xlfn.XMATCH($E147,[1]Coefficients!$B$132:$B$151),_xlfn.XMATCH(W$2,[1]Coefficients!$G$1:$BO$1))</f>
        <v>2.151366994478328E-7</v>
      </c>
    </row>
    <row r="148" spans="1:24" x14ac:dyDescent="0.25">
      <c r="A148" t="s">
        <v>93</v>
      </c>
      <c r="B148" t="s">
        <v>5</v>
      </c>
      <c r="C148" t="s">
        <v>15</v>
      </c>
      <c r="E148" t="s">
        <v>94</v>
      </c>
      <c r="G148" t="s">
        <v>17</v>
      </c>
      <c r="L148" t="s">
        <v>18</v>
      </c>
    </row>
    <row r="149" spans="1:24" x14ac:dyDescent="0.25">
      <c r="A149" t="s">
        <v>93</v>
      </c>
      <c r="B149" t="s">
        <v>5</v>
      </c>
      <c r="C149" t="s">
        <v>15</v>
      </c>
      <c r="E149" t="s">
        <v>94</v>
      </c>
      <c r="G149" t="s">
        <v>19</v>
      </c>
      <c r="H149" t="s">
        <v>23</v>
      </c>
    </row>
    <row r="150" spans="1:24" x14ac:dyDescent="0.25">
      <c r="A150" t="s">
        <v>93</v>
      </c>
      <c r="B150" t="s">
        <v>5</v>
      </c>
      <c r="C150" t="s">
        <v>15</v>
      </c>
      <c r="E150" t="s">
        <v>94</v>
      </c>
      <c r="G150" t="s">
        <v>25</v>
      </c>
      <c r="K150" t="s">
        <v>95</v>
      </c>
      <c r="L150" t="s">
        <v>27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2025-11-20T00:08:10Z</dcterms:created>
  <dcterms:modified xsi:type="dcterms:W3CDTF">2025-11-20T00:08:10Z</dcterms:modified>
</cp:coreProperties>
</file>