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IMS\dev\cims-models\csv\policies\reference\Ref_OBPS_Fed\"/>
    </mc:Choice>
  </mc:AlternateContent>
  <xr:revisionPtr revIDLastSave="0" documentId="8_{F0271BBD-92F8-4DB0-8D5C-8AA2E5C78B15}" xr6:coauthVersionLast="47" xr6:coauthVersionMax="47" xr10:uidLastSave="{00000000-0000-0000-0000-000000000000}"/>
  <bookViews>
    <workbookView xWindow="32775" yWindow="1545" windowWidth="17280" windowHeight="8880" xr2:uid="{376F2D41-44FA-4E94-8BFE-3FDB41710D85}"/>
  </bookViews>
  <sheets>
    <sheet name="Sheet1" sheetId="1" r:id="rId1"/>
  </sheets>
  <externalReferences>
    <externalReference r:id="rId2"/>
  </externalReferences>
  <calcPr calcId="191029" iterate="1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26" i="1" l="1"/>
  <c r="V126" i="1"/>
  <c r="U126" i="1"/>
  <c r="T126" i="1"/>
  <c r="S126" i="1"/>
  <c r="R126" i="1"/>
  <c r="W125" i="1"/>
  <c r="V125" i="1"/>
  <c r="U125" i="1"/>
  <c r="T125" i="1"/>
  <c r="S125" i="1"/>
  <c r="R125" i="1"/>
  <c r="W124" i="1"/>
  <c r="V124" i="1"/>
  <c r="U124" i="1"/>
  <c r="T124" i="1"/>
  <c r="S124" i="1"/>
  <c r="R124" i="1"/>
  <c r="W123" i="1"/>
  <c r="V123" i="1"/>
  <c r="U123" i="1"/>
  <c r="T123" i="1"/>
  <c r="S123" i="1"/>
  <c r="R123" i="1"/>
  <c r="W122" i="1"/>
  <c r="V122" i="1"/>
  <c r="U122" i="1"/>
  <c r="T122" i="1"/>
  <c r="S122" i="1"/>
  <c r="R122" i="1"/>
  <c r="W121" i="1"/>
  <c r="V121" i="1"/>
  <c r="U121" i="1"/>
  <c r="T121" i="1"/>
  <c r="S121" i="1"/>
  <c r="R121" i="1"/>
  <c r="W120" i="1"/>
  <c r="V120" i="1"/>
  <c r="U120" i="1"/>
  <c r="T120" i="1"/>
  <c r="S120" i="1"/>
  <c r="R120" i="1"/>
  <c r="W119" i="1"/>
  <c r="V119" i="1"/>
  <c r="U119" i="1"/>
  <c r="T119" i="1"/>
  <c r="S119" i="1"/>
  <c r="R119" i="1"/>
  <c r="W118" i="1"/>
  <c r="V118" i="1"/>
  <c r="U118" i="1"/>
  <c r="T118" i="1"/>
  <c r="S118" i="1"/>
  <c r="R118" i="1"/>
  <c r="W117" i="1"/>
  <c r="V117" i="1"/>
  <c r="U117" i="1"/>
  <c r="T117" i="1"/>
  <c r="S117" i="1"/>
  <c r="R117" i="1"/>
  <c r="W116" i="1"/>
  <c r="V116" i="1"/>
  <c r="U116" i="1"/>
  <c r="T116" i="1"/>
  <c r="S116" i="1"/>
  <c r="R116" i="1"/>
  <c r="W115" i="1"/>
  <c r="V115" i="1"/>
  <c r="U115" i="1"/>
  <c r="T115" i="1"/>
  <c r="S115" i="1"/>
  <c r="R115" i="1"/>
  <c r="W114" i="1"/>
  <c r="V114" i="1"/>
  <c r="U114" i="1"/>
  <c r="T114" i="1"/>
  <c r="S114" i="1"/>
  <c r="R114" i="1"/>
  <c r="W113" i="1"/>
  <c r="V113" i="1"/>
  <c r="U113" i="1"/>
  <c r="T113" i="1"/>
  <c r="S113" i="1"/>
  <c r="R113" i="1"/>
  <c r="W112" i="1"/>
  <c r="V112" i="1"/>
  <c r="U112" i="1"/>
  <c r="T112" i="1"/>
  <c r="S112" i="1"/>
  <c r="R112" i="1"/>
  <c r="W111" i="1"/>
  <c r="V111" i="1"/>
  <c r="U111" i="1"/>
  <c r="T111" i="1"/>
  <c r="S111" i="1"/>
  <c r="R111" i="1"/>
  <c r="W110" i="1"/>
  <c r="V110" i="1"/>
  <c r="U110" i="1"/>
  <c r="T110" i="1"/>
  <c r="S110" i="1"/>
  <c r="R110" i="1"/>
  <c r="W109" i="1"/>
  <c r="V109" i="1"/>
  <c r="U109" i="1"/>
  <c r="T109" i="1"/>
  <c r="S109" i="1"/>
  <c r="R109" i="1"/>
  <c r="W108" i="1"/>
  <c r="V108" i="1"/>
  <c r="U108" i="1"/>
  <c r="T108" i="1"/>
  <c r="S108" i="1"/>
  <c r="R108" i="1"/>
  <c r="W107" i="1"/>
  <c r="V107" i="1"/>
  <c r="U107" i="1"/>
  <c r="T107" i="1"/>
  <c r="S107" i="1"/>
  <c r="R107" i="1"/>
  <c r="W106" i="1"/>
  <c r="V106" i="1"/>
  <c r="U106" i="1"/>
  <c r="T106" i="1"/>
  <c r="S106" i="1"/>
  <c r="R106" i="1"/>
  <c r="W105" i="1"/>
  <c r="V105" i="1"/>
  <c r="U105" i="1"/>
  <c r="T105" i="1"/>
  <c r="S105" i="1"/>
  <c r="R105" i="1"/>
  <c r="W104" i="1"/>
  <c r="V104" i="1"/>
  <c r="U104" i="1"/>
  <c r="T104" i="1"/>
  <c r="S104" i="1"/>
  <c r="R104" i="1"/>
  <c r="W103" i="1"/>
  <c r="V103" i="1"/>
  <c r="U103" i="1"/>
  <c r="T103" i="1"/>
  <c r="S103" i="1"/>
  <c r="R103" i="1"/>
  <c r="W102" i="1"/>
  <c r="V102" i="1"/>
  <c r="U102" i="1"/>
  <c r="T102" i="1"/>
  <c r="S102" i="1"/>
  <c r="R102" i="1"/>
  <c r="W101" i="1"/>
  <c r="V101" i="1"/>
  <c r="U101" i="1"/>
  <c r="T101" i="1"/>
  <c r="S101" i="1"/>
  <c r="R101" i="1"/>
  <c r="W100" i="1"/>
  <c r="V100" i="1"/>
  <c r="U100" i="1"/>
  <c r="T100" i="1"/>
  <c r="S100" i="1"/>
  <c r="R100" i="1"/>
  <c r="W99" i="1"/>
  <c r="V99" i="1"/>
  <c r="U99" i="1"/>
  <c r="T99" i="1"/>
  <c r="S99" i="1"/>
  <c r="R99" i="1"/>
  <c r="W98" i="1"/>
  <c r="V98" i="1"/>
  <c r="U98" i="1"/>
  <c r="T98" i="1"/>
  <c r="S98" i="1"/>
  <c r="R98" i="1"/>
  <c r="W97" i="1"/>
  <c r="V97" i="1"/>
  <c r="U97" i="1"/>
  <c r="T97" i="1"/>
  <c r="S97" i="1"/>
  <c r="R97" i="1"/>
  <c r="W96" i="1"/>
  <c r="V96" i="1"/>
  <c r="U96" i="1"/>
  <c r="T96" i="1"/>
  <c r="S96" i="1"/>
  <c r="R96" i="1"/>
  <c r="W95" i="1"/>
  <c r="V95" i="1"/>
  <c r="U95" i="1"/>
  <c r="T95" i="1"/>
  <c r="S95" i="1"/>
  <c r="R95" i="1"/>
  <c r="W94" i="1"/>
  <c r="V94" i="1"/>
  <c r="U94" i="1"/>
  <c r="T94" i="1"/>
  <c r="S94" i="1"/>
  <c r="R94" i="1"/>
  <c r="W93" i="1"/>
  <c r="V93" i="1"/>
  <c r="U93" i="1"/>
  <c r="T93" i="1"/>
  <c r="S93" i="1"/>
  <c r="R93" i="1"/>
  <c r="W92" i="1"/>
  <c r="V92" i="1"/>
  <c r="U92" i="1"/>
  <c r="T92" i="1"/>
  <c r="W91" i="1"/>
  <c r="V91" i="1"/>
  <c r="U91" i="1"/>
  <c r="T91" i="1"/>
  <c r="W90" i="1"/>
  <c r="V90" i="1"/>
  <c r="U90" i="1"/>
  <c r="T90" i="1"/>
  <c r="S90" i="1"/>
  <c r="R90" i="1"/>
  <c r="W89" i="1"/>
  <c r="V89" i="1"/>
  <c r="U89" i="1"/>
  <c r="T89" i="1"/>
  <c r="S89" i="1"/>
  <c r="R89" i="1"/>
  <c r="W88" i="1"/>
  <c r="V88" i="1"/>
  <c r="U88" i="1"/>
  <c r="T88" i="1"/>
  <c r="S88" i="1"/>
  <c r="R88" i="1"/>
  <c r="W87" i="1"/>
  <c r="V87" i="1"/>
  <c r="U87" i="1"/>
  <c r="T87" i="1"/>
  <c r="S87" i="1"/>
  <c r="R87" i="1"/>
  <c r="W86" i="1"/>
  <c r="V86" i="1"/>
  <c r="U86" i="1"/>
  <c r="T86" i="1"/>
  <c r="S86" i="1"/>
  <c r="R86" i="1"/>
  <c r="Q86" i="1"/>
  <c r="P86" i="1"/>
  <c r="O86" i="1"/>
  <c r="N86" i="1"/>
  <c r="M86" i="1"/>
  <c r="W85" i="1"/>
  <c r="V85" i="1"/>
  <c r="U85" i="1"/>
  <c r="T85" i="1"/>
  <c r="S85" i="1"/>
  <c r="R85" i="1"/>
  <c r="Q85" i="1"/>
  <c r="P85" i="1"/>
  <c r="O85" i="1"/>
  <c r="N85" i="1"/>
  <c r="M85" i="1"/>
  <c r="W84" i="1"/>
  <c r="V84" i="1"/>
  <c r="U84" i="1"/>
  <c r="T84" i="1"/>
  <c r="S84" i="1"/>
  <c r="R84" i="1"/>
  <c r="Q84" i="1"/>
  <c r="P84" i="1"/>
  <c r="O84" i="1"/>
  <c r="N84" i="1"/>
  <c r="M84" i="1"/>
  <c r="W83" i="1"/>
  <c r="V83" i="1"/>
  <c r="U83" i="1"/>
  <c r="T83" i="1"/>
  <c r="S83" i="1"/>
  <c r="R83" i="1"/>
  <c r="Q83" i="1"/>
  <c r="P83" i="1"/>
  <c r="O83" i="1"/>
  <c r="N83" i="1"/>
  <c r="M83" i="1"/>
  <c r="W82" i="1"/>
  <c r="V82" i="1"/>
  <c r="U82" i="1"/>
  <c r="T82" i="1"/>
  <c r="S82" i="1"/>
  <c r="R82" i="1"/>
  <c r="Q82" i="1"/>
  <c r="P82" i="1"/>
  <c r="O82" i="1"/>
  <c r="N82" i="1"/>
  <c r="M82" i="1"/>
  <c r="W81" i="1"/>
  <c r="V81" i="1"/>
  <c r="U81" i="1"/>
  <c r="T81" i="1"/>
  <c r="S81" i="1"/>
  <c r="R81" i="1"/>
  <c r="Q81" i="1"/>
  <c r="P81" i="1"/>
  <c r="O81" i="1"/>
  <c r="N81" i="1"/>
  <c r="M81" i="1"/>
  <c r="W80" i="1"/>
  <c r="V80" i="1"/>
  <c r="U80" i="1"/>
  <c r="T80" i="1"/>
  <c r="S80" i="1"/>
  <c r="R80" i="1"/>
  <c r="Q80" i="1"/>
  <c r="P80" i="1"/>
  <c r="O80" i="1"/>
  <c r="N80" i="1"/>
  <c r="M80" i="1"/>
  <c r="W79" i="1"/>
  <c r="V79" i="1"/>
  <c r="U79" i="1"/>
  <c r="T79" i="1"/>
  <c r="S79" i="1"/>
  <c r="R79" i="1"/>
  <c r="Q79" i="1"/>
  <c r="P79" i="1"/>
  <c r="O79" i="1"/>
  <c r="N79" i="1"/>
  <c r="M79" i="1"/>
  <c r="W78" i="1"/>
  <c r="V78" i="1"/>
  <c r="U78" i="1"/>
  <c r="T78" i="1"/>
  <c r="S78" i="1"/>
  <c r="R78" i="1"/>
  <c r="Q78" i="1"/>
  <c r="P78" i="1"/>
  <c r="O78" i="1"/>
  <c r="N78" i="1"/>
  <c r="M78" i="1"/>
  <c r="W77" i="1"/>
  <c r="V77" i="1"/>
  <c r="U77" i="1"/>
  <c r="T77" i="1"/>
  <c r="S77" i="1"/>
  <c r="R77" i="1"/>
  <c r="Q77" i="1"/>
  <c r="P77" i="1"/>
  <c r="O77" i="1"/>
  <c r="N77" i="1"/>
  <c r="M77" i="1"/>
  <c r="W76" i="1"/>
  <c r="V76" i="1"/>
  <c r="U76" i="1"/>
  <c r="T76" i="1"/>
  <c r="S76" i="1"/>
  <c r="R76" i="1"/>
  <c r="Q76" i="1"/>
  <c r="P76" i="1"/>
  <c r="O76" i="1"/>
  <c r="N76" i="1"/>
  <c r="M76" i="1"/>
  <c r="W75" i="1"/>
  <c r="V75" i="1"/>
  <c r="U75" i="1"/>
  <c r="T75" i="1"/>
  <c r="S75" i="1"/>
  <c r="R75" i="1"/>
  <c r="Q75" i="1"/>
  <c r="P75" i="1"/>
  <c r="O75" i="1"/>
  <c r="N75" i="1"/>
  <c r="M75" i="1"/>
  <c r="W74" i="1"/>
  <c r="V74" i="1"/>
  <c r="U74" i="1"/>
  <c r="T74" i="1"/>
  <c r="S74" i="1"/>
  <c r="R74" i="1"/>
  <c r="Q74" i="1"/>
  <c r="P74" i="1"/>
  <c r="O74" i="1"/>
  <c r="N74" i="1"/>
  <c r="M74" i="1"/>
  <c r="W73" i="1"/>
  <c r="V73" i="1"/>
  <c r="U73" i="1"/>
  <c r="T73" i="1"/>
  <c r="S73" i="1"/>
  <c r="R73" i="1"/>
  <c r="Q73" i="1"/>
  <c r="P73" i="1"/>
  <c r="O73" i="1"/>
  <c r="N73" i="1"/>
  <c r="M73" i="1"/>
  <c r="W72" i="1"/>
  <c r="V72" i="1"/>
  <c r="U72" i="1"/>
  <c r="T72" i="1"/>
  <c r="S72" i="1"/>
  <c r="R72" i="1"/>
  <c r="Q72" i="1"/>
  <c r="P72" i="1"/>
  <c r="O72" i="1"/>
  <c r="N72" i="1"/>
  <c r="M72" i="1"/>
  <c r="W71" i="1"/>
  <c r="V71" i="1"/>
  <c r="U71" i="1"/>
  <c r="T71" i="1"/>
  <c r="S71" i="1"/>
  <c r="R71" i="1"/>
  <c r="Q71" i="1"/>
  <c r="P71" i="1"/>
  <c r="O71" i="1"/>
  <c r="N71" i="1"/>
  <c r="M71" i="1"/>
  <c r="W70" i="1"/>
  <c r="V70" i="1"/>
  <c r="U70" i="1"/>
  <c r="T70" i="1"/>
  <c r="S70" i="1"/>
  <c r="R70" i="1"/>
  <c r="Q70" i="1"/>
  <c r="P70" i="1"/>
  <c r="O70" i="1"/>
  <c r="N70" i="1"/>
  <c r="M70" i="1"/>
  <c r="W69" i="1"/>
  <c r="V69" i="1"/>
  <c r="U69" i="1"/>
  <c r="T69" i="1"/>
  <c r="S69" i="1"/>
  <c r="R69" i="1"/>
  <c r="Q69" i="1"/>
  <c r="P69" i="1"/>
  <c r="O69" i="1"/>
  <c r="N69" i="1"/>
  <c r="M69" i="1"/>
  <c r="W68" i="1"/>
  <c r="V68" i="1"/>
  <c r="U68" i="1"/>
  <c r="T68" i="1"/>
  <c r="S68" i="1"/>
  <c r="R68" i="1"/>
  <c r="Q68" i="1"/>
  <c r="P68" i="1"/>
  <c r="O68" i="1"/>
  <c r="N68" i="1"/>
  <c r="M68" i="1"/>
  <c r="W67" i="1"/>
  <c r="V67" i="1"/>
  <c r="U67" i="1"/>
  <c r="T67" i="1"/>
  <c r="S67" i="1"/>
  <c r="R67" i="1"/>
  <c r="Q67" i="1"/>
  <c r="P67" i="1"/>
  <c r="O67" i="1"/>
  <c r="N67" i="1"/>
  <c r="M67" i="1"/>
  <c r="W66" i="1"/>
  <c r="V66" i="1"/>
  <c r="U66" i="1"/>
  <c r="T66" i="1"/>
  <c r="S66" i="1"/>
  <c r="R66" i="1"/>
  <c r="Q66" i="1"/>
  <c r="P66" i="1"/>
  <c r="O66" i="1"/>
  <c r="N66" i="1"/>
  <c r="M66" i="1"/>
  <c r="W65" i="1"/>
  <c r="V65" i="1"/>
  <c r="U65" i="1"/>
  <c r="T65" i="1"/>
  <c r="S65" i="1"/>
  <c r="R65" i="1"/>
  <c r="Q65" i="1"/>
  <c r="P65" i="1"/>
  <c r="O65" i="1"/>
  <c r="N65" i="1"/>
  <c r="M65" i="1"/>
  <c r="W64" i="1"/>
  <c r="V64" i="1"/>
  <c r="U64" i="1"/>
  <c r="T64" i="1"/>
  <c r="S64" i="1"/>
  <c r="R64" i="1"/>
  <c r="Q64" i="1"/>
  <c r="P64" i="1"/>
  <c r="O64" i="1"/>
  <c r="N64" i="1"/>
  <c r="M64" i="1"/>
  <c r="W63" i="1"/>
  <c r="V63" i="1"/>
  <c r="U63" i="1"/>
  <c r="T63" i="1"/>
  <c r="S63" i="1"/>
  <c r="R63" i="1"/>
  <c r="Q63" i="1"/>
  <c r="P63" i="1"/>
  <c r="O63" i="1"/>
  <c r="N63" i="1"/>
  <c r="M63" i="1"/>
  <c r="W62" i="1"/>
  <c r="V62" i="1"/>
  <c r="U62" i="1"/>
  <c r="T62" i="1"/>
  <c r="S62" i="1"/>
  <c r="R62" i="1"/>
  <c r="Q62" i="1"/>
  <c r="P62" i="1"/>
  <c r="O62" i="1"/>
  <c r="N62" i="1"/>
  <c r="M62" i="1"/>
  <c r="W61" i="1"/>
  <c r="V61" i="1"/>
  <c r="U61" i="1"/>
  <c r="T61" i="1"/>
  <c r="S61" i="1"/>
  <c r="R61" i="1"/>
  <c r="Q61" i="1"/>
  <c r="P61" i="1"/>
  <c r="O61" i="1"/>
  <c r="N61" i="1"/>
  <c r="M61" i="1"/>
  <c r="W60" i="1"/>
  <c r="V60" i="1"/>
  <c r="U60" i="1"/>
  <c r="T60" i="1"/>
  <c r="S60" i="1"/>
  <c r="R60" i="1"/>
  <c r="Q60" i="1"/>
  <c r="P60" i="1"/>
  <c r="O60" i="1"/>
  <c r="N60" i="1"/>
  <c r="M60" i="1"/>
  <c r="W59" i="1"/>
  <c r="V59" i="1"/>
  <c r="U59" i="1"/>
  <c r="T59" i="1"/>
  <c r="S59" i="1"/>
  <c r="R59" i="1"/>
  <c r="Q59" i="1"/>
  <c r="P59" i="1"/>
  <c r="O59" i="1"/>
  <c r="N59" i="1"/>
  <c r="M59" i="1"/>
  <c r="W58" i="1"/>
  <c r="V58" i="1"/>
  <c r="U58" i="1"/>
  <c r="T58" i="1"/>
  <c r="S58" i="1"/>
  <c r="R58" i="1"/>
  <c r="Q58" i="1"/>
  <c r="P58" i="1"/>
  <c r="O58" i="1"/>
  <c r="N58" i="1"/>
  <c r="M58" i="1"/>
  <c r="W57" i="1"/>
  <c r="V57" i="1"/>
  <c r="U57" i="1"/>
  <c r="T57" i="1"/>
  <c r="S57" i="1"/>
  <c r="R57" i="1"/>
  <c r="Q57" i="1"/>
  <c r="P57" i="1"/>
  <c r="O57" i="1"/>
  <c r="N57" i="1"/>
  <c r="M57" i="1"/>
  <c r="W56" i="1"/>
  <c r="V56" i="1"/>
  <c r="U56" i="1"/>
  <c r="T56" i="1"/>
  <c r="S56" i="1"/>
  <c r="R56" i="1"/>
  <c r="Q56" i="1"/>
  <c r="P56" i="1"/>
  <c r="O56" i="1"/>
  <c r="N56" i="1"/>
  <c r="M56" i="1"/>
  <c r="W55" i="1"/>
  <c r="V55" i="1"/>
  <c r="U55" i="1"/>
  <c r="T55" i="1"/>
  <c r="S55" i="1"/>
  <c r="R55" i="1"/>
  <c r="Q55" i="1"/>
  <c r="P55" i="1"/>
  <c r="O55" i="1"/>
  <c r="N55" i="1"/>
  <c r="M55" i="1"/>
  <c r="W54" i="1"/>
  <c r="V54" i="1"/>
  <c r="U54" i="1"/>
  <c r="T54" i="1"/>
  <c r="S54" i="1"/>
  <c r="R54" i="1"/>
  <c r="Q54" i="1"/>
  <c r="P54" i="1"/>
  <c r="O54" i="1"/>
  <c r="N54" i="1"/>
  <c r="M54" i="1"/>
  <c r="W53" i="1"/>
  <c r="V53" i="1"/>
  <c r="U53" i="1"/>
  <c r="T53" i="1"/>
  <c r="S53" i="1"/>
  <c r="R53" i="1"/>
  <c r="Q53" i="1"/>
  <c r="P53" i="1"/>
  <c r="O53" i="1"/>
  <c r="N53" i="1"/>
  <c r="M53" i="1"/>
  <c r="W52" i="1"/>
  <c r="V52" i="1"/>
  <c r="U52" i="1"/>
  <c r="T52" i="1"/>
  <c r="S52" i="1"/>
  <c r="R52" i="1"/>
  <c r="Q52" i="1"/>
  <c r="P52" i="1"/>
  <c r="O52" i="1"/>
  <c r="N52" i="1"/>
  <c r="M52" i="1"/>
  <c r="W51" i="1"/>
  <c r="V51" i="1"/>
  <c r="U51" i="1"/>
  <c r="T51" i="1"/>
  <c r="S51" i="1"/>
  <c r="R51" i="1"/>
  <c r="Q51" i="1"/>
  <c r="P51" i="1"/>
  <c r="O51" i="1"/>
  <c r="N51" i="1"/>
  <c r="M51" i="1"/>
  <c r="W50" i="1"/>
  <c r="V50" i="1"/>
  <c r="U50" i="1"/>
  <c r="T50" i="1"/>
  <c r="S50" i="1"/>
  <c r="R50" i="1"/>
  <c r="Q50" i="1"/>
  <c r="P50" i="1"/>
  <c r="O50" i="1"/>
  <c r="N50" i="1"/>
  <c r="M50" i="1"/>
  <c r="W49" i="1"/>
  <c r="V49" i="1"/>
  <c r="U49" i="1"/>
  <c r="T49" i="1"/>
  <c r="S49" i="1"/>
  <c r="R49" i="1"/>
  <c r="Q49" i="1"/>
  <c r="P49" i="1"/>
  <c r="O49" i="1"/>
  <c r="N49" i="1"/>
  <c r="M49" i="1"/>
  <c r="W48" i="1"/>
  <c r="V48" i="1"/>
  <c r="U48" i="1"/>
  <c r="T48" i="1"/>
  <c r="S48" i="1"/>
  <c r="R48" i="1"/>
  <c r="Q48" i="1"/>
  <c r="P48" i="1"/>
  <c r="O48" i="1"/>
  <c r="N48" i="1"/>
  <c r="M48" i="1"/>
  <c r="W47" i="1"/>
  <c r="V47" i="1"/>
  <c r="U47" i="1"/>
  <c r="T47" i="1"/>
  <c r="S47" i="1"/>
  <c r="R47" i="1"/>
  <c r="Q47" i="1"/>
  <c r="P47" i="1"/>
  <c r="O47" i="1"/>
  <c r="N47" i="1"/>
  <c r="M47" i="1"/>
  <c r="W46" i="1"/>
  <c r="V46" i="1"/>
  <c r="U46" i="1"/>
  <c r="T46" i="1"/>
  <c r="S46" i="1"/>
  <c r="R46" i="1"/>
  <c r="Q46" i="1"/>
  <c r="P46" i="1"/>
  <c r="O46" i="1"/>
  <c r="N46" i="1"/>
  <c r="M46" i="1"/>
  <c r="W45" i="1"/>
  <c r="V45" i="1"/>
  <c r="U45" i="1"/>
  <c r="T45" i="1"/>
  <c r="S45" i="1"/>
  <c r="R45" i="1"/>
  <c r="Q45" i="1"/>
  <c r="P45" i="1"/>
  <c r="O45" i="1"/>
  <c r="N45" i="1"/>
  <c r="M45" i="1"/>
  <c r="W44" i="1"/>
  <c r="V44" i="1"/>
  <c r="U44" i="1"/>
  <c r="T44" i="1"/>
  <c r="S44" i="1"/>
  <c r="R44" i="1"/>
  <c r="Q44" i="1"/>
  <c r="P44" i="1"/>
  <c r="O44" i="1"/>
  <c r="N44" i="1"/>
  <c r="M44" i="1"/>
  <c r="W43" i="1"/>
  <c r="V43" i="1"/>
  <c r="U43" i="1"/>
  <c r="T43" i="1"/>
  <c r="S43" i="1"/>
  <c r="R43" i="1"/>
  <c r="Q43" i="1"/>
  <c r="P43" i="1"/>
  <c r="O43" i="1"/>
  <c r="N43" i="1"/>
  <c r="M43" i="1"/>
  <c r="W42" i="1"/>
  <c r="V42" i="1"/>
  <c r="U42" i="1"/>
  <c r="T42" i="1"/>
  <c r="S42" i="1"/>
  <c r="R42" i="1"/>
  <c r="Q42" i="1"/>
  <c r="P42" i="1"/>
  <c r="O42" i="1"/>
  <c r="N42" i="1"/>
  <c r="M42" i="1"/>
  <c r="W41" i="1"/>
  <c r="V41" i="1"/>
  <c r="U41" i="1"/>
  <c r="T41" i="1"/>
  <c r="S41" i="1"/>
  <c r="R41" i="1"/>
  <c r="Q41" i="1"/>
  <c r="P41" i="1"/>
  <c r="O41" i="1"/>
  <c r="N41" i="1"/>
  <c r="M41" i="1"/>
  <c r="W40" i="1"/>
  <c r="V40" i="1"/>
  <c r="U40" i="1"/>
  <c r="T40" i="1"/>
  <c r="S40" i="1"/>
  <c r="R40" i="1"/>
  <c r="Q40" i="1"/>
  <c r="P40" i="1"/>
  <c r="O40" i="1"/>
  <c r="N40" i="1"/>
  <c r="M40" i="1"/>
  <c r="W39" i="1"/>
  <c r="V39" i="1"/>
  <c r="U39" i="1"/>
  <c r="T39" i="1"/>
  <c r="S39" i="1"/>
  <c r="R39" i="1"/>
  <c r="Q39" i="1"/>
  <c r="P39" i="1"/>
  <c r="O39" i="1"/>
  <c r="N39" i="1"/>
  <c r="M39" i="1"/>
  <c r="W38" i="1"/>
  <c r="V38" i="1"/>
  <c r="U38" i="1"/>
  <c r="T38" i="1"/>
  <c r="S38" i="1"/>
  <c r="R38" i="1"/>
  <c r="Q38" i="1"/>
  <c r="P38" i="1"/>
  <c r="O38" i="1"/>
  <c r="N38" i="1"/>
  <c r="M38" i="1"/>
  <c r="W37" i="1"/>
  <c r="V37" i="1"/>
  <c r="U37" i="1"/>
  <c r="T37" i="1"/>
  <c r="S37" i="1"/>
  <c r="R37" i="1"/>
  <c r="Q37" i="1"/>
  <c r="P37" i="1"/>
  <c r="O37" i="1"/>
  <c r="N37" i="1"/>
  <c r="M37" i="1"/>
  <c r="W36" i="1"/>
  <c r="V36" i="1"/>
  <c r="U36" i="1"/>
  <c r="T36" i="1"/>
  <c r="S36" i="1"/>
  <c r="R36" i="1"/>
  <c r="Q36" i="1"/>
  <c r="P36" i="1"/>
  <c r="O36" i="1"/>
  <c r="N36" i="1"/>
  <c r="M36" i="1"/>
  <c r="W35" i="1"/>
  <c r="V35" i="1"/>
  <c r="U35" i="1"/>
  <c r="T35" i="1"/>
  <c r="S35" i="1"/>
  <c r="R35" i="1"/>
  <c r="Q35" i="1"/>
  <c r="P35" i="1"/>
  <c r="O35" i="1"/>
  <c r="N35" i="1"/>
  <c r="M35" i="1"/>
  <c r="W34" i="1"/>
  <c r="V34" i="1"/>
  <c r="U34" i="1"/>
  <c r="T34" i="1"/>
  <c r="S34" i="1"/>
  <c r="R34" i="1"/>
  <c r="Q34" i="1"/>
  <c r="P34" i="1"/>
  <c r="O34" i="1"/>
  <c r="N34" i="1"/>
  <c r="M34" i="1"/>
  <c r="W33" i="1"/>
  <c r="V33" i="1"/>
  <c r="U33" i="1"/>
  <c r="T33" i="1"/>
  <c r="S33" i="1"/>
  <c r="R33" i="1"/>
  <c r="Q33" i="1"/>
  <c r="P33" i="1"/>
  <c r="O33" i="1"/>
  <c r="N33" i="1"/>
  <c r="M33" i="1"/>
  <c r="W32" i="1"/>
  <c r="V32" i="1"/>
  <c r="U32" i="1"/>
  <c r="T32" i="1"/>
  <c r="S32" i="1"/>
  <c r="R32" i="1"/>
  <c r="Q32" i="1"/>
  <c r="P32" i="1"/>
  <c r="O32" i="1"/>
  <c r="N32" i="1"/>
  <c r="M32" i="1"/>
  <c r="W31" i="1"/>
  <c r="V31" i="1"/>
  <c r="U31" i="1"/>
  <c r="T31" i="1"/>
  <c r="S31" i="1"/>
  <c r="R31" i="1"/>
  <c r="Q31" i="1"/>
  <c r="P31" i="1"/>
  <c r="O31" i="1"/>
  <c r="N31" i="1"/>
  <c r="M31" i="1"/>
  <c r="W30" i="1"/>
  <c r="V30" i="1"/>
  <c r="U30" i="1"/>
  <c r="T30" i="1"/>
  <c r="S30" i="1"/>
  <c r="R30" i="1"/>
  <c r="Q30" i="1"/>
  <c r="P30" i="1"/>
  <c r="O30" i="1"/>
  <c r="N30" i="1"/>
  <c r="M30" i="1"/>
  <c r="W29" i="1"/>
  <c r="V29" i="1"/>
  <c r="U29" i="1"/>
  <c r="T29" i="1"/>
  <c r="S29" i="1"/>
  <c r="R29" i="1"/>
  <c r="Q29" i="1"/>
  <c r="P29" i="1"/>
  <c r="O29" i="1"/>
  <c r="N29" i="1"/>
  <c r="M29" i="1"/>
  <c r="W28" i="1"/>
  <c r="V28" i="1"/>
  <c r="U28" i="1"/>
  <c r="T28" i="1"/>
  <c r="S28" i="1"/>
  <c r="R28" i="1"/>
  <c r="Q28" i="1"/>
  <c r="P28" i="1"/>
  <c r="O28" i="1"/>
  <c r="N28" i="1"/>
  <c r="M28" i="1"/>
  <c r="W27" i="1"/>
  <c r="V27" i="1"/>
  <c r="U27" i="1"/>
  <c r="T27" i="1"/>
  <c r="S27" i="1"/>
  <c r="R27" i="1"/>
  <c r="Q27" i="1"/>
  <c r="P27" i="1"/>
  <c r="O27" i="1"/>
  <c r="N27" i="1"/>
  <c r="M27" i="1"/>
  <c r="W26" i="1"/>
  <c r="V26" i="1"/>
  <c r="U26" i="1"/>
  <c r="T26" i="1"/>
  <c r="S26" i="1"/>
  <c r="R26" i="1"/>
  <c r="Q26" i="1"/>
  <c r="P26" i="1"/>
  <c r="O26" i="1"/>
  <c r="N26" i="1"/>
  <c r="M26" i="1"/>
  <c r="W25" i="1"/>
  <c r="V25" i="1"/>
  <c r="U25" i="1"/>
  <c r="T25" i="1"/>
  <c r="S25" i="1"/>
  <c r="R25" i="1"/>
  <c r="Q25" i="1"/>
  <c r="P25" i="1"/>
  <c r="O25" i="1"/>
  <c r="N25" i="1"/>
  <c r="M25" i="1"/>
  <c r="W24" i="1"/>
  <c r="V24" i="1"/>
  <c r="U24" i="1"/>
  <c r="T24" i="1"/>
  <c r="S24" i="1"/>
  <c r="R24" i="1"/>
  <c r="Q24" i="1"/>
  <c r="P24" i="1"/>
  <c r="O24" i="1"/>
  <c r="N24" i="1"/>
  <c r="M24" i="1"/>
  <c r="W23" i="1"/>
  <c r="V23" i="1"/>
  <c r="U23" i="1"/>
  <c r="T23" i="1"/>
  <c r="S23" i="1"/>
  <c r="R23" i="1"/>
  <c r="Q23" i="1"/>
  <c r="P23" i="1"/>
  <c r="O23" i="1"/>
  <c r="N23" i="1"/>
  <c r="M23" i="1"/>
  <c r="W22" i="1"/>
  <c r="V22" i="1"/>
  <c r="U22" i="1"/>
  <c r="T22" i="1"/>
  <c r="S22" i="1"/>
  <c r="R22" i="1"/>
  <c r="Q22" i="1"/>
  <c r="P22" i="1"/>
  <c r="O22" i="1"/>
  <c r="N22" i="1"/>
  <c r="M22" i="1"/>
  <c r="W21" i="1"/>
  <c r="V21" i="1"/>
  <c r="U21" i="1"/>
  <c r="T21" i="1"/>
  <c r="S21" i="1"/>
  <c r="R21" i="1"/>
  <c r="Q21" i="1"/>
  <c r="P21" i="1"/>
  <c r="O21" i="1"/>
  <c r="N21" i="1"/>
  <c r="M21" i="1"/>
  <c r="W20" i="1"/>
  <c r="V20" i="1"/>
  <c r="U20" i="1"/>
  <c r="T20" i="1"/>
  <c r="S20" i="1"/>
  <c r="R20" i="1"/>
  <c r="Q20" i="1"/>
  <c r="P20" i="1"/>
  <c r="O20" i="1"/>
  <c r="N20" i="1"/>
  <c r="M20" i="1"/>
  <c r="W19" i="1"/>
  <c r="V19" i="1"/>
  <c r="U19" i="1"/>
  <c r="T19" i="1"/>
  <c r="S19" i="1"/>
  <c r="R19" i="1"/>
  <c r="Q19" i="1"/>
  <c r="P19" i="1"/>
  <c r="O19" i="1"/>
  <c r="N19" i="1"/>
  <c r="M19" i="1"/>
  <c r="W18" i="1"/>
  <c r="V18" i="1"/>
  <c r="U18" i="1"/>
  <c r="T18" i="1"/>
  <c r="S18" i="1"/>
  <c r="R18" i="1"/>
  <c r="Q18" i="1"/>
  <c r="P18" i="1"/>
  <c r="O18" i="1"/>
  <c r="N18" i="1"/>
  <c r="M18" i="1"/>
  <c r="W17" i="1"/>
  <c r="V17" i="1"/>
  <c r="U17" i="1"/>
  <c r="T17" i="1"/>
  <c r="S17" i="1"/>
  <c r="R17" i="1"/>
  <c r="Q17" i="1"/>
  <c r="P17" i="1"/>
  <c r="O17" i="1"/>
  <c r="N17" i="1"/>
  <c r="M17" i="1"/>
  <c r="W16" i="1"/>
  <c r="V16" i="1"/>
  <c r="U16" i="1"/>
  <c r="T16" i="1"/>
  <c r="S16" i="1"/>
  <c r="R16" i="1"/>
  <c r="Q16" i="1"/>
  <c r="P16" i="1"/>
  <c r="O16" i="1"/>
  <c r="N16" i="1"/>
  <c r="M16" i="1"/>
  <c r="W15" i="1"/>
  <c r="V15" i="1"/>
  <c r="U15" i="1"/>
  <c r="T15" i="1"/>
  <c r="S15" i="1"/>
  <c r="R15" i="1"/>
  <c r="Q15" i="1"/>
  <c r="P15" i="1"/>
  <c r="O15" i="1"/>
  <c r="N15" i="1"/>
  <c r="M15" i="1"/>
  <c r="W14" i="1"/>
  <c r="V14" i="1"/>
  <c r="U14" i="1"/>
  <c r="T14" i="1"/>
  <c r="S14" i="1"/>
  <c r="R14" i="1"/>
  <c r="Q14" i="1"/>
  <c r="P14" i="1"/>
  <c r="O14" i="1"/>
  <c r="N14" i="1"/>
  <c r="M14" i="1"/>
  <c r="W13" i="1"/>
  <c r="V13" i="1"/>
  <c r="U13" i="1"/>
  <c r="T13" i="1"/>
  <c r="S13" i="1"/>
  <c r="R13" i="1"/>
  <c r="Q13" i="1"/>
  <c r="P13" i="1"/>
  <c r="O13" i="1"/>
  <c r="N13" i="1"/>
  <c r="M13" i="1"/>
  <c r="W12" i="1"/>
  <c r="V12" i="1"/>
  <c r="U12" i="1"/>
  <c r="T12" i="1"/>
  <c r="S12" i="1"/>
  <c r="R12" i="1"/>
  <c r="Q12" i="1"/>
  <c r="P12" i="1"/>
  <c r="O12" i="1"/>
  <c r="N12" i="1"/>
  <c r="M12" i="1"/>
  <c r="W11" i="1"/>
  <c r="V11" i="1"/>
  <c r="U11" i="1"/>
  <c r="T11" i="1"/>
  <c r="S11" i="1"/>
  <c r="R11" i="1"/>
  <c r="Q11" i="1"/>
  <c r="P11" i="1"/>
  <c r="O11" i="1"/>
  <c r="N11" i="1"/>
  <c r="M11" i="1"/>
  <c r="W10" i="1"/>
  <c r="V10" i="1"/>
  <c r="U10" i="1"/>
  <c r="T10" i="1"/>
  <c r="S10" i="1"/>
  <c r="R10" i="1"/>
  <c r="Q10" i="1"/>
  <c r="P10" i="1"/>
  <c r="O10" i="1"/>
  <c r="N10" i="1"/>
  <c r="M10" i="1"/>
  <c r="W9" i="1"/>
  <c r="V9" i="1"/>
  <c r="U9" i="1"/>
  <c r="T9" i="1"/>
  <c r="S9" i="1"/>
  <c r="R9" i="1"/>
  <c r="Q9" i="1"/>
  <c r="P9" i="1"/>
  <c r="O9" i="1"/>
  <c r="N9" i="1"/>
  <c r="M9" i="1"/>
  <c r="W8" i="1"/>
  <c r="V8" i="1"/>
  <c r="U8" i="1"/>
  <c r="T8" i="1"/>
  <c r="S8" i="1"/>
  <c r="R8" i="1"/>
  <c r="Q8" i="1"/>
  <c r="P8" i="1"/>
  <c r="O8" i="1"/>
  <c r="N8" i="1"/>
  <c r="M8" i="1"/>
  <c r="W7" i="1"/>
  <c r="V7" i="1"/>
  <c r="U7" i="1"/>
  <c r="T7" i="1"/>
  <c r="S7" i="1"/>
  <c r="R7" i="1"/>
  <c r="Q7" i="1"/>
  <c r="P7" i="1"/>
  <c r="O7" i="1"/>
  <c r="N7" i="1"/>
  <c r="M7" i="1"/>
  <c r="W6" i="1"/>
  <c r="V6" i="1"/>
  <c r="U6" i="1"/>
  <c r="T6" i="1"/>
  <c r="S6" i="1"/>
  <c r="R6" i="1"/>
  <c r="Q6" i="1"/>
  <c r="P6" i="1"/>
  <c r="O6" i="1"/>
  <c r="N6" i="1"/>
  <c r="M6" i="1"/>
  <c r="W5" i="1"/>
  <c r="V5" i="1"/>
  <c r="U5" i="1"/>
  <c r="T5" i="1"/>
  <c r="S5" i="1"/>
  <c r="R5" i="1"/>
  <c r="Q5" i="1"/>
  <c r="P5" i="1"/>
  <c r="O5" i="1"/>
  <c r="N5" i="1"/>
  <c r="M5" i="1"/>
  <c r="W4" i="1"/>
  <c r="V4" i="1"/>
  <c r="U4" i="1"/>
  <c r="T4" i="1"/>
  <c r="S4" i="1"/>
  <c r="R4" i="1"/>
  <c r="Q4" i="1"/>
  <c r="P4" i="1"/>
  <c r="O4" i="1"/>
  <c r="N4" i="1"/>
  <c r="M4" i="1"/>
  <c r="W3" i="1"/>
  <c r="V3" i="1"/>
  <c r="U3" i="1"/>
  <c r="T3" i="1"/>
  <c r="S3" i="1"/>
  <c r="R3" i="1"/>
  <c r="Q3" i="1"/>
  <c r="P3" i="1"/>
  <c r="O3" i="1"/>
  <c r="N3" i="1"/>
  <c r="M3" i="1"/>
</calcChain>
</file>

<file path=xl/sharedStrings.xml><?xml version="1.0" encoding="utf-8"?>
<sst xmlns="http://schemas.openxmlformats.org/spreadsheetml/2006/main" count="1222" uniqueCount="130">
  <si>
    <t>&lt;-- Navigate by typing to search</t>
  </si>
  <si>
    <t>Branch</t>
  </si>
  <si>
    <t>Type</t>
  </si>
  <si>
    <t>Region</t>
  </si>
  <si>
    <t>Sector</t>
  </si>
  <si>
    <t>Service</t>
  </si>
  <si>
    <t>Technology</t>
  </si>
  <si>
    <t>Parameter</t>
  </si>
  <si>
    <t>Context</t>
  </si>
  <si>
    <t>Sub_Context</t>
  </si>
  <si>
    <t>Target</t>
  </si>
  <si>
    <t>Source</t>
  </si>
  <si>
    <t>Unit</t>
  </si>
  <si>
    <t>Comments</t>
  </si>
  <si>
    <t>CIMS.CAN.ON.Chemical Products</t>
  </si>
  <si>
    <t>ON</t>
  </si>
  <si>
    <t>Chemical Products</t>
  </si>
  <si>
    <t>tax</t>
  </si>
  <si>
    <t>CH4</t>
  </si>
  <si>
    <t>Combustion</t>
  </si>
  <si>
    <t>Govt of Canada</t>
  </si>
  <si>
    <t>$/tCO2e</t>
  </si>
  <si>
    <t>Process</t>
  </si>
  <si>
    <t>CO2</t>
  </si>
  <si>
    <t>N2O</t>
  </si>
  <si>
    <t>CIMS.CAN.ON.Electricity.Utility Generation.Base Load</t>
  </si>
  <si>
    <t>Electricity</t>
  </si>
  <si>
    <t>Base Load</t>
  </si>
  <si>
    <t>CIMS.CAN.ON.Electricity.Utility Generation.Shoulder Load</t>
  </si>
  <si>
    <t>Shoulder Load</t>
  </si>
  <si>
    <t>CIMS.CAN.ON.Ethanol</t>
  </si>
  <si>
    <t>Ethanol</t>
  </si>
  <si>
    <t>CIMS.CAN.ON.Hydrogen</t>
  </si>
  <si>
    <t>Hydrogen</t>
  </si>
  <si>
    <t>CIMS.CAN.ON.Industrial Minerals</t>
  </si>
  <si>
    <t>Industrial Minerals</t>
  </si>
  <si>
    <t>CIMS.CAN.ON.Iron and Steel</t>
  </si>
  <si>
    <t>Iron and Steel</t>
  </si>
  <si>
    <t>CIMS.CAN.ON.Light Industrial</t>
  </si>
  <si>
    <t>Light Industrial</t>
  </si>
  <si>
    <t>CIMS.CAN.ON.Metal Smelting</t>
  </si>
  <si>
    <t>Metal Smelting</t>
  </si>
  <si>
    <t>CIMS.CAN.ON.Mining</t>
  </si>
  <si>
    <t>Mining</t>
  </si>
  <si>
    <t>CIMS.CAN.ON.Natural Gas Production</t>
  </si>
  <si>
    <t>Natural Gas Production</t>
  </si>
  <si>
    <t>CIMS.CAN.ON.Petroleum Crude</t>
  </si>
  <si>
    <t>Petroleum Crude</t>
  </si>
  <si>
    <t>CIMS.CAN.ON.Petroleum Refining</t>
  </si>
  <si>
    <t>Petroleum Refining</t>
  </si>
  <si>
    <t>CIMS.CAN.ON.Pulp and Paper</t>
  </si>
  <si>
    <t>Pulp and Paper</t>
  </si>
  <si>
    <t>CIMS.CAN.ON.Chemical Products.Chemical Product.Ammonia Methanol</t>
  </si>
  <si>
    <t>Ammonia Methanol</t>
  </si>
  <si>
    <t>benchmark</t>
  </si>
  <si>
    <t>tCO2e/tonne</t>
  </si>
  <si>
    <t>Tightening rate starts in 2023</t>
  </si>
  <si>
    <t>CIMS.CAN.ON.Chemical Products.Chemical Product.Other Petrochemicals.Petrochemicals.All Polymerization</t>
  </si>
  <si>
    <t>All Polymerization</t>
  </si>
  <si>
    <t>CIMS.CAN.ON.Chemical Products.Chemical Product.Other Petrochemicals.Petrochemicals.BTX Reforming</t>
  </si>
  <si>
    <t>BTX Reforming</t>
  </si>
  <si>
    <t>CIMS.CAN.ON.Chemical Products.Chemical Product.Other Petrochemicals.Petrochemicals.Intermediate Production</t>
  </si>
  <si>
    <t>Intermediate Production</t>
  </si>
  <si>
    <t>tCO2e/GWh</t>
  </si>
  <si>
    <t>CIMS.CAN.ON.Ethanol.Production</t>
  </si>
  <si>
    <t>Production</t>
  </si>
  <si>
    <t>tCO2e/GJ</t>
  </si>
  <si>
    <t>CIMS.CAN.ON.Hydrogen.Production</t>
  </si>
  <si>
    <t>tCO2e/Kg</t>
  </si>
  <si>
    <t>CIMS.CAN.ON.Industrial Minerals.Products.Bricks</t>
  </si>
  <si>
    <t>Bricks</t>
  </si>
  <si>
    <t>CIMS.CAN.ON.Industrial Minerals.Products.Cement.Portland cement</t>
  </si>
  <si>
    <t>Portland cement</t>
  </si>
  <si>
    <t>CIMS.CAN.ON.Industrial Minerals.Products.Cement.Portland cement.Clinker</t>
  </si>
  <si>
    <t>Clinker</t>
  </si>
  <si>
    <t>CIMS.CAN.ON.Industrial Minerals.Products.Glass</t>
  </si>
  <si>
    <t>Glass</t>
  </si>
  <si>
    <t>CIMS.CAN.ON.Industrial Minerals.Products.Lime</t>
  </si>
  <si>
    <t>Lime</t>
  </si>
  <si>
    <t>CIMS.CAN.ON.Iron and Steel.Molten Steel.Electr Arc Steel</t>
  </si>
  <si>
    <t>Electr Arc Steel</t>
  </si>
  <si>
    <t>CIMS.CAN.ON.Iron and Steel.Molten Steel.Integrated Steel</t>
  </si>
  <si>
    <t>Integrated Steel</t>
  </si>
  <si>
    <t>CIMS.CAN.ON.Iron and Steel.Steel Product.Billets</t>
  </si>
  <si>
    <t>Billets</t>
  </si>
  <si>
    <t>CIMS.CAN.ON.Iron and Steel.Steel Product.Blooms</t>
  </si>
  <si>
    <t>Blooms</t>
  </si>
  <si>
    <t>CIMS.CAN.ON.Iron and Steel.Steel Product.Slabs.Casting</t>
  </si>
  <si>
    <t>Casting</t>
  </si>
  <si>
    <t>CIMS.CAN.ON.Iron and Steel.Steel Product.Slabs.Cold Rolled</t>
  </si>
  <si>
    <t>Cold Rolled</t>
  </si>
  <si>
    <t>CIMS.CAN.ON.Light Industrial.Manufacturing.Food Tobacco and Beverage</t>
  </si>
  <si>
    <t>Food Tobacco and Beverage</t>
  </si>
  <si>
    <t>CIMS.CAN.ON.Light Industrial.Manufacturing.Rubber and Plastics</t>
  </si>
  <si>
    <t>Rubber and Plastics</t>
  </si>
  <si>
    <t>CIMS.CAN.ON.Light Industrial.Manufacturing.Transportation Equipment</t>
  </si>
  <si>
    <t>Transportation Equipment</t>
  </si>
  <si>
    <t>CIMS.CAN.ON.Light Industrial.Manufacturing.Wood Products</t>
  </si>
  <si>
    <t>Wood Products</t>
  </si>
  <si>
    <t>CIMS.CAN.ON.Metal Smelting.Primary Metals.Aluminum.Primary Aluminum.Alumina</t>
  </si>
  <si>
    <t>Alumina</t>
  </si>
  <si>
    <t>CIMS.CAN.ON.Metal Smelting.Primary Metals.Aluminum.Primary Aluminum.Electrolysis</t>
  </si>
  <si>
    <t>Electrolysis</t>
  </si>
  <si>
    <t>CIMS.CAN.ON.Metal Smelting.Primary Metals.Copper.Metallurgy.Hydro Metallurgy</t>
  </si>
  <si>
    <t>Hydro Metallurgy</t>
  </si>
  <si>
    <t>CIMS.CAN.ON.Metal Smelting.Primary Metals.Copper.Metallurgy.Pyro Metallurgy</t>
  </si>
  <si>
    <t>Pyro Metallurgy</t>
  </si>
  <si>
    <t>CIMS.CAN.ON.Metal Smelting.Primary Metals.Nickel.Metallurgy.Hydro Metallurgy</t>
  </si>
  <si>
    <t>CIMS.CAN.ON.Metal Smelting.Primary Metals.Nickel.Metallurgy.Pyro Metallurgy</t>
  </si>
  <si>
    <t>CIMS.CAN.ON.Metal Smelting.Primary Metals.Zinc.Metallurgy.Hydro Metallurgy</t>
  </si>
  <si>
    <t>CIMS.CAN.ON.Metal Smelting.Primary Metals.Zinc.Metallurgy.Pyro Metallurgy</t>
  </si>
  <si>
    <t>CIMS.CAN.ON.Mining.Final Product.Metal Open Pit</t>
  </si>
  <si>
    <t>Metal Open Pit</t>
  </si>
  <si>
    <t>CIMS.CAN.ON.Mining.Final Product.Metal Underground</t>
  </si>
  <si>
    <t>Metal Underground</t>
  </si>
  <si>
    <t>CIMS.CAN.ON.Natural Gas Production.Supply.Extraction</t>
  </si>
  <si>
    <t>Extraction</t>
  </si>
  <si>
    <t>tCO2e/1000m3</t>
  </si>
  <si>
    <t>CIMS.CAN.ON.Natural Gas Production.Supply.Transmission</t>
  </si>
  <si>
    <t>Transmission</t>
  </si>
  <si>
    <t>CIMS.CAN.ON.Petroleum Crude.Refinable Crude Oil.Light Medium</t>
  </si>
  <si>
    <t>Light Medium</t>
  </si>
  <si>
    <t>tCO2e/m3</t>
  </si>
  <si>
    <t>CIMS.CAN.ON.Petroleum Refining.Hydrogen</t>
  </si>
  <si>
    <t>CIMS.CAN.ON.Petroleum Refining.Refined Petroleum Products.Petroleum Fractions</t>
  </si>
  <si>
    <t>Petroleum Fractions</t>
  </si>
  <si>
    <t>CIMS.CAN.ON.Petroleum Refining.Refined Petroleum Products.Petroleum Fractions.Lubes</t>
  </si>
  <si>
    <t>Lubes</t>
  </si>
  <si>
    <t>CIMS.CAN.ON.Pulp and Paper.Paper.Prepared Pulp</t>
  </si>
  <si>
    <t>Prepared Pulp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</si>
</sst>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IMS\dev\cims-models\sources\macro\macro%20inputs.xlsx" TargetMode="External"/><Relationship Id="rId1" Type="http://schemas.openxmlformats.org/officeDocument/2006/relationships/externalLinkPath" Target="/CIMS/dev/cims-models/sources/macro/macro%20inpu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</sheetNames>
    <sheetDataSet>
      <sheetData sheetId="0"/>
      <sheetData sheetId="1"/>
      <sheetData sheetId="2"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5E080-C84C-4671-9526-385BD70CEFA6}">
  <dimension ref="A1:X126"/>
  <sheetViews>
    <sheetView tabSelected="1" workbookViewId="0">
      <selection sqref="A1:X126"/>
    </sheetView>
  </sheetViews>
  <sheetFormatPr defaultRowHeight="14.4" x14ac:dyDescent="0.3"/>
  <sheetData>
    <row r="1" spans="1:24" x14ac:dyDescent="0.3">
      <c r="B1" t="s">
        <v>0</v>
      </c>
    </row>
    <row r="2" spans="1:2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>
        <v>2000</v>
      </c>
      <c r="N2">
        <v>2005</v>
      </c>
      <c r="O2">
        <v>2010</v>
      </c>
      <c r="P2">
        <v>2015</v>
      </c>
      <c r="Q2">
        <v>2020</v>
      </c>
      <c r="R2">
        <v>2025</v>
      </c>
      <c r="S2">
        <v>2030</v>
      </c>
      <c r="T2">
        <v>2035</v>
      </c>
      <c r="U2">
        <v>2040</v>
      </c>
      <c r="V2">
        <v>2045</v>
      </c>
      <c r="W2">
        <v>2050</v>
      </c>
      <c r="X2" t="s">
        <v>13</v>
      </c>
    </row>
    <row r="3" spans="1:24" x14ac:dyDescent="0.3">
      <c r="A3" t="s">
        <v>14</v>
      </c>
      <c r="B3" t="s">
        <v>4</v>
      </c>
      <c r="C3" t="s">
        <v>15</v>
      </c>
      <c r="D3" t="s">
        <v>16</v>
      </c>
      <c r="G3" t="s">
        <v>17</v>
      </c>
      <c r="H3" t="s">
        <v>18</v>
      </c>
      <c r="I3" t="s">
        <v>19</v>
      </c>
      <c r="K3" t="s">
        <v>20</v>
      </c>
      <c r="L3" t="s">
        <v>21</v>
      </c>
      <c r="M3">
        <f ca="1">[1]Prices!K$26</f>
        <v>0</v>
      </c>
      <c r="N3">
        <f ca="1">[1]Prices!L$26</f>
        <v>0</v>
      </c>
      <c r="O3">
        <f ca="1">[1]Prices!M$26</f>
        <v>0</v>
      </c>
      <c r="P3">
        <f ca="1">[1]Prices!N$26</f>
        <v>0</v>
      </c>
      <c r="Q3">
        <f ca="1">[1]Prices!O$26</f>
        <v>30</v>
      </c>
      <c r="R3">
        <f ca="1">[1]Prices!P$26</f>
        <v>68.341643330825832</v>
      </c>
      <c r="S3">
        <f ca="1">[1]Prices!Q$26</f>
        <v>100.32134973994673</v>
      </c>
      <c r="T3">
        <f ca="1">[1]Prices!R$26</f>
        <v>82.639006798408047</v>
      </c>
      <c r="U3">
        <f ca="1">[1]Prices!S$26</f>
        <v>67.75892127087694</v>
      </c>
      <c r="V3">
        <f ca="1">[1]Prices!T$26</f>
        <v>55.57940835560332</v>
      </c>
      <c r="W3">
        <f ca="1">[1]Prices!U$26</f>
        <v>45.789061745779293</v>
      </c>
    </row>
    <row r="4" spans="1:24" x14ac:dyDescent="0.3">
      <c r="A4" t="s">
        <v>14</v>
      </c>
      <c r="B4" t="s">
        <v>4</v>
      </c>
      <c r="C4" t="s">
        <v>15</v>
      </c>
      <c r="D4" t="s">
        <v>16</v>
      </c>
      <c r="G4" t="s">
        <v>17</v>
      </c>
      <c r="H4" t="s">
        <v>18</v>
      </c>
      <c r="I4" t="s">
        <v>22</v>
      </c>
      <c r="K4" t="s">
        <v>20</v>
      </c>
      <c r="L4" t="s">
        <v>21</v>
      </c>
      <c r="M4">
        <f ca="1">[1]Prices!K$26</f>
        <v>0</v>
      </c>
      <c r="N4">
        <f ca="1">[1]Prices!L$26</f>
        <v>0</v>
      </c>
      <c r="O4">
        <f ca="1">[1]Prices!M$26</f>
        <v>0</v>
      </c>
      <c r="P4">
        <f ca="1">[1]Prices!N$26</f>
        <v>0</v>
      </c>
      <c r="Q4">
        <f ca="1">[1]Prices!O$26</f>
        <v>30</v>
      </c>
      <c r="R4">
        <f ca="1">[1]Prices!P$26</f>
        <v>68.341643330825832</v>
      </c>
      <c r="S4">
        <f ca="1">[1]Prices!Q$26</f>
        <v>100.32134973994673</v>
      </c>
      <c r="T4">
        <f ca="1">[1]Prices!R$26</f>
        <v>82.639006798408047</v>
      </c>
      <c r="U4">
        <f ca="1">[1]Prices!S$26</f>
        <v>67.75892127087694</v>
      </c>
      <c r="V4">
        <f ca="1">[1]Prices!T$26</f>
        <v>55.57940835560332</v>
      </c>
      <c r="W4">
        <f ca="1">[1]Prices!U$26</f>
        <v>45.789061745779293</v>
      </c>
    </row>
    <row r="5" spans="1:24" x14ac:dyDescent="0.3">
      <c r="A5" t="s">
        <v>14</v>
      </c>
      <c r="B5" t="s">
        <v>4</v>
      </c>
      <c r="C5" t="s">
        <v>15</v>
      </c>
      <c r="D5" t="s">
        <v>16</v>
      </c>
      <c r="G5" t="s">
        <v>17</v>
      </c>
      <c r="H5" t="s">
        <v>23</v>
      </c>
      <c r="I5" t="s">
        <v>19</v>
      </c>
      <c r="K5" t="s">
        <v>20</v>
      </c>
      <c r="L5" t="s">
        <v>21</v>
      </c>
      <c r="M5">
        <f ca="1">[1]Prices!K$26</f>
        <v>0</v>
      </c>
      <c r="N5">
        <f ca="1">[1]Prices!L$26</f>
        <v>0</v>
      </c>
      <c r="O5">
        <f ca="1">[1]Prices!M$26</f>
        <v>0</v>
      </c>
      <c r="P5">
        <f ca="1">[1]Prices!N$26</f>
        <v>0</v>
      </c>
      <c r="Q5">
        <f ca="1">[1]Prices!O$26</f>
        <v>30</v>
      </c>
      <c r="R5">
        <f ca="1">[1]Prices!P$26</f>
        <v>68.341643330825832</v>
      </c>
      <c r="S5">
        <f ca="1">[1]Prices!Q$26</f>
        <v>100.32134973994673</v>
      </c>
      <c r="T5">
        <f ca="1">[1]Prices!R$26</f>
        <v>82.639006798408047</v>
      </c>
      <c r="U5">
        <f ca="1">[1]Prices!S$26</f>
        <v>67.75892127087694</v>
      </c>
      <c r="V5">
        <f ca="1">[1]Prices!T$26</f>
        <v>55.57940835560332</v>
      </c>
      <c r="W5">
        <f ca="1">[1]Prices!U$26</f>
        <v>45.789061745779293</v>
      </c>
    </row>
    <row r="6" spans="1:24" x14ac:dyDescent="0.3">
      <c r="A6" t="s">
        <v>14</v>
      </c>
      <c r="B6" t="s">
        <v>4</v>
      </c>
      <c r="C6" t="s">
        <v>15</v>
      </c>
      <c r="D6" t="s">
        <v>16</v>
      </c>
      <c r="G6" t="s">
        <v>17</v>
      </c>
      <c r="H6" t="s">
        <v>23</v>
      </c>
      <c r="I6" t="s">
        <v>22</v>
      </c>
      <c r="K6" t="s">
        <v>20</v>
      </c>
      <c r="L6" t="s">
        <v>21</v>
      </c>
      <c r="M6">
        <f ca="1">[1]Prices!K$26</f>
        <v>0</v>
      </c>
      <c r="N6">
        <f ca="1">[1]Prices!L$26</f>
        <v>0</v>
      </c>
      <c r="O6">
        <f ca="1">[1]Prices!M$26</f>
        <v>0</v>
      </c>
      <c r="P6">
        <f ca="1">[1]Prices!N$26</f>
        <v>0</v>
      </c>
      <c r="Q6">
        <f ca="1">[1]Prices!O$26</f>
        <v>30</v>
      </c>
      <c r="R6">
        <f ca="1">[1]Prices!P$26</f>
        <v>68.341643330825832</v>
      </c>
      <c r="S6">
        <f ca="1">[1]Prices!Q$26</f>
        <v>100.32134973994673</v>
      </c>
      <c r="T6">
        <f ca="1">[1]Prices!R$26</f>
        <v>82.639006798408047</v>
      </c>
      <c r="U6">
        <f ca="1">[1]Prices!S$26</f>
        <v>67.75892127087694</v>
      </c>
      <c r="V6">
        <f ca="1">[1]Prices!T$26</f>
        <v>55.57940835560332</v>
      </c>
      <c r="W6">
        <f ca="1">[1]Prices!U$26</f>
        <v>45.789061745779293</v>
      </c>
    </row>
    <row r="7" spans="1:24" x14ac:dyDescent="0.3">
      <c r="A7" t="s">
        <v>14</v>
      </c>
      <c r="B7" t="s">
        <v>4</v>
      </c>
      <c r="C7" t="s">
        <v>15</v>
      </c>
      <c r="D7" t="s">
        <v>16</v>
      </c>
      <c r="G7" t="s">
        <v>17</v>
      </c>
      <c r="H7" t="s">
        <v>24</v>
      </c>
      <c r="I7" t="s">
        <v>19</v>
      </c>
      <c r="K7" t="s">
        <v>20</v>
      </c>
      <c r="L7" t="s">
        <v>21</v>
      </c>
      <c r="M7">
        <f ca="1">[1]Prices!K$26</f>
        <v>0</v>
      </c>
      <c r="N7">
        <f ca="1">[1]Prices!L$26</f>
        <v>0</v>
      </c>
      <c r="O7">
        <f ca="1">[1]Prices!M$26</f>
        <v>0</v>
      </c>
      <c r="P7">
        <f ca="1">[1]Prices!N$26</f>
        <v>0</v>
      </c>
      <c r="Q7">
        <f ca="1">[1]Prices!O$26</f>
        <v>30</v>
      </c>
      <c r="R7">
        <f ca="1">[1]Prices!P$26</f>
        <v>68.341643330825832</v>
      </c>
      <c r="S7">
        <f ca="1">[1]Prices!Q$26</f>
        <v>100.32134973994673</v>
      </c>
      <c r="T7">
        <f ca="1">[1]Prices!R$26</f>
        <v>82.639006798408047</v>
      </c>
      <c r="U7">
        <f ca="1">[1]Prices!S$26</f>
        <v>67.75892127087694</v>
      </c>
      <c r="V7">
        <f ca="1">[1]Prices!T$26</f>
        <v>55.57940835560332</v>
      </c>
      <c r="W7">
        <f ca="1">[1]Prices!U$26</f>
        <v>45.789061745779293</v>
      </c>
    </row>
    <row r="8" spans="1:24" x14ac:dyDescent="0.3">
      <c r="A8" t="s">
        <v>14</v>
      </c>
      <c r="B8" t="s">
        <v>4</v>
      </c>
      <c r="C8" t="s">
        <v>15</v>
      </c>
      <c r="D8" t="s">
        <v>16</v>
      </c>
      <c r="G8" t="s">
        <v>17</v>
      </c>
      <c r="H8" t="s">
        <v>24</v>
      </c>
      <c r="I8" t="s">
        <v>22</v>
      </c>
      <c r="K8" t="s">
        <v>20</v>
      </c>
      <c r="L8" t="s">
        <v>21</v>
      </c>
      <c r="M8">
        <f ca="1">[1]Prices!K$26</f>
        <v>0</v>
      </c>
      <c r="N8">
        <f ca="1">[1]Prices!L$26</f>
        <v>0</v>
      </c>
      <c r="O8">
        <f ca="1">[1]Prices!M$26</f>
        <v>0</v>
      </c>
      <c r="P8">
        <f ca="1">[1]Prices!N$26</f>
        <v>0</v>
      </c>
      <c r="Q8">
        <f ca="1">[1]Prices!O$26</f>
        <v>30</v>
      </c>
      <c r="R8">
        <f ca="1">[1]Prices!P$26</f>
        <v>68.341643330825832</v>
      </c>
      <c r="S8">
        <f ca="1">[1]Prices!Q$26</f>
        <v>100.32134973994673</v>
      </c>
      <c r="T8">
        <f ca="1">[1]Prices!R$26</f>
        <v>82.639006798408047</v>
      </c>
      <c r="U8">
        <f ca="1">[1]Prices!S$26</f>
        <v>67.75892127087694</v>
      </c>
      <c r="V8">
        <f ca="1">[1]Prices!T$26</f>
        <v>55.57940835560332</v>
      </c>
      <c r="W8">
        <f ca="1">[1]Prices!U$26</f>
        <v>45.789061745779293</v>
      </c>
    </row>
    <row r="9" spans="1:24" x14ac:dyDescent="0.3">
      <c r="A9" t="s">
        <v>25</v>
      </c>
      <c r="B9" t="s">
        <v>4</v>
      </c>
      <c r="C9" t="s">
        <v>15</v>
      </c>
      <c r="D9" t="s">
        <v>26</v>
      </c>
      <c r="E9" t="s">
        <v>27</v>
      </c>
      <c r="G9" t="s">
        <v>17</v>
      </c>
      <c r="H9" t="s">
        <v>23</v>
      </c>
      <c r="I9" t="s">
        <v>19</v>
      </c>
      <c r="K9" t="s">
        <v>20</v>
      </c>
      <c r="L9" t="s">
        <v>21</v>
      </c>
      <c r="M9">
        <f ca="1">[1]Prices!K$26</f>
        <v>0</v>
      </c>
      <c r="N9">
        <f ca="1">[1]Prices!L$26</f>
        <v>0</v>
      </c>
      <c r="O9">
        <f ca="1">[1]Prices!M$26</f>
        <v>0</v>
      </c>
      <c r="P9">
        <f ca="1">[1]Prices!N$26</f>
        <v>0</v>
      </c>
      <c r="Q9">
        <f ca="1">[1]Prices!O$26</f>
        <v>30</v>
      </c>
      <c r="R9">
        <f ca="1">[1]Prices!P$26</f>
        <v>68.341643330825832</v>
      </c>
      <c r="S9">
        <f ca="1">[1]Prices!Q$26</f>
        <v>100.32134973994673</v>
      </c>
      <c r="T9">
        <f ca="1">[1]Prices!R$26</f>
        <v>82.639006798408047</v>
      </c>
      <c r="U9">
        <f ca="1">[1]Prices!S$26</f>
        <v>67.75892127087694</v>
      </c>
      <c r="V9">
        <f ca="1">[1]Prices!T$26</f>
        <v>55.57940835560332</v>
      </c>
      <c r="W9">
        <f ca="1">[1]Prices!U$26</f>
        <v>45.789061745779293</v>
      </c>
    </row>
    <row r="10" spans="1:24" x14ac:dyDescent="0.3">
      <c r="A10" t="s">
        <v>25</v>
      </c>
      <c r="B10" t="s">
        <v>4</v>
      </c>
      <c r="C10" t="s">
        <v>15</v>
      </c>
      <c r="D10" t="s">
        <v>26</v>
      </c>
      <c r="E10" t="s">
        <v>27</v>
      </c>
      <c r="G10" t="s">
        <v>17</v>
      </c>
      <c r="H10" t="s">
        <v>23</v>
      </c>
      <c r="I10" t="s">
        <v>22</v>
      </c>
      <c r="K10" t="s">
        <v>20</v>
      </c>
      <c r="L10" t="s">
        <v>21</v>
      </c>
      <c r="M10">
        <f ca="1">[1]Prices!K$26</f>
        <v>0</v>
      </c>
      <c r="N10">
        <f ca="1">[1]Prices!L$26</f>
        <v>0</v>
      </c>
      <c r="O10">
        <f ca="1">[1]Prices!M$26</f>
        <v>0</v>
      </c>
      <c r="P10">
        <f ca="1">[1]Prices!N$26</f>
        <v>0</v>
      </c>
      <c r="Q10">
        <f ca="1">[1]Prices!O$26</f>
        <v>30</v>
      </c>
      <c r="R10">
        <f ca="1">[1]Prices!P$26</f>
        <v>68.341643330825832</v>
      </c>
      <c r="S10">
        <f ca="1">[1]Prices!Q$26</f>
        <v>100.32134973994673</v>
      </c>
      <c r="T10">
        <f ca="1">[1]Prices!R$26</f>
        <v>82.639006798408047</v>
      </c>
      <c r="U10">
        <f ca="1">[1]Prices!S$26</f>
        <v>67.75892127087694</v>
      </c>
      <c r="V10">
        <f ca="1">[1]Prices!T$26</f>
        <v>55.57940835560332</v>
      </c>
      <c r="W10">
        <f ca="1">[1]Prices!U$26</f>
        <v>45.789061745779293</v>
      </c>
    </row>
    <row r="11" spans="1:24" x14ac:dyDescent="0.3">
      <c r="A11" t="s">
        <v>25</v>
      </c>
      <c r="B11" t="s">
        <v>4</v>
      </c>
      <c r="C11" t="s">
        <v>15</v>
      </c>
      <c r="D11" t="s">
        <v>26</v>
      </c>
      <c r="E11" t="s">
        <v>27</v>
      </c>
      <c r="G11" t="s">
        <v>17</v>
      </c>
      <c r="H11" t="s">
        <v>18</v>
      </c>
      <c r="I11" t="s">
        <v>19</v>
      </c>
      <c r="K11" t="s">
        <v>20</v>
      </c>
      <c r="L11" t="s">
        <v>21</v>
      </c>
      <c r="M11">
        <f ca="1">[1]Prices!K$26</f>
        <v>0</v>
      </c>
      <c r="N11">
        <f ca="1">[1]Prices!L$26</f>
        <v>0</v>
      </c>
      <c r="O11">
        <f ca="1">[1]Prices!M$26</f>
        <v>0</v>
      </c>
      <c r="P11">
        <f ca="1">[1]Prices!N$26</f>
        <v>0</v>
      </c>
      <c r="Q11">
        <f ca="1">[1]Prices!O$26</f>
        <v>30</v>
      </c>
      <c r="R11">
        <f ca="1">[1]Prices!P$26</f>
        <v>68.341643330825832</v>
      </c>
      <c r="S11">
        <f ca="1">[1]Prices!Q$26</f>
        <v>100.32134973994673</v>
      </c>
      <c r="T11">
        <f ca="1">[1]Prices!R$26</f>
        <v>82.639006798408047</v>
      </c>
      <c r="U11">
        <f ca="1">[1]Prices!S$26</f>
        <v>67.75892127087694</v>
      </c>
      <c r="V11">
        <f ca="1">[1]Prices!T$26</f>
        <v>55.57940835560332</v>
      </c>
      <c r="W11">
        <f ca="1">[1]Prices!U$26</f>
        <v>45.789061745779293</v>
      </c>
    </row>
    <row r="12" spans="1:24" x14ac:dyDescent="0.3">
      <c r="A12" t="s">
        <v>25</v>
      </c>
      <c r="B12" t="s">
        <v>4</v>
      </c>
      <c r="C12" t="s">
        <v>15</v>
      </c>
      <c r="D12" t="s">
        <v>26</v>
      </c>
      <c r="E12" t="s">
        <v>27</v>
      </c>
      <c r="G12" t="s">
        <v>17</v>
      </c>
      <c r="H12" t="s">
        <v>18</v>
      </c>
      <c r="I12" t="s">
        <v>22</v>
      </c>
      <c r="K12" t="s">
        <v>20</v>
      </c>
      <c r="L12" t="s">
        <v>21</v>
      </c>
      <c r="M12">
        <f ca="1">[1]Prices!K$26</f>
        <v>0</v>
      </c>
      <c r="N12">
        <f ca="1">[1]Prices!L$26</f>
        <v>0</v>
      </c>
      <c r="O12">
        <f ca="1">[1]Prices!M$26</f>
        <v>0</v>
      </c>
      <c r="P12">
        <f ca="1">[1]Prices!N$26</f>
        <v>0</v>
      </c>
      <c r="Q12">
        <f ca="1">[1]Prices!O$26</f>
        <v>30</v>
      </c>
      <c r="R12">
        <f ca="1">[1]Prices!P$26</f>
        <v>68.341643330825832</v>
      </c>
      <c r="S12">
        <f ca="1">[1]Prices!Q$26</f>
        <v>100.32134973994673</v>
      </c>
      <c r="T12">
        <f ca="1">[1]Prices!R$26</f>
        <v>82.639006798408047</v>
      </c>
      <c r="U12">
        <f ca="1">[1]Prices!S$26</f>
        <v>67.75892127087694</v>
      </c>
      <c r="V12">
        <f ca="1">[1]Prices!T$26</f>
        <v>55.57940835560332</v>
      </c>
      <c r="W12">
        <f ca="1">[1]Prices!U$26</f>
        <v>45.789061745779293</v>
      </c>
    </row>
    <row r="13" spans="1:24" x14ac:dyDescent="0.3">
      <c r="A13" t="s">
        <v>25</v>
      </c>
      <c r="B13" t="s">
        <v>4</v>
      </c>
      <c r="C13" t="s">
        <v>15</v>
      </c>
      <c r="D13" t="s">
        <v>26</v>
      </c>
      <c r="E13" t="s">
        <v>27</v>
      </c>
      <c r="G13" t="s">
        <v>17</v>
      </c>
      <c r="H13" t="s">
        <v>24</v>
      </c>
      <c r="I13" t="s">
        <v>19</v>
      </c>
      <c r="K13" t="s">
        <v>20</v>
      </c>
      <c r="L13" t="s">
        <v>21</v>
      </c>
      <c r="M13">
        <f ca="1">[1]Prices!K$26</f>
        <v>0</v>
      </c>
      <c r="N13">
        <f ca="1">[1]Prices!L$26</f>
        <v>0</v>
      </c>
      <c r="O13">
        <f ca="1">[1]Prices!M$26</f>
        <v>0</v>
      </c>
      <c r="P13">
        <f ca="1">[1]Prices!N$26</f>
        <v>0</v>
      </c>
      <c r="Q13">
        <f ca="1">[1]Prices!O$26</f>
        <v>30</v>
      </c>
      <c r="R13">
        <f ca="1">[1]Prices!P$26</f>
        <v>68.341643330825832</v>
      </c>
      <c r="S13">
        <f ca="1">[1]Prices!Q$26</f>
        <v>100.32134973994673</v>
      </c>
      <c r="T13">
        <f ca="1">[1]Prices!R$26</f>
        <v>82.639006798408047</v>
      </c>
      <c r="U13">
        <f ca="1">[1]Prices!S$26</f>
        <v>67.75892127087694</v>
      </c>
      <c r="V13">
        <f ca="1">[1]Prices!T$26</f>
        <v>55.57940835560332</v>
      </c>
      <c r="W13">
        <f ca="1">[1]Prices!U$26</f>
        <v>45.789061745779293</v>
      </c>
    </row>
    <row r="14" spans="1:24" x14ac:dyDescent="0.3">
      <c r="A14" t="s">
        <v>25</v>
      </c>
      <c r="B14" t="s">
        <v>4</v>
      </c>
      <c r="C14" t="s">
        <v>15</v>
      </c>
      <c r="D14" t="s">
        <v>26</v>
      </c>
      <c r="E14" t="s">
        <v>27</v>
      </c>
      <c r="G14" t="s">
        <v>17</v>
      </c>
      <c r="H14" t="s">
        <v>24</v>
      </c>
      <c r="I14" t="s">
        <v>22</v>
      </c>
      <c r="K14" t="s">
        <v>20</v>
      </c>
      <c r="L14" t="s">
        <v>21</v>
      </c>
      <c r="M14">
        <f ca="1">[1]Prices!K$26</f>
        <v>0</v>
      </c>
      <c r="N14">
        <f ca="1">[1]Prices!L$26</f>
        <v>0</v>
      </c>
      <c r="O14">
        <f ca="1">[1]Prices!M$26</f>
        <v>0</v>
      </c>
      <c r="P14">
        <f ca="1">[1]Prices!N$26</f>
        <v>0</v>
      </c>
      <c r="Q14">
        <f ca="1">[1]Prices!O$26</f>
        <v>30</v>
      </c>
      <c r="R14">
        <f ca="1">[1]Prices!P$26</f>
        <v>68.341643330825832</v>
      </c>
      <c r="S14">
        <f ca="1">[1]Prices!Q$26</f>
        <v>100.32134973994673</v>
      </c>
      <c r="T14">
        <f ca="1">[1]Prices!R$26</f>
        <v>82.639006798408047</v>
      </c>
      <c r="U14">
        <f ca="1">[1]Prices!S$26</f>
        <v>67.75892127087694</v>
      </c>
      <c r="V14">
        <f ca="1">[1]Prices!T$26</f>
        <v>55.57940835560332</v>
      </c>
      <c r="W14">
        <f ca="1">[1]Prices!U$26</f>
        <v>45.789061745779293</v>
      </c>
    </row>
    <row r="15" spans="1:24" x14ac:dyDescent="0.3">
      <c r="A15" t="s">
        <v>28</v>
      </c>
      <c r="B15" t="s">
        <v>4</v>
      </c>
      <c r="C15" t="s">
        <v>15</v>
      </c>
      <c r="D15" t="s">
        <v>26</v>
      </c>
      <c r="E15" t="s">
        <v>29</v>
      </c>
      <c r="G15" t="s">
        <v>17</v>
      </c>
      <c r="H15" t="s">
        <v>23</v>
      </c>
      <c r="I15" t="s">
        <v>19</v>
      </c>
      <c r="K15" t="s">
        <v>20</v>
      </c>
      <c r="L15" t="s">
        <v>21</v>
      </c>
      <c r="M15">
        <f ca="1">[1]Prices!K$26</f>
        <v>0</v>
      </c>
      <c r="N15">
        <f ca="1">[1]Prices!L$26</f>
        <v>0</v>
      </c>
      <c r="O15">
        <f ca="1">[1]Prices!M$26</f>
        <v>0</v>
      </c>
      <c r="P15">
        <f ca="1">[1]Prices!N$26</f>
        <v>0</v>
      </c>
      <c r="Q15">
        <f ca="1">[1]Prices!O$26</f>
        <v>30</v>
      </c>
      <c r="R15">
        <f ca="1">[1]Prices!P$26</f>
        <v>68.341643330825832</v>
      </c>
      <c r="S15">
        <f ca="1">[1]Prices!Q$26</f>
        <v>100.32134973994673</v>
      </c>
      <c r="T15">
        <f ca="1">[1]Prices!R$26</f>
        <v>82.639006798408047</v>
      </c>
      <c r="U15">
        <f ca="1">[1]Prices!S$26</f>
        <v>67.75892127087694</v>
      </c>
      <c r="V15">
        <f ca="1">[1]Prices!T$26</f>
        <v>55.57940835560332</v>
      </c>
      <c r="W15">
        <f ca="1">[1]Prices!U$26</f>
        <v>45.789061745779293</v>
      </c>
    </row>
    <row r="16" spans="1:24" x14ac:dyDescent="0.3">
      <c r="A16" t="s">
        <v>28</v>
      </c>
      <c r="B16" t="s">
        <v>4</v>
      </c>
      <c r="C16" t="s">
        <v>15</v>
      </c>
      <c r="D16" t="s">
        <v>26</v>
      </c>
      <c r="E16" t="s">
        <v>29</v>
      </c>
      <c r="G16" t="s">
        <v>17</v>
      </c>
      <c r="H16" t="s">
        <v>23</v>
      </c>
      <c r="I16" t="s">
        <v>19</v>
      </c>
      <c r="K16" t="s">
        <v>20</v>
      </c>
      <c r="L16" t="s">
        <v>21</v>
      </c>
      <c r="M16">
        <f ca="1">[1]Prices!K$26</f>
        <v>0</v>
      </c>
      <c r="N16">
        <f ca="1">[1]Prices!L$26</f>
        <v>0</v>
      </c>
      <c r="O16">
        <f ca="1">[1]Prices!M$26</f>
        <v>0</v>
      </c>
      <c r="P16">
        <f ca="1">[1]Prices!N$26</f>
        <v>0</v>
      </c>
      <c r="Q16">
        <f ca="1">[1]Prices!O$26</f>
        <v>30</v>
      </c>
      <c r="R16">
        <f ca="1">[1]Prices!P$26</f>
        <v>68.341643330825832</v>
      </c>
      <c r="S16">
        <f ca="1">[1]Prices!Q$26</f>
        <v>100.32134973994673</v>
      </c>
      <c r="T16">
        <f ca="1">[1]Prices!R$26</f>
        <v>82.639006798408047</v>
      </c>
      <c r="U16">
        <f ca="1">[1]Prices!S$26</f>
        <v>67.75892127087694</v>
      </c>
      <c r="V16">
        <f ca="1">[1]Prices!T$26</f>
        <v>55.57940835560332</v>
      </c>
      <c r="W16">
        <f ca="1">[1]Prices!U$26</f>
        <v>45.789061745779293</v>
      </c>
    </row>
    <row r="17" spans="1:23" x14ac:dyDescent="0.3">
      <c r="A17" t="s">
        <v>28</v>
      </c>
      <c r="B17" t="s">
        <v>4</v>
      </c>
      <c r="C17" t="s">
        <v>15</v>
      </c>
      <c r="D17" t="s">
        <v>26</v>
      </c>
      <c r="E17" t="s">
        <v>29</v>
      </c>
      <c r="G17" t="s">
        <v>17</v>
      </c>
      <c r="H17" t="s">
        <v>23</v>
      </c>
      <c r="I17" t="s">
        <v>22</v>
      </c>
      <c r="K17" t="s">
        <v>20</v>
      </c>
      <c r="L17" t="s">
        <v>21</v>
      </c>
      <c r="M17">
        <f ca="1">[1]Prices!K$26</f>
        <v>0</v>
      </c>
      <c r="N17">
        <f ca="1">[1]Prices!L$26</f>
        <v>0</v>
      </c>
      <c r="O17">
        <f ca="1">[1]Prices!M$26</f>
        <v>0</v>
      </c>
      <c r="P17">
        <f ca="1">[1]Prices!N$26</f>
        <v>0</v>
      </c>
      <c r="Q17">
        <f ca="1">[1]Prices!O$26</f>
        <v>30</v>
      </c>
      <c r="R17">
        <f ca="1">[1]Prices!P$26</f>
        <v>68.341643330825832</v>
      </c>
      <c r="S17">
        <f ca="1">[1]Prices!Q$26</f>
        <v>100.32134973994673</v>
      </c>
      <c r="T17">
        <f ca="1">[1]Prices!R$26</f>
        <v>82.639006798408047</v>
      </c>
      <c r="U17">
        <f ca="1">[1]Prices!S$26</f>
        <v>67.75892127087694</v>
      </c>
      <c r="V17">
        <f ca="1">[1]Prices!T$26</f>
        <v>55.57940835560332</v>
      </c>
      <c r="W17">
        <f ca="1">[1]Prices!U$26</f>
        <v>45.789061745779293</v>
      </c>
    </row>
    <row r="18" spans="1:23" x14ac:dyDescent="0.3">
      <c r="A18" t="s">
        <v>28</v>
      </c>
      <c r="B18" t="s">
        <v>4</v>
      </c>
      <c r="C18" t="s">
        <v>15</v>
      </c>
      <c r="D18" t="s">
        <v>26</v>
      </c>
      <c r="E18" t="s">
        <v>29</v>
      </c>
      <c r="G18" t="s">
        <v>17</v>
      </c>
      <c r="H18" t="s">
        <v>18</v>
      </c>
      <c r="I18" t="s">
        <v>22</v>
      </c>
      <c r="K18" t="s">
        <v>20</v>
      </c>
      <c r="L18" t="s">
        <v>21</v>
      </c>
      <c r="M18">
        <f ca="1">[1]Prices!K$26</f>
        <v>0</v>
      </c>
      <c r="N18">
        <f ca="1">[1]Prices!L$26</f>
        <v>0</v>
      </c>
      <c r="O18">
        <f ca="1">[1]Prices!M$26</f>
        <v>0</v>
      </c>
      <c r="P18">
        <f ca="1">[1]Prices!N$26</f>
        <v>0</v>
      </c>
      <c r="Q18">
        <f ca="1">[1]Prices!O$26</f>
        <v>30</v>
      </c>
      <c r="R18">
        <f ca="1">[1]Prices!P$26</f>
        <v>68.341643330825832</v>
      </c>
      <c r="S18">
        <f ca="1">[1]Prices!Q$26</f>
        <v>100.32134973994673</v>
      </c>
      <c r="T18">
        <f ca="1">[1]Prices!R$26</f>
        <v>82.639006798408047</v>
      </c>
      <c r="U18">
        <f ca="1">[1]Prices!S$26</f>
        <v>67.75892127087694</v>
      </c>
      <c r="V18">
        <f ca="1">[1]Prices!T$26</f>
        <v>55.57940835560332</v>
      </c>
      <c r="W18">
        <f ca="1">[1]Prices!U$26</f>
        <v>45.789061745779293</v>
      </c>
    </row>
    <row r="19" spans="1:23" x14ac:dyDescent="0.3">
      <c r="A19" t="s">
        <v>28</v>
      </c>
      <c r="B19" t="s">
        <v>4</v>
      </c>
      <c r="C19" t="s">
        <v>15</v>
      </c>
      <c r="D19" t="s">
        <v>26</v>
      </c>
      <c r="E19" t="s">
        <v>29</v>
      </c>
      <c r="G19" t="s">
        <v>17</v>
      </c>
      <c r="H19" t="s">
        <v>24</v>
      </c>
      <c r="I19" t="s">
        <v>19</v>
      </c>
      <c r="K19" t="s">
        <v>20</v>
      </c>
      <c r="L19" t="s">
        <v>21</v>
      </c>
      <c r="M19">
        <f ca="1">[1]Prices!K$26</f>
        <v>0</v>
      </c>
      <c r="N19">
        <f ca="1">[1]Prices!L$26</f>
        <v>0</v>
      </c>
      <c r="O19">
        <f ca="1">[1]Prices!M$26</f>
        <v>0</v>
      </c>
      <c r="P19">
        <f ca="1">[1]Prices!N$26</f>
        <v>0</v>
      </c>
      <c r="Q19">
        <f ca="1">[1]Prices!O$26</f>
        <v>30</v>
      </c>
      <c r="R19">
        <f ca="1">[1]Prices!P$26</f>
        <v>68.341643330825832</v>
      </c>
      <c r="S19">
        <f ca="1">[1]Prices!Q$26</f>
        <v>100.32134973994673</v>
      </c>
      <c r="T19">
        <f ca="1">[1]Prices!R$26</f>
        <v>82.639006798408047</v>
      </c>
      <c r="U19">
        <f ca="1">[1]Prices!S$26</f>
        <v>67.75892127087694</v>
      </c>
      <c r="V19">
        <f ca="1">[1]Prices!T$26</f>
        <v>55.57940835560332</v>
      </c>
      <c r="W19">
        <f ca="1">[1]Prices!U$26</f>
        <v>45.789061745779293</v>
      </c>
    </row>
    <row r="20" spans="1:23" x14ac:dyDescent="0.3">
      <c r="A20" t="s">
        <v>28</v>
      </c>
      <c r="B20" t="s">
        <v>4</v>
      </c>
      <c r="C20" t="s">
        <v>15</v>
      </c>
      <c r="D20" t="s">
        <v>26</v>
      </c>
      <c r="E20" t="s">
        <v>29</v>
      </c>
      <c r="G20" t="s">
        <v>17</v>
      </c>
      <c r="H20" t="s">
        <v>24</v>
      </c>
      <c r="I20" t="s">
        <v>22</v>
      </c>
      <c r="K20" t="s">
        <v>20</v>
      </c>
      <c r="L20" t="s">
        <v>21</v>
      </c>
      <c r="M20">
        <f ca="1">[1]Prices!K$26</f>
        <v>0</v>
      </c>
      <c r="N20">
        <f ca="1">[1]Prices!L$26</f>
        <v>0</v>
      </c>
      <c r="O20">
        <f ca="1">[1]Prices!M$26</f>
        <v>0</v>
      </c>
      <c r="P20">
        <f ca="1">[1]Prices!N$26</f>
        <v>0</v>
      </c>
      <c r="Q20">
        <f ca="1">[1]Prices!O$26</f>
        <v>30</v>
      </c>
      <c r="R20">
        <f ca="1">[1]Prices!P$26</f>
        <v>68.341643330825832</v>
      </c>
      <c r="S20">
        <f ca="1">[1]Prices!Q$26</f>
        <v>100.32134973994673</v>
      </c>
      <c r="T20">
        <f ca="1">[1]Prices!R$26</f>
        <v>82.639006798408047</v>
      </c>
      <c r="U20">
        <f ca="1">[1]Prices!S$26</f>
        <v>67.75892127087694</v>
      </c>
      <c r="V20">
        <f ca="1">[1]Prices!T$26</f>
        <v>55.57940835560332</v>
      </c>
      <c r="W20">
        <f ca="1">[1]Prices!U$26</f>
        <v>45.789061745779293</v>
      </c>
    </row>
    <row r="21" spans="1:23" x14ac:dyDescent="0.3">
      <c r="A21" t="s">
        <v>30</v>
      </c>
      <c r="B21" t="s">
        <v>4</v>
      </c>
      <c r="C21" t="s">
        <v>15</v>
      </c>
      <c r="D21" t="s">
        <v>31</v>
      </c>
      <c r="G21" t="s">
        <v>17</v>
      </c>
      <c r="H21" t="s">
        <v>18</v>
      </c>
      <c r="I21" t="s">
        <v>19</v>
      </c>
      <c r="K21" t="s">
        <v>20</v>
      </c>
      <c r="L21" t="s">
        <v>21</v>
      </c>
      <c r="M21">
        <f ca="1">[1]Prices!K$26</f>
        <v>0</v>
      </c>
      <c r="N21">
        <f ca="1">[1]Prices!L$26</f>
        <v>0</v>
      </c>
      <c r="O21">
        <f ca="1">[1]Prices!M$26</f>
        <v>0</v>
      </c>
      <c r="P21">
        <f ca="1">[1]Prices!N$26</f>
        <v>0</v>
      </c>
      <c r="Q21">
        <f ca="1">[1]Prices!O$26</f>
        <v>30</v>
      </c>
      <c r="R21">
        <f ca="1">[1]Prices!P$26</f>
        <v>68.341643330825832</v>
      </c>
      <c r="S21">
        <f ca="1">[1]Prices!Q$26</f>
        <v>100.32134973994673</v>
      </c>
      <c r="T21">
        <f ca="1">[1]Prices!R$26</f>
        <v>82.639006798408047</v>
      </c>
      <c r="U21">
        <f ca="1">[1]Prices!S$26</f>
        <v>67.75892127087694</v>
      </c>
      <c r="V21">
        <f ca="1">[1]Prices!T$26</f>
        <v>55.57940835560332</v>
      </c>
      <c r="W21">
        <f ca="1">[1]Prices!U$26</f>
        <v>45.789061745779293</v>
      </c>
    </row>
    <row r="22" spans="1:23" x14ac:dyDescent="0.3">
      <c r="A22" t="s">
        <v>30</v>
      </c>
      <c r="B22" t="s">
        <v>4</v>
      </c>
      <c r="C22" t="s">
        <v>15</v>
      </c>
      <c r="D22" t="s">
        <v>31</v>
      </c>
      <c r="G22" t="s">
        <v>17</v>
      </c>
      <c r="H22" t="s">
        <v>18</v>
      </c>
      <c r="I22" t="s">
        <v>22</v>
      </c>
      <c r="K22" t="s">
        <v>20</v>
      </c>
      <c r="L22" t="s">
        <v>21</v>
      </c>
      <c r="M22">
        <f ca="1">[1]Prices!K$26</f>
        <v>0</v>
      </c>
      <c r="N22">
        <f ca="1">[1]Prices!L$26</f>
        <v>0</v>
      </c>
      <c r="O22">
        <f ca="1">[1]Prices!M$26</f>
        <v>0</v>
      </c>
      <c r="P22">
        <f ca="1">[1]Prices!N$26</f>
        <v>0</v>
      </c>
      <c r="Q22">
        <f ca="1">[1]Prices!O$26</f>
        <v>30</v>
      </c>
      <c r="R22">
        <f ca="1">[1]Prices!P$26</f>
        <v>68.341643330825832</v>
      </c>
      <c r="S22">
        <f ca="1">[1]Prices!Q$26</f>
        <v>100.32134973994673</v>
      </c>
      <c r="T22">
        <f ca="1">[1]Prices!R$26</f>
        <v>82.639006798408047</v>
      </c>
      <c r="U22">
        <f ca="1">[1]Prices!S$26</f>
        <v>67.75892127087694</v>
      </c>
      <c r="V22">
        <f ca="1">[1]Prices!T$26</f>
        <v>55.57940835560332</v>
      </c>
      <c r="W22">
        <f ca="1">[1]Prices!U$26</f>
        <v>45.789061745779293</v>
      </c>
    </row>
    <row r="23" spans="1:23" x14ac:dyDescent="0.3">
      <c r="A23" t="s">
        <v>30</v>
      </c>
      <c r="B23" t="s">
        <v>4</v>
      </c>
      <c r="C23" t="s">
        <v>15</v>
      </c>
      <c r="D23" t="s">
        <v>31</v>
      </c>
      <c r="G23" t="s">
        <v>17</v>
      </c>
      <c r="H23" t="s">
        <v>23</v>
      </c>
      <c r="I23" t="s">
        <v>19</v>
      </c>
      <c r="K23" t="s">
        <v>20</v>
      </c>
      <c r="L23" t="s">
        <v>21</v>
      </c>
      <c r="M23">
        <f ca="1">[1]Prices!K$26</f>
        <v>0</v>
      </c>
      <c r="N23">
        <f ca="1">[1]Prices!L$26</f>
        <v>0</v>
      </c>
      <c r="O23">
        <f ca="1">[1]Prices!M$26</f>
        <v>0</v>
      </c>
      <c r="P23">
        <f ca="1">[1]Prices!N$26</f>
        <v>0</v>
      </c>
      <c r="Q23">
        <f ca="1">[1]Prices!O$26</f>
        <v>30</v>
      </c>
      <c r="R23">
        <f ca="1">[1]Prices!P$26</f>
        <v>68.341643330825832</v>
      </c>
      <c r="S23">
        <f ca="1">[1]Prices!Q$26</f>
        <v>100.32134973994673</v>
      </c>
      <c r="T23">
        <f ca="1">[1]Prices!R$26</f>
        <v>82.639006798408047</v>
      </c>
      <c r="U23">
        <f ca="1">[1]Prices!S$26</f>
        <v>67.75892127087694</v>
      </c>
      <c r="V23">
        <f ca="1">[1]Prices!T$26</f>
        <v>55.57940835560332</v>
      </c>
      <c r="W23">
        <f ca="1">[1]Prices!U$26</f>
        <v>45.789061745779293</v>
      </c>
    </row>
    <row r="24" spans="1:23" x14ac:dyDescent="0.3">
      <c r="A24" t="s">
        <v>30</v>
      </c>
      <c r="B24" t="s">
        <v>4</v>
      </c>
      <c r="C24" t="s">
        <v>15</v>
      </c>
      <c r="D24" t="s">
        <v>31</v>
      </c>
      <c r="G24" t="s">
        <v>17</v>
      </c>
      <c r="H24" t="s">
        <v>23</v>
      </c>
      <c r="I24" t="s">
        <v>22</v>
      </c>
      <c r="K24" t="s">
        <v>20</v>
      </c>
      <c r="L24" t="s">
        <v>21</v>
      </c>
      <c r="M24">
        <f ca="1">[1]Prices!K$26</f>
        <v>0</v>
      </c>
      <c r="N24">
        <f ca="1">[1]Prices!L$26</f>
        <v>0</v>
      </c>
      <c r="O24">
        <f ca="1">[1]Prices!M$26</f>
        <v>0</v>
      </c>
      <c r="P24">
        <f ca="1">[1]Prices!N$26</f>
        <v>0</v>
      </c>
      <c r="Q24">
        <f ca="1">[1]Prices!O$26</f>
        <v>30</v>
      </c>
      <c r="R24">
        <f ca="1">[1]Prices!P$26</f>
        <v>68.341643330825832</v>
      </c>
      <c r="S24">
        <f ca="1">[1]Prices!Q$26</f>
        <v>100.32134973994673</v>
      </c>
      <c r="T24">
        <f ca="1">[1]Prices!R$26</f>
        <v>82.639006798408047</v>
      </c>
      <c r="U24">
        <f ca="1">[1]Prices!S$26</f>
        <v>67.75892127087694</v>
      </c>
      <c r="V24">
        <f ca="1">[1]Prices!T$26</f>
        <v>55.57940835560332</v>
      </c>
      <c r="W24">
        <f ca="1">[1]Prices!U$26</f>
        <v>45.789061745779293</v>
      </c>
    </row>
    <row r="25" spans="1:23" x14ac:dyDescent="0.3">
      <c r="A25" t="s">
        <v>30</v>
      </c>
      <c r="B25" t="s">
        <v>4</v>
      </c>
      <c r="C25" t="s">
        <v>15</v>
      </c>
      <c r="D25" t="s">
        <v>31</v>
      </c>
      <c r="G25" t="s">
        <v>17</v>
      </c>
      <c r="H25" t="s">
        <v>24</v>
      </c>
      <c r="I25" t="s">
        <v>19</v>
      </c>
      <c r="K25" t="s">
        <v>20</v>
      </c>
      <c r="L25" t="s">
        <v>21</v>
      </c>
      <c r="M25">
        <f ca="1">[1]Prices!K$26</f>
        <v>0</v>
      </c>
      <c r="N25">
        <f ca="1">[1]Prices!L$26</f>
        <v>0</v>
      </c>
      <c r="O25">
        <f ca="1">[1]Prices!M$26</f>
        <v>0</v>
      </c>
      <c r="P25">
        <f ca="1">[1]Prices!N$26</f>
        <v>0</v>
      </c>
      <c r="Q25">
        <f ca="1">[1]Prices!O$26</f>
        <v>30</v>
      </c>
      <c r="R25">
        <f ca="1">[1]Prices!P$26</f>
        <v>68.341643330825832</v>
      </c>
      <c r="S25">
        <f ca="1">[1]Prices!Q$26</f>
        <v>100.32134973994673</v>
      </c>
      <c r="T25">
        <f ca="1">[1]Prices!R$26</f>
        <v>82.639006798408047</v>
      </c>
      <c r="U25">
        <f ca="1">[1]Prices!S$26</f>
        <v>67.75892127087694</v>
      </c>
      <c r="V25">
        <f ca="1">[1]Prices!T$26</f>
        <v>55.57940835560332</v>
      </c>
      <c r="W25">
        <f ca="1">[1]Prices!U$26</f>
        <v>45.789061745779293</v>
      </c>
    </row>
    <row r="26" spans="1:23" x14ac:dyDescent="0.3">
      <c r="A26" t="s">
        <v>30</v>
      </c>
      <c r="B26" t="s">
        <v>4</v>
      </c>
      <c r="C26" t="s">
        <v>15</v>
      </c>
      <c r="D26" t="s">
        <v>31</v>
      </c>
      <c r="G26" t="s">
        <v>17</v>
      </c>
      <c r="H26" t="s">
        <v>24</v>
      </c>
      <c r="I26" t="s">
        <v>22</v>
      </c>
      <c r="K26" t="s">
        <v>20</v>
      </c>
      <c r="L26" t="s">
        <v>21</v>
      </c>
      <c r="M26">
        <f ca="1">[1]Prices!K$26</f>
        <v>0</v>
      </c>
      <c r="N26">
        <f ca="1">[1]Prices!L$26</f>
        <v>0</v>
      </c>
      <c r="O26">
        <f ca="1">[1]Prices!M$26</f>
        <v>0</v>
      </c>
      <c r="P26">
        <f ca="1">[1]Prices!N$26</f>
        <v>0</v>
      </c>
      <c r="Q26">
        <f ca="1">[1]Prices!O$26</f>
        <v>30</v>
      </c>
      <c r="R26">
        <f ca="1">[1]Prices!P$26</f>
        <v>68.341643330825832</v>
      </c>
      <c r="S26">
        <f ca="1">[1]Prices!Q$26</f>
        <v>100.32134973994673</v>
      </c>
      <c r="T26">
        <f ca="1">[1]Prices!R$26</f>
        <v>82.639006798408047</v>
      </c>
      <c r="U26">
        <f ca="1">[1]Prices!S$26</f>
        <v>67.75892127087694</v>
      </c>
      <c r="V26">
        <f ca="1">[1]Prices!T$26</f>
        <v>55.57940835560332</v>
      </c>
      <c r="W26">
        <f ca="1">[1]Prices!U$26</f>
        <v>45.789061745779293</v>
      </c>
    </row>
    <row r="27" spans="1:23" x14ac:dyDescent="0.3">
      <c r="A27" t="s">
        <v>32</v>
      </c>
      <c r="B27" t="s">
        <v>4</v>
      </c>
      <c r="C27" t="s">
        <v>15</v>
      </c>
      <c r="D27" t="s">
        <v>33</v>
      </c>
      <c r="G27" t="s">
        <v>17</v>
      </c>
      <c r="H27" t="s">
        <v>18</v>
      </c>
      <c r="I27" t="s">
        <v>19</v>
      </c>
      <c r="K27" t="s">
        <v>20</v>
      </c>
      <c r="L27" t="s">
        <v>21</v>
      </c>
      <c r="M27">
        <f ca="1">[1]Prices!K$26</f>
        <v>0</v>
      </c>
      <c r="N27">
        <f ca="1">[1]Prices!L$26</f>
        <v>0</v>
      </c>
      <c r="O27">
        <f ca="1">[1]Prices!M$26</f>
        <v>0</v>
      </c>
      <c r="P27">
        <f ca="1">[1]Prices!N$26</f>
        <v>0</v>
      </c>
      <c r="Q27">
        <f ca="1">[1]Prices!O$26</f>
        <v>30</v>
      </c>
      <c r="R27">
        <f ca="1">[1]Prices!P$26</f>
        <v>68.341643330825832</v>
      </c>
      <c r="S27">
        <f ca="1">[1]Prices!Q$26</f>
        <v>100.32134973994673</v>
      </c>
      <c r="T27">
        <f ca="1">[1]Prices!R$26</f>
        <v>82.639006798408047</v>
      </c>
      <c r="U27">
        <f ca="1">[1]Prices!S$26</f>
        <v>67.75892127087694</v>
      </c>
      <c r="V27">
        <f ca="1">[1]Prices!T$26</f>
        <v>55.57940835560332</v>
      </c>
      <c r="W27">
        <f ca="1">[1]Prices!U$26</f>
        <v>45.789061745779293</v>
      </c>
    </row>
    <row r="28" spans="1:23" x14ac:dyDescent="0.3">
      <c r="A28" t="s">
        <v>32</v>
      </c>
      <c r="B28" t="s">
        <v>4</v>
      </c>
      <c r="C28" t="s">
        <v>15</v>
      </c>
      <c r="D28" t="s">
        <v>33</v>
      </c>
      <c r="G28" t="s">
        <v>17</v>
      </c>
      <c r="H28" t="s">
        <v>18</v>
      </c>
      <c r="I28" t="s">
        <v>22</v>
      </c>
      <c r="K28" t="s">
        <v>20</v>
      </c>
      <c r="L28" t="s">
        <v>21</v>
      </c>
      <c r="M28">
        <f ca="1">[1]Prices!K$26</f>
        <v>0</v>
      </c>
      <c r="N28">
        <f ca="1">[1]Prices!L$26</f>
        <v>0</v>
      </c>
      <c r="O28">
        <f ca="1">[1]Prices!M$26</f>
        <v>0</v>
      </c>
      <c r="P28">
        <f ca="1">[1]Prices!N$26</f>
        <v>0</v>
      </c>
      <c r="Q28">
        <f ca="1">[1]Prices!O$26</f>
        <v>30</v>
      </c>
      <c r="R28">
        <f ca="1">[1]Prices!P$26</f>
        <v>68.341643330825832</v>
      </c>
      <c r="S28">
        <f ca="1">[1]Prices!Q$26</f>
        <v>100.32134973994673</v>
      </c>
      <c r="T28">
        <f ca="1">[1]Prices!R$26</f>
        <v>82.639006798408047</v>
      </c>
      <c r="U28">
        <f ca="1">[1]Prices!S$26</f>
        <v>67.75892127087694</v>
      </c>
      <c r="V28">
        <f ca="1">[1]Prices!T$26</f>
        <v>55.57940835560332</v>
      </c>
      <c r="W28">
        <f ca="1">[1]Prices!U$26</f>
        <v>45.789061745779293</v>
      </c>
    </row>
    <row r="29" spans="1:23" x14ac:dyDescent="0.3">
      <c r="A29" t="s">
        <v>32</v>
      </c>
      <c r="B29" t="s">
        <v>4</v>
      </c>
      <c r="C29" t="s">
        <v>15</v>
      </c>
      <c r="D29" t="s">
        <v>33</v>
      </c>
      <c r="G29" t="s">
        <v>17</v>
      </c>
      <c r="H29" t="s">
        <v>23</v>
      </c>
      <c r="I29" t="s">
        <v>19</v>
      </c>
      <c r="K29" t="s">
        <v>20</v>
      </c>
      <c r="L29" t="s">
        <v>21</v>
      </c>
      <c r="M29">
        <f ca="1">[1]Prices!K$26</f>
        <v>0</v>
      </c>
      <c r="N29">
        <f ca="1">[1]Prices!L$26</f>
        <v>0</v>
      </c>
      <c r="O29">
        <f ca="1">[1]Prices!M$26</f>
        <v>0</v>
      </c>
      <c r="P29">
        <f ca="1">[1]Prices!N$26</f>
        <v>0</v>
      </c>
      <c r="Q29">
        <f ca="1">[1]Prices!O$26</f>
        <v>30</v>
      </c>
      <c r="R29">
        <f ca="1">[1]Prices!P$26</f>
        <v>68.341643330825832</v>
      </c>
      <c r="S29">
        <f ca="1">[1]Prices!Q$26</f>
        <v>100.32134973994673</v>
      </c>
      <c r="T29">
        <f ca="1">[1]Prices!R$26</f>
        <v>82.639006798408047</v>
      </c>
      <c r="U29">
        <f ca="1">[1]Prices!S$26</f>
        <v>67.75892127087694</v>
      </c>
      <c r="V29">
        <f ca="1">[1]Prices!T$26</f>
        <v>55.57940835560332</v>
      </c>
      <c r="W29">
        <f ca="1">[1]Prices!U$26</f>
        <v>45.789061745779293</v>
      </c>
    </row>
    <row r="30" spans="1:23" x14ac:dyDescent="0.3">
      <c r="A30" t="s">
        <v>32</v>
      </c>
      <c r="B30" t="s">
        <v>4</v>
      </c>
      <c r="C30" t="s">
        <v>15</v>
      </c>
      <c r="D30" t="s">
        <v>33</v>
      </c>
      <c r="G30" t="s">
        <v>17</v>
      </c>
      <c r="H30" t="s">
        <v>23</v>
      </c>
      <c r="I30" t="s">
        <v>22</v>
      </c>
      <c r="K30" t="s">
        <v>20</v>
      </c>
      <c r="L30" t="s">
        <v>21</v>
      </c>
      <c r="M30">
        <f ca="1">[1]Prices!K$26</f>
        <v>0</v>
      </c>
      <c r="N30">
        <f ca="1">[1]Prices!L$26</f>
        <v>0</v>
      </c>
      <c r="O30">
        <f ca="1">[1]Prices!M$26</f>
        <v>0</v>
      </c>
      <c r="P30">
        <f ca="1">[1]Prices!N$26</f>
        <v>0</v>
      </c>
      <c r="Q30">
        <f ca="1">[1]Prices!O$26</f>
        <v>30</v>
      </c>
      <c r="R30">
        <f ca="1">[1]Prices!P$26</f>
        <v>68.341643330825832</v>
      </c>
      <c r="S30">
        <f ca="1">[1]Prices!Q$26</f>
        <v>100.32134973994673</v>
      </c>
      <c r="T30">
        <f ca="1">[1]Prices!R$26</f>
        <v>82.639006798408047</v>
      </c>
      <c r="U30">
        <f ca="1">[1]Prices!S$26</f>
        <v>67.75892127087694</v>
      </c>
      <c r="V30">
        <f ca="1">[1]Prices!T$26</f>
        <v>55.57940835560332</v>
      </c>
      <c r="W30">
        <f ca="1">[1]Prices!U$26</f>
        <v>45.789061745779293</v>
      </c>
    </row>
    <row r="31" spans="1:23" x14ac:dyDescent="0.3">
      <c r="A31" t="s">
        <v>32</v>
      </c>
      <c r="B31" t="s">
        <v>4</v>
      </c>
      <c r="C31" t="s">
        <v>15</v>
      </c>
      <c r="D31" t="s">
        <v>33</v>
      </c>
      <c r="G31" t="s">
        <v>17</v>
      </c>
      <c r="H31" t="s">
        <v>24</v>
      </c>
      <c r="I31" t="s">
        <v>19</v>
      </c>
      <c r="K31" t="s">
        <v>20</v>
      </c>
      <c r="L31" t="s">
        <v>21</v>
      </c>
      <c r="M31">
        <f ca="1">[1]Prices!K$26</f>
        <v>0</v>
      </c>
      <c r="N31">
        <f ca="1">[1]Prices!L$26</f>
        <v>0</v>
      </c>
      <c r="O31">
        <f ca="1">[1]Prices!M$26</f>
        <v>0</v>
      </c>
      <c r="P31">
        <f ca="1">[1]Prices!N$26</f>
        <v>0</v>
      </c>
      <c r="Q31">
        <f ca="1">[1]Prices!O$26</f>
        <v>30</v>
      </c>
      <c r="R31">
        <f ca="1">[1]Prices!P$26</f>
        <v>68.341643330825832</v>
      </c>
      <c r="S31">
        <f ca="1">[1]Prices!Q$26</f>
        <v>100.32134973994673</v>
      </c>
      <c r="T31">
        <f ca="1">[1]Prices!R$26</f>
        <v>82.639006798408047</v>
      </c>
      <c r="U31">
        <f ca="1">[1]Prices!S$26</f>
        <v>67.75892127087694</v>
      </c>
      <c r="V31">
        <f ca="1">[1]Prices!T$26</f>
        <v>55.57940835560332</v>
      </c>
      <c r="W31">
        <f ca="1">[1]Prices!U$26</f>
        <v>45.789061745779293</v>
      </c>
    </row>
    <row r="32" spans="1:23" x14ac:dyDescent="0.3">
      <c r="A32" t="s">
        <v>32</v>
      </c>
      <c r="B32" t="s">
        <v>4</v>
      </c>
      <c r="C32" t="s">
        <v>15</v>
      </c>
      <c r="D32" t="s">
        <v>33</v>
      </c>
      <c r="G32" t="s">
        <v>17</v>
      </c>
      <c r="H32" t="s">
        <v>24</v>
      </c>
      <c r="I32" t="s">
        <v>22</v>
      </c>
      <c r="K32" t="s">
        <v>20</v>
      </c>
      <c r="L32" t="s">
        <v>21</v>
      </c>
      <c r="M32">
        <f ca="1">[1]Prices!K$26</f>
        <v>0</v>
      </c>
      <c r="N32">
        <f ca="1">[1]Prices!L$26</f>
        <v>0</v>
      </c>
      <c r="O32">
        <f ca="1">[1]Prices!M$26</f>
        <v>0</v>
      </c>
      <c r="P32">
        <f ca="1">[1]Prices!N$26</f>
        <v>0</v>
      </c>
      <c r="Q32">
        <f ca="1">[1]Prices!O$26</f>
        <v>30</v>
      </c>
      <c r="R32">
        <f ca="1">[1]Prices!P$26</f>
        <v>68.341643330825832</v>
      </c>
      <c r="S32">
        <f ca="1">[1]Prices!Q$26</f>
        <v>100.32134973994673</v>
      </c>
      <c r="T32">
        <f ca="1">[1]Prices!R$26</f>
        <v>82.639006798408047</v>
      </c>
      <c r="U32">
        <f ca="1">[1]Prices!S$26</f>
        <v>67.75892127087694</v>
      </c>
      <c r="V32">
        <f ca="1">[1]Prices!T$26</f>
        <v>55.57940835560332</v>
      </c>
      <c r="W32">
        <f ca="1">[1]Prices!U$26</f>
        <v>45.789061745779293</v>
      </c>
    </row>
    <row r="33" spans="1:23" x14ac:dyDescent="0.3">
      <c r="A33" t="s">
        <v>34</v>
      </c>
      <c r="B33" t="s">
        <v>4</v>
      </c>
      <c r="C33" t="s">
        <v>15</v>
      </c>
      <c r="D33" t="s">
        <v>35</v>
      </c>
      <c r="G33" t="s">
        <v>17</v>
      </c>
      <c r="H33" t="s">
        <v>18</v>
      </c>
      <c r="I33" t="s">
        <v>19</v>
      </c>
      <c r="K33" t="s">
        <v>20</v>
      </c>
      <c r="L33" t="s">
        <v>21</v>
      </c>
      <c r="M33">
        <f ca="1">[1]Prices!K$26</f>
        <v>0</v>
      </c>
      <c r="N33">
        <f ca="1">[1]Prices!L$26</f>
        <v>0</v>
      </c>
      <c r="O33">
        <f ca="1">[1]Prices!M$26</f>
        <v>0</v>
      </c>
      <c r="P33">
        <f ca="1">[1]Prices!N$26</f>
        <v>0</v>
      </c>
      <c r="Q33">
        <f ca="1">[1]Prices!O$26</f>
        <v>30</v>
      </c>
      <c r="R33">
        <f ca="1">[1]Prices!P$26</f>
        <v>68.341643330825832</v>
      </c>
      <c r="S33">
        <f ca="1">[1]Prices!Q$26</f>
        <v>100.32134973994673</v>
      </c>
      <c r="T33">
        <f ca="1">[1]Prices!R$26</f>
        <v>82.639006798408047</v>
      </c>
      <c r="U33">
        <f ca="1">[1]Prices!S$26</f>
        <v>67.75892127087694</v>
      </c>
      <c r="V33">
        <f ca="1">[1]Prices!T$26</f>
        <v>55.57940835560332</v>
      </c>
      <c r="W33">
        <f ca="1">[1]Prices!U$26</f>
        <v>45.789061745779293</v>
      </c>
    </row>
    <row r="34" spans="1:23" x14ac:dyDescent="0.3">
      <c r="A34" t="s">
        <v>34</v>
      </c>
      <c r="B34" t="s">
        <v>4</v>
      </c>
      <c r="C34" t="s">
        <v>15</v>
      </c>
      <c r="D34" t="s">
        <v>35</v>
      </c>
      <c r="G34" t="s">
        <v>17</v>
      </c>
      <c r="H34" t="s">
        <v>18</v>
      </c>
      <c r="I34" t="s">
        <v>22</v>
      </c>
      <c r="K34" t="s">
        <v>20</v>
      </c>
      <c r="L34" t="s">
        <v>21</v>
      </c>
      <c r="M34">
        <f ca="1">[1]Prices!K$26</f>
        <v>0</v>
      </c>
      <c r="N34">
        <f ca="1">[1]Prices!L$26</f>
        <v>0</v>
      </c>
      <c r="O34">
        <f ca="1">[1]Prices!M$26</f>
        <v>0</v>
      </c>
      <c r="P34">
        <f ca="1">[1]Prices!N$26</f>
        <v>0</v>
      </c>
      <c r="Q34">
        <f ca="1">[1]Prices!O$26</f>
        <v>30</v>
      </c>
      <c r="R34">
        <f ca="1">[1]Prices!P$26</f>
        <v>68.341643330825832</v>
      </c>
      <c r="S34">
        <f ca="1">[1]Prices!Q$26</f>
        <v>100.32134973994673</v>
      </c>
      <c r="T34">
        <f ca="1">[1]Prices!R$26</f>
        <v>82.639006798408047</v>
      </c>
      <c r="U34">
        <f ca="1">[1]Prices!S$26</f>
        <v>67.75892127087694</v>
      </c>
      <c r="V34">
        <f ca="1">[1]Prices!T$26</f>
        <v>55.57940835560332</v>
      </c>
      <c r="W34">
        <f ca="1">[1]Prices!U$26</f>
        <v>45.789061745779293</v>
      </c>
    </row>
    <row r="35" spans="1:23" x14ac:dyDescent="0.3">
      <c r="A35" t="s">
        <v>34</v>
      </c>
      <c r="B35" t="s">
        <v>4</v>
      </c>
      <c r="C35" t="s">
        <v>15</v>
      </c>
      <c r="D35" t="s">
        <v>35</v>
      </c>
      <c r="G35" t="s">
        <v>17</v>
      </c>
      <c r="H35" t="s">
        <v>23</v>
      </c>
      <c r="I35" t="s">
        <v>19</v>
      </c>
      <c r="K35" t="s">
        <v>20</v>
      </c>
      <c r="L35" t="s">
        <v>21</v>
      </c>
      <c r="M35">
        <f ca="1">[1]Prices!K$26</f>
        <v>0</v>
      </c>
      <c r="N35">
        <f ca="1">[1]Prices!L$26</f>
        <v>0</v>
      </c>
      <c r="O35">
        <f ca="1">[1]Prices!M$26</f>
        <v>0</v>
      </c>
      <c r="P35">
        <f ca="1">[1]Prices!N$26</f>
        <v>0</v>
      </c>
      <c r="Q35">
        <f ca="1">[1]Prices!O$26</f>
        <v>30</v>
      </c>
      <c r="R35">
        <f ca="1">[1]Prices!P$26</f>
        <v>68.341643330825832</v>
      </c>
      <c r="S35">
        <f ca="1">[1]Prices!Q$26</f>
        <v>100.32134973994673</v>
      </c>
      <c r="T35">
        <f ca="1">[1]Prices!R$26</f>
        <v>82.639006798408047</v>
      </c>
      <c r="U35">
        <f ca="1">[1]Prices!S$26</f>
        <v>67.75892127087694</v>
      </c>
      <c r="V35">
        <f ca="1">[1]Prices!T$26</f>
        <v>55.57940835560332</v>
      </c>
      <c r="W35">
        <f ca="1">[1]Prices!U$26</f>
        <v>45.789061745779293</v>
      </c>
    </row>
    <row r="36" spans="1:23" x14ac:dyDescent="0.3">
      <c r="A36" t="s">
        <v>34</v>
      </c>
      <c r="B36" t="s">
        <v>4</v>
      </c>
      <c r="C36" t="s">
        <v>15</v>
      </c>
      <c r="D36" t="s">
        <v>35</v>
      </c>
      <c r="G36" t="s">
        <v>17</v>
      </c>
      <c r="H36" t="s">
        <v>23</v>
      </c>
      <c r="I36" t="s">
        <v>22</v>
      </c>
      <c r="K36" t="s">
        <v>20</v>
      </c>
      <c r="L36" t="s">
        <v>21</v>
      </c>
      <c r="M36">
        <f ca="1">[1]Prices!K$26</f>
        <v>0</v>
      </c>
      <c r="N36">
        <f ca="1">[1]Prices!L$26</f>
        <v>0</v>
      </c>
      <c r="O36">
        <f ca="1">[1]Prices!M$26</f>
        <v>0</v>
      </c>
      <c r="P36">
        <f ca="1">[1]Prices!N$26</f>
        <v>0</v>
      </c>
      <c r="Q36">
        <f ca="1">[1]Prices!O$26</f>
        <v>30</v>
      </c>
      <c r="R36">
        <f ca="1">[1]Prices!P$26</f>
        <v>68.341643330825832</v>
      </c>
      <c r="S36">
        <f ca="1">[1]Prices!Q$26</f>
        <v>100.32134973994673</v>
      </c>
      <c r="T36">
        <f ca="1">[1]Prices!R$26</f>
        <v>82.639006798408047</v>
      </c>
      <c r="U36">
        <f ca="1">[1]Prices!S$26</f>
        <v>67.75892127087694</v>
      </c>
      <c r="V36">
        <f ca="1">[1]Prices!T$26</f>
        <v>55.57940835560332</v>
      </c>
      <c r="W36">
        <f ca="1">[1]Prices!U$26</f>
        <v>45.789061745779293</v>
      </c>
    </row>
    <row r="37" spans="1:23" x14ac:dyDescent="0.3">
      <c r="A37" t="s">
        <v>34</v>
      </c>
      <c r="B37" t="s">
        <v>4</v>
      </c>
      <c r="C37" t="s">
        <v>15</v>
      </c>
      <c r="D37" t="s">
        <v>35</v>
      </c>
      <c r="G37" t="s">
        <v>17</v>
      </c>
      <c r="H37" t="s">
        <v>24</v>
      </c>
      <c r="I37" t="s">
        <v>19</v>
      </c>
      <c r="K37" t="s">
        <v>20</v>
      </c>
      <c r="L37" t="s">
        <v>21</v>
      </c>
      <c r="M37">
        <f ca="1">[1]Prices!K$26</f>
        <v>0</v>
      </c>
      <c r="N37">
        <f ca="1">[1]Prices!L$26</f>
        <v>0</v>
      </c>
      <c r="O37">
        <f ca="1">[1]Prices!M$26</f>
        <v>0</v>
      </c>
      <c r="P37">
        <f ca="1">[1]Prices!N$26</f>
        <v>0</v>
      </c>
      <c r="Q37">
        <f ca="1">[1]Prices!O$26</f>
        <v>30</v>
      </c>
      <c r="R37">
        <f ca="1">[1]Prices!P$26</f>
        <v>68.341643330825832</v>
      </c>
      <c r="S37">
        <f ca="1">[1]Prices!Q$26</f>
        <v>100.32134973994673</v>
      </c>
      <c r="T37">
        <f ca="1">[1]Prices!R$26</f>
        <v>82.639006798408047</v>
      </c>
      <c r="U37">
        <f ca="1">[1]Prices!S$26</f>
        <v>67.75892127087694</v>
      </c>
      <c r="V37">
        <f ca="1">[1]Prices!T$26</f>
        <v>55.57940835560332</v>
      </c>
      <c r="W37">
        <f ca="1">[1]Prices!U$26</f>
        <v>45.789061745779293</v>
      </c>
    </row>
    <row r="38" spans="1:23" x14ac:dyDescent="0.3">
      <c r="A38" t="s">
        <v>34</v>
      </c>
      <c r="B38" t="s">
        <v>4</v>
      </c>
      <c r="C38" t="s">
        <v>15</v>
      </c>
      <c r="D38" t="s">
        <v>35</v>
      </c>
      <c r="G38" t="s">
        <v>17</v>
      </c>
      <c r="H38" t="s">
        <v>24</v>
      </c>
      <c r="I38" t="s">
        <v>22</v>
      </c>
      <c r="K38" t="s">
        <v>20</v>
      </c>
      <c r="L38" t="s">
        <v>21</v>
      </c>
      <c r="M38">
        <f ca="1">[1]Prices!K$26</f>
        <v>0</v>
      </c>
      <c r="N38">
        <f ca="1">[1]Prices!L$26</f>
        <v>0</v>
      </c>
      <c r="O38">
        <f ca="1">[1]Prices!M$26</f>
        <v>0</v>
      </c>
      <c r="P38">
        <f ca="1">[1]Prices!N$26</f>
        <v>0</v>
      </c>
      <c r="Q38">
        <f ca="1">[1]Prices!O$26</f>
        <v>30</v>
      </c>
      <c r="R38">
        <f ca="1">[1]Prices!P$26</f>
        <v>68.341643330825832</v>
      </c>
      <c r="S38">
        <f ca="1">[1]Prices!Q$26</f>
        <v>100.32134973994673</v>
      </c>
      <c r="T38">
        <f ca="1">[1]Prices!R$26</f>
        <v>82.639006798408047</v>
      </c>
      <c r="U38">
        <f ca="1">[1]Prices!S$26</f>
        <v>67.75892127087694</v>
      </c>
      <c r="V38">
        <f ca="1">[1]Prices!T$26</f>
        <v>55.57940835560332</v>
      </c>
      <c r="W38">
        <f ca="1">[1]Prices!U$26</f>
        <v>45.789061745779293</v>
      </c>
    </row>
    <row r="39" spans="1:23" x14ac:dyDescent="0.3">
      <c r="A39" t="s">
        <v>36</v>
      </c>
      <c r="B39" t="s">
        <v>4</v>
      </c>
      <c r="C39" t="s">
        <v>15</v>
      </c>
      <c r="D39" t="s">
        <v>37</v>
      </c>
      <c r="G39" t="s">
        <v>17</v>
      </c>
      <c r="H39" t="s">
        <v>18</v>
      </c>
      <c r="I39" t="s">
        <v>19</v>
      </c>
      <c r="K39" t="s">
        <v>20</v>
      </c>
      <c r="L39" t="s">
        <v>21</v>
      </c>
      <c r="M39">
        <f ca="1">[1]Prices!K$26</f>
        <v>0</v>
      </c>
      <c r="N39">
        <f ca="1">[1]Prices!L$26</f>
        <v>0</v>
      </c>
      <c r="O39">
        <f ca="1">[1]Prices!M$26</f>
        <v>0</v>
      </c>
      <c r="P39">
        <f ca="1">[1]Prices!N$26</f>
        <v>0</v>
      </c>
      <c r="Q39">
        <f ca="1">[1]Prices!O$26</f>
        <v>30</v>
      </c>
      <c r="R39">
        <f ca="1">[1]Prices!P$26</f>
        <v>68.341643330825832</v>
      </c>
      <c r="S39">
        <f ca="1">[1]Prices!Q$26</f>
        <v>100.32134973994673</v>
      </c>
      <c r="T39">
        <f ca="1">[1]Prices!R$26</f>
        <v>82.639006798408047</v>
      </c>
      <c r="U39">
        <f ca="1">[1]Prices!S$26</f>
        <v>67.75892127087694</v>
      </c>
      <c r="V39">
        <f ca="1">[1]Prices!T$26</f>
        <v>55.57940835560332</v>
      </c>
      <c r="W39">
        <f ca="1">[1]Prices!U$26</f>
        <v>45.789061745779293</v>
      </c>
    </row>
    <row r="40" spans="1:23" x14ac:dyDescent="0.3">
      <c r="A40" t="s">
        <v>36</v>
      </c>
      <c r="B40" t="s">
        <v>4</v>
      </c>
      <c r="C40" t="s">
        <v>15</v>
      </c>
      <c r="D40" t="s">
        <v>37</v>
      </c>
      <c r="G40" t="s">
        <v>17</v>
      </c>
      <c r="H40" t="s">
        <v>18</v>
      </c>
      <c r="I40" t="s">
        <v>22</v>
      </c>
      <c r="K40" t="s">
        <v>20</v>
      </c>
      <c r="L40" t="s">
        <v>21</v>
      </c>
      <c r="M40">
        <f ca="1">[1]Prices!K$26</f>
        <v>0</v>
      </c>
      <c r="N40">
        <f ca="1">[1]Prices!L$26</f>
        <v>0</v>
      </c>
      <c r="O40">
        <f ca="1">[1]Prices!M$26</f>
        <v>0</v>
      </c>
      <c r="P40">
        <f ca="1">[1]Prices!N$26</f>
        <v>0</v>
      </c>
      <c r="Q40">
        <f ca="1">[1]Prices!O$26</f>
        <v>30</v>
      </c>
      <c r="R40">
        <f ca="1">[1]Prices!P$26</f>
        <v>68.341643330825832</v>
      </c>
      <c r="S40">
        <f ca="1">[1]Prices!Q$26</f>
        <v>100.32134973994673</v>
      </c>
      <c r="T40">
        <f ca="1">[1]Prices!R$26</f>
        <v>82.639006798408047</v>
      </c>
      <c r="U40">
        <f ca="1">[1]Prices!S$26</f>
        <v>67.75892127087694</v>
      </c>
      <c r="V40">
        <f ca="1">[1]Prices!T$26</f>
        <v>55.57940835560332</v>
      </c>
      <c r="W40">
        <f ca="1">[1]Prices!U$26</f>
        <v>45.789061745779293</v>
      </c>
    </row>
    <row r="41" spans="1:23" x14ac:dyDescent="0.3">
      <c r="A41" t="s">
        <v>36</v>
      </c>
      <c r="B41" t="s">
        <v>4</v>
      </c>
      <c r="C41" t="s">
        <v>15</v>
      </c>
      <c r="D41" t="s">
        <v>37</v>
      </c>
      <c r="G41" t="s">
        <v>17</v>
      </c>
      <c r="H41" t="s">
        <v>23</v>
      </c>
      <c r="I41" t="s">
        <v>19</v>
      </c>
      <c r="K41" t="s">
        <v>20</v>
      </c>
      <c r="L41" t="s">
        <v>21</v>
      </c>
      <c r="M41">
        <f ca="1">[1]Prices!K$26</f>
        <v>0</v>
      </c>
      <c r="N41">
        <f ca="1">[1]Prices!L$26</f>
        <v>0</v>
      </c>
      <c r="O41">
        <f ca="1">[1]Prices!M$26</f>
        <v>0</v>
      </c>
      <c r="P41">
        <f ca="1">[1]Prices!N$26</f>
        <v>0</v>
      </c>
      <c r="Q41">
        <f ca="1">[1]Prices!O$26</f>
        <v>30</v>
      </c>
      <c r="R41">
        <f ca="1">[1]Prices!P$26</f>
        <v>68.341643330825832</v>
      </c>
      <c r="S41">
        <f ca="1">[1]Prices!Q$26</f>
        <v>100.32134973994673</v>
      </c>
      <c r="T41">
        <f ca="1">[1]Prices!R$26</f>
        <v>82.639006798408047</v>
      </c>
      <c r="U41">
        <f ca="1">[1]Prices!S$26</f>
        <v>67.75892127087694</v>
      </c>
      <c r="V41">
        <f ca="1">[1]Prices!T$26</f>
        <v>55.57940835560332</v>
      </c>
      <c r="W41">
        <f ca="1">[1]Prices!U$26</f>
        <v>45.789061745779293</v>
      </c>
    </row>
    <row r="42" spans="1:23" x14ac:dyDescent="0.3">
      <c r="A42" t="s">
        <v>36</v>
      </c>
      <c r="B42" t="s">
        <v>4</v>
      </c>
      <c r="C42" t="s">
        <v>15</v>
      </c>
      <c r="D42" t="s">
        <v>37</v>
      </c>
      <c r="G42" t="s">
        <v>17</v>
      </c>
      <c r="H42" t="s">
        <v>23</v>
      </c>
      <c r="I42" t="s">
        <v>22</v>
      </c>
      <c r="K42" t="s">
        <v>20</v>
      </c>
      <c r="L42" t="s">
        <v>21</v>
      </c>
      <c r="M42">
        <f ca="1">[1]Prices!K$26</f>
        <v>0</v>
      </c>
      <c r="N42">
        <f ca="1">[1]Prices!L$26</f>
        <v>0</v>
      </c>
      <c r="O42">
        <f ca="1">[1]Prices!M$26</f>
        <v>0</v>
      </c>
      <c r="P42">
        <f ca="1">[1]Prices!N$26</f>
        <v>0</v>
      </c>
      <c r="Q42">
        <f ca="1">[1]Prices!O$26</f>
        <v>30</v>
      </c>
      <c r="R42">
        <f ca="1">[1]Prices!P$26</f>
        <v>68.341643330825832</v>
      </c>
      <c r="S42">
        <f ca="1">[1]Prices!Q$26</f>
        <v>100.32134973994673</v>
      </c>
      <c r="T42">
        <f ca="1">[1]Prices!R$26</f>
        <v>82.639006798408047</v>
      </c>
      <c r="U42">
        <f ca="1">[1]Prices!S$26</f>
        <v>67.75892127087694</v>
      </c>
      <c r="V42">
        <f ca="1">[1]Prices!T$26</f>
        <v>55.57940835560332</v>
      </c>
      <c r="W42">
        <f ca="1">[1]Prices!U$26</f>
        <v>45.789061745779293</v>
      </c>
    </row>
    <row r="43" spans="1:23" x14ac:dyDescent="0.3">
      <c r="A43" t="s">
        <v>36</v>
      </c>
      <c r="B43" t="s">
        <v>4</v>
      </c>
      <c r="C43" t="s">
        <v>15</v>
      </c>
      <c r="D43" t="s">
        <v>37</v>
      </c>
      <c r="G43" t="s">
        <v>17</v>
      </c>
      <c r="H43" t="s">
        <v>24</v>
      </c>
      <c r="I43" t="s">
        <v>19</v>
      </c>
      <c r="K43" t="s">
        <v>20</v>
      </c>
      <c r="L43" t="s">
        <v>21</v>
      </c>
      <c r="M43">
        <f ca="1">[1]Prices!K$26</f>
        <v>0</v>
      </c>
      <c r="N43">
        <f ca="1">[1]Prices!L$26</f>
        <v>0</v>
      </c>
      <c r="O43">
        <f ca="1">[1]Prices!M$26</f>
        <v>0</v>
      </c>
      <c r="P43">
        <f ca="1">[1]Prices!N$26</f>
        <v>0</v>
      </c>
      <c r="Q43">
        <f ca="1">[1]Prices!O$26</f>
        <v>30</v>
      </c>
      <c r="R43">
        <f ca="1">[1]Prices!P$26</f>
        <v>68.341643330825832</v>
      </c>
      <c r="S43">
        <f ca="1">[1]Prices!Q$26</f>
        <v>100.32134973994673</v>
      </c>
      <c r="T43">
        <f ca="1">[1]Prices!R$26</f>
        <v>82.639006798408047</v>
      </c>
      <c r="U43">
        <f ca="1">[1]Prices!S$26</f>
        <v>67.75892127087694</v>
      </c>
      <c r="V43">
        <f ca="1">[1]Prices!T$26</f>
        <v>55.57940835560332</v>
      </c>
      <c r="W43">
        <f ca="1">[1]Prices!U$26</f>
        <v>45.789061745779293</v>
      </c>
    </row>
    <row r="44" spans="1:23" x14ac:dyDescent="0.3">
      <c r="A44" t="s">
        <v>36</v>
      </c>
      <c r="B44" t="s">
        <v>4</v>
      </c>
      <c r="C44" t="s">
        <v>15</v>
      </c>
      <c r="D44" t="s">
        <v>37</v>
      </c>
      <c r="G44" t="s">
        <v>17</v>
      </c>
      <c r="H44" t="s">
        <v>24</v>
      </c>
      <c r="I44" t="s">
        <v>22</v>
      </c>
      <c r="K44" t="s">
        <v>20</v>
      </c>
      <c r="L44" t="s">
        <v>21</v>
      </c>
      <c r="M44">
        <f ca="1">[1]Prices!K$26</f>
        <v>0</v>
      </c>
      <c r="N44">
        <f ca="1">[1]Prices!L$26</f>
        <v>0</v>
      </c>
      <c r="O44">
        <f ca="1">[1]Prices!M$26</f>
        <v>0</v>
      </c>
      <c r="P44">
        <f ca="1">[1]Prices!N$26</f>
        <v>0</v>
      </c>
      <c r="Q44">
        <f ca="1">[1]Prices!O$26</f>
        <v>30</v>
      </c>
      <c r="R44">
        <f ca="1">[1]Prices!P$26</f>
        <v>68.341643330825832</v>
      </c>
      <c r="S44">
        <f ca="1">[1]Prices!Q$26</f>
        <v>100.32134973994673</v>
      </c>
      <c r="T44">
        <f ca="1">[1]Prices!R$26</f>
        <v>82.639006798408047</v>
      </c>
      <c r="U44">
        <f ca="1">[1]Prices!S$26</f>
        <v>67.75892127087694</v>
      </c>
      <c r="V44">
        <f ca="1">[1]Prices!T$26</f>
        <v>55.57940835560332</v>
      </c>
      <c r="W44">
        <f ca="1">[1]Prices!U$26</f>
        <v>45.789061745779293</v>
      </c>
    </row>
    <row r="45" spans="1:23" x14ac:dyDescent="0.3">
      <c r="A45" t="s">
        <v>38</v>
      </c>
      <c r="B45" t="s">
        <v>4</v>
      </c>
      <c r="C45" t="s">
        <v>15</v>
      </c>
      <c r="D45" t="s">
        <v>39</v>
      </c>
      <c r="G45" t="s">
        <v>17</v>
      </c>
      <c r="H45" t="s">
        <v>18</v>
      </c>
      <c r="I45" t="s">
        <v>19</v>
      </c>
      <c r="K45" t="s">
        <v>20</v>
      </c>
      <c r="L45" t="s">
        <v>21</v>
      </c>
      <c r="M45">
        <f ca="1">[1]Prices!K$26</f>
        <v>0</v>
      </c>
      <c r="N45">
        <f ca="1">[1]Prices!L$26</f>
        <v>0</v>
      </c>
      <c r="O45">
        <f ca="1">[1]Prices!M$26</f>
        <v>0</v>
      </c>
      <c r="P45">
        <f ca="1">[1]Prices!N$26</f>
        <v>0</v>
      </c>
      <c r="Q45">
        <f ca="1">[1]Prices!O$26</f>
        <v>30</v>
      </c>
      <c r="R45">
        <f ca="1">[1]Prices!P$26</f>
        <v>68.341643330825832</v>
      </c>
      <c r="S45">
        <f ca="1">[1]Prices!Q$26</f>
        <v>100.32134973994673</v>
      </c>
      <c r="T45">
        <f ca="1">[1]Prices!R$26</f>
        <v>82.639006798408047</v>
      </c>
      <c r="U45">
        <f ca="1">[1]Prices!S$26</f>
        <v>67.75892127087694</v>
      </c>
      <c r="V45">
        <f ca="1">[1]Prices!T$26</f>
        <v>55.57940835560332</v>
      </c>
      <c r="W45">
        <f ca="1">[1]Prices!U$26</f>
        <v>45.789061745779293</v>
      </c>
    </row>
    <row r="46" spans="1:23" x14ac:dyDescent="0.3">
      <c r="A46" t="s">
        <v>38</v>
      </c>
      <c r="B46" t="s">
        <v>4</v>
      </c>
      <c r="C46" t="s">
        <v>15</v>
      </c>
      <c r="D46" t="s">
        <v>39</v>
      </c>
      <c r="G46" t="s">
        <v>17</v>
      </c>
      <c r="H46" t="s">
        <v>18</v>
      </c>
      <c r="I46" t="s">
        <v>22</v>
      </c>
      <c r="K46" t="s">
        <v>20</v>
      </c>
      <c r="L46" t="s">
        <v>21</v>
      </c>
      <c r="M46">
        <f ca="1">[1]Prices!K$26</f>
        <v>0</v>
      </c>
      <c r="N46">
        <f ca="1">[1]Prices!L$26</f>
        <v>0</v>
      </c>
      <c r="O46">
        <f ca="1">[1]Prices!M$26</f>
        <v>0</v>
      </c>
      <c r="P46">
        <f ca="1">[1]Prices!N$26</f>
        <v>0</v>
      </c>
      <c r="Q46">
        <f ca="1">[1]Prices!O$26</f>
        <v>30</v>
      </c>
      <c r="R46">
        <f ca="1">[1]Prices!P$26</f>
        <v>68.341643330825832</v>
      </c>
      <c r="S46">
        <f ca="1">[1]Prices!Q$26</f>
        <v>100.32134973994673</v>
      </c>
      <c r="T46">
        <f ca="1">[1]Prices!R$26</f>
        <v>82.639006798408047</v>
      </c>
      <c r="U46">
        <f ca="1">[1]Prices!S$26</f>
        <v>67.75892127087694</v>
      </c>
      <c r="V46">
        <f ca="1">[1]Prices!T$26</f>
        <v>55.57940835560332</v>
      </c>
      <c r="W46">
        <f ca="1">[1]Prices!U$26</f>
        <v>45.789061745779293</v>
      </c>
    </row>
    <row r="47" spans="1:23" x14ac:dyDescent="0.3">
      <c r="A47" t="s">
        <v>38</v>
      </c>
      <c r="B47" t="s">
        <v>4</v>
      </c>
      <c r="C47" t="s">
        <v>15</v>
      </c>
      <c r="D47" t="s">
        <v>39</v>
      </c>
      <c r="G47" t="s">
        <v>17</v>
      </c>
      <c r="H47" t="s">
        <v>23</v>
      </c>
      <c r="I47" t="s">
        <v>19</v>
      </c>
      <c r="K47" t="s">
        <v>20</v>
      </c>
      <c r="L47" t="s">
        <v>21</v>
      </c>
      <c r="M47">
        <f ca="1">[1]Prices!K$26</f>
        <v>0</v>
      </c>
      <c r="N47">
        <f ca="1">[1]Prices!L$26</f>
        <v>0</v>
      </c>
      <c r="O47">
        <f ca="1">[1]Prices!M$26</f>
        <v>0</v>
      </c>
      <c r="P47">
        <f ca="1">[1]Prices!N$26</f>
        <v>0</v>
      </c>
      <c r="Q47">
        <f ca="1">[1]Prices!O$26</f>
        <v>30</v>
      </c>
      <c r="R47">
        <f ca="1">[1]Prices!P$26</f>
        <v>68.341643330825832</v>
      </c>
      <c r="S47">
        <f ca="1">[1]Prices!Q$26</f>
        <v>100.32134973994673</v>
      </c>
      <c r="T47">
        <f ca="1">[1]Prices!R$26</f>
        <v>82.639006798408047</v>
      </c>
      <c r="U47">
        <f ca="1">[1]Prices!S$26</f>
        <v>67.75892127087694</v>
      </c>
      <c r="V47">
        <f ca="1">[1]Prices!T$26</f>
        <v>55.57940835560332</v>
      </c>
      <c r="W47">
        <f ca="1">[1]Prices!U$26</f>
        <v>45.789061745779293</v>
      </c>
    </row>
    <row r="48" spans="1:23" x14ac:dyDescent="0.3">
      <c r="A48" t="s">
        <v>38</v>
      </c>
      <c r="B48" t="s">
        <v>4</v>
      </c>
      <c r="C48" t="s">
        <v>15</v>
      </c>
      <c r="D48" t="s">
        <v>39</v>
      </c>
      <c r="G48" t="s">
        <v>17</v>
      </c>
      <c r="H48" t="s">
        <v>23</v>
      </c>
      <c r="I48" t="s">
        <v>22</v>
      </c>
      <c r="K48" t="s">
        <v>20</v>
      </c>
      <c r="L48" t="s">
        <v>21</v>
      </c>
      <c r="M48">
        <f ca="1">[1]Prices!K$26</f>
        <v>0</v>
      </c>
      <c r="N48">
        <f ca="1">[1]Prices!L$26</f>
        <v>0</v>
      </c>
      <c r="O48">
        <f ca="1">[1]Prices!M$26</f>
        <v>0</v>
      </c>
      <c r="P48">
        <f ca="1">[1]Prices!N$26</f>
        <v>0</v>
      </c>
      <c r="Q48">
        <f ca="1">[1]Prices!O$26</f>
        <v>30</v>
      </c>
      <c r="R48">
        <f ca="1">[1]Prices!P$26</f>
        <v>68.341643330825832</v>
      </c>
      <c r="S48">
        <f ca="1">[1]Prices!Q$26</f>
        <v>100.32134973994673</v>
      </c>
      <c r="T48">
        <f ca="1">[1]Prices!R$26</f>
        <v>82.639006798408047</v>
      </c>
      <c r="U48">
        <f ca="1">[1]Prices!S$26</f>
        <v>67.75892127087694</v>
      </c>
      <c r="V48">
        <f ca="1">[1]Prices!T$26</f>
        <v>55.57940835560332</v>
      </c>
      <c r="W48">
        <f ca="1">[1]Prices!U$26</f>
        <v>45.789061745779293</v>
      </c>
    </row>
    <row r="49" spans="1:23" x14ac:dyDescent="0.3">
      <c r="A49" t="s">
        <v>38</v>
      </c>
      <c r="B49" t="s">
        <v>4</v>
      </c>
      <c r="C49" t="s">
        <v>15</v>
      </c>
      <c r="D49" t="s">
        <v>39</v>
      </c>
      <c r="G49" t="s">
        <v>17</v>
      </c>
      <c r="H49" t="s">
        <v>24</v>
      </c>
      <c r="I49" t="s">
        <v>19</v>
      </c>
      <c r="K49" t="s">
        <v>20</v>
      </c>
      <c r="L49" t="s">
        <v>21</v>
      </c>
      <c r="M49">
        <f ca="1">[1]Prices!K$26</f>
        <v>0</v>
      </c>
      <c r="N49">
        <f ca="1">[1]Prices!L$26</f>
        <v>0</v>
      </c>
      <c r="O49">
        <f ca="1">[1]Prices!M$26</f>
        <v>0</v>
      </c>
      <c r="P49">
        <f ca="1">[1]Prices!N$26</f>
        <v>0</v>
      </c>
      <c r="Q49">
        <f ca="1">[1]Prices!O$26</f>
        <v>30</v>
      </c>
      <c r="R49">
        <f ca="1">[1]Prices!P$26</f>
        <v>68.341643330825832</v>
      </c>
      <c r="S49">
        <f ca="1">[1]Prices!Q$26</f>
        <v>100.32134973994673</v>
      </c>
      <c r="T49">
        <f ca="1">[1]Prices!R$26</f>
        <v>82.639006798408047</v>
      </c>
      <c r="U49">
        <f ca="1">[1]Prices!S$26</f>
        <v>67.75892127087694</v>
      </c>
      <c r="V49">
        <f ca="1">[1]Prices!T$26</f>
        <v>55.57940835560332</v>
      </c>
      <c r="W49">
        <f ca="1">[1]Prices!U$26</f>
        <v>45.789061745779293</v>
      </c>
    </row>
    <row r="50" spans="1:23" x14ac:dyDescent="0.3">
      <c r="A50" t="s">
        <v>38</v>
      </c>
      <c r="B50" t="s">
        <v>4</v>
      </c>
      <c r="C50" t="s">
        <v>15</v>
      </c>
      <c r="D50" t="s">
        <v>39</v>
      </c>
      <c r="G50" t="s">
        <v>17</v>
      </c>
      <c r="H50" t="s">
        <v>24</v>
      </c>
      <c r="I50" t="s">
        <v>22</v>
      </c>
      <c r="K50" t="s">
        <v>20</v>
      </c>
      <c r="L50" t="s">
        <v>21</v>
      </c>
      <c r="M50">
        <f ca="1">[1]Prices!K$26</f>
        <v>0</v>
      </c>
      <c r="N50">
        <f ca="1">[1]Prices!L$26</f>
        <v>0</v>
      </c>
      <c r="O50">
        <f ca="1">[1]Prices!M$26</f>
        <v>0</v>
      </c>
      <c r="P50">
        <f ca="1">[1]Prices!N$26</f>
        <v>0</v>
      </c>
      <c r="Q50">
        <f ca="1">[1]Prices!O$26</f>
        <v>30</v>
      </c>
      <c r="R50">
        <f ca="1">[1]Prices!P$26</f>
        <v>68.341643330825832</v>
      </c>
      <c r="S50">
        <f ca="1">[1]Prices!Q$26</f>
        <v>100.32134973994673</v>
      </c>
      <c r="T50">
        <f ca="1">[1]Prices!R$26</f>
        <v>82.639006798408047</v>
      </c>
      <c r="U50">
        <f ca="1">[1]Prices!S$26</f>
        <v>67.75892127087694</v>
      </c>
      <c r="V50">
        <f ca="1">[1]Prices!T$26</f>
        <v>55.57940835560332</v>
      </c>
      <c r="W50">
        <f ca="1">[1]Prices!U$26</f>
        <v>45.789061745779293</v>
      </c>
    </row>
    <row r="51" spans="1:23" x14ac:dyDescent="0.3">
      <c r="A51" t="s">
        <v>40</v>
      </c>
      <c r="B51" t="s">
        <v>4</v>
      </c>
      <c r="C51" t="s">
        <v>15</v>
      </c>
      <c r="D51" t="s">
        <v>41</v>
      </c>
      <c r="G51" t="s">
        <v>17</v>
      </c>
      <c r="H51" t="s">
        <v>18</v>
      </c>
      <c r="I51" t="s">
        <v>19</v>
      </c>
      <c r="K51" t="s">
        <v>20</v>
      </c>
      <c r="L51" t="s">
        <v>21</v>
      </c>
      <c r="M51">
        <f ca="1">[1]Prices!K$26</f>
        <v>0</v>
      </c>
      <c r="N51">
        <f ca="1">[1]Prices!L$26</f>
        <v>0</v>
      </c>
      <c r="O51">
        <f ca="1">[1]Prices!M$26</f>
        <v>0</v>
      </c>
      <c r="P51">
        <f ca="1">[1]Prices!N$26</f>
        <v>0</v>
      </c>
      <c r="Q51">
        <f ca="1">[1]Prices!O$26</f>
        <v>30</v>
      </c>
      <c r="R51">
        <f ca="1">[1]Prices!P$26</f>
        <v>68.341643330825832</v>
      </c>
      <c r="S51">
        <f ca="1">[1]Prices!Q$26</f>
        <v>100.32134973994673</v>
      </c>
      <c r="T51">
        <f ca="1">[1]Prices!R$26</f>
        <v>82.639006798408047</v>
      </c>
      <c r="U51">
        <f ca="1">[1]Prices!S$26</f>
        <v>67.75892127087694</v>
      </c>
      <c r="V51">
        <f ca="1">[1]Prices!T$26</f>
        <v>55.57940835560332</v>
      </c>
      <c r="W51">
        <f ca="1">[1]Prices!U$26</f>
        <v>45.789061745779293</v>
      </c>
    </row>
    <row r="52" spans="1:23" x14ac:dyDescent="0.3">
      <c r="A52" t="s">
        <v>40</v>
      </c>
      <c r="B52" t="s">
        <v>4</v>
      </c>
      <c r="C52" t="s">
        <v>15</v>
      </c>
      <c r="D52" t="s">
        <v>41</v>
      </c>
      <c r="G52" t="s">
        <v>17</v>
      </c>
      <c r="H52" t="s">
        <v>18</v>
      </c>
      <c r="I52" t="s">
        <v>22</v>
      </c>
      <c r="K52" t="s">
        <v>20</v>
      </c>
      <c r="L52" t="s">
        <v>21</v>
      </c>
      <c r="M52">
        <f ca="1">[1]Prices!K$26</f>
        <v>0</v>
      </c>
      <c r="N52">
        <f ca="1">[1]Prices!L$26</f>
        <v>0</v>
      </c>
      <c r="O52">
        <f ca="1">[1]Prices!M$26</f>
        <v>0</v>
      </c>
      <c r="P52">
        <f ca="1">[1]Prices!N$26</f>
        <v>0</v>
      </c>
      <c r="Q52">
        <f ca="1">[1]Prices!O$26</f>
        <v>30</v>
      </c>
      <c r="R52">
        <f ca="1">[1]Prices!P$26</f>
        <v>68.341643330825832</v>
      </c>
      <c r="S52">
        <f ca="1">[1]Prices!Q$26</f>
        <v>100.32134973994673</v>
      </c>
      <c r="T52">
        <f ca="1">[1]Prices!R$26</f>
        <v>82.639006798408047</v>
      </c>
      <c r="U52">
        <f ca="1">[1]Prices!S$26</f>
        <v>67.75892127087694</v>
      </c>
      <c r="V52">
        <f ca="1">[1]Prices!T$26</f>
        <v>55.57940835560332</v>
      </c>
      <c r="W52">
        <f ca="1">[1]Prices!U$26</f>
        <v>45.789061745779293</v>
      </c>
    </row>
    <row r="53" spans="1:23" x14ac:dyDescent="0.3">
      <c r="A53" t="s">
        <v>40</v>
      </c>
      <c r="B53" t="s">
        <v>4</v>
      </c>
      <c r="C53" t="s">
        <v>15</v>
      </c>
      <c r="D53" t="s">
        <v>41</v>
      </c>
      <c r="G53" t="s">
        <v>17</v>
      </c>
      <c r="H53" t="s">
        <v>23</v>
      </c>
      <c r="I53" t="s">
        <v>19</v>
      </c>
      <c r="K53" t="s">
        <v>20</v>
      </c>
      <c r="L53" t="s">
        <v>21</v>
      </c>
      <c r="M53">
        <f ca="1">[1]Prices!K$26</f>
        <v>0</v>
      </c>
      <c r="N53">
        <f ca="1">[1]Prices!L$26</f>
        <v>0</v>
      </c>
      <c r="O53">
        <f ca="1">[1]Prices!M$26</f>
        <v>0</v>
      </c>
      <c r="P53">
        <f ca="1">[1]Prices!N$26</f>
        <v>0</v>
      </c>
      <c r="Q53">
        <f ca="1">[1]Prices!O$26</f>
        <v>30</v>
      </c>
      <c r="R53">
        <f ca="1">[1]Prices!P$26</f>
        <v>68.341643330825832</v>
      </c>
      <c r="S53">
        <f ca="1">[1]Prices!Q$26</f>
        <v>100.32134973994673</v>
      </c>
      <c r="T53">
        <f ca="1">[1]Prices!R$26</f>
        <v>82.639006798408047</v>
      </c>
      <c r="U53">
        <f ca="1">[1]Prices!S$26</f>
        <v>67.75892127087694</v>
      </c>
      <c r="V53">
        <f ca="1">[1]Prices!T$26</f>
        <v>55.57940835560332</v>
      </c>
      <c r="W53">
        <f ca="1">[1]Prices!U$26</f>
        <v>45.789061745779293</v>
      </c>
    </row>
    <row r="54" spans="1:23" x14ac:dyDescent="0.3">
      <c r="A54" t="s">
        <v>40</v>
      </c>
      <c r="B54" t="s">
        <v>4</v>
      </c>
      <c r="C54" t="s">
        <v>15</v>
      </c>
      <c r="D54" t="s">
        <v>41</v>
      </c>
      <c r="G54" t="s">
        <v>17</v>
      </c>
      <c r="H54" t="s">
        <v>23</v>
      </c>
      <c r="I54" t="s">
        <v>22</v>
      </c>
      <c r="K54" t="s">
        <v>20</v>
      </c>
      <c r="L54" t="s">
        <v>21</v>
      </c>
      <c r="M54">
        <f ca="1">[1]Prices!K$26</f>
        <v>0</v>
      </c>
      <c r="N54">
        <f ca="1">[1]Prices!L$26</f>
        <v>0</v>
      </c>
      <c r="O54">
        <f ca="1">[1]Prices!M$26</f>
        <v>0</v>
      </c>
      <c r="P54">
        <f ca="1">[1]Prices!N$26</f>
        <v>0</v>
      </c>
      <c r="Q54">
        <f ca="1">[1]Prices!O$26</f>
        <v>30</v>
      </c>
      <c r="R54">
        <f ca="1">[1]Prices!P$26</f>
        <v>68.341643330825832</v>
      </c>
      <c r="S54">
        <f ca="1">[1]Prices!Q$26</f>
        <v>100.32134973994673</v>
      </c>
      <c r="T54">
        <f ca="1">[1]Prices!R$26</f>
        <v>82.639006798408047</v>
      </c>
      <c r="U54">
        <f ca="1">[1]Prices!S$26</f>
        <v>67.75892127087694</v>
      </c>
      <c r="V54">
        <f ca="1">[1]Prices!T$26</f>
        <v>55.57940835560332</v>
      </c>
      <c r="W54">
        <f ca="1">[1]Prices!U$26</f>
        <v>45.789061745779293</v>
      </c>
    </row>
    <row r="55" spans="1:23" x14ac:dyDescent="0.3">
      <c r="A55" t="s">
        <v>40</v>
      </c>
      <c r="B55" t="s">
        <v>4</v>
      </c>
      <c r="C55" t="s">
        <v>15</v>
      </c>
      <c r="D55" t="s">
        <v>41</v>
      </c>
      <c r="G55" t="s">
        <v>17</v>
      </c>
      <c r="H55" t="s">
        <v>24</v>
      </c>
      <c r="I55" t="s">
        <v>19</v>
      </c>
      <c r="K55" t="s">
        <v>20</v>
      </c>
      <c r="L55" t="s">
        <v>21</v>
      </c>
      <c r="M55">
        <f ca="1">[1]Prices!K$26</f>
        <v>0</v>
      </c>
      <c r="N55">
        <f ca="1">[1]Prices!L$26</f>
        <v>0</v>
      </c>
      <c r="O55">
        <f ca="1">[1]Prices!M$26</f>
        <v>0</v>
      </c>
      <c r="P55">
        <f ca="1">[1]Prices!N$26</f>
        <v>0</v>
      </c>
      <c r="Q55">
        <f ca="1">[1]Prices!O$26</f>
        <v>30</v>
      </c>
      <c r="R55">
        <f ca="1">[1]Prices!P$26</f>
        <v>68.341643330825832</v>
      </c>
      <c r="S55">
        <f ca="1">[1]Prices!Q$26</f>
        <v>100.32134973994673</v>
      </c>
      <c r="T55">
        <f ca="1">[1]Prices!R$26</f>
        <v>82.639006798408047</v>
      </c>
      <c r="U55">
        <f ca="1">[1]Prices!S$26</f>
        <v>67.75892127087694</v>
      </c>
      <c r="V55">
        <f ca="1">[1]Prices!T$26</f>
        <v>55.57940835560332</v>
      </c>
      <c r="W55">
        <f ca="1">[1]Prices!U$26</f>
        <v>45.789061745779293</v>
      </c>
    </row>
    <row r="56" spans="1:23" x14ac:dyDescent="0.3">
      <c r="A56" t="s">
        <v>40</v>
      </c>
      <c r="B56" t="s">
        <v>4</v>
      </c>
      <c r="C56" t="s">
        <v>15</v>
      </c>
      <c r="D56" t="s">
        <v>41</v>
      </c>
      <c r="G56" t="s">
        <v>17</v>
      </c>
      <c r="H56" t="s">
        <v>24</v>
      </c>
      <c r="I56" t="s">
        <v>22</v>
      </c>
      <c r="K56" t="s">
        <v>20</v>
      </c>
      <c r="L56" t="s">
        <v>21</v>
      </c>
      <c r="M56">
        <f ca="1">[1]Prices!K$26</f>
        <v>0</v>
      </c>
      <c r="N56">
        <f ca="1">[1]Prices!L$26</f>
        <v>0</v>
      </c>
      <c r="O56">
        <f ca="1">[1]Prices!M$26</f>
        <v>0</v>
      </c>
      <c r="P56">
        <f ca="1">[1]Prices!N$26</f>
        <v>0</v>
      </c>
      <c r="Q56">
        <f ca="1">[1]Prices!O$26</f>
        <v>30</v>
      </c>
      <c r="R56">
        <f ca="1">[1]Prices!P$26</f>
        <v>68.341643330825832</v>
      </c>
      <c r="S56">
        <f ca="1">[1]Prices!Q$26</f>
        <v>100.32134973994673</v>
      </c>
      <c r="T56">
        <f ca="1">[1]Prices!R$26</f>
        <v>82.639006798408047</v>
      </c>
      <c r="U56">
        <f ca="1">[1]Prices!S$26</f>
        <v>67.75892127087694</v>
      </c>
      <c r="V56">
        <f ca="1">[1]Prices!T$26</f>
        <v>55.57940835560332</v>
      </c>
      <c r="W56">
        <f ca="1">[1]Prices!U$26</f>
        <v>45.789061745779293</v>
      </c>
    </row>
    <row r="57" spans="1:23" x14ac:dyDescent="0.3">
      <c r="A57" t="s">
        <v>42</v>
      </c>
      <c r="B57" t="s">
        <v>4</v>
      </c>
      <c r="C57" t="s">
        <v>15</v>
      </c>
      <c r="D57" t="s">
        <v>43</v>
      </c>
      <c r="G57" t="s">
        <v>17</v>
      </c>
      <c r="H57" t="s">
        <v>18</v>
      </c>
      <c r="I57" t="s">
        <v>19</v>
      </c>
      <c r="K57" t="s">
        <v>20</v>
      </c>
      <c r="L57" t="s">
        <v>21</v>
      </c>
      <c r="M57">
        <f ca="1">[1]Prices!K$26</f>
        <v>0</v>
      </c>
      <c r="N57">
        <f ca="1">[1]Prices!L$26</f>
        <v>0</v>
      </c>
      <c r="O57">
        <f ca="1">[1]Prices!M$26</f>
        <v>0</v>
      </c>
      <c r="P57">
        <f ca="1">[1]Prices!N$26</f>
        <v>0</v>
      </c>
      <c r="Q57">
        <f ca="1">[1]Prices!O$26</f>
        <v>30</v>
      </c>
      <c r="R57">
        <f ca="1">[1]Prices!P$26</f>
        <v>68.341643330825832</v>
      </c>
      <c r="S57">
        <f ca="1">[1]Prices!Q$26</f>
        <v>100.32134973994673</v>
      </c>
      <c r="T57">
        <f ca="1">[1]Prices!R$26</f>
        <v>82.639006798408047</v>
      </c>
      <c r="U57">
        <f ca="1">[1]Prices!S$26</f>
        <v>67.75892127087694</v>
      </c>
      <c r="V57">
        <f ca="1">[1]Prices!T$26</f>
        <v>55.57940835560332</v>
      </c>
      <c r="W57">
        <f ca="1">[1]Prices!U$26</f>
        <v>45.789061745779293</v>
      </c>
    </row>
    <row r="58" spans="1:23" x14ac:dyDescent="0.3">
      <c r="A58" t="s">
        <v>42</v>
      </c>
      <c r="B58" t="s">
        <v>4</v>
      </c>
      <c r="C58" t="s">
        <v>15</v>
      </c>
      <c r="D58" t="s">
        <v>43</v>
      </c>
      <c r="G58" t="s">
        <v>17</v>
      </c>
      <c r="H58" t="s">
        <v>18</v>
      </c>
      <c r="I58" t="s">
        <v>22</v>
      </c>
      <c r="K58" t="s">
        <v>20</v>
      </c>
      <c r="L58" t="s">
        <v>21</v>
      </c>
      <c r="M58">
        <f ca="1">[1]Prices!K$26</f>
        <v>0</v>
      </c>
      <c r="N58">
        <f ca="1">[1]Prices!L$26</f>
        <v>0</v>
      </c>
      <c r="O58">
        <f ca="1">[1]Prices!M$26</f>
        <v>0</v>
      </c>
      <c r="P58">
        <f ca="1">[1]Prices!N$26</f>
        <v>0</v>
      </c>
      <c r="Q58">
        <f ca="1">[1]Prices!O$26</f>
        <v>30</v>
      </c>
      <c r="R58">
        <f ca="1">[1]Prices!P$26</f>
        <v>68.341643330825832</v>
      </c>
      <c r="S58">
        <f ca="1">[1]Prices!Q$26</f>
        <v>100.32134973994673</v>
      </c>
      <c r="T58">
        <f ca="1">[1]Prices!R$26</f>
        <v>82.639006798408047</v>
      </c>
      <c r="U58">
        <f ca="1">[1]Prices!S$26</f>
        <v>67.75892127087694</v>
      </c>
      <c r="V58">
        <f ca="1">[1]Prices!T$26</f>
        <v>55.57940835560332</v>
      </c>
      <c r="W58">
        <f ca="1">[1]Prices!U$26</f>
        <v>45.789061745779293</v>
      </c>
    </row>
    <row r="59" spans="1:23" x14ac:dyDescent="0.3">
      <c r="A59" t="s">
        <v>42</v>
      </c>
      <c r="B59" t="s">
        <v>4</v>
      </c>
      <c r="C59" t="s">
        <v>15</v>
      </c>
      <c r="D59" t="s">
        <v>43</v>
      </c>
      <c r="G59" t="s">
        <v>17</v>
      </c>
      <c r="H59" t="s">
        <v>23</v>
      </c>
      <c r="I59" t="s">
        <v>19</v>
      </c>
      <c r="K59" t="s">
        <v>20</v>
      </c>
      <c r="L59" t="s">
        <v>21</v>
      </c>
      <c r="M59">
        <f ca="1">[1]Prices!K$26</f>
        <v>0</v>
      </c>
      <c r="N59">
        <f ca="1">[1]Prices!L$26</f>
        <v>0</v>
      </c>
      <c r="O59">
        <f ca="1">[1]Prices!M$26</f>
        <v>0</v>
      </c>
      <c r="P59">
        <f ca="1">[1]Prices!N$26</f>
        <v>0</v>
      </c>
      <c r="Q59">
        <f ca="1">[1]Prices!O$26</f>
        <v>30</v>
      </c>
      <c r="R59">
        <f ca="1">[1]Prices!P$26</f>
        <v>68.341643330825832</v>
      </c>
      <c r="S59">
        <f ca="1">[1]Prices!Q$26</f>
        <v>100.32134973994673</v>
      </c>
      <c r="T59">
        <f ca="1">[1]Prices!R$26</f>
        <v>82.639006798408047</v>
      </c>
      <c r="U59">
        <f ca="1">[1]Prices!S$26</f>
        <v>67.75892127087694</v>
      </c>
      <c r="V59">
        <f ca="1">[1]Prices!T$26</f>
        <v>55.57940835560332</v>
      </c>
      <c r="W59">
        <f ca="1">[1]Prices!U$26</f>
        <v>45.789061745779293</v>
      </c>
    </row>
    <row r="60" spans="1:23" x14ac:dyDescent="0.3">
      <c r="A60" t="s">
        <v>42</v>
      </c>
      <c r="B60" t="s">
        <v>4</v>
      </c>
      <c r="C60" t="s">
        <v>15</v>
      </c>
      <c r="D60" t="s">
        <v>43</v>
      </c>
      <c r="G60" t="s">
        <v>17</v>
      </c>
      <c r="H60" t="s">
        <v>23</v>
      </c>
      <c r="I60" t="s">
        <v>22</v>
      </c>
      <c r="K60" t="s">
        <v>20</v>
      </c>
      <c r="L60" t="s">
        <v>21</v>
      </c>
      <c r="M60">
        <f ca="1">[1]Prices!K$26</f>
        <v>0</v>
      </c>
      <c r="N60">
        <f ca="1">[1]Prices!L$26</f>
        <v>0</v>
      </c>
      <c r="O60">
        <f ca="1">[1]Prices!M$26</f>
        <v>0</v>
      </c>
      <c r="P60">
        <f ca="1">[1]Prices!N$26</f>
        <v>0</v>
      </c>
      <c r="Q60">
        <f ca="1">[1]Prices!O$26</f>
        <v>30</v>
      </c>
      <c r="R60">
        <f ca="1">[1]Prices!P$26</f>
        <v>68.341643330825832</v>
      </c>
      <c r="S60">
        <f ca="1">[1]Prices!Q$26</f>
        <v>100.32134973994673</v>
      </c>
      <c r="T60">
        <f ca="1">[1]Prices!R$26</f>
        <v>82.639006798408047</v>
      </c>
      <c r="U60">
        <f ca="1">[1]Prices!S$26</f>
        <v>67.75892127087694</v>
      </c>
      <c r="V60">
        <f ca="1">[1]Prices!T$26</f>
        <v>55.57940835560332</v>
      </c>
      <c r="W60">
        <f ca="1">[1]Prices!U$26</f>
        <v>45.789061745779293</v>
      </c>
    </row>
    <row r="61" spans="1:23" x14ac:dyDescent="0.3">
      <c r="A61" t="s">
        <v>42</v>
      </c>
      <c r="B61" t="s">
        <v>4</v>
      </c>
      <c r="C61" t="s">
        <v>15</v>
      </c>
      <c r="D61" t="s">
        <v>43</v>
      </c>
      <c r="G61" t="s">
        <v>17</v>
      </c>
      <c r="H61" t="s">
        <v>24</v>
      </c>
      <c r="I61" t="s">
        <v>19</v>
      </c>
      <c r="K61" t="s">
        <v>20</v>
      </c>
      <c r="L61" t="s">
        <v>21</v>
      </c>
      <c r="M61">
        <f ca="1">[1]Prices!K$26</f>
        <v>0</v>
      </c>
      <c r="N61">
        <f ca="1">[1]Prices!L$26</f>
        <v>0</v>
      </c>
      <c r="O61">
        <f ca="1">[1]Prices!M$26</f>
        <v>0</v>
      </c>
      <c r="P61">
        <f ca="1">[1]Prices!N$26</f>
        <v>0</v>
      </c>
      <c r="Q61">
        <f ca="1">[1]Prices!O$26</f>
        <v>30</v>
      </c>
      <c r="R61">
        <f ca="1">[1]Prices!P$26</f>
        <v>68.341643330825832</v>
      </c>
      <c r="S61">
        <f ca="1">[1]Prices!Q$26</f>
        <v>100.32134973994673</v>
      </c>
      <c r="T61">
        <f ca="1">[1]Prices!R$26</f>
        <v>82.639006798408047</v>
      </c>
      <c r="U61">
        <f ca="1">[1]Prices!S$26</f>
        <v>67.75892127087694</v>
      </c>
      <c r="V61">
        <f ca="1">[1]Prices!T$26</f>
        <v>55.57940835560332</v>
      </c>
      <c r="W61">
        <f ca="1">[1]Prices!U$26</f>
        <v>45.789061745779293</v>
      </c>
    </row>
    <row r="62" spans="1:23" x14ac:dyDescent="0.3">
      <c r="A62" t="s">
        <v>42</v>
      </c>
      <c r="B62" t="s">
        <v>4</v>
      </c>
      <c r="C62" t="s">
        <v>15</v>
      </c>
      <c r="D62" t="s">
        <v>43</v>
      </c>
      <c r="G62" t="s">
        <v>17</v>
      </c>
      <c r="H62" t="s">
        <v>24</v>
      </c>
      <c r="I62" t="s">
        <v>22</v>
      </c>
      <c r="K62" t="s">
        <v>20</v>
      </c>
      <c r="L62" t="s">
        <v>21</v>
      </c>
      <c r="M62">
        <f ca="1">[1]Prices!K$26</f>
        <v>0</v>
      </c>
      <c r="N62">
        <f ca="1">[1]Prices!L$26</f>
        <v>0</v>
      </c>
      <c r="O62">
        <f ca="1">[1]Prices!M$26</f>
        <v>0</v>
      </c>
      <c r="P62">
        <f ca="1">[1]Prices!N$26</f>
        <v>0</v>
      </c>
      <c r="Q62">
        <f ca="1">[1]Prices!O$26</f>
        <v>30</v>
      </c>
      <c r="R62">
        <f ca="1">[1]Prices!P$26</f>
        <v>68.341643330825832</v>
      </c>
      <c r="S62">
        <f ca="1">[1]Prices!Q$26</f>
        <v>100.32134973994673</v>
      </c>
      <c r="T62">
        <f ca="1">[1]Prices!R$26</f>
        <v>82.639006798408047</v>
      </c>
      <c r="U62">
        <f ca="1">[1]Prices!S$26</f>
        <v>67.75892127087694</v>
      </c>
      <c r="V62">
        <f ca="1">[1]Prices!T$26</f>
        <v>55.57940835560332</v>
      </c>
      <c r="W62">
        <f ca="1">[1]Prices!U$26</f>
        <v>45.789061745779293</v>
      </c>
    </row>
    <row r="63" spans="1:23" x14ac:dyDescent="0.3">
      <c r="A63" t="s">
        <v>44</v>
      </c>
      <c r="B63" t="s">
        <v>4</v>
      </c>
      <c r="C63" t="s">
        <v>15</v>
      </c>
      <c r="D63" t="s">
        <v>45</v>
      </c>
      <c r="G63" t="s">
        <v>17</v>
      </c>
      <c r="H63" t="s">
        <v>18</v>
      </c>
      <c r="I63" t="s">
        <v>19</v>
      </c>
      <c r="K63" t="s">
        <v>20</v>
      </c>
      <c r="L63" t="s">
        <v>21</v>
      </c>
      <c r="M63">
        <f ca="1">[1]Prices!K$26</f>
        <v>0</v>
      </c>
      <c r="N63">
        <f ca="1">[1]Prices!L$26</f>
        <v>0</v>
      </c>
      <c r="O63">
        <f ca="1">[1]Prices!M$26</f>
        <v>0</v>
      </c>
      <c r="P63">
        <f ca="1">[1]Prices!N$26</f>
        <v>0</v>
      </c>
      <c r="Q63">
        <f ca="1">[1]Prices!O$26</f>
        <v>30</v>
      </c>
      <c r="R63">
        <f ca="1">[1]Prices!P$26</f>
        <v>68.341643330825832</v>
      </c>
      <c r="S63">
        <f ca="1">[1]Prices!Q$26</f>
        <v>100.32134973994673</v>
      </c>
      <c r="T63">
        <f ca="1">[1]Prices!R$26</f>
        <v>82.639006798408047</v>
      </c>
      <c r="U63">
        <f ca="1">[1]Prices!S$26</f>
        <v>67.75892127087694</v>
      </c>
      <c r="V63">
        <f ca="1">[1]Prices!T$26</f>
        <v>55.57940835560332</v>
      </c>
      <c r="W63">
        <f ca="1">[1]Prices!U$26</f>
        <v>45.789061745779293</v>
      </c>
    </row>
    <row r="64" spans="1:23" x14ac:dyDescent="0.3">
      <c r="A64" t="s">
        <v>44</v>
      </c>
      <c r="B64" t="s">
        <v>4</v>
      </c>
      <c r="C64" t="s">
        <v>15</v>
      </c>
      <c r="D64" t="s">
        <v>45</v>
      </c>
      <c r="G64" t="s">
        <v>17</v>
      </c>
      <c r="H64" t="s">
        <v>18</v>
      </c>
      <c r="I64" t="s">
        <v>22</v>
      </c>
      <c r="K64" t="s">
        <v>20</v>
      </c>
      <c r="L64" t="s">
        <v>21</v>
      </c>
      <c r="M64">
        <f ca="1">[1]Prices!K$26</f>
        <v>0</v>
      </c>
      <c r="N64">
        <f ca="1">[1]Prices!L$26</f>
        <v>0</v>
      </c>
      <c r="O64">
        <f ca="1">[1]Prices!M$26</f>
        <v>0</v>
      </c>
      <c r="P64">
        <f ca="1">[1]Prices!N$26</f>
        <v>0</v>
      </c>
      <c r="Q64">
        <f ca="1">[1]Prices!O$26</f>
        <v>30</v>
      </c>
      <c r="R64">
        <f ca="1">[1]Prices!P$26</f>
        <v>68.341643330825832</v>
      </c>
      <c r="S64">
        <f ca="1">[1]Prices!Q$26</f>
        <v>100.32134973994673</v>
      </c>
      <c r="T64">
        <f ca="1">[1]Prices!R$26</f>
        <v>82.639006798408047</v>
      </c>
      <c r="U64">
        <f ca="1">[1]Prices!S$26</f>
        <v>67.75892127087694</v>
      </c>
      <c r="V64">
        <f ca="1">[1]Prices!T$26</f>
        <v>55.57940835560332</v>
      </c>
      <c r="W64">
        <f ca="1">[1]Prices!U$26</f>
        <v>45.789061745779293</v>
      </c>
    </row>
    <row r="65" spans="1:23" x14ac:dyDescent="0.3">
      <c r="A65" t="s">
        <v>44</v>
      </c>
      <c r="B65" t="s">
        <v>4</v>
      </c>
      <c r="C65" t="s">
        <v>15</v>
      </c>
      <c r="D65" t="s">
        <v>45</v>
      </c>
      <c r="G65" t="s">
        <v>17</v>
      </c>
      <c r="H65" t="s">
        <v>23</v>
      </c>
      <c r="I65" t="s">
        <v>19</v>
      </c>
      <c r="K65" t="s">
        <v>20</v>
      </c>
      <c r="L65" t="s">
        <v>21</v>
      </c>
      <c r="M65">
        <f ca="1">[1]Prices!K$26</f>
        <v>0</v>
      </c>
      <c r="N65">
        <f ca="1">[1]Prices!L$26</f>
        <v>0</v>
      </c>
      <c r="O65">
        <f ca="1">[1]Prices!M$26</f>
        <v>0</v>
      </c>
      <c r="P65">
        <f ca="1">[1]Prices!N$26</f>
        <v>0</v>
      </c>
      <c r="Q65">
        <f ca="1">[1]Prices!O$26</f>
        <v>30</v>
      </c>
      <c r="R65">
        <f ca="1">[1]Prices!P$26</f>
        <v>68.341643330825832</v>
      </c>
      <c r="S65">
        <f ca="1">[1]Prices!Q$26</f>
        <v>100.32134973994673</v>
      </c>
      <c r="T65">
        <f ca="1">[1]Prices!R$26</f>
        <v>82.639006798408047</v>
      </c>
      <c r="U65">
        <f ca="1">[1]Prices!S$26</f>
        <v>67.75892127087694</v>
      </c>
      <c r="V65">
        <f ca="1">[1]Prices!T$26</f>
        <v>55.57940835560332</v>
      </c>
      <c r="W65">
        <f ca="1">[1]Prices!U$26</f>
        <v>45.789061745779293</v>
      </c>
    </row>
    <row r="66" spans="1:23" x14ac:dyDescent="0.3">
      <c r="A66" t="s">
        <v>44</v>
      </c>
      <c r="B66" t="s">
        <v>4</v>
      </c>
      <c r="C66" t="s">
        <v>15</v>
      </c>
      <c r="D66" t="s">
        <v>45</v>
      </c>
      <c r="G66" t="s">
        <v>17</v>
      </c>
      <c r="H66" t="s">
        <v>23</v>
      </c>
      <c r="I66" t="s">
        <v>22</v>
      </c>
      <c r="K66" t="s">
        <v>20</v>
      </c>
      <c r="L66" t="s">
        <v>21</v>
      </c>
      <c r="M66">
        <f ca="1">[1]Prices!K$26</f>
        <v>0</v>
      </c>
      <c r="N66">
        <f ca="1">[1]Prices!L$26</f>
        <v>0</v>
      </c>
      <c r="O66">
        <f ca="1">[1]Prices!M$26</f>
        <v>0</v>
      </c>
      <c r="P66">
        <f ca="1">[1]Prices!N$26</f>
        <v>0</v>
      </c>
      <c r="Q66">
        <f ca="1">[1]Prices!O$26</f>
        <v>30</v>
      </c>
      <c r="R66">
        <f ca="1">[1]Prices!P$26</f>
        <v>68.341643330825832</v>
      </c>
      <c r="S66">
        <f ca="1">[1]Prices!Q$26</f>
        <v>100.32134973994673</v>
      </c>
      <c r="T66">
        <f ca="1">[1]Prices!R$26</f>
        <v>82.639006798408047</v>
      </c>
      <c r="U66">
        <f ca="1">[1]Prices!S$26</f>
        <v>67.75892127087694</v>
      </c>
      <c r="V66">
        <f ca="1">[1]Prices!T$26</f>
        <v>55.57940835560332</v>
      </c>
      <c r="W66">
        <f ca="1">[1]Prices!U$26</f>
        <v>45.789061745779293</v>
      </c>
    </row>
    <row r="67" spans="1:23" x14ac:dyDescent="0.3">
      <c r="A67" t="s">
        <v>44</v>
      </c>
      <c r="B67" t="s">
        <v>4</v>
      </c>
      <c r="C67" t="s">
        <v>15</v>
      </c>
      <c r="D67" t="s">
        <v>45</v>
      </c>
      <c r="G67" t="s">
        <v>17</v>
      </c>
      <c r="H67" t="s">
        <v>24</v>
      </c>
      <c r="I67" t="s">
        <v>19</v>
      </c>
      <c r="K67" t="s">
        <v>20</v>
      </c>
      <c r="L67" t="s">
        <v>21</v>
      </c>
      <c r="M67">
        <f ca="1">[1]Prices!K$26</f>
        <v>0</v>
      </c>
      <c r="N67">
        <f ca="1">[1]Prices!L$26</f>
        <v>0</v>
      </c>
      <c r="O67">
        <f ca="1">[1]Prices!M$26</f>
        <v>0</v>
      </c>
      <c r="P67">
        <f ca="1">[1]Prices!N$26</f>
        <v>0</v>
      </c>
      <c r="Q67">
        <f ca="1">[1]Prices!O$26</f>
        <v>30</v>
      </c>
      <c r="R67">
        <f ca="1">[1]Prices!P$26</f>
        <v>68.341643330825832</v>
      </c>
      <c r="S67">
        <f ca="1">[1]Prices!Q$26</f>
        <v>100.32134973994673</v>
      </c>
      <c r="T67">
        <f ca="1">[1]Prices!R$26</f>
        <v>82.639006798408047</v>
      </c>
      <c r="U67">
        <f ca="1">[1]Prices!S$26</f>
        <v>67.75892127087694</v>
      </c>
      <c r="V67">
        <f ca="1">[1]Prices!T$26</f>
        <v>55.57940835560332</v>
      </c>
      <c r="W67">
        <f ca="1">[1]Prices!U$26</f>
        <v>45.789061745779293</v>
      </c>
    </row>
    <row r="68" spans="1:23" x14ac:dyDescent="0.3">
      <c r="A68" t="s">
        <v>44</v>
      </c>
      <c r="B68" t="s">
        <v>4</v>
      </c>
      <c r="C68" t="s">
        <v>15</v>
      </c>
      <c r="D68" t="s">
        <v>45</v>
      </c>
      <c r="G68" t="s">
        <v>17</v>
      </c>
      <c r="H68" t="s">
        <v>24</v>
      </c>
      <c r="I68" t="s">
        <v>22</v>
      </c>
      <c r="K68" t="s">
        <v>20</v>
      </c>
      <c r="L68" t="s">
        <v>21</v>
      </c>
      <c r="M68">
        <f ca="1">[1]Prices!K$26</f>
        <v>0</v>
      </c>
      <c r="N68">
        <f ca="1">[1]Prices!L$26</f>
        <v>0</v>
      </c>
      <c r="O68">
        <f ca="1">[1]Prices!M$26</f>
        <v>0</v>
      </c>
      <c r="P68">
        <f ca="1">[1]Prices!N$26</f>
        <v>0</v>
      </c>
      <c r="Q68">
        <f ca="1">[1]Prices!O$26</f>
        <v>30</v>
      </c>
      <c r="R68">
        <f ca="1">[1]Prices!P$26</f>
        <v>68.341643330825832</v>
      </c>
      <c r="S68">
        <f ca="1">[1]Prices!Q$26</f>
        <v>100.32134973994673</v>
      </c>
      <c r="T68">
        <f ca="1">[1]Prices!R$26</f>
        <v>82.639006798408047</v>
      </c>
      <c r="U68">
        <f ca="1">[1]Prices!S$26</f>
        <v>67.75892127087694</v>
      </c>
      <c r="V68">
        <f ca="1">[1]Prices!T$26</f>
        <v>55.57940835560332</v>
      </c>
      <c r="W68">
        <f ca="1">[1]Prices!U$26</f>
        <v>45.789061745779293</v>
      </c>
    </row>
    <row r="69" spans="1:23" x14ac:dyDescent="0.3">
      <c r="A69" t="s">
        <v>46</v>
      </c>
      <c r="B69" t="s">
        <v>4</v>
      </c>
      <c r="C69" t="s">
        <v>15</v>
      </c>
      <c r="D69" t="s">
        <v>47</v>
      </c>
      <c r="G69" t="s">
        <v>17</v>
      </c>
      <c r="H69" t="s">
        <v>18</v>
      </c>
      <c r="I69" t="s">
        <v>19</v>
      </c>
      <c r="K69" t="s">
        <v>20</v>
      </c>
      <c r="L69" t="s">
        <v>21</v>
      </c>
      <c r="M69">
        <f ca="1">[1]Prices!K$26</f>
        <v>0</v>
      </c>
      <c r="N69">
        <f ca="1">[1]Prices!L$26</f>
        <v>0</v>
      </c>
      <c r="O69">
        <f ca="1">[1]Prices!M$26</f>
        <v>0</v>
      </c>
      <c r="P69">
        <f ca="1">[1]Prices!N$26</f>
        <v>0</v>
      </c>
      <c r="Q69">
        <f ca="1">[1]Prices!O$26</f>
        <v>30</v>
      </c>
      <c r="R69">
        <f ca="1">[1]Prices!P$26</f>
        <v>68.341643330825832</v>
      </c>
      <c r="S69">
        <f ca="1">[1]Prices!Q$26</f>
        <v>100.32134973994673</v>
      </c>
      <c r="T69">
        <f ca="1">[1]Prices!R$26</f>
        <v>82.639006798408047</v>
      </c>
      <c r="U69">
        <f ca="1">[1]Prices!S$26</f>
        <v>67.75892127087694</v>
      </c>
      <c r="V69">
        <f ca="1">[1]Prices!T$26</f>
        <v>55.57940835560332</v>
      </c>
      <c r="W69">
        <f ca="1">[1]Prices!U$26</f>
        <v>45.789061745779293</v>
      </c>
    </row>
    <row r="70" spans="1:23" x14ac:dyDescent="0.3">
      <c r="A70" t="s">
        <v>46</v>
      </c>
      <c r="B70" t="s">
        <v>4</v>
      </c>
      <c r="C70" t="s">
        <v>15</v>
      </c>
      <c r="D70" t="s">
        <v>47</v>
      </c>
      <c r="G70" t="s">
        <v>17</v>
      </c>
      <c r="H70" t="s">
        <v>18</v>
      </c>
      <c r="I70" t="s">
        <v>22</v>
      </c>
      <c r="K70" t="s">
        <v>20</v>
      </c>
      <c r="L70" t="s">
        <v>21</v>
      </c>
      <c r="M70">
        <f ca="1">[1]Prices!K$26</f>
        <v>0</v>
      </c>
      <c r="N70">
        <f ca="1">[1]Prices!L$26</f>
        <v>0</v>
      </c>
      <c r="O70">
        <f ca="1">[1]Prices!M$26</f>
        <v>0</v>
      </c>
      <c r="P70">
        <f ca="1">[1]Prices!N$26</f>
        <v>0</v>
      </c>
      <c r="Q70">
        <f ca="1">[1]Prices!O$26</f>
        <v>30</v>
      </c>
      <c r="R70">
        <f ca="1">[1]Prices!P$26</f>
        <v>68.341643330825832</v>
      </c>
      <c r="S70">
        <f ca="1">[1]Prices!Q$26</f>
        <v>100.32134973994673</v>
      </c>
      <c r="T70">
        <f ca="1">[1]Prices!R$26</f>
        <v>82.639006798408047</v>
      </c>
      <c r="U70">
        <f ca="1">[1]Prices!S$26</f>
        <v>67.75892127087694</v>
      </c>
      <c r="V70">
        <f ca="1">[1]Prices!T$26</f>
        <v>55.57940835560332</v>
      </c>
      <c r="W70">
        <f ca="1">[1]Prices!U$26</f>
        <v>45.789061745779293</v>
      </c>
    </row>
    <row r="71" spans="1:23" x14ac:dyDescent="0.3">
      <c r="A71" t="s">
        <v>46</v>
      </c>
      <c r="B71" t="s">
        <v>4</v>
      </c>
      <c r="C71" t="s">
        <v>15</v>
      </c>
      <c r="D71" t="s">
        <v>47</v>
      </c>
      <c r="G71" t="s">
        <v>17</v>
      </c>
      <c r="H71" t="s">
        <v>23</v>
      </c>
      <c r="I71" t="s">
        <v>19</v>
      </c>
      <c r="K71" t="s">
        <v>20</v>
      </c>
      <c r="L71" t="s">
        <v>21</v>
      </c>
      <c r="M71">
        <f ca="1">[1]Prices!K$26</f>
        <v>0</v>
      </c>
      <c r="N71">
        <f ca="1">[1]Prices!L$26</f>
        <v>0</v>
      </c>
      <c r="O71">
        <f ca="1">[1]Prices!M$26</f>
        <v>0</v>
      </c>
      <c r="P71">
        <f ca="1">[1]Prices!N$26</f>
        <v>0</v>
      </c>
      <c r="Q71">
        <f ca="1">[1]Prices!O$26</f>
        <v>30</v>
      </c>
      <c r="R71">
        <f ca="1">[1]Prices!P$26</f>
        <v>68.341643330825832</v>
      </c>
      <c r="S71">
        <f ca="1">[1]Prices!Q$26</f>
        <v>100.32134973994673</v>
      </c>
      <c r="T71">
        <f ca="1">[1]Prices!R$26</f>
        <v>82.639006798408047</v>
      </c>
      <c r="U71">
        <f ca="1">[1]Prices!S$26</f>
        <v>67.75892127087694</v>
      </c>
      <c r="V71">
        <f ca="1">[1]Prices!T$26</f>
        <v>55.57940835560332</v>
      </c>
      <c r="W71">
        <f ca="1">[1]Prices!U$26</f>
        <v>45.789061745779293</v>
      </c>
    </row>
    <row r="72" spans="1:23" x14ac:dyDescent="0.3">
      <c r="A72" t="s">
        <v>46</v>
      </c>
      <c r="B72" t="s">
        <v>4</v>
      </c>
      <c r="C72" t="s">
        <v>15</v>
      </c>
      <c r="D72" t="s">
        <v>47</v>
      </c>
      <c r="G72" t="s">
        <v>17</v>
      </c>
      <c r="H72" t="s">
        <v>23</v>
      </c>
      <c r="I72" t="s">
        <v>22</v>
      </c>
      <c r="K72" t="s">
        <v>20</v>
      </c>
      <c r="L72" t="s">
        <v>21</v>
      </c>
      <c r="M72">
        <f ca="1">[1]Prices!K$26</f>
        <v>0</v>
      </c>
      <c r="N72">
        <f ca="1">[1]Prices!L$26</f>
        <v>0</v>
      </c>
      <c r="O72">
        <f ca="1">[1]Prices!M$26</f>
        <v>0</v>
      </c>
      <c r="P72">
        <f ca="1">[1]Prices!N$26</f>
        <v>0</v>
      </c>
      <c r="Q72">
        <f ca="1">[1]Prices!O$26</f>
        <v>30</v>
      </c>
      <c r="R72">
        <f ca="1">[1]Prices!P$26</f>
        <v>68.341643330825832</v>
      </c>
      <c r="S72">
        <f ca="1">[1]Prices!Q$26</f>
        <v>100.32134973994673</v>
      </c>
      <c r="T72">
        <f ca="1">[1]Prices!R$26</f>
        <v>82.639006798408047</v>
      </c>
      <c r="U72">
        <f ca="1">[1]Prices!S$26</f>
        <v>67.75892127087694</v>
      </c>
      <c r="V72">
        <f ca="1">[1]Prices!T$26</f>
        <v>55.57940835560332</v>
      </c>
      <c r="W72">
        <f ca="1">[1]Prices!U$26</f>
        <v>45.789061745779293</v>
      </c>
    </row>
    <row r="73" spans="1:23" x14ac:dyDescent="0.3">
      <c r="A73" t="s">
        <v>46</v>
      </c>
      <c r="B73" t="s">
        <v>4</v>
      </c>
      <c r="C73" t="s">
        <v>15</v>
      </c>
      <c r="D73" t="s">
        <v>47</v>
      </c>
      <c r="G73" t="s">
        <v>17</v>
      </c>
      <c r="H73" t="s">
        <v>24</v>
      </c>
      <c r="I73" t="s">
        <v>19</v>
      </c>
      <c r="K73" t="s">
        <v>20</v>
      </c>
      <c r="L73" t="s">
        <v>21</v>
      </c>
      <c r="M73">
        <f ca="1">[1]Prices!K$26</f>
        <v>0</v>
      </c>
      <c r="N73">
        <f ca="1">[1]Prices!L$26</f>
        <v>0</v>
      </c>
      <c r="O73">
        <f ca="1">[1]Prices!M$26</f>
        <v>0</v>
      </c>
      <c r="P73">
        <f ca="1">[1]Prices!N$26</f>
        <v>0</v>
      </c>
      <c r="Q73">
        <f ca="1">[1]Prices!O$26</f>
        <v>30</v>
      </c>
      <c r="R73">
        <f ca="1">[1]Prices!P$26</f>
        <v>68.341643330825832</v>
      </c>
      <c r="S73">
        <f ca="1">[1]Prices!Q$26</f>
        <v>100.32134973994673</v>
      </c>
      <c r="T73">
        <f ca="1">[1]Prices!R$26</f>
        <v>82.639006798408047</v>
      </c>
      <c r="U73">
        <f ca="1">[1]Prices!S$26</f>
        <v>67.75892127087694</v>
      </c>
      <c r="V73">
        <f ca="1">[1]Prices!T$26</f>
        <v>55.57940835560332</v>
      </c>
      <c r="W73">
        <f ca="1">[1]Prices!U$26</f>
        <v>45.789061745779293</v>
      </c>
    </row>
    <row r="74" spans="1:23" x14ac:dyDescent="0.3">
      <c r="A74" t="s">
        <v>46</v>
      </c>
      <c r="B74" t="s">
        <v>4</v>
      </c>
      <c r="C74" t="s">
        <v>15</v>
      </c>
      <c r="D74" t="s">
        <v>47</v>
      </c>
      <c r="G74" t="s">
        <v>17</v>
      </c>
      <c r="H74" t="s">
        <v>24</v>
      </c>
      <c r="I74" t="s">
        <v>22</v>
      </c>
      <c r="K74" t="s">
        <v>20</v>
      </c>
      <c r="L74" t="s">
        <v>21</v>
      </c>
      <c r="M74">
        <f ca="1">[1]Prices!K$26</f>
        <v>0</v>
      </c>
      <c r="N74">
        <f ca="1">[1]Prices!L$26</f>
        <v>0</v>
      </c>
      <c r="O74">
        <f ca="1">[1]Prices!M$26</f>
        <v>0</v>
      </c>
      <c r="P74">
        <f ca="1">[1]Prices!N$26</f>
        <v>0</v>
      </c>
      <c r="Q74">
        <f ca="1">[1]Prices!O$26</f>
        <v>30</v>
      </c>
      <c r="R74">
        <f ca="1">[1]Prices!P$26</f>
        <v>68.341643330825832</v>
      </c>
      <c r="S74">
        <f ca="1">[1]Prices!Q$26</f>
        <v>100.32134973994673</v>
      </c>
      <c r="T74">
        <f ca="1">[1]Prices!R$26</f>
        <v>82.639006798408047</v>
      </c>
      <c r="U74">
        <f ca="1">[1]Prices!S$26</f>
        <v>67.75892127087694</v>
      </c>
      <c r="V74">
        <f ca="1">[1]Prices!T$26</f>
        <v>55.57940835560332</v>
      </c>
      <c r="W74">
        <f ca="1">[1]Prices!U$26</f>
        <v>45.789061745779293</v>
      </c>
    </row>
    <row r="75" spans="1:23" x14ac:dyDescent="0.3">
      <c r="A75" t="s">
        <v>48</v>
      </c>
      <c r="B75" t="s">
        <v>4</v>
      </c>
      <c r="C75" t="s">
        <v>15</v>
      </c>
      <c r="D75" t="s">
        <v>49</v>
      </c>
      <c r="G75" t="s">
        <v>17</v>
      </c>
      <c r="H75" t="s">
        <v>18</v>
      </c>
      <c r="I75" t="s">
        <v>19</v>
      </c>
      <c r="K75" t="s">
        <v>20</v>
      </c>
      <c r="L75" t="s">
        <v>21</v>
      </c>
      <c r="M75">
        <f ca="1">[1]Prices!K$26</f>
        <v>0</v>
      </c>
      <c r="N75">
        <f ca="1">[1]Prices!L$26</f>
        <v>0</v>
      </c>
      <c r="O75">
        <f ca="1">[1]Prices!M$26</f>
        <v>0</v>
      </c>
      <c r="P75">
        <f ca="1">[1]Prices!N$26</f>
        <v>0</v>
      </c>
      <c r="Q75">
        <f ca="1">[1]Prices!O$26</f>
        <v>30</v>
      </c>
      <c r="R75">
        <f ca="1">[1]Prices!P$26</f>
        <v>68.341643330825832</v>
      </c>
      <c r="S75">
        <f ca="1">[1]Prices!Q$26</f>
        <v>100.32134973994673</v>
      </c>
      <c r="T75">
        <f ca="1">[1]Prices!R$26</f>
        <v>82.639006798408047</v>
      </c>
      <c r="U75">
        <f ca="1">[1]Prices!S$26</f>
        <v>67.75892127087694</v>
      </c>
      <c r="V75">
        <f ca="1">[1]Prices!T$26</f>
        <v>55.57940835560332</v>
      </c>
      <c r="W75">
        <f ca="1">[1]Prices!U$26</f>
        <v>45.789061745779293</v>
      </c>
    </row>
    <row r="76" spans="1:23" x14ac:dyDescent="0.3">
      <c r="A76" t="s">
        <v>48</v>
      </c>
      <c r="B76" t="s">
        <v>4</v>
      </c>
      <c r="C76" t="s">
        <v>15</v>
      </c>
      <c r="D76" t="s">
        <v>49</v>
      </c>
      <c r="G76" t="s">
        <v>17</v>
      </c>
      <c r="H76" t="s">
        <v>18</v>
      </c>
      <c r="I76" t="s">
        <v>22</v>
      </c>
      <c r="K76" t="s">
        <v>20</v>
      </c>
      <c r="L76" t="s">
        <v>21</v>
      </c>
      <c r="M76">
        <f ca="1">[1]Prices!K$26</f>
        <v>0</v>
      </c>
      <c r="N76">
        <f ca="1">[1]Prices!L$26</f>
        <v>0</v>
      </c>
      <c r="O76">
        <f ca="1">[1]Prices!M$26</f>
        <v>0</v>
      </c>
      <c r="P76">
        <f ca="1">[1]Prices!N$26</f>
        <v>0</v>
      </c>
      <c r="Q76">
        <f ca="1">[1]Prices!O$26</f>
        <v>30</v>
      </c>
      <c r="R76">
        <f ca="1">[1]Prices!P$26</f>
        <v>68.341643330825832</v>
      </c>
      <c r="S76">
        <f ca="1">[1]Prices!Q$26</f>
        <v>100.32134973994673</v>
      </c>
      <c r="T76">
        <f ca="1">[1]Prices!R$26</f>
        <v>82.639006798408047</v>
      </c>
      <c r="U76">
        <f ca="1">[1]Prices!S$26</f>
        <v>67.75892127087694</v>
      </c>
      <c r="V76">
        <f ca="1">[1]Prices!T$26</f>
        <v>55.57940835560332</v>
      </c>
      <c r="W76">
        <f ca="1">[1]Prices!U$26</f>
        <v>45.789061745779293</v>
      </c>
    </row>
    <row r="77" spans="1:23" x14ac:dyDescent="0.3">
      <c r="A77" t="s">
        <v>48</v>
      </c>
      <c r="B77" t="s">
        <v>4</v>
      </c>
      <c r="C77" t="s">
        <v>15</v>
      </c>
      <c r="D77" t="s">
        <v>49</v>
      </c>
      <c r="G77" t="s">
        <v>17</v>
      </c>
      <c r="H77" t="s">
        <v>23</v>
      </c>
      <c r="I77" t="s">
        <v>19</v>
      </c>
      <c r="K77" t="s">
        <v>20</v>
      </c>
      <c r="L77" t="s">
        <v>21</v>
      </c>
      <c r="M77">
        <f ca="1">[1]Prices!K$26</f>
        <v>0</v>
      </c>
      <c r="N77">
        <f ca="1">[1]Prices!L$26</f>
        <v>0</v>
      </c>
      <c r="O77">
        <f ca="1">[1]Prices!M$26</f>
        <v>0</v>
      </c>
      <c r="P77">
        <f ca="1">[1]Prices!N$26</f>
        <v>0</v>
      </c>
      <c r="Q77">
        <f ca="1">[1]Prices!O$26</f>
        <v>30</v>
      </c>
      <c r="R77">
        <f ca="1">[1]Prices!P$26</f>
        <v>68.341643330825832</v>
      </c>
      <c r="S77">
        <f ca="1">[1]Prices!Q$26</f>
        <v>100.32134973994673</v>
      </c>
      <c r="T77">
        <f ca="1">[1]Prices!R$26</f>
        <v>82.639006798408047</v>
      </c>
      <c r="U77">
        <f ca="1">[1]Prices!S$26</f>
        <v>67.75892127087694</v>
      </c>
      <c r="V77">
        <f ca="1">[1]Prices!T$26</f>
        <v>55.57940835560332</v>
      </c>
      <c r="W77">
        <f ca="1">[1]Prices!U$26</f>
        <v>45.789061745779293</v>
      </c>
    </row>
    <row r="78" spans="1:23" x14ac:dyDescent="0.3">
      <c r="A78" t="s">
        <v>48</v>
      </c>
      <c r="B78" t="s">
        <v>4</v>
      </c>
      <c r="C78" t="s">
        <v>15</v>
      </c>
      <c r="D78" t="s">
        <v>49</v>
      </c>
      <c r="G78" t="s">
        <v>17</v>
      </c>
      <c r="H78" t="s">
        <v>23</v>
      </c>
      <c r="I78" t="s">
        <v>22</v>
      </c>
      <c r="K78" t="s">
        <v>20</v>
      </c>
      <c r="L78" t="s">
        <v>21</v>
      </c>
      <c r="M78">
        <f ca="1">[1]Prices!K$26</f>
        <v>0</v>
      </c>
      <c r="N78">
        <f ca="1">[1]Prices!L$26</f>
        <v>0</v>
      </c>
      <c r="O78">
        <f ca="1">[1]Prices!M$26</f>
        <v>0</v>
      </c>
      <c r="P78">
        <f ca="1">[1]Prices!N$26</f>
        <v>0</v>
      </c>
      <c r="Q78">
        <f ca="1">[1]Prices!O$26</f>
        <v>30</v>
      </c>
      <c r="R78">
        <f ca="1">[1]Prices!P$26</f>
        <v>68.341643330825832</v>
      </c>
      <c r="S78">
        <f ca="1">[1]Prices!Q$26</f>
        <v>100.32134973994673</v>
      </c>
      <c r="T78">
        <f ca="1">[1]Prices!R$26</f>
        <v>82.639006798408047</v>
      </c>
      <c r="U78">
        <f ca="1">[1]Prices!S$26</f>
        <v>67.75892127087694</v>
      </c>
      <c r="V78">
        <f ca="1">[1]Prices!T$26</f>
        <v>55.57940835560332</v>
      </c>
      <c r="W78">
        <f ca="1">[1]Prices!U$26</f>
        <v>45.789061745779293</v>
      </c>
    </row>
    <row r="79" spans="1:23" x14ac:dyDescent="0.3">
      <c r="A79" t="s">
        <v>48</v>
      </c>
      <c r="B79" t="s">
        <v>4</v>
      </c>
      <c r="C79" t="s">
        <v>15</v>
      </c>
      <c r="D79" t="s">
        <v>49</v>
      </c>
      <c r="G79" t="s">
        <v>17</v>
      </c>
      <c r="H79" t="s">
        <v>24</v>
      </c>
      <c r="I79" t="s">
        <v>19</v>
      </c>
      <c r="K79" t="s">
        <v>20</v>
      </c>
      <c r="L79" t="s">
        <v>21</v>
      </c>
      <c r="M79">
        <f ca="1">[1]Prices!K$26</f>
        <v>0</v>
      </c>
      <c r="N79">
        <f ca="1">[1]Prices!L$26</f>
        <v>0</v>
      </c>
      <c r="O79">
        <f ca="1">[1]Prices!M$26</f>
        <v>0</v>
      </c>
      <c r="P79">
        <f ca="1">[1]Prices!N$26</f>
        <v>0</v>
      </c>
      <c r="Q79">
        <f ca="1">[1]Prices!O$26</f>
        <v>30</v>
      </c>
      <c r="R79">
        <f ca="1">[1]Prices!P$26</f>
        <v>68.341643330825832</v>
      </c>
      <c r="S79">
        <f ca="1">[1]Prices!Q$26</f>
        <v>100.32134973994673</v>
      </c>
      <c r="T79">
        <f ca="1">[1]Prices!R$26</f>
        <v>82.639006798408047</v>
      </c>
      <c r="U79">
        <f ca="1">[1]Prices!S$26</f>
        <v>67.75892127087694</v>
      </c>
      <c r="V79">
        <f ca="1">[1]Prices!T$26</f>
        <v>55.57940835560332</v>
      </c>
      <c r="W79">
        <f ca="1">[1]Prices!U$26</f>
        <v>45.789061745779293</v>
      </c>
    </row>
    <row r="80" spans="1:23" x14ac:dyDescent="0.3">
      <c r="A80" t="s">
        <v>48</v>
      </c>
      <c r="B80" t="s">
        <v>4</v>
      </c>
      <c r="C80" t="s">
        <v>15</v>
      </c>
      <c r="D80" t="s">
        <v>49</v>
      </c>
      <c r="G80" t="s">
        <v>17</v>
      </c>
      <c r="H80" t="s">
        <v>24</v>
      </c>
      <c r="I80" t="s">
        <v>22</v>
      </c>
      <c r="K80" t="s">
        <v>20</v>
      </c>
      <c r="L80" t="s">
        <v>21</v>
      </c>
      <c r="M80">
        <f ca="1">[1]Prices!K$26</f>
        <v>0</v>
      </c>
      <c r="N80">
        <f ca="1">[1]Prices!L$26</f>
        <v>0</v>
      </c>
      <c r="O80">
        <f ca="1">[1]Prices!M$26</f>
        <v>0</v>
      </c>
      <c r="P80">
        <f ca="1">[1]Prices!N$26</f>
        <v>0</v>
      </c>
      <c r="Q80">
        <f ca="1">[1]Prices!O$26</f>
        <v>30</v>
      </c>
      <c r="R80">
        <f ca="1">[1]Prices!P$26</f>
        <v>68.341643330825832</v>
      </c>
      <c r="S80">
        <f ca="1">[1]Prices!Q$26</f>
        <v>100.32134973994673</v>
      </c>
      <c r="T80">
        <f ca="1">[1]Prices!R$26</f>
        <v>82.639006798408047</v>
      </c>
      <c r="U80">
        <f ca="1">[1]Prices!S$26</f>
        <v>67.75892127087694</v>
      </c>
      <c r="V80">
        <f ca="1">[1]Prices!T$26</f>
        <v>55.57940835560332</v>
      </c>
      <c r="W80">
        <f ca="1">[1]Prices!U$26</f>
        <v>45.789061745779293</v>
      </c>
    </row>
    <row r="81" spans="1:24" x14ac:dyDescent="0.3">
      <c r="A81" t="s">
        <v>50</v>
      </c>
      <c r="B81" t="s">
        <v>4</v>
      </c>
      <c r="C81" t="s">
        <v>15</v>
      </c>
      <c r="D81" t="s">
        <v>51</v>
      </c>
      <c r="G81" t="s">
        <v>17</v>
      </c>
      <c r="H81" t="s">
        <v>18</v>
      </c>
      <c r="I81" t="s">
        <v>19</v>
      </c>
      <c r="K81" t="s">
        <v>20</v>
      </c>
      <c r="L81" t="s">
        <v>21</v>
      </c>
      <c r="M81">
        <f ca="1">[1]Prices!K$26</f>
        <v>0</v>
      </c>
      <c r="N81">
        <f ca="1">[1]Prices!L$26</f>
        <v>0</v>
      </c>
      <c r="O81">
        <f ca="1">[1]Prices!M$26</f>
        <v>0</v>
      </c>
      <c r="P81">
        <f ca="1">[1]Prices!N$26</f>
        <v>0</v>
      </c>
      <c r="Q81">
        <f ca="1">[1]Prices!O$26</f>
        <v>30</v>
      </c>
      <c r="R81">
        <f ca="1">[1]Prices!P$26</f>
        <v>68.341643330825832</v>
      </c>
      <c r="S81">
        <f ca="1">[1]Prices!Q$26</f>
        <v>100.32134973994673</v>
      </c>
      <c r="T81">
        <f ca="1">[1]Prices!R$26</f>
        <v>82.639006798408047</v>
      </c>
      <c r="U81">
        <f ca="1">[1]Prices!S$26</f>
        <v>67.75892127087694</v>
      </c>
      <c r="V81">
        <f ca="1">[1]Prices!T$26</f>
        <v>55.57940835560332</v>
      </c>
      <c r="W81">
        <f ca="1">[1]Prices!U$26</f>
        <v>45.789061745779293</v>
      </c>
    </row>
    <row r="82" spans="1:24" x14ac:dyDescent="0.3">
      <c r="A82" t="s">
        <v>50</v>
      </c>
      <c r="B82" t="s">
        <v>4</v>
      </c>
      <c r="C82" t="s">
        <v>15</v>
      </c>
      <c r="D82" t="s">
        <v>51</v>
      </c>
      <c r="G82" t="s">
        <v>17</v>
      </c>
      <c r="H82" t="s">
        <v>18</v>
      </c>
      <c r="I82" t="s">
        <v>22</v>
      </c>
      <c r="K82" t="s">
        <v>20</v>
      </c>
      <c r="L82" t="s">
        <v>21</v>
      </c>
      <c r="M82">
        <f ca="1">[1]Prices!K$26</f>
        <v>0</v>
      </c>
      <c r="N82">
        <f ca="1">[1]Prices!L$26</f>
        <v>0</v>
      </c>
      <c r="O82">
        <f ca="1">[1]Prices!M$26</f>
        <v>0</v>
      </c>
      <c r="P82">
        <f ca="1">[1]Prices!N$26</f>
        <v>0</v>
      </c>
      <c r="Q82">
        <f ca="1">[1]Prices!O$26</f>
        <v>30</v>
      </c>
      <c r="R82">
        <f ca="1">[1]Prices!P$26</f>
        <v>68.341643330825832</v>
      </c>
      <c r="S82">
        <f ca="1">[1]Prices!Q$26</f>
        <v>100.32134973994673</v>
      </c>
      <c r="T82">
        <f ca="1">[1]Prices!R$26</f>
        <v>82.639006798408047</v>
      </c>
      <c r="U82">
        <f ca="1">[1]Prices!S$26</f>
        <v>67.75892127087694</v>
      </c>
      <c r="V82">
        <f ca="1">[1]Prices!T$26</f>
        <v>55.57940835560332</v>
      </c>
      <c r="W82">
        <f ca="1">[1]Prices!U$26</f>
        <v>45.789061745779293</v>
      </c>
    </row>
    <row r="83" spans="1:24" x14ac:dyDescent="0.3">
      <c r="A83" t="s">
        <v>50</v>
      </c>
      <c r="B83" t="s">
        <v>4</v>
      </c>
      <c r="C83" t="s">
        <v>15</v>
      </c>
      <c r="D83" t="s">
        <v>51</v>
      </c>
      <c r="G83" t="s">
        <v>17</v>
      </c>
      <c r="H83" t="s">
        <v>23</v>
      </c>
      <c r="I83" t="s">
        <v>19</v>
      </c>
      <c r="K83" t="s">
        <v>20</v>
      </c>
      <c r="L83" t="s">
        <v>21</v>
      </c>
      <c r="M83">
        <f ca="1">[1]Prices!K$26</f>
        <v>0</v>
      </c>
      <c r="N83">
        <f ca="1">[1]Prices!L$26</f>
        <v>0</v>
      </c>
      <c r="O83">
        <f ca="1">[1]Prices!M$26</f>
        <v>0</v>
      </c>
      <c r="P83">
        <f ca="1">[1]Prices!N$26</f>
        <v>0</v>
      </c>
      <c r="Q83">
        <f ca="1">[1]Prices!O$26</f>
        <v>30</v>
      </c>
      <c r="R83">
        <f ca="1">[1]Prices!P$26</f>
        <v>68.341643330825832</v>
      </c>
      <c r="S83">
        <f ca="1">[1]Prices!Q$26</f>
        <v>100.32134973994673</v>
      </c>
      <c r="T83">
        <f ca="1">[1]Prices!R$26</f>
        <v>82.639006798408047</v>
      </c>
      <c r="U83">
        <f ca="1">[1]Prices!S$26</f>
        <v>67.75892127087694</v>
      </c>
      <c r="V83">
        <f ca="1">[1]Prices!T$26</f>
        <v>55.57940835560332</v>
      </c>
      <c r="W83">
        <f ca="1">[1]Prices!U$26</f>
        <v>45.789061745779293</v>
      </c>
    </row>
    <row r="84" spans="1:24" x14ac:dyDescent="0.3">
      <c r="A84" t="s">
        <v>50</v>
      </c>
      <c r="B84" t="s">
        <v>4</v>
      </c>
      <c r="C84" t="s">
        <v>15</v>
      </c>
      <c r="D84" t="s">
        <v>51</v>
      </c>
      <c r="G84" t="s">
        <v>17</v>
      </c>
      <c r="H84" t="s">
        <v>23</v>
      </c>
      <c r="I84" t="s">
        <v>22</v>
      </c>
      <c r="K84" t="s">
        <v>20</v>
      </c>
      <c r="L84" t="s">
        <v>21</v>
      </c>
      <c r="M84">
        <f ca="1">[1]Prices!K$26</f>
        <v>0</v>
      </c>
      <c r="N84">
        <f ca="1">[1]Prices!L$26</f>
        <v>0</v>
      </c>
      <c r="O84">
        <f ca="1">[1]Prices!M$26</f>
        <v>0</v>
      </c>
      <c r="P84">
        <f ca="1">[1]Prices!N$26</f>
        <v>0</v>
      </c>
      <c r="Q84">
        <f ca="1">[1]Prices!O$26</f>
        <v>30</v>
      </c>
      <c r="R84">
        <f ca="1">[1]Prices!P$26</f>
        <v>68.341643330825832</v>
      </c>
      <c r="S84">
        <f ca="1">[1]Prices!Q$26</f>
        <v>100.32134973994673</v>
      </c>
      <c r="T84">
        <f ca="1">[1]Prices!R$26</f>
        <v>82.639006798408047</v>
      </c>
      <c r="U84">
        <f ca="1">[1]Prices!S$26</f>
        <v>67.75892127087694</v>
      </c>
      <c r="V84">
        <f ca="1">[1]Prices!T$26</f>
        <v>55.57940835560332</v>
      </c>
      <c r="W84">
        <f ca="1">[1]Prices!U$26</f>
        <v>45.789061745779293</v>
      </c>
    </row>
    <row r="85" spans="1:24" x14ac:dyDescent="0.3">
      <c r="A85" t="s">
        <v>50</v>
      </c>
      <c r="B85" t="s">
        <v>4</v>
      </c>
      <c r="C85" t="s">
        <v>15</v>
      </c>
      <c r="D85" t="s">
        <v>51</v>
      </c>
      <c r="G85" t="s">
        <v>17</v>
      </c>
      <c r="H85" t="s">
        <v>24</v>
      </c>
      <c r="I85" t="s">
        <v>19</v>
      </c>
      <c r="K85" t="s">
        <v>20</v>
      </c>
      <c r="L85" t="s">
        <v>21</v>
      </c>
      <c r="M85">
        <f ca="1">[1]Prices!K$26</f>
        <v>0</v>
      </c>
      <c r="N85">
        <f ca="1">[1]Prices!L$26</f>
        <v>0</v>
      </c>
      <c r="O85">
        <f ca="1">[1]Prices!M$26</f>
        <v>0</v>
      </c>
      <c r="P85">
        <f ca="1">[1]Prices!N$26</f>
        <v>0</v>
      </c>
      <c r="Q85">
        <f ca="1">[1]Prices!O$26</f>
        <v>30</v>
      </c>
      <c r="R85">
        <f ca="1">[1]Prices!P$26</f>
        <v>68.341643330825832</v>
      </c>
      <c r="S85">
        <f ca="1">[1]Prices!Q$26</f>
        <v>100.32134973994673</v>
      </c>
      <c r="T85">
        <f ca="1">[1]Prices!R$26</f>
        <v>82.639006798408047</v>
      </c>
      <c r="U85">
        <f ca="1">[1]Prices!S$26</f>
        <v>67.75892127087694</v>
      </c>
      <c r="V85">
        <f ca="1">[1]Prices!T$26</f>
        <v>55.57940835560332</v>
      </c>
      <c r="W85">
        <f ca="1">[1]Prices!U$26</f>
        <v>45.789061745779293</v>
      </c>
    </row>
    <row r="86" spans="1:24" x14ac:dyDescent="0.3">
      <c r="A86" t="s">
        <v>50</v>
      </c>
      <c r="B86" t="s">
        <v>4</v>
      </c>
      <c r="C86" t="s">
        <v>15</v>
      </c>
      <c r="D86" t="s">
        <v>51</v>
      </c>
      <c r="G86" t="s">
        <v>17</v>
      </c>
      <c r="H86" t="s">
        <v>24</v>
      </c>
      <c r="I86" t="s">
        <v>22</v>
      </c>
      <c r="K86" t="s">
        <v>20</v>
      </c>
      <c r="L86" t="s">
        <v>21</v>
      </c>
      <c r="M86">
        <f ca="1">[1]Prices!K$26</f>
        <v>0</v>
      </c>
      <c r="N86">
        <f ca="1">[1]Prices!L$26</f>
        <v>0</v>
      </c>
      <c r="O86">
        <f ca="1">[1]Prices!M$26</f>
        <v>0</v>
      </c>
      <c r="P86">
        <f ca="1">[1]Prices!N$26</f>
        <v>0</v>
      </c>
      <c r="Q86">
        <f ca="1">[1]Prices!O$26</f>
        <v>30</v>
      </c>
      <c r="R86">
        <f ca="1">[1]Prices!P$26</f>
        <v>68.341643330825832</v>
      </c>
      <c r="S86">
        <f ca="1">[1]Prices!Q$26</f>
        <v>100.32134973994673</v>
      </c>
      <c r="T86">
        <f ca="1">[1]Prices!R$26</f>
        <v>82.639006798408047</v>
      </c>
      <c r="U86">
        <f ca="1">[1]Prices!S$26</f>
        <v>67.75892127087694</v>
      </c>
      <c r="V86">
        <f ca="1">[1]Prices!T$26</f>
        <v>55.57940835560332</v>
      </c>
      <c r="W86">
        <f ca="1">[1]Prices!U$26</f>
        <v>45.789061745779293</v>
      </c>
    </row>
    <row r="87" spans="1:24" x14ac:dyDescent="0.3">
      <c r="A87" t="s">
        <v>52</v>
      </c>
      <c r="B87" t="s">
        <v>5</v>
      </c>
      <c r="C87" t="s">
        <v>15</v>
      </c>
      <c r="D87" t="s">
        <v>16</v>
      </c>
      <c r="E87" t="s">
        <v>53</v>
      </c>
      <c r="G87" t="s">
        <v>54</v>
      </c>
      <c r="H87" t="s">
        <v>23</v>
      </c>
      <c r="I87" t="s">
        <v>19</v>
      </c>
      <c r="K87" t="s">
        <v>20</v>
      </c>
      <c r="L87" t="s">
        <v>55</v>
      </c>
      <c r="M87">
        <v>0</v>
      </c>
      <c r="N87">
        <v>0</v>
      </c>
      <c r="O87">
        <v>0</v>
      </c>
      <c r="P87">
        <v>0</v>
      </c>
      <c r="Q87">
        <v>1.82</v>
      </c>
      <c r="R87">
        <f ca="1">Q87-($Q87*0.02)*3</f>
        <v>1.7108000000000001</v>
      </c>
      <c r="S87">
        <f ca="1">R87-($Q87*0.02)*5</f>
        <v>1.5288000000000002</v>
      </c>
      <c r="T87">
        <f ca="1">S87</f>
        <v>1.5288000000000002</v>
      </c>
      <c r="U87">
        <f ca="1">T87</f>
        <v>1.5288000000000002</v>
      </c>
      <c r="V87">
        <f ca="1">U87</f>
        <v>1.5288000000000002</v>
      </c>
      <c r="W87">
        <f ca="1">V87</f>
        <v>1.5288000000000002</v>
      </c>
      <c r="X87" t="s">
        <v>56</v>
      </c>
    </row>
    <row r="88" spans="1:24" x14ac:dyDescent="0.3">
      <c r="A88" t="s">
        <v>57</v>
      </c>
      <c r="B88" t="s">
        <v>5</v>
      </c>
      <c r="C88" t="s">
        <v>15</v>
      </c>
      <c r="D88" t="s">
        <v>16</v>
      </c>
      <c r="E88" t="s">
        <v>58</v>
      </c>
      <c r="G88" t="s">
        <v>54</v>
      </c>
      <c r="H88" t="s">
        <v>23</v>
      </c>
      <c r="I88" t="s">
        <v>19</v>
      </c>
      <c r="K88" t="s">
        <v>20</v>
      </c>
      <c r="L88" t="s">
        <v>55</v>
      </c>
      <c r="M88">
        <v>0</v>
      </c>
      <c r="N88">
        <v>0</v>
      </c>
      <c r="O88">
        <v>0</v>
      </c>
      <c r="P88">
        <v>0</v>
      </c>
      <c r="Q88">
        <v>0.16400000000000001</v>
      </c>
      <c r="R88">
        <f ca="1">Q88-($Q88*0.01)*3</f>
        <v>0.15908</v>
      </c>
      <c r="S88">
        <f ca="1">R88-($Q88*0.01)*5</f>
        <v>0.15087999999999999</v>
      </c>
      <c r="T88">
        <f ca="1">S88</f>
        <v>0.15087999999999999</v>
      </c>
      <c r="U88">
        <f ca="1">T88</f>
        <v>0.15087999999999999</v>
      </c>
      <c r="V88">
        <f ca="1">U88</f>
        <v>0.15087999999999999</v>
      </c>
      <c r="W88">
        <f ca="1">V88</f>
        <v>0.15087999999999999</v>
      </c>
      <c r="X88" t="s">
        <v>56</v>
      </c>
    </row>
    <row r="89" spans="1:24" x14ac:dyDescent="0.3">
      <c r="A89" t="s">
        <v>59</v>
      </c>
      <c r="B89" t="s">
        <v>5</v>
      </c>
      <c r="C89" t="s">
        <v>15</v>
      </c>
      <c r="D89" t="s">
        <v>16</v>
      </c>
      <c r="E89" t="s">
        <v>60</v>
      </c>
      <c r="G89" t="s">
        <v>54</v>
      </c>
      <c r="H89" t="s">
        <v>23</v>
      </c>
      <c r="I89" t="s">
        <v>19</v>
      </c>
      <c r="K89" t="s">
        <v>20</v>
      </c>
      <c r="L89" t="s">
        <v>55</v>
      </c>
      <c r="M89">
        <v>0</v>
      </c>
      <c r="N89">
        <v>0</v>
      </c>
      <c r="O89">
        <v>0</v>
      </c>
      <c r="P89">
        <v>0</v>
      </c>
      <c r="Q89">
        <v>0.69399999999999995</v>
      </c>
      <c r="R89">
        <f ca="1">Q89-($Q89*0.01)*3</f>
        <v>0.67318</v>
      </c>
      <c r="S89">
        <f ca="1">R89-($Q89*0.01)*5</f>
        <v>0.63848000000000005</v>
      </c>
      <c r="T89">
        <f ca="1">S89</f>
        <v>0.63848000000000005</v>
      </c>
      <c r="U89">
        <f ca="1">T89</f>
        <v>0.63848000000000005</v>
      </c>
      <c r="V89">
        <f ca="1">U89</f>
        <v>0.63848000000000005</v>
      </c>
      <c r="W89">
        <f ca="1">V89</f>
        <v>0.63848000000000005</v>
      </c>
      <c r="X89" t="s">
        <v>56</v>
      </c>
    </row>
    <row r="90" spans="1:24" x14ac:dyDescent="0.3">
      <c r="A90" t="s">
        <v>61</v>
      </c>
      <c r="B90" t="s">
        <v>5</v>
      </c>
      <c r="C90" t="s">
        <v>15</v>
      </c>
      <c r="D90" t="s">
        <v>16</v>
      </c>
      <c r="E90" t="s">
        <v>62</v>
      </c>
      <c r="G90" t="s">
        <v>54</v>
      </c>
      <c r="H90" t="s">
        <v>23</v>
      </c>
      <c r="I90" t="s">
        <v>19</v>
      </c>
      <c r="K90" t="s">
        <v>20</v>
      </c>
      <c r="L90" t="s">
        <v>55</v>
      </c>
      <c r="M90">
        <v>0</v>
      </c>
      <c r="N90">
        <v>0</v>
      </c>
      <c r="O90">
        <v>0</v>
      </c>
      <c r="P90">
        <v>0</v>
      </c>
      <c r="Q90">
        <v>0.65200000000000002</v>
      </c>
      <c r="R90">
        <f ca="1">Q90-($Q90*0.01)*3</f>
        <v>0.63244</v>
      </c>
      <c r="S90">
        <f ca="1">R90-($Q90*0.01)*5</f>
        <v>0.59984000000000004</v>
      </c>
      <c r="T90">
        <f ca="1">S90</f>
        <v>0.59984000000000004</v>
      </c>
      <c r="U90">
        <f ca="1">T90</f>
        <v>0.59984000000000004</v>
      </c>
      <c r="V90">
        <f ca="1">U90</f>
        <v>0.59984000000000004</v>
      </c>
      <c r="W90">
        <f ca="1">V90</f>
        <v>0.59984000000000004</v>
      </c>
      <c r="X90" t="s">
        <v>56</v>
      </c>
    </row>
    <row r="91" spans="1:24" x14ac:dyDescent="0.3">
      <c r="A91" t="s">
        <v>25</v>
      </c>
      <c r="B91" t="s">
        <v>5</v>
      </c>
      <c r="C91" t="s">
        <v>15</v>
      </c>
      <c r="D91" t="s">
        <v>26</v>
      </c>
      <c r="E91" t="s">
        <v>27</v>
      </c>
      <c r="G91" t="s">
        <v>54</v>
      </c>
      <c r="H91" t="s">
        <v>23</v>
      </c>
      <c r="I91" t="s">
        <v>19</v>
      </c>
      <c r="K91" t="s">
        <v>20</v>
      </c>
      <c r="L91" t="s">
        <v>63</v>
      </c>
      <c r="M91">
        <v>0</v>
      </c>
      <c r="N91">
        <v>0</v>
      </c>
      <c r="O91">
        <v>0</v>
      </c>
      <c r="P91">
        <v>0</v>
      </c>
      <c r="Q91">
        <v>650</v>
      </c>
      <c r="R91">
        <v>510</v>
      </c>
      <c r="S91">
        <v>370</v>
      </c>
      <c r="T91">
        <f ca="1">S91</f>
        <v>370</v>
      </c>
      <c r="U91">
        <f ca="1">T91</f>
        <v>370</v>
      </c>
      <c r="V91">
        <f ca="1">U91</f>
        <v>370</v>
      </c>
      <c r="W91">
        <f ca="1">V91</f>
        <v>370</v>
      </c>
      <c r="X91" t="s">
        <v>56</v>
      </c>
    </row>
    <row r="92" spans="1:24" x14ac:dyDescent="0.3">
      <c r="A92" t="s">
        <v>28</v>
      </c>
      <c r="B92" t="s">
        <v>5</v>
      </c>
      <c r="C92" t="s">
        <v>15</v>
      </c>
      <c r="D92" t="s">
        <v>26</v>
      </c>
      <c r="E92" t="s">
        <v>29</v>
      </c>
      <c r="G92" t="s">
        <v>54</v>
      </c>
      <c r="H92" t="s">
        <v>23</v>
      </c>
      <c r="I92" t="s">
        <v>19</v>
      </c>
      <c r="K92" t="s">
        <v>20</v>
      </c>
      <c r="L92" t="s">
        <v>63</v>
      </c>
      <c r="M92">
        <v>0</v>
      </c>
      <c r="N92">
        <v>0</v>
      </c>
      <c r="O92">
        <v>0</v>
      </c>
      <c r="P92">
        <v>0</v>
      </c>
      <c r="Q92">
        <v>650</v>
      </c>
      <c r="R92">
        <v>510</v>
      </c>
      <c r="S92">
        <v>370</v>
      </c>
      <c r="T92">
        <f ca="1">S92</f>
        <v>370</v>
      </c>
      <c r="U92">
        <f ca="1">T92</f>
        <v>370</v>
      </c>
      <c r="V92">
        <f ca="1">U92</f>
        <v>370</v>
      </c>
      <c r="W92">
        <f ca="1">V92</f>
        <v>370</v>
      </c>
      <c r="X92" t="s">
        <v>56</v>
      </c>
    </row>
    <row r="93" spans="1:24" x14ac:dyDescent="0.3">
      <c r="A93" t="s">
        <v>64</v>
      </c>
      <c r="B93" t="s">
        <v>5</v>
      </c>
      <c r="C93" t="s">
        <v>15</v>
      </c>
      <c r="D93" t="s">
        <v>31</v>
      </c>
      <c r="E93" t="s">
        <v>65</v>
      </c>
      <c r="G93" t="s">
        <v>54</v>
      </c>
      <c r="H93" t="s">
        <v>23</v>
      </c>
      <c r="I93" t="s">
        <v>19</v>
      </c>
      <c r="K93" t="s">
        <v>20</v>
      </c>
      <c r="L93" t="s">
        <v>66</v>
      </c>
      <c r="M93">
        <v>0</v>
      </c>
      <c r="N93">
        <v>0</v>
      </c>
      <c r="O93">
        <v>0</v>
      </c>
      <c r="P93">
        <v>0</v>
      </c>
      <c r="Q93">
        <v>2.4509345794392522E-2</v>
      </c>
      <c r="R93">
        <f ca="1">Q93-($Q93*0.01)*3</f>
        <v>2.3774065420560746E-2</v>
      </c>
      <c r="S93">
        <f ca="1">R93-($Q93*0.01)*5</f>
        <v>2.2548598130841119E-2</v>
      </c>
      <c r="T93">
        <f ca="1">S93</f>
        <v>2.2548598130841119E-2</v>
      </c>
      <c r="U93">
        <f ca="1">T93</f>
        <v>2.2548598130841119E-2</v>
      </c>
      <c r="V93">
        <f ca="1">U93</f>
        <v>2.2548598130841119E-2</v>
      </c>
      <c r="W93">
        <f ca="1">V93</f>
        <v>2.2548598130841119E-2</v>
      </c>
      <c r="X93" t="s">
        <v>56</v>
      </c>
    </row>
    <row r="94" spans="1:24" x14ac:dyDescent="0.3">
      <c r="A94" t="s">
        <v>67</v>
      </c>
      <c r="B94" t="s">
        <v>5</v>
      </c>
      <c r="C94" t="s">
        <v>15</v>
      </c>
      <c r="D94" t="s">
        <v>33</v>
      </c>
      <c r="E94" t="s">
        <v>65</v>
      </c>
      <c r="G94" t="s">
        <v>54</v>
      </c>
      <c r="H94" t="s">
        <v>23</v>
      </c>
      <c r="I94" t="s">
        <v>19</v>
      </c>
      <c r="K94" t="s">
        <v>20</v>
      </c>
      <c r="L94" t="s">
        <v>68</v>
      </c>
      <c r="M94">
        <v>0</v>
      </c>
      <c r="N94">
        <v>0</v>
      </c>
      <c r="O94">
        <v>0</v>
      </c>
      <c r="P94">
        <v>0</v>
      </c>
      <c r="Q94">
        <v>9.8399999999999998E-3</v>
      </c>
      <c r="R94">
        <f ca="1">Q94-($Q94*0.02)*3</f>
        <v>9.2496000000000002E-3</v>
      </c>
      <c r="S94">
        <f ca="1">R94-($Q94*0.02)*5</f>
        <v>8.2655999999999997E-3</v>
      </c>
      <c r="T94">
        <f ca="1">S94</f>
        <v>8.2655999999999997E-3</v>
      </c>
      <c r="U94">
        <f ca="1">T94</f>
        <v>8.2655999999999997E-3</v>
      </c>
      <c r="V94">
        <f ca="1">U94</f>
        <v>8.2655999999999997E-3</v>
      </c>
      <c r="W94">
        <f ca="1">V94</f>
        <v>8.2655999999999997E-3</v>
      </c>
      <c r="X94" t="s">
        <v>56</v>
      </c>
    </row>
    <row r="95" spans="1:24" x14ac:dyDescent="0.3">
      <c r="A95" t="s">
        <v>69</v>
      </c>
      <c r="B95" t="s">
        <v>5</v>
      </c>
      <c r="C95" t="s">
        <v>15</v>
      </c>
      <c r="D95" t="s">
        <v>35</v>
      </c>
      <c r="E95" t="s">
        <v>70</v>
      </c>
      <c r="G95" t="s">
        <v>54</v>
      </c>
      <c r="H95" t="s">
        <v>23</v>
      </c>
      <c r="I95" t="s">
        <v>19</v>
      </c>
      <c r="K95" t="s">
        <v>20</v>
      </c>
      <c r="L95" t="s">
        <v>55</v>
      </c>
      <c r="M95">
        <v>0</v>
      </c>
      <c r="N95">
        <v>0</v>
      </c>
      <c r="O95">
        <v>0</v>
      </c>
      <c r="P95">
        <v>0</v>
      </c>
      <c r="Q95">
        <v>0.223</v>
      </c>
      <c r="R95">
        <f ca="1">Q95-($Q95*0.02)*3</f>
        <v>0.20962</v>
      </c>
      <c r="S95">
        <f ca="1">R95-($Q95*0.02)*5</f>
        <v>0.18731999999999999</v>
      </c>
      <c r="T95">
        <f ca="1">S95</f>
        <v>0.18731999999999999</v>
      </c>
      <c r="U95">
        <f ca="1">T95</f>
        <v>0.18731999999999999</v>
      </c>
      <c r="V95">
        <f ca="1">U95</f>
        <v>0.18731999999999999</v>
      </c>
      <c r="W95">
        <f ca="1">V95</f>
        <v>0.18731999999999999</v>
      </c>
      <c r="X95" t="s">
        <v>56</v>
      </c>
    </row>
    <row r="96" spans="1:24" x14ac:dyDescent="0.3">
      <c r="A96" t="s">
        <v>71</v>
      </c>
      <c r="B96" t="s">
        <v>5</v>
      </c>
      <c r="C96" t="s">
        <v>15</v>
      </c>
      <c r="D96" t="s">
        <v>35</v>
      </c>
      <c r="E96" t="s">
        <v>72</v>
      </c>
      <c r="G96" t="s">
        <v>54</v>
      </c>
      <c r="H96" t="s">
        <v>23</v>
      </c>
      <c r="I96" t="s">
        <v>19</v>
      </c>
      <c r="K96" t="s">
        <v>20</v>
      </c>
      <c r="L96" t="s">
        <v>55</v>
      </c>
      <c r="M96">
        <v>0</v>
      </c>
      <c r="N96">
        <v>0</v>
      </c>
      <c r="O96">
        <v>0</v>
      </c>
      <c r="P96">
        <v>0</v>
      </c>
      <c r="Q96">
        <v>0.73299999999999998</v>
      </c>
      <c r="R96">
        <f ca="1">Q96-($Q96*0.01)*3</f>
        <v>0.71101000000000003</v>
      </c>
      <c r="S96">
        <f ca="1">R96-($Q96*0.01)*5</f>
        <v>0.67436000000000007</v>
      </c>
      <c r="T96">
        <f ca="1">S96</f>
        <v>0.67436000000000007</v>
      </c>
      <c r="U96">
        <f ca="1">T96</f>
        <v>0.67436000000000007</v>
      </c>
      <c r="V96">
        <f ca="1">U96</f>
        <v>0.67436000000000007</v>
      </c>
      <c r="W96">
        <f ca="1">V96</f>
        <v>0.67436000000000007</v>
      </c>
      <c r="X96" t="s">
        <v>56</v>
      </c>
    </row>
    <row r="97" spans="1:24" x14ac:dyDescent="0.3">
      <c r="A97" t="s">
        <v>73</v>
      </c>
      <c r="B97" t="s">
        <v>5</v>
      </c>
      <c r="C97" t="s">
        <v>15</v>
      </c>
      <c r="D97" t="s">
        <v>35</v>
      </c>
      <c r="E97" t="s">
        <v>74</v>
      </c>
      <c r="G97" t="s">
        <v>54</v>
      </c>
      <c r="H97" t="s">
        <v>23</v>
      </c>
      <c r="I97" t="s">
        <v>19</v>
      </c>
      <c r="K97" t="s">
        <v>20</v>
      </c>
      <c r="L97" t="s">
        <v>55</v>
      </c>
      <c r="M97">
        <v>0</v>
      </c>
      <c r="N97">
        <v>0</v>
      </c>
      <c r="O97">
        <v>0</v>
      </c>
      <c r="P97">
        <v>0</v>
      </c>
      <c r="Q97">
        <v>0.79900000000000004</v>
      </c>
      <c r="R97">
        <f ca="1">Q97-($Q97*0.01)*3</f>
        <v>0.77503</v>
      </c>
      <c r="S97">
        <f ca="1">R97-($Q97*0.01)*5</f>
        <v>0.73507999999999996</v>
      </c>
      <c r="T97">
        <f ca="1">S97</f>
        <v>0.73507999999999996</v>
      </c>
      <c r="U97">
        <f ca="1">T97</f>
        <v>0.73507999999999996</v>
      </c>
      <c r="V97">
        <f ca="1">U97</f>
        <v>0.73507999999999996</v>
      </c>
      <c r="W97">
        <f ca="1">V97</f>
        <v>0.73507999999999996</v>
      </c>
      <c r="X97" t="s">
        <v>56</v>
      </c>
    </row>
    <row r="98" spans="1:24" x14ac:dyDescent="0.3">
      <c r="A98" t="s">
        <v>75</v>
      </c>
      <c r="B98" t="s">
        <v>5</v>
      </c>
      <c r="C98" t="s">
        <v>15</v>
      </c>
      <c r="D98" t="s">
        <v>35</v>
      </c>
      <c r="E98" t="s">
        <v>76</v>
      </c>
      <c r="G98" t="s">
        <v>54</v>
      </c>
      <c r="H98" t="s">
        <v>23</v>
      </c>
      <c r="I98" t="s">
        <v>19</v>
      </c>
      <c r="K98" t="s">
        <v>20</v>
      </c>
      <c r="L98" t="s">
        <v>55</v>
      </c>
      <c r="M98">
        <v>0</v>
      </c>
      <c r="N98">
        <v>0</v>
      </c>
      <c r="O98">
        <v>0</v>
      </c>
      <c r="P98">
        <v>0</v>
      </c>
      <c r="Q98">
        <v>0.37</v>
      </c>
      <c r="R98">
        <f ca="1">Q98-($Q98*0.02)*3</f>
        <v>0.3478</v>
      </c>
      <c r="S98">
        <f ca="1">R98-($Q98*0.02)*5</f>
        <v>0.31079999999999997</v>
      </c>
      <c r="T98">
        <f ca="1">S98</f>
        <v>0.31079999999999997</v>
      </c>
      <c r="U98">
        <f ca="1">T98</f>
        <v>0.31079999999999997</v>
      </c>
      <c r="V98">
        <f ca="1">U98</f>
        <v>0.31079999999999997</v>
      </c>
      <c r="W98">
        <f ca="1">V98</f>
        <v>0.31079999999999997</v>
      </c>
      <c r="X98" t="s">
        <v>56</v>
      </c>
    </row>
    <row r="99" spans="1:24" x14ac:dyDescent="0.3">
      <c r="A99" t="s">
        <v>77</v>
      </c>
      <c r="B99" t="s">
        <v>5</v>
      </c>
      <c r="C99" t="s">
        <v>15</v>
      </c>
      <c r="D99" t="s">
        <v>35</v>
      </c>
      <c r="E99" t="s">
        <v>78</v>
      </c>
      <c r="G99" t="s">
        <v>54</v>
      </c>
      <c r="H99" t="s">
        <v>23</v>
      </c>
      <c r="I99" t="s">
        <v>19</v>
      </c>
      <c r="K99" t="s">
        <v>20</v>
      </c>
      <c r="L99" t="s">
        <v>55</v>
      </c>
      <c r="M99">
        <v>0</v>
      </c>
      <c r="N99">
        <v>0</v>
      </c>
      <c r="O99">
        <v>0</v>
      </c>
      <c r="P99">
        <v>0</v>
      </c>
      <c r="Q99">
        <v>1.2</v>
      </c>
      <c r="R99">
        <f ca="1">Q99-($Q99*0.01)*3</f>
        <v>1.1639999999999999</v>
      </c>
      <c r="S99">
        <f ca="1">R99-($Q99*0.01)*5</f>
        <v>1.1039999999999999</v>
      </c>
      <c r="T99">
        <f ca="1">S99</f>
        <v>1.1039999999999999</v>
      </c>
      <c r="U99">
        <f ca="1">T99</f>
        <v>1.1039999999999999</v>
      </c>
      <c r="V99">
        <f ca="1">U99</f>
        <v>1.1039999999999999</v>
      </c>
      <c r="W99">
        <f ca="1">V99</f>
        <v>1.1039999999999999</v>
      </c>
      <c r="X99" t="s">
        <v>56</v>
      </c>
    </row>
    <row r="100" spans="1:24" x14ac:dyDescent="0.3">
      <c r="A100" t="s">
        <v>79</v>
      </c>
      <c r="B100" t="s">
        <v>5</v>
      </c>
      <c r="C100" t="s">
        <v>15</v>
      </c>
      <c r="D100" t="s">
        <v>37</v>
      </c>
      <c r="E100" t="s">
        <v>80</v>
      </c>
      <c r="G100" t="s">
        <v>54</v>
      </c>
      <c r="H100" t="s">
        <v>23</v>
      </c>
      <c r="I100" t="s">
        <v>19</v>
      </c>
      <c r="K100" t="s">
        <v>20</v>
      </c>
      <c r="L100" t="s">
        <v>55</v>
      </c>
      <c r="M100">
        <v>0</v>
      </c>
      <c r="N100">
        <v>0</v>
      </c>
      <c r="O100">
        <v>0</v>
      </c>
      <c r="P100">
        <v>0</v>
      </c>
      <c r="Q100">
        <v>0.16400000000000001</v>
      </c>
      <c r="R100">
        <f ca="1">Q100-($Q100*0.01)*3</f>
        <v>0.15908</v>
      </c>
      <c r="S100">
        <f ca="1">R100-($Q100*0.01)*5</f>
        <v>0.15087999999999999</v>
      </c>
      <c r="T100">
        <f ca="1">S100</f>
        <v>0.15087999999999999</v>
      </c>
      <c r="U100">
        <f ca="1">T100</f>
        <v>0.15087999999999999</v>
      </c>
      <c r="V100">
        <f ca="1">U100</f>
        <v>0.15087999999999999</v>
      </c>
      <c r="W100">
        <f ca="1">V100</f>
        <v>0.15087999999999999</v>
      </c>
      <c r="X100" t="s">
        <v>56</v>
      </c>
    </row>
    <row r="101" spans="1:24" x14ac:dyDescent="0.3">
      <c r="A101" t="s">
        <v>81</v>
      </c>
      <c r="B101" t="s">
        <v>5</v>
      </c>
      <c r="C101" t="s">
        <v>15</v>
      </c>
      <c r="D101" t="s">
        <v>37</v>
      </c>
      <c r="E101" t="s">
        <v>82</v>
      </c>
      <c r="G101" t="s">
        <v>54</v>
      </c>
      <c r="H101" t="s">
        <v>23</v>
      </c>
      <c r="I101" t="s">
        <v>19</v>
      </c>
      <c r="K101" t="s">
        <v>20</v>
      </c>
      <c r="L101" t="s">
        <v>55</v>
      </c>
      <c r="M101">
        <v>0</v>
      </c>
      <c r="N101">
        <v>0</v>
      </c>
      <c r="O101">
        <v>0</v>
      </c>
      <c r="P101">
        <v>0</v>
      </c>
      <c r="Q101">
        <v>0.16400000000000001</v>
      </c>
      <c r="R101">
        <f ca="1">Q101-($Q101*0.01)*3</f>
        <v>0.15908</v>
      </c>
      <c r="S101">
        <f ca="1">R101-($Q101*0.01)*5</f>
        <v>0.15087999999999999</v>
      </c>
      <c r="T101">
        <f ca="1">S101</f>
        <v>0.15087999999999999</v>
      </c>
      <c r="U101">
        <f ca="1">T101</f>
        <v>0.15087999999999999</v>
      </c>
      <c r="V101">
        <f ca="1">U101</f>
        <v>0.15087999999999999</v>
      </c>
      <c r="W101">
        <f ca="1">V101</f>
        <v>0.15087999999999999</v>
      </c>
      <c r="X101" t="s">
        <v>56</v>
      </c>
    </row>
    <row r="102" spans="1:24" x14ac:dyDescent="0.3">
      <c r="A102" t="s">
        <v>83</v>
      </c>
      <c r="B102" t="s">
        <v>5</v>
      </c>
      <c r="C102" t="s">
        <v>15</v>
      </c>
      <c r="D102" t="s">
        <v>37</v>
      </c>
      <c r="E102" t="s">
        <v>84</v>
      </c>
      <c r="G102" t="s">
        <v>54</v>
      </c>
      <c r="H102" t="s">
        <v>23</v>
      </c>
      <c r="I102" t="s">
        <v>19</v>
      </c>
      <c r="K102" t="s">
        <v>20</v>
      </c>
      <c r="L102" t="s">
        <v>55</v>
      </c>
      <c r="M102">
        <v>0</v>
      </c>
      <c r="N102">
        <v>0</v>
      </c>
      <c r="O102">
        <v>0</v>
      </c>
      <c r="P102">
        <v>0</v>
      </c>
      <c r="Q102">
        <v>9.3700000000000006E-2</v>
      </c>
      <c r="R102">
        <f ca="1">Q102-($Q102*0.01)*3</f>
        <v>9.0889000000000011E-2</v>
      </c>
      <c r="S102">
        <f ca="1">R102-($Q102*0.01)*5</f>
        <v>8.6204000000000017E-2</v>
      </c>
      <c r="T102">
        <f ca="1">S102</f>
        <v>8.6204000000000017E-2</v>
      </c>
      <c r="U102">
        <f ca="1">T102</f>
        <v>8.6204000000000017E-2</v>
      </c>
      <c r="V102">
        <f ca="1">U102</f>
        <v>8.6204000000000017E-2</v>
      </c>
      <c r="W102">
        <f ca="1">V102</f>
        <v>8.6204000000000017E-2</v>
      </c>
      <c r="X102" t="s">
        <v>56</v>
      </c>
    </row>
    <row r="103" spans="1:24" x14ac:dyDescent="0.3">
      <c r="A103" t="s">
        <v>85</v>
      </c>
      <c r="B103" t="s">
        <v>5</v>
      </c>
      <c r="C103" t="s">
        <v>15</v>
      </c>
      <c r="D103" t="s">
        <v>37</v>
      </c>
      <c r="E103" t="s">
        <v>86</v>
      </c>
      <c r="G103" t="s">
        <v>54</v>
      </c>
      <c r="H103" t="s">
        <v>23</v>
      </c>
      <c r="I103" t="s">
        <v>19</v>
      </c>
      <c r="K103" t="s">
        <v>20</v>
      </c>
      <c r="L103" t="s">
        <v>55</v>
      </c>
      <c r="M103">
        <v>0</v>
      </c>
      <c r="N103">
        <v>0</v>
      </c>
      <c r="O103">
        <v>0</v>
      </c>
      <c r="P103">
        <v>0</v>
      </c>
      <c r="Q103">
        <v>9.3700000000000006E-2</v>
      </c>
      <c r="R103">
        <f ca="1">Q103-($Q103*0.01)*3</f>
        <v>9.0889000000000011E-2</v>
      </c>
      <c r="S103">
        <f ca="1">R103-($Q103*0.01)*5</f>
        <v>8.6204000000000017E-2</v>
      </c>
      <c r="T103">
        <f ca="1">S103</f>
        <v>8.6204000000000017E-2</v>
      </c>
      <c r="U103">
        <f ca="1">T103</f>
        <v>8.6204000000000017E-2</v>
      </c>
      <c r="V103">
        <f ca="1">U103</f>
        <v>8.6204000000000017E-2</v>
      </c>
      <c r="W103">
        <f ca="1">V103</f>
        <v>8.6204000000000017E-2</v>
      </c>
      <c r="X103" t="s">
        <v>56</v>
      </c>
    </row>
    <row r="104" spans="1:24" x14ac:dyDescent="0.3">
      <c r="A104" t="s">
        <v>87</v>
      </c>
      <c r="B104" t="s">
        <v>5</v>
      </c>
      <c r="C104" t="s">
        <v>15</v>
      </c>
      <c r="D104" t="s">
        <v>37</v>
      </c>
      <c r="E104" t="s">
        <v>88</v>
      </c>
      <c r="G104" t="s">
        <v>54</v>
      </c>
      <c r="H104" t="s">
        <v>23</v>
      </c>
      <c r="I104" t="s">
        <v>19</v>
      </c>
      <c r="K104" t="s">
        <v>20</v>
      </c>
      <c r="L104" t="s">
        <v>55</v>
      </c>
      <c r="M104">
        <v>0</v>
      </c>
      <c r="N104">
        <v>0</v>
      </c>
      <c r="O104">
        <v>0</v>
      </c>
      <c r="P104">
        <v>0</v>
      </c>
      <c r="Q104">
        <v>0.124</v>
      </c>
      <c r="R104">
        <f ca="1">Q104-($Q104*0.01)*3</f>
        <v>0.12028</v>
      </c>
      <c r="S104">
        <f ca="1">R104-($Q104*0.01)*5</f>
        <v>0.11408</v>
      </c>
      <c r="T104">
        <f ca="1">S104</f>
        <v>0.11408</v>
      </c>
      <c r="U104">
        <f ca="1">T104</f>
        <v>0.11408</v>
      </c>
      <c r="V104">
        <f ca="1">U104</f>
        <v>0.11408</v>
      </c>
      <c r="W104">
        <f ca="1">V104</f>
        <v>0.11408</v>
      </c>
      <c r="X104" t="s">
        <v>56</v>
      </c>
    </row>
    <row r="105" spans="1:24" x14ac:dyDescent="0.3">
      <c r="A105" t="s">
        <v>89</v>
      </c>
      <c r="B105" t="s">
        <v>5</v>
      </c>
      <c r="C105" t="s">
        <v>15</v>
      </c>
      <c r="D105" t="s">
        <v>37</v>
      </c>
      <c r="E105" t="s">
        <v>90</v>
      </c>
      <c r="G105" t="s">
        <v>54</v>
      </c>
      <c r="H105" t="s">
        <v>23</v>
      </c>
      <c r="I105" t="s">
        <v>19</v>
      </c>
      <c r="K105" t="s">
        <v>20</v>
      </c>
      <c r="L105" t="s">
        <v>55</v>
      </c>
      <c r="M105">
        <v>0</v>
      </c>
      <c r="N105">
        <v>0</v>
      </c>
      <c r="O105">
        <v>0</v>
      </c>
      <c r="P105">
        <v>0</v>
      </c>
      <c r="Q105">
        <v>9.3700000000000006E-2</v>
      </c>
      <c r="R105">
        <f ca="1">Q105-($Q105*0.01)*3</f>
        <v>9.0889000000000011E-2</v>
      </c>
      <c r="S105">
        <f ca="1">R105-($Q105*0.01)*5</f>
        <v>8.6204000000000017E-2</v>
      </c>
      <c r="T105">
        <f ca="1">S105</f>
        <v>8.6204000000000017E-2</v>
      </c>
      <c r="U105">
        <f ca="1">T105</f>
        <v>8.6204000000000017E-2</v>
      </c>
      <c r="V105">
        <f ca="1">U105</f>
        <v>8.6204000000000017E-2</v>
      </c>
      <c r="W105">
        <f ca="1">V105</f>
        <v>8.6204000000000017E-2</v>
      </c>
      <c r="X105" t="s">
        <v>56</v>
      </c>
    </row>
    <row r="106" spans="1:24" x14ac:dyDescent="0.3">
      <c r="A106" t="s">
        <v>91</v>
      </c>
      <c r="B106" t="s">
        <v>5</v>
      </c>
      <c r="C106" t="s">
        <v>15</v>
      </c>
      <c r="D106" t="s">
        <v>39</v>
      </c>
      <c r="E106" t="s">
        <v>92</v>
      </c>
      <c r="G106" t="s">
        <v>54</v>
      </c>
      <c r="H106" t="s">
        <v>23</v>
      </c>
      <c r="I106" t="s">
        <v>19</v>
      </c>
      <c r="K106" t="s">
        <v>20</v>
      </c>
      <c r="L106" t="s">
        <v>55</v>
      </c>
      <c r="M106">
        <v>0</v>
      </c>
      <c r="N106">
        <v>0</v>
      </c>
      <c r="O106">
        <v>0</v>
      </c>
      <c r="P106">
        <v>0</v>
      </c>
      <c r="Q106">
        <v>0.05</v>
      </c>
      <c r="R106">
        <f ca="1">Q106-($Q106*0.02)*3</f>
        <v>4.7E-2</v>
      </c>
      <c r="S106">
        <f ca="1">R106-($Q106*0.02)*5</f>
        <v>4.2000000000000003E-2</v>
      </c>
      <c r="T106">
        <f ca="1">S106</f>
        <v>4.2000000000000003E-2</v>
      </c>
      <c r="U106">
        <f ca="1">T106</f>
        <v>4.2000000000000003E-2</v>
      </c>
      <c r="V106">
        <f ca="1">U106</f>
        <v>4.2000000000000003E-2</v>
      </c>
      <c r="W106">
        <f ca="1">V106</f>
        <v>4.2000000000000003E-2</v>
      </c>
      <c r="X106" t="s">
        <v>56</v>
      </c>
    </row>
    <row r="107" spans="1:24" x14ac:dyDescent="0.3">
      <c r="A107" t="s">
        <v>93</v>
      </c>
      <c r="B107" t="s">
        <v>5</v>
      </c>
      <c r="C107" t="s">
        <v>15</v>
      </c>
      <c r="D107" t="s">
        <v>39</v>
      </c>
      <c r="E107" t="s">
        <v>94</v>
      </c>
      <c r="G107" t="s">
        <v>54</v>
      </c>
      <c r="H107" t="s">
        <v>23</v>
      </c>
      <c r="I107" t="s">
        <v>19</v>
      </c>
      <c r="K107" t="s">
        <v>20</v>
      </c>
      <c r="L107" t="s">
        <v>55</v>
      </c>
      <c r="M107">
        <v>0</v>
      </c>
      <c r="N107">
        <v>0</v>
      </c>
      <c r="O107">
        <v>0</v>
      </c>
      <c r="P107">
        <v>0</v>
      </c>
      <c r="Q107">
        <v>0.22500000000000001</v>
      </c>
      <c r="R107">
        <f ca="1">Q107-($Q107*0.02)*3</f>
        <v>0.21149999999999999</v>
      </c>
      <c r="S107">
        <f ca="1">R107-($Q107*0.02)*5</f>
        <v>0.189</v>
      </c>
      <c r="T107">
        <f ca="1">S107</f>
        <v>0.189</v>
      </c>
      <c r="U107">
        <f ca="1">T107</f>
        <v>0.189</v>
      </c>
      <c r="V107">
        <f ca="1">U107</f>
        <v>0.189</v>
      </c>
      <c r="W107">
        <f ca="1">V107</f>
        <v>0.189</v>
      </c>
      <c r="X107" t="s">
        <v>56</v>
      </c>
    </row>
    <row r="108" spans="1:24" x14ac:dyDescent="0.3">
      <c r="A108" t="s">
        <v>95</v>
      </c>
      <c r="B108" t="s">
        <v>5</v>
      </c>
      <c r="C108" t="s">
        <v>15</v>
      </c>
      <c r="D108" t="s">
        <v>39</v>
      </c>
      <c r="E108" t="s">
        <v>96</v>
      </c>
      <c r="G108" t="s">
        <v>54</v>
      </c>
      <c r="H108" t="s">
        <v>23</v>
      </c>
      <c r="I108" t="s">
        <v>19</v>
      </c>
      <c r="K108" t="s">
        <v>20</v>
      </c>
      <c r="L108" t="s">
        <v>55</v>
      </c>
      <c r="M108">
        <v>0</v>
      </c>
      <c r="N108">
        <v>0</v>
      </c>
      <c r="O108">
        <v>0</v>
      </c>
      <c r="P108">
        <v>0</v>
      </c>
      <c r="Q108">
        <v>0.11803278688524589</v>
      </c>
      <c r="R108">
        <f ca="1">Q108-($Q108*0.02)*3</f>
        <v>0.11095081967213113</v>
      </c>
      <c r="S108">
        <f ca="1">R108-($Q108*0.02)*5</f>
        <v>9.914754098360655E-2</v>
      </c>
      <c r="T108">
        <f ca="1">S108</f>
        <v>9.914754098360655E-2</v>
      </c>
      <c r="U108">
        <f ca="1">T108</f>
        <v>9.914754098360655E-2</v>
      </c>
      <c r="V108">
        <f ca="1">U108</f>
        <v>9.914754098360655E-2</v>
      </c>
      <c r="W108">
        <f ca="1">V108</f>
        <v>9.914754098360655E-2</v>
      </c>
      <c r="X108" t="s">
        <v>56</v>
      </c>
    </row>
    <row r="109" spans="1:24" x14ac:dyDescent="0.3">
      <c r="A109" t="s">
        <v>97</v>
      </c>
      <c r="B109" t="s">
        <v>5</v>
      </c>
      <c r="C109" t="s">
        <v>15</v>
      </c>
      <c r="D109" t="s">
        <v>39</v>
      </c>
      <c r="E109" t="s">
        <v>98</v>
      </c>
      <c r="G109" t="s">
        <v>54</v>
      </c>
      <c r="H109" t="s">
        <v>23</v>
      </c>
      <c r="I109" t="s">
        <v>19</v>
      </c>
      <c r="K109" t="s">
        <v>20</v>
      </c>
      <c r="L109" t="s">
        <v>55</v>
      </c>
      <c r="M109">
        <v>0</v>
      </c>
      <c r="N109">
        <v>0</v>
      </c>
      <c r="O109">
        <v>0</v>
      </c>
      <c r="P109">
        <v>0</v>
      </c>
      <c r="Q109">
        <v>0.10784615384615384</v>
      </c>
      <c r="R109">
        <f ca="1">Q109-($Q109*0.02)*3</f>
        <v>0.10137538461538462</v>
      </c>
      <c r="S109">
        <f ca="1">R109-($Q109*0.02)*5</f>
        <v>9.0590769230769239E-2</v>
      </c>
      <c r="T109">
        <f ca="1">S109</f>
        <v>9.0590769230769239E-2</v>
      </c>
      <c r="U109">
        <f ca="1">T109</f>
        <v>9.0590769230769239E-2</v>
      </c>
      <c r="V109">
        <f ca="1">U109</f>
        <v>9.0590769230769239E-2</v>
      </c>
      <c r="W109">
        <f ca="1">V109</f>
        <v>9.0590769230769239E-2</v>
      </c>
      <c r="X109" t="s">
        <v>56</v>
      </c>
    </row>
    <row r="110" spans="1:24" x14ac:dyDescent="0.3">
      <c r="A110" t="s">
        <v>99</v>
      </c>
      <c r="B110" t="s">
        <v>5</v>
      </c>
      <c r="C110" t="s">
        <v>15</v>
      </c>
      <c r="D110" t="s">
        <v>41</v>
      </c>
      <c r="E110" t="s">
        <v>100</v>
      </c>
      <c r="G110" t="s">
        <v>54</v>
      </c>
      <c r="H110" t="s">
        <v>23</v>
      </c>
      <c r="I110" t="s">
        <v>19</v>
      </c>
      <c r="K110" t="s">
        <v>20</v>
      </c>
      <c r="L110" t="s">
        <v>55</v>
      </c>
      <c r="M110">
        <v>0</v>
      </c>
      <c r="N110">
        <v>0</v>
      </c>
      <c r="O110">
        <v>0</v>
      </c>
      <c r="P110">
        <v>0</v>
      </c>
      <c r="Q110">
        <v>1.58</v>
      </c>
      <c r="R110">
        <f ca="1">Q110-($Q110*0.02)*3</f>
        <v>1.4852000000000001</v>
      </c>
      <c r="S110">
        <f ca="1">R110-($Q110*0.02)*5</f>
        <v>1.3271999999999999</v>
      </c>
      <c r="T110">
        <f ca="1">S110</f>
        <v>1.3271999999999999</v>
      </c>
      <c r="U110">
        <f ca="1">T110</f>
        <v>1.3271999999999999</v>
      </c>
      <c r="V110">
        <f ca="1">U110</f>
        <v>1.3271999999999999</v>
      </c>
      <c r="W110">
        <f ca="1">V110</f>
        <v>1.3271999999999999</v>
      </c>
      <c r="X110" t="s">
        <v>56</v>
      </c>
    </row>
    <row r="111" spans="1:24" x14ac:dyDescent="0.3">
      <c r="A111" t="s">
        <v>101</v>
      </c>
      <c r="B111" t="s">
        <v>5</v>
      </c>
      <c r="C111" t="s">
        <v>15</v>
      </c>
      <c r="D111" t="s">
        <v>41</v>
      </c>
      <c r="E111" t="s">
        <v>102</v>
      </c>
      <c r="G111" t="s">
        <v>54</v>
      </c>
      <c r="H111" t="s">
        <v>23</v>
      </c>
      <c r="I111" t="s">
        <v>19</v>
      </c>
      <c r="K111" t="s">
        <v>20</v>
      </c>
      <c r="L111" t="s">
        <v>55</v>
      </c>
      <c r="M111">
        <v>0</v>
      </c>
      <c r="N111">
        <v>0</v>
      </c>
      <c r="O111">
        <v>0</v>
      </c>
      <c r="P111">
        <v>0</v>
      </c>
      <c r="Q111">
        <v>0.32800000000000001</v>
      </c>
      <c r="R111">
        <f ca="1">Q111-($Q111*0.02)*3</f>
        <v>0.30832000000000004</v>
      </c>
      <c r="S111">
        <f ca="1">R111-($Q111*0.02)*5</f>
        <v>0.27552000000000004</v>
      </c>
      <c r="T111">
        <f ca="1">S111</f>
        <v>0.27552000000000004</v>
      </c>
      <c r="U111">
        <f ca="1">T111</f>
        <v>0.27552000000000004</v>
      </c>
      <c r="V111">
        <f ca="1">U111</f>
        <v>0.27552000000000004</v>
      </c>
      <c r="W111">
        <f ca="1">V111</f>
        <v>0.27552000000000004</v>
      </c>
      <c r="X111" t="s">
        <v>56</v>
      </c>
    </row>
    <row r="112" spans="1:24" x14ac:dyDescent="0.3">
      <c r="A112" t="s">
        <v>103</v>
      </c>
      <c r="B112" t="s">
        <v>5</v>
      </c>
      <c r="C112" t="s">
        <v>15</v>
      </c>
      <c r="D112" t="s">
        <v>41</v>
      </c>
      <c r="E112" t="s">
        <v>104</v>
      </c>
      <c r="G112" t="s">
        <v>54</v>
      </c>
      <c r="H112" t="s">
        <v>23</v>
      </c>
      <c r="I112" t="s">
        <v>19</v>
      </c>
      <c r="K112" t="s">
        <v>20</v>
      </c>
      <c r="L112" t="s">
        <v>55</v>
      </c>
      <c r="M112">
        <v>0</v>
      </c>
      <c r="N112">
        <v>0</v>
      </c>
      <c r="O112">
        <v>0</v>
      </c>
      <c r="P112">
        <v>0</v>
      </c>
      <c r="Q112">
        <v>1.7</v>
      </c>
      <c r="R112">
        <f ca="1">Q112-($Q112*0.02)*3</f>
        <v>1.5979999999999999</v>
      </c>
      <c r="S112">
        <f ca="1">R112-($Q112*0.02)*5</f>
        <v>1.4279999999999999</v>
      </c>
      <c r="T112">
        <f ca="1">S112</f>
        <v>1.4279999999999999</v>
      </c>
      <c r="U112">
        <f ca="1">T112</f>
        <v>1.4279999999999999</v>
      </c>
      <c r="V112">
        <f ca="1">U112</f>
        <v>1.4279999999999999</v>
      </c>
      <c r="W112">
        <f ca="1">V112</f>
        <v>1.4279999999999999</v>
      </c>
      <c r="X112" t="s">
        <v>56</v>
      </c>
    </row>
    <row r="113" spans="1:24" x14ac:dyDescent="0.3">
      <c r="A113" t="s">
        <v>105</v>
      </c>
      <c r="B113" t="s">
        <v>5</v>
      </c>
      <c r="C113" t="s">
        <v>15</v>
      </c>
      <c r="D113" t="s">
        <v>41</v>
      </c>
      <c r="E113" t="s">
        <v>106</v>
      </c>
      <c r="G113" t="s">
        <v>54</v>
      </c>
      <c r="H113" t="s">
        <v>23</v>
      </c>
      <c r="I113" t="s">
        <v>19</v>
      </c>
      <c r="K113" t="s">
        <v>20</v>
      </c>
      <c r="L113" t="s">
        <v>55</v>
      </c>
      <c r="M113">
        <v>0</v>
      </c>
      <c r="N113">
        <v>0</v>
      </c>
      <c r="O113">
        <v>0</v>
      </c>
      <c r="P113">
        <v>0</v>
      </c>
      <c r="Q113">
        <v>0.18099999999999999</v>
      </c>
      <c r="R113">
        <f ca="1">Q113-($Q113*0.02)*3</f>
        <v>0.17013999999999999</v>
      </c>
      <c r="S113">
        <f ca="1">R113-($Q113*0.02)*5</f>
        <v>0.15203999999999998</v>
      </c>
      <c r="T113">
        <f ca="1">S113</f>
        <v>0.15203999999999998</v>
      </c>
      <c r="U113">
        <f ca="1">T113</f>
        <v>0.15203999999999998</v>
      </c>
      <c r="V113">
        <f ca="1">U113</f>
        <v>0.15203999999999998</v>
      </c>
      <c r="W113">
        <f ca="1">V113</f>
        <v>0.15203999999999998</v>
      </c>
      <c r="X113" t="s">
        <v>56</v>
      </c>
    </row>
    <row r="114" spans="1:24" x14ac:dyDescent="0.3">
      <c r="A114" t="s">
        <v>107</v>
      </c>
      <c r="B114" t="s">
        <v>5</v>
      </c>
      <c r="C114" t="s">
        <v>15</v>
      </c>
      <c r="D114" t="s">
        <v>41</v>
      </c>
      <c r="E114" t="s">
        <v>104</v>
      </c>
      <c r="G114" t="s">
        <v>54</v>
      </c>
      <c r="H114" t="s">
        <v>23</v>
      </c>
      <c r="I114" t="s">
        <v>19</v>
      </c>
      <c r="K114" t="s">
        <v>20</v>
      </c>
      <c r="L114" t="s">
        <v>55</v>
      </c>
      <c r="M114">
        <v>0</v>
      </c>
      <c r="N114">
        <v>0</v>
      </c>
      <c r="O114">
        <v>0</v>
      </c>
      <c r="P114">
        <v>0</v>
      </c>
      <c r="Q114">
        <v>1.7</v>
      </c>
      <c r="R114">
        <f ca="1">Q114-($Q114*0.02)*3</f>
        <v>1.5979999999999999</v>
      </c>
      <c r="S114">
        <f ca="1">R114-($Q114*0.02)*5</f>
        <v>1.4279999999999999</v>
      </c>
      <c r="T114">
        <f ca="1">S114</f>
        <v>1.4279999999999999</v>
      </c>
      <c r="U114">
        <f ca="1">T114</f>
        <v>1.4279999999999999</v>
      </c>
      <c r="V114">
        <f ca="1">U114</f>
        <v>1.4279999999999999</v>
      </c>
      <c r="W114">
        <f ca="1">V114</f>
        <v>1.4279999999999999</v>
      </c>
      <c r="X114" t="s">
        <v>56</v>
      </c>
    </row>
    <row r="115" spans="1:24" x14ac:dyDescent="0.3">
      <c r="A115" t="s">
        <v>108</v>
      </c>
      <c r="B115" t="s">
        <v>5</v>
      </c>
      <c r="C115" t="s">
        <v>15</v>
      </c>
      <c r="D115" t="s">
        <v>41</v>
      </c>
      <c r="E115" t="s">
        <v>106</v>
      </c>
      <c r="G115" t="s">
        <v>54</v>
      </c>
      <c r="H115" t="s">
        <v>23</v>
      </c>
      <c r="I115" t="s">
        <v>19</v>
      </c>
      <c r="K115" t="s">
        <v>20</v>
      </c>
      <c r="L115" t="s">
        <v>55</v>
      </c>
      <c r="M115">
        <v>0</v>
      </c>
      <c r="N115">
        <v>0</v>
      </c>
      <c r="O115">
        <v>0</v>
      </c>
      <c r="P115">
        <v>0</v>
      </c>
      <c r="Q115">
        <v>0.84299999999999997</v>
      </c>
      <c r="R115">
        <f ca="1">Q115-($Q115*0.02)*3</f>
        <v>0.79242000000000001</v>
      </c>
      <c r="S115">
        <f ca="1">R115-($Q115*0.02)*5</f>
        <v>0.70811999999999997</v>
      </c>
      <c r="T115">
        <f ca="1">S115</f>
        <v>0.70811999999999997</v>
      </c>
      <c r="U115">
        <f ca="1">T115</f>
        <v>0.70811999999999997</v>
      </c>
      <c r="V115">
        <f ca="1">U115</f>
        <v>0.70811999999999997</v>
      </c>
      <c r="W115">
        <f ca="1">V115</f>
        <v>0.70811999999999997</v>
      </c>
      <c r="X115" t="s">
        <v>56</v>
      </c>
    </row>
    <row r="116" spans="1:24" x14ac:dyDescent="0.3">
      <c r="A116" t="s">
        <v>109</v>
      </c>
      <c r="B116" t="s">
        <v>5</v>
      </c>
      <c r="C116" t="s">
        <v>15</v>
      </c>
      <c r="D116" t="s">
        <v>41</v>
      </c>
      <c r="E116" t="s">
        <v>104</v>
      </c>
      <c r="G116" t="s">
        <v>54</v>
      </c>
      <c r="H116" t="s">
        <v>23</v>
      </c>
      <c r="I116" t="s">
        <v>19</v>
      </c>
      <c r="K116" t="s">
        <v>20</v>
      </c>
      <c r="L116" t="s">
        <v>55</v>
      </c>
      <c r="M116">
        <v>0</v>
      </c>
      <c r="N116">
        <v>0</v>
      </c>
      <c r="O116">
        <v>0</v>
      </c>
      <c r="P116">
        <v>0</v>
      </c>
      <c r="Q116">
        <v>1.7</v>
      </c>
      <c r="R116">
        <f ca="1">Q116-($Q116*0.02)*3</f>
        <v>1.5979999999999999</v>
      </c>
      <c r="S116">
        <f ca="1">R116-($Q116*0.02)*5</f>
        <v>1.4279999999999999</v>
      </c>
      <c r="T116">
        <f ca="1">S116</f>
        <v>1.4279999999999999</v>
      </c>
      <c r="U116">
        <f ca="1">T116</f>
        <v>1.4279999999999999</v>
      </c>
      <c r="V116">
        <f ca="1">U116</f>
        <v>1.4279999999999999</v>
      </c>
      <c r="W116">
        <f ca="1">V116</f>
        <v>1.4279999999999999</v>
      </c>
      <c r="X116" t="s">
        <v>56</v>
      </c>
    </row>
    <row r="117" spans="1:24" x14ac:dyDescent="0.3">
      <c r="A117" t="s">
        <v>110</v>
      </c>
      <c r="B117" t="s">
        <v>5</v>
      </c>
      <c r="C117" t="s">
        <v>15</v>
      </c>
      <c r="D117" t="s">
        <v>41</v>
      </c>
      <c r="E117" t="s">
        <v>106</v>
      </c>
      <c r="G117" t="s">
        <v>54</v>
      </c>
      <c r="H117" t="s">
        <v>23</v>
      </c>
      <c r="I117" t="s">
        <v>19</v>
      </c>
      <c r="K117" t="s">
        <v>20</v>
      </c>
      <c r="L117" t="s">
        <v>55</v>
      </c>
      <c r="M117">
        <v>0</v>
      </c>
      <c r="N117">
        <v>0</v>
      </c>
      <c r="O117">
        <v>0</v>
      </c>
      <c r="P117">
        <v>0</v>
      </c>
      <c r="Q117">
        <v>0.85599999999999998</v>
      </c>
      <c r="R117">
        <f ca="1">Q117-($Q117*0.02)*3</f>
        <v>0.80464000000000002</v>
      </c>
      <c r="S117">
        <f ca="1">R117-($Q117*0.02)*5</f>
        <v>0.71904000000000001</v>
      </c>
      <c r="T117">
        <f ca="1">S117</f>
        <v>0.71904000000000001</v>
      </c>
      <c r="U117">
        <f ca="1">T117</f>
        <v>0.71904000000000001</v>
      </c>
      <c r="V117">
        <f ca="1">U117</f>
        <v>0.71904000000000001</v>
      </c>
      <c r="W117">
        <f ca="1">V117</f>
        <v>0.71904000000000001</v>
      </c>
      <c r="X117" t="s">
        <v>56</v>
      </c>
    </row>
    <row r="118" spans="1:24" x14ac:dyDescent="0.3">
      <c r="A118" t="s">
        <v>111</v>
      </c>
      <c r="B118" t="s">
        <v>5</v>
      </c>
      <c r="C118" t="s">
        <v>15</v>
      </c>
      <c r="D118" t="s">
        <v>43</v>
      </c>
      <c r="E118" t="s">
        <v>112</v>
      </c>
      <c r="G118" t="s">
        <v>54</v>
      </c>
      <c r="H118" t="s">
        <v>23</v>
      </c>
      <c r="I118" t="s">
        <v>19</v>
      </c>
      <c r="K118" t="s">
        <v>20</v>
      </c>
      <c r="L118" t="s">
        <v>55</v>
      </c>
      <c r="M118">
        <v>0</v>
      </c>
      <c r="N118">
        <v>0</v>
      </c>
      <c r="O118">
        <v>0</v>
      </c>
      <c r="P118">
        <v>0</v>
      </c>
      <c r="Q118">
        <v>0.64300000000000002</v>
      </c>
      <c r="R118">
        <f ca="1">Q118-($Q118*0.02)*3</f>
        <v>0.60441999999999996</v>
      </c>
      <c r="S118">
        <f ca="1">R118-($Q118*0.02)*5</f>
        <v>0.54011999999999993</v>
      </c>
      <c r="T118">
        <f ca="1">S118</f>
        <v>0.54011999999999993</v>
      </c>
      <c r="U118">
        <f ca="1">T118</f>
        <v>0.54011999999999993</v>
      </c>
      <c r="V118">
        <f ca="1">U118</f>
        <v>0.54011999999999993</v>
      </c>
      <c r="W118">
        <f ca="1">V118</f>
        <v>0.54011999999999993</v>
      </c>
      <c r="X118" t="s">
        <v>56</v>
      </c>
    </row>
    <row r="119" spans="1:24" x14ac:dyDescent="0.3">
      <c r="A119" t="s">
        <v>113</v>
      </c>
      <c r="B119" t="s">
        <v>5</v>
      </c>
      <c r="C119" t="s">
        <v>15</v>
      </c>
      <c r="D119" t="s">
        <v>43</v>
      </c>
      <c r="E119" t="s">
        <v>114</v>
      </c>
      <c r="G119" t="s">
        <v>54</v>
      </c>
      <c r="H119" t="s">
        <v>23</v>
      </c>
      <c r="I119" t="s">
        <v>19</v>
      </c>
      <c r="K119" t="s">
        <v>20</v>
      </c>
      <c r="L119" t="s">
        <v>55</v>
      </c>
      <c r="M119">
        <v>0</v>
      </c>
      <c r="N119">
        <v>0</v>
      </c>
      <c r="O119">
        <v>0</v>
      </c>
      <c r="P119">
        <v>0</v>
      </c>
      <c r="Q119">
        <v>0.64300000000000002</v>
      </c>
      <c r="R119">
        <f ca="1">Q119-($Q119*0.02)*3</f>
        <v>0.60441999999999996</v>
      </c>
      <c r="S119">
        <f ca="1">R119-($Q119*0.02)*5</f>
        <v>0.54011999999999993</v>
      </c>
      <c r="T119">
        <f ca="1">S119</f>
        <v>0.54011999999999993</v>
      </c>
      <c r="U119">
        <f ca="1">T119</f>
        <v>0.54011999999999993</v>
      </c>
      <c r="V119">
        <f ca="1">U119</f>
        <v>0.54011999999999993</v>
      </c>
      <c r="W119">
        <f ca="1">V119</f>
        <v>0.54011999999999993</v>
      </c>
      <c r="X119" t="s">
        <v>56</v>
      </c>
    </row>
    <row r="120" spans="1:24" x14ac:dyDescent="0.3">
      <c r="A120" t="s">
        <v>115</v>
      </c>
      <c r="B120" t="s">
        <v>5</v>
      </c>
      <c r="C120" t="s">
        <v>15</v>
      </c>
      <c r="D120" t="s">
        <v>45</v>
      </c>
      <c r="E120" t="s">
        <v>116</v>
      </c>
      <c r="G120" t="s">
        <v>54</v>
      </c>
      <c r="H120" t="s">
        <v>23</v>
      </c>
      <c r="I120" t="s">
        <v>19</v>
      </c>
      <c r="K120" t="s">
        <v>20</v>
      </c>
      <c r="L120" t="s">
        <v>117</v>
      </c>
      <c r="M120">
        <v>0</v>
      </c>
      <c r="N120">
        <v>0</v>
      </c>
      <c r="O120">
        <v>0</v>
      </c>
      <c r="P120">
        <v>0</v>
      </c>
      <c r="Q120">
        <v>0.106</v>
      </c>
      <c r="R120">
        <f ca="1">Q120-($Q120*0.02)*3</f>
        <v>9.9639999999999992E-2</v>
      </c>
      <c r="S120">
        <f ca="1">R120-($Q120*0.02)*5</f>
        <v>8.9039999999999994E-2</v>
      </c>
      <c r="T120">
        <f ca="1">S120</f>
        <v>8.9039999999999994E-2</v>
      </c>
      <c r="U120">
        <f ca="1">T120</f>
        <v>8.9039999999999994E-2</v>
      </c>
      <c r="V120">
        <f ca="1">U120</f>
        <v>8.9039999999999994E-2</v>
      </c>
      <c r="W120">
        <f ca="1">V120</f>
        <v>8.9039999999999994E-2</v>
      </c>
      <c r="X120" t="s">
        <v>56</v>
      </c>
    </row>
    <row r="121" spans="1:24" x14ac:dyDescent="0.3">
      <c r="A121" t="s">
        <v>118</v>
      </c>
      <c r="B121" t="s">
        <v>5</v>
      </c>
      <c r="C121" t="s">
        <v>15</v>
      </c>
      <c r="D121" t="s">
        <v>45</v>
      </c>
      <c r="E121" t="s">
        <v>119</v>
      </c>
      <c r="G121" t="s">
        <v>54</v>
      </c>
      <c r="H121" t="s">
        <v>23</v>
      </c>
      <c r="I121" t="s">
        <v>19</v>
      </c>
      <c r="K121" t="s">
        <v>20</v>
      </c>
      <c r="L121" t="s">
        <v>117</v>
      </c>
      <c r="M121">
        <v>0</v>
      </c>
      <c r="N121">
        <v>0</v>
      </c>
      <c r="O121">
        <v>0</v>
      </c>
      <c r="P121">
        <v>0</v>
      </c>
      <c r="Q121">
        <v>4.1461500000000004</v>
      </c>
      <c r="R121">
        <f ca="1">Q121-($Q121*0.02)*3</f>
        <v>3.8973810000000002</v>
      </c>
      <c r="S121">
        <f ca="1">R121-($Q121*0.02)*5</f>
        <v>3.4827660000000003</v>
      </c>
      <c r="T121">
        <f ca="1">S121</f>
        <v>3.4827660000000003</v>
      </c>
      <c r="U121">
        <f ca="1">T121</f>
        <v>3.4827660000000003</v>
      </c>
      <c r="V121">
        <f ca="1">U121</f>
        <v>3.4827660000000003</v>
      </c>
      <c r="W121">
        <f ca="1">V121</f>
        <v>3.4827660000000003</v>
      </c>
      <c r="X121" t="s">
        <v>56</v>
      </c>
    </row>
    <row r="122" spans="1:24" x14ac:dyDescent="0.3">
      <c r="A122" t="s">
        <v>120</v>
      </c>
      <c r="B122" t="s">
        <v>5</v>
      </c>
      <c r="C122" t="s">
        <v>15</v>
      </c>
      <c r="D122" t="s">
        <v>47</v>
      </c>
      <c r="E122" t="s">
        <v>121</v>
      </c>
      <c r="G122" t="s">
        <v>54</v>
      </c>
      <c r="H122" t="s">
        <v>23</v>
      </c>
      <c r="I122" t="s">
        <v>19</v>
      </c>
      <c r="K122" t="s">
        <v>20</v>
      </c>
      <c r="L122" t="s">
        <v>122</v>
      </c>
      <c r="M122">
        <v>0</v>
      </c>
      <c r="N122">
        <v>0</v>
      </c>
      <c r="O122">
        <v>0</v>
      </c>
      <c r="P122">
        <v>0</v>
      </c>
      <c r="Q122">
        <v>0.10000799120458022</v>
      </c>
      <c r="R122">
        <f ca="1">Q122-($Q122*0.02)*3</f>
        <v>9.4007511732305399E-2</v>
      </c>
      <c r="S122">
        <f ca="1">R122-($Q122*0.02)*5</f>
        <v>8.4006712611847376E-2</v>
      </c>
      <c r="T122">
        <f ca="1">S122</f>
        <v>8.4006712611847376E-2</v>
      </c>
      <c r="U122">
        <f ca="1">T122</f>
        <v>8.4006712611847376E-2</v>
      </c>
      <c r="V122">
        <f ca="1">U122</f>
        <v>8.4006712611847376E-2</v>
      </c>
      <c r="W122">
        <f ca="1">V122</f>
        <v>8.4006712611847376E-2</v>
      </c>
      <c r="X122" t="s">
        <v>56</v>
      </c>
    </row>
    <row r="123" spans="1:24" x14ac:dyDescent="0.3">
      <c r="A123" t="s">
        <v>123</v>
      </c>
      <c r="B123" t="s">
        <v>5</v>
      </c>
      <c r="C123" t="s">
        <v>15</v>
      </c>
      <c r="D123" t="s">
        <v>49</v>
      </c>
      <c r="E123" t="s">
        <v>33</v>
      </c>
      <c r="G123" t="s">
        <v>54</v>
      </c>
      <c r="H123" t="s">
        <v>23</v>
      </c>
      <c r="I123" t="s">
        <v>19</v>
      </c>
      <c r="K123" t="s">
        <v>20</v>
      </c>
      <c r="L123" t="s">
        <v>66</v>
      </c>
      <c r="M123">
        <v>0</v>
      </c>
      <c r="N123">
        <v>0</v>
      </c>
      <c r="O123">
        <v>0</v>
      </c>
      <c r="P123">
        <v>0</v>
      </c>
      <c r="Q123">
        <v>6.9344608879492592E-2</v>
      </c>
      <c r="R123">
        <f ca="1">Q123-($Q123*0.02)*3</f>
        <v>6.5183932346723039E-2</v>
      </c>
      <c r="S123">
        <f ca="1">R123-($Q123*0.02)*5</f>
        <v>5.824947145877378E-2</v>
      </c>
      <c r="T123">
        <f ca="1">S123</f>
        <v>5.824947145877378E-2</v>
      </c>
      <c r="U123">
        <f ca="1">T123</f>
        <v>5.824947145877378E-2</v>
      </c>
      <c r="V123">
        <f ca="1">U123</f>
        <v>5.824947145877378E-2</v>
      </c>
      <c r="W123">
        <f ca="1">V123</f>
        <v>5.824947145877378E-2</v>
      </c>
      <c r="X123" t="s">
        <v>56</v>
      </c>
    </row>
    <row r="124" spans="1:24" x14ac:dyDescent="0.3">
      <c r="A124" t="s">
        <v>124</v>
      </c>
      <c r="B124" t="s">
        <v>5</v>
      </c>
      <c r="C124" t="s">
        <v>15</v>
      </c>
      <c r="D124" t="s">
        <v>49</v>
      </c>
      <c r="E124" t="s">
        <v>125</v>
      </c>
      <c r="G124" t="s">
        <v>54</v>
      </c>
      <c r="H124" t="s">
        <v>23</v>
      </c>
      <c r="I124" t="s">
        <v>19</v>
      </c>
      <c r="K124" t="s">
        <v>20</v>
      </c>
      <c r="L124" t="s">
        <v>122</v>
      </c>
      <c r="M124">
        <v>0</v>
      </c>
      <c r="N124">
        <v>0</v>
      </c>
      <c r="O124">
        <v>0</v>
      </c>
      <c r="P124">
        <v>0</v>
      </c>
      <c r="Q124">
        <v>2.6417205223851374E-2</v>
      </c>
      <c r="R124">
        <f ca="1">Q124-($Q124*0.02)*3</f>
        <v>2.4832172910420291E-2</v>
      </c>
      <c r="S124">
        <f ca="1">R124-($Q124*0.02)*5</f>
        <v>2.2190452388035152E-2</v>
      </c>
      <c r="T124">
        <f ca="1">S124</f>
        <v>2.2190452388035152E-2</v>
      </c>
      <c r="U124">
        <f ca="1">T124</f>
        <v>2.2190452388035152E-2</v>
      </c>
      <c r="V124">
        <f ca="1">U124</f>
        <v>2.2190452388035152E-2</v>
      </c>
      <c r="W124">
        <f ca="1">V124</f>
        <v>2.2190452388035152E-2</v>
      </c>
      <c r="X124" t="s">
        <v>56</v>
      </c>
    </row>
    <row r="125" spans="1:24" x14ac:dyDescent="0.3">
      <c r="A125" t="s">
        <v>126</v>
      </c>
      <c r="B125" t="s">
        <v>5</v>
      </c>
      <c r="C125" t="s">
        <v>15</v>
      </c>
      <c r="D125" t="s">
        <v>49</v>
      </c>
      <c r="E125" t="s">
        <v>127</v>
      </c>
      <c r="G125" t="s">
        <v>54</v>
      </c>
      <c r="H125" t="s">
        <v>23</v>
      </c>
      <c r="I125" t="s">
        <v>19</v>
      </c>
      <c r="K125" t="s">
        <v>20</v>
      </c>
      <c r="L125" t="s">
        <v>122</v>
      </c>
      <c r="M125">
        <v>0</v>
      </c>
      <c r="N125">
        <v>0</v>
      </c>
      <c r="O125">
        <v>0</v>
      </c>
      <c r="P125">
        <v>0</v>
      </c>
      <c r="Q125">
        <v>0.29499999999999998</v>
      </c>
      <c r="R125">
        <f ca="1">Q125-($Q125*0.02)*3</f>
        <v>0.27729999999999999</v>
      </c>
      <c r="S125">
        <f ca="1">R125-($Q125*0.02)*5</f>
        <v>0.24779999999999999</v>
      </c>
      <c r="T125">
        <f ca="1">S125</f>
        <v>0.24779999999999999</v>
      </c>
      <c r="U125">
        <f ca="1">T125</f>
        <v>0.24779999999999999</v>
      </c>
      <c r="V125">
        <f ca="1">U125</f>
        <v>0.24779999999999999</v>
      </c>
      <c r="W125">
        <f ca="1">V125</f>
        <v>0.24779999999999999</v>
      </c>
      <c r="X125" t="s">
        <v>56</v>
      </c>
    </row>
    <row r="126" spans="1:24" x14ac:dyDescent="0.3">
      <c r="A126" t="s">
        <v>128</v>
      </c>
      <c r="B126" t="s">
        <v>5</v>
      </c>
      <c r="C126" t="s">
        <v>15</v>
      </c>
      <c r="D126" t="s">
        <v>51</v>
      </c>
      <c r="E126" t="s">
        <v>129</v>
      </c>
      <c r="G126" t="s">
        <v>54</v>
      </c>
      <c r="H126" t="s">
        <v>23</v>
      </c>
      <c r="I126" t="s">
        <v>19</v>
      </c>
      <c r="K126" t="s">
        <v>20</v>
      </c>
      <c r="L126" t="s">
        <v>55</v>
      </c>
      <c r="M126">
        <v>0</v>
      </c>
      <c r="N126">
        <v>0</v>
      </c>
      <c r="O126">
        <v>0</v>
      </c>
      <c r="P126">
        <v>0</v>
      </c>
      <c r="Q126">
        <v>0.20300000000000001</v>
      </c>
      <c r="R126">
        <f ca="1">Q126-($Q126*0.02)*3</f>
        <v>0.19082000000000002</v>
      </c>
      <c r="S126">
        <f ca="1">R126-($Q126*0.02)*5</f>
        <v>0.17052</v>
      </c>
      <c r="T126">
        <f ca="1">S126</f>
        <v>0.17052</v>
      </c>
      <c r="U126">
        <f ca="1">T126</f>
        <v>0.17052</v>
      </c>
      <c r="V126">
        <f ca="1">U126</f>
        <v>0.17052</v>
      </c>
      <c r="W126">
        <f ca="1">V126</f>
        <v>0.17052</v>
      </c>
      <c r="X126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Bradford Griffin</dc:creator>
  <cp:lastModifiedBy>Bradford Griffin</cp:lastModifiedBy>
  <dcterms:created xsi:type="dcterms:W3CDTF">2025-10-10T18:42:46Z</dcterms:created>
  <dcterms:modified xsi:type="dcterms:W3CDTF">2025-10-10T18:42:46Z</dcterms:modified>
</cp:coreProperties>
</file>