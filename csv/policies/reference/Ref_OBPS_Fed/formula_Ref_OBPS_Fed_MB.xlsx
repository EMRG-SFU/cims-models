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800" windowWidth="51840" windowHeight="211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tabSelected="1" workbookViewId="0">
      <selection activeCell="A1" sqref="A1:X7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CIMS.CAN.MB.Electricity.Utility Generation.Base Load</t>
        </is>
      </c>
      <c r="B3" t="inlineStr">
        <is>
          <t>Sector</t>
        </is>
      </c>
      <c r="C3" t="inlineStr">
        <is>
          <t>MB</t>
        </is>
      </c>
      <c r="D3" t="inlineStr">
        <is>
          <t>Electricity</t>
        </is>
      </c>
      <c r="E3" t="inlineStr">
        <is>
          <t>Base Load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CIMS.CAN.MB.Electricity.Utility Generation.Base Load</t>
        </is>
      </c>
      <c r="B4" t="inlineStr">
        <is>
          <t>Sector</t>
        </is>
      </c>
      <c r="C4" t="inlineStr">
        <is>
          <t>MB</t>
        </is>
      </c>
      <c r="D4" t="inlineStr">
        <is>
          <t>Electricity</t>
        </is>
      </c>
      <c r="E4" t="inlineStr">
        <is>
          <t>Base Load</t>
        </is>
      </c>
      <c r="G4" t="inlineStr">
        <is>
          <t>tax</t>
        </is>
      </c>
      <c r="H4" t="inlineStr">
        <is>
          <t>CO2</t>
        </is>
      </c>
      <c r="I4" t="inlineStr">
        <is>
          <t>Process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CIMS.CAN.MB.Electricity.Utility Generation.Base Load</t>
        </is>
      </c>
      <c r="B5" t="inlineStr">
        <is>
          <t>Sector</t>
        </is>
      </c>
      <c r="C5" t="inlineStr">
        <is>
          <t>MB</t>
        </is>
      </c>
      <c r="D5" t="inlineStr">
        <is>
          <t>Electricity</t>
        </is>
      </c>
      <c r="E5" t="inlineStr">
        <is>
          <t>Base Load</t>
        </is>
      </c>
      <c r="G5" t="inlineStr">
        <is>
          <t>tax</t>
        </is>
      </c>
      <c r="H5" t="inlineStr">
        <is>
          <t>CH4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CIMS.CAN.MB.Electricity.Utility Generation.Base Load</t>
        </is>
      </c>
      <c r="B6" t="inlineStr">
        <is>
          <t>Sector</t>
        </is>
      </c>
      <c r="C6" t="inlineStr">
        <is>
          <t>MB</t>
        </is>
      </c>
      <c r="D6" t="inlineStr">
        <is>
          <t>Electricity</t>
        </is>
      </c>
      <c r="E6" t="inlineStr">
        <is>
          <t>Base Load</t>
        </is>
      </c>
      <c r="G6" t="inlineStr">
        <is>
          <t>tax</t>
        </is>
      </c>
      <c r="H6" t="inlineStr">
        <is>
          <t>CH4</t>
        </is>
      </c>
      <c r="I6" t="inlineStr">
        <is>
          <t>Process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CIMS.CAN.MB.Electricity.Utility Generation.Base Load</t>
        </is>
      </c>
      <c r="B7" t="inlineStr">
        <is>
          <t>Sector</t>
        </is>
      </c>
      <c r="C7" t="inlineStr">
        <is>
          <t>MB</t>
        </is>
      </c>
      <c r="D7" t="inlineStr">
        <is>
          <t>Electricity</t>
        </is>
      </c>
      <c r="E7" t="inlineStr">
        <is>
          <t>Base Load</t>
        </is>
      </c>
      <c r="G7" t="inlineStr">
        <is>
          <t>tax</t>
        </is>
      </c>
      <c r="H7" t="inlineStr">
        <is>
          <t>N2O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CIMS.CAN.MB.Electricity.Utility Generation.Base Load</t>
        </is>
      </c>
      <c r="B8" t="inlineStr">
        <is>
          <t>Sector</t>
        </is>
      </c>
      <c r="C8" t="inlineStr">
        <is>
          <t>MB</t>
        </is>
      </c>
      <c r="D8" t="inlineStr">
        <is>
          <t>Electricity</t>
        </is>
      </c>
      <c r="E8" t="inlineStr">
        <is>
          <t>Base Load</t>
        </is>
      </c>
      <c r="G8" t="inlineStr">
        <is>
          <t>tax</t>
        </is>
      </c>
      <c r="H8" t="inlineStr">
        <is>
          <t>N2O</t>
        </is>
      </c>
      <c r="I8" t="inlineStr">
        <is>
          <t>Process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CIMS.CAN.MB.Electricity.Utility Generation.Shoulder Load</t>
        </is>
      </c>
      <c r="B9" t="inlineStr">
        <is>
          <t>Sector</t>
        </is>
      </c>
      <c r="C9" t="inlineStr">
        <is>
          <t>MB</t>
        </is>
      </c>
      <c r="D9" t="inlineStr">
        <is>
          <t>Electricity</t>
        </is>
      </c>
      <c r="E9" t="inlineStr">
        <is>
          <t>Shoulder Load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CIMS.CAN.MB.Electricity.Utility Generation.Shoulder Load</t>
        </is>
      </c>
      <c r="B10" t="inlineStr">
        <is>
          <t>Sector</t>
        </is>
      </c>
      <c r="C10" t="inlineStr">
        <is>
          <t>MB</t>
        </is>
      </c>
      <c r="D10" t="inlineStr">
        <is>
          <t>Electricity</t>
        </is>
      </c>
      <c r="E10" t="inlineStr">
        <is>
          <t>Shoulder Load</t>
        </is>
      </c>
      <c r="G10" t="inlineStr">
        <is>
          <t>tax</t>
        </is>
      </c>
      <c r="H10" t="inlineStr">
        <is>
          <t>CO2</t>
        </is>
      </c>
      <c r="I10" t="inlineStr">
        <is>
          <t>Process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CIMS.CAN.MB.Electricity.Utility Generation.Shoulder Load</t>
        </is>
      </c>
      <c r="B11" t="inlineStr">
        <is>
          <t>Sector</t>
        </is>
      </c>
      <c r="C11" t="inlineStr">
        <is>
          <t>MB</t>
        </is>
      </c>
      <c r="D11" t="inlineStr">
        <is>
          <t>Electricity</t>
        </is>
      </c>
      <c r="E11" t="inlineStr">
        <is>
          <t>Shoulder Load</t>
        </is>
      </c>
      <c r="G11" t="inlineStr">
        <is>
          <t>tax</t>
        </is>
      </c>
      <c r="H11" t="inlineStr">
        <is>
          <t>CH4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CIMS.CAN.MB.Electricity.Utility Generation.Shoulder Load</t>
        </is>
      </c>
      <c r="B12" t="inlineStr">
        <is>
          <t>Sector</t>
        </is>
      </c>
      <c r="C12" t="inlineStr">
        <is>
          <t>MB</t>
        </is>
      </c>
      <c r="D12" t="inlineStr">
        <is>
          <t>Electricity</t>
        </is>
      </c>
      <c r="E12" t="inlineStr">
        <is>
          <t>Shoulder Load</t>
        </is>
      </c>
      <c r="G12" t="inlineStr">
        <is>
          <t>tax</t>
        </is>
      </c>
      <c r="H12" t="inlineStr">
        <is>
          <t>CH4</t>
        </is>
      </c>
      <c r="I12" t="inlineStr">
        <is>
          <t>Process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CIMS.CAN.MB.Electricity.Utility Generation.Shoulder Load</t>
        </is>
      </c>
      <c r="B13" t="inlineStr">
        <is>
          <t>Sector</t>
        </is>
      </c>
      <c r="C13" t="inlineStr">
        <is>
          <t>MB</t>
        </is>
      </c>
      <c r="D13" t="inlineStr">
        <is>
          <t>Electricity</t>
        </is>
      </c>
      <c r="E13" t="inlineStr">
        <is>
          <t>Shoulder Load</t>
        </is>
      </c>
      <c r="G13" t="inlineStr">
        <is>
          <t>tax</t>
        </is>
      </c>
      <c r="H13" t="inlineStr">
        <is>
          <t>N2O</t>
        </is>
      </c>
      <c r="I13" t="inlineStr">
        <is>
          <t>Combustion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CIMS.CAN.MB.Electricity.Utility Generation.Shoulder Load</t>
        </is>
      </c>
      <c r="B14" t="inlineStr">
        <is>
          <t>Sector</t>
        </is>
      </c>
      <c r="C14" t="inlineStr">
        <is>
          <t>MB</t>
        </is>
      </c>
      <c r="D14" t="inlineStr">
        <is>
          <t>Electricity</t>
        </is>
      </c>
      <c r="E14" t="inlineStr">
        <is>
          <t>Shoulder Load</t>
        </is>
      </c>
      <c r="G14" t="inlineStr">
        <is>
          <t>tax</t>
        </is>
      </c>
      <c r="H14" t="inlineStr">
        <is>
          <t>N2O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CIMS.CAN.MB.Ethanol</t>
        </is>
      </c>
      <c r="B15" t="inlineStr">
        <is>
          <t>Sector</t>
        </is>
      </c>
      <c r="C15" t="inlineStr">
        <is>
          <t>MB</t>
        </is>
      </c>
      <c r="D15" t="inlineStr">
        <is>
          <t>Ethanol</t>
        </is>
      </c>
      <c r="G15" t="inlineStr">
        <is>
          <t>tax</t>
        </is>
      </c>
      <c r="H15" t="inlineStr">
        <is>
          <t>CO2</t>
        </is>
      </c>
      <c r="I15" t="inlineStr">
        <is>
          <t>Combustion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CIMS.CAN.MB.Ethanol</t>
        </is>
      </c>
      <c r="B16" t="inlineStr">
        <is>
          <t>Sector</t>
        </is>
      </c>
      <c r="C16" t="inlineStr">
        <is>
          <t>MB</t>
        </is>
      </c>
      <c r="D16" t="inlineStr">
        <is>
          <t>Ethanol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CIMS.CAN.MB.Ethanol</t>
        </is>
      </c>
      <c r="B17" t="inlineStr">
        <is>
          <t>Sector</t>
        </is>
      </c>
      <c r="C17" t="inlineStr">
        <is>
          <t>MB</t>
        </is>
      </c>
      <c r="D17" t="inlineStr">
        <is>
          <t>Ethanol</t>
        </is>
      </c>
      <c r="G17" t="inlineStr">
        <is>
          <t>tax</t>
        </is>
      </c>
      <c r="H17" t="inlineStr">
        <is>
          <t>CH4</t>
        </is>
      </c>
      <c r="I17" t="inlineStr">
        <is>
          <t>Combustion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CIMS.CAN.MB.Ethanol</t>
        </is>
      </c>
      <c r="B18" t="inlineStr">
        <is>
          <t>Sector</t>
        </is>
      </c>
      <c r="C18" t="inlineStr">
        <is>
          <t>MB</t>
        </is>
      </c>
      <c r="D18" t="inlineStr">
        <is>
          <t>Ethanol</t>
        </is>
      </c>
      <c r="G18" t="inlineStr">
        <is>
          <t>tax</t>
        </is>
      </c>
      <c r="H18" t="inlineStr">
        <is>
          <t>CH4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CIMS.CAN.MB.Ethanol</t>
        </is>
      </c>
      <c r="B19" t="inlineStr">
        <is>
          <t>Sector</t>
        </is>
      </c>
      <c r="C19" t="inlineStr">
        <is>
          <t>MB</t>
        </is>
      </c>
      <c r="D19" t="inlineStr">
        <is>
          <t>Ethanol</t>
        </is>
      </c>
      <c r="G19" t="inlineStr">
        <is>
          <t>tax</t>
        </is>
      </c>
      <c r="H19" t="inlineStr">
        <is>
          <t>N2O</t>
        </is>
      </c>
      <c r="I19" t="inlineStr">
        <is>
          <t>Combustion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CIMS.CAN.MB.Ethanol</t>
        </is>
      </c>
      <c r="B20" t="inlineStr">
        <is>
          <t>Sector</t>
        </is>
      </c>
      <c r="C20" t="inlineStr">
        <is>
          <t>MB</t>
        </is>
      </c>
      <c r="D20" t="inlineStr">
        <is>
          <t>Ethanol</t>
        </is>
      </c>
      <c r="G20" t="inlineStr">
        <is>
          <t>tax</t>
        </is>
      </c>
      <c r="H20" t="inlineStr">
        <is>
          <t>N2O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CIMS.CAN.MB.Hydrogen</t>
        </is>
      </c>
      <c r="B21" t="inlineStr">
        <is>
          <t>Sector</t>
        </is>
      </c>
      <c r="C21" t="inlineStr">
        <is>
          <t>MB</t>
        </is>
      </c>
      <c r="D21" t="inlineStr">
        <is>
          <t>Hydrogen</t>
        </is>
      </c>
      <c r="G21" t="inlineStr">
        <is>
          <t>tax</t>
        </is>
      </c>
      <c r="H21" t="inlineStr">
        <is>
          <t>CO2</t>
        </is>
      </c>
      <c r="I21" t="inlineStr">
        <is>
          <t>Combustion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CIMS.CAN.MB.Hydrogen</t>
        </is>
      </c>
      <c r="B22" t="inlineStr">
        <is>
          <t>Sector</t>
        </is>
      </c>
      <c r="C22" t="inlineStr">
        <is>
          <t>MB</t>
        </is>
      </c>
      <c r="D22" t="inlineStr">
        <is>
          <t>Hydrogen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CIMS.CAN.MB.Hydrogen</t>
        </is>
      </c>
      <c r="B23" t="inlineStr">
        <is>
          <t>Sector</t>
        </is>
      </c>
      <c r="C23" t="inlineStr">
        <is>
          <t>MB</t>
        </is>
      </c>
      <c r="D23" t="inlineStr">
        <is>
          <t>Hydrogen</t>
        </is>
      </c>
      <c r="G23" t="inlineStr">
        <is>
          <t>tax</t>
        </is>
      </c>
      <c r="H23" t="inlineStr">
        <is>
          <t>CH4</t>
        </is>
      </c>
      <c r="I23" t="inlineStr">
        <is>
          <t>Combustion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CIMS.CAN.MB.Hydrogen</t>
        </is>
      </c>
      <c r="B24" t="inlineStr">
        <is>
          <t>Sector</t>
        </is>
      </c>
      <c r="C24" t="inlineStr">
        <is>
          <t>MB</t>
        </is>
      </c>
      <c r="D24" t="inlineStr">
        <is>
          <t>Hydrogen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CIMS.CAN.MB.Hydrogen</t>
        </is>
      </c>
      <c r="B25" t="inlineStr">
        <is>
          <t>Sector</t>
        </is>
      </c>
      <c r="C25" t="inlineStr">
        <is>
          <t>MB</t>
        </is>
      </c>
      <c r="D25" t="inlineStr">
        <is>
          <t>Hydrogen</t>
        </is>
      </c>
      <c r="G25" t="inlineStr">
        <is>
          <t>tax</t>
        </is>
      </c>
      <c r="H25" t="inlineStr">
        <is>
          <t>N2O</t>
        </is>
      </c>
      <c r="I25" t="inlineStr">
        <is>
          <t>Combustion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CIMS.CAN.MB.Hydrogen</t>
        </is>
      </c>
      <c r="B26" t="inlineStr">
        <is>
          <t>Sector</t>
        </is>
      </c>
      <c r="C26" t="inlineStr">
        <is>
          <t>MB</t>
        </is>
      </c>
      <c r="D26" t="inlineStr">
        <is>
          <t>Hydrogen</t>
        </is>
      </c>
      <c r="G26" t="inlineStr">
        <is>
          <t>tax</t>
        </is>
      </c>
      <c r="H26" t="inlineStr">
        <is>
          <t>N2O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CIMS.CAN.MB.Light Industrial</t>
        </is>
      </c>
      <c r="B27" t="inlineStr">
        <is>
          <t>Sector</t>
        </is>
      </c>
      <c r="C27" t="inlineStr">
        <is>
          <t>MB</t>
        </is>
      </c>
      <c r="D27" t="inlineStr">
        <is>
          <t>Light Industrial</t>
        </is>
      </c>
      <c r="G27" t="inlineStr">
        <is>
          <t>tax</t>
        </is>
      </c>
      <c r="H27" t="inlineStr">
        <is>
          <t>CO2</t>
        </is>
      </c>
      <c r="I27" t="inlineStr">
        <is>
          <t>Combustion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CIMS.CAN.MB.Light Industrial</t>
        </is>
      </c>
      <c r="B28" t="inlineStr">
        <is>
          <t>Sector</t>
        </is>
      </c>
      <c r="C28" t="inlineStr">
        <is>
          <t>MB</t>
        </is>
      </c>
      <c r="D28" t="inlineStr">
        <is>
          <t>Light Industrial</t>
        </is>
      </c>
      <c r="G28" t="inlineStr">
        <is>
          <t>tax</t>
        </is>
      </c>
      <c r="H28" t="inlineStr">
        <is>
          <t>CO2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CIMS.CAN.MB.Light Industrial</t>
        </is>
      </c>
      <c r="B29" t="inlineStr">
        <is>
          <t>Sector</t>
        </is>
      </c>
      <c r="C29" t="inlineStr">
        <is>
          <t>MB</t>
        </is>
      </c>
      <c r="D29" t="inlineStr">
        <is>
          <t>Light Industrial</t>
        </is>
      </c>
      <c r="G29" t="inlineStr">
        <is>
          <t>tax</t>
        </is>
      </c>
      <c r="H29" t="inlineStr">
        <is>
          <t>CH4</t>
        </is>
      </c>
      <c r="I29" t="inlineStr">
        <is>
          <t>Combustion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CIMS.CAN.MB.Light Industrial</t>
        </is>
      </c>
      <c r="B30" t="inlineStr">
        <is>
          <t>Sector</t>
        </is>
      </c>
      <c r="C30" t="inlineStr">
        <is>
          <t>MB</t>
        </is>
      </c>
      <c r="D30" t="inlineStr">
        <is>
          <t>Light Industrial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CIMS.CAN.MB.Light Industrial</t>
        </is>
      </c>
      <c r="B31" t="inlineStr">
        <is>
          <t>Sector</t>
        </is>
      </c>
      <c r="C31" t="inlineStr">
        <is>
          <t>MB</t>
        </is>
      </c>
      <c r="D31" t="inlineStr">
        <is>
          <t>Light Industrial</t>
        </is>
      </c>
      <c r="G31" t="inlineStr">
        <is>
          <t>tax</t>
        </is>
      </c>
      <c r="H31" t="inlineStr">
        <is>
          <t>N2O</t>
        </is>
      </c>
      <c r="I31" t="inlineStr">
        <is>
          <t>Combustion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CIMS.CAN.MB.Light Industrial</t>
        </is>
      </c>
      <c r="B32" t="inlineStr">
        <is>
          <t>Sector</t>
        </is>
      </c>
      <c r="C32" t="inlineStr">
        <is>
          <t>MB</t>
        </is>
      </c>
      <c r="D32" t="inlineStr">
        <is>
          <t>Light Industrial</t>
        </is>
      </c>
      <c r="G32" t="inlineStr">
        <is>
          <t>tax</t>
        </is>
      </c>
      <c r="H32" t="inlineStr">
        <is>
          <t>N2O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CIMS.CAN.MB.Metal Smelting</t>
        </is>
      </c>
      <c r="B33" t="inlineStr">
        <is>
          <t>Sector</t>
        </is>
      </c>
      <c r="C33" t="inlineStr">
        <is>
          <t>MB</t>
        </is>
      </c>
      <c r="D33" t="inlineStr">
        <is>
          <t>Metal Smelting</t>
        </is>
      </c>
      <c r="G33" t="inlineStr">
        <is>
          <t>tax</t>
        </is>
      </c>
      <c r="H33" t="inlineStr">
        <is>
          <t>CO2</t>
        </is>
      </c>
      <c r="I33" t="inlineStr">
        <is>
          <t>Combustion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CIMS.CAN.MB.Metal Smelting</t>
        </is>
      </c>
      <c r="B34" t="inlineStr">
        <is>
          <t>Sector</t>
        </is>
      </c>
      <c r="C34" t="inlineStr">
        <is>
          <t>MB</t>
        </is>
      </c>
      <c r="D34" t="inlineStr">
        <is>
          <t>Metal Smelting</t>
        </is>
      </c>
      <c r="G34" t="inlineStr">
        <is>
          <t>tax</t>
        </is>
      </c>
      <c r="H34" t="inlineStr">
        <is>
          <t>CO2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CIMS.CAN.MB.Metal Smelting</t>
        </is>
      </c>
      <c r="B35" t="inlineStr">
        <is>
          <t>Sector</t>
        </is>
      </c>
      <c r="C35" t="inlineStr">
        <is>
          <t>MB</t>
        </is>
      </c>
      <c r="D35" t="inlineStr">
        <is>
          <t>Metal Smelting</t>
        </is>
      </c>
      <c r="G35" t="inlineStr">
        <is>
          <t>tax</t>
        </is>
      </c>
      <c r="H35" t="inlineStr">
        <is>
          <t>CH4</t>
        </is>
      </c>
      <c r="I35" t="inlineStr">
        <is>
          <t>Combustion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CIMS.CAN.MB.Metal Smelting</t>
        </is>
      </c>
      <c r="B36" t="inlineStr">
        <is>
          <t>Sector</t>
        </is>
      </c>
      <c r="C36" t="inlineStr">
        <is>
          <t>MB</t>
        </is>
      </c>
      <c r="D36" t="inlineStr">
        <is>
          <t>Metal Smelting</t>
        </is>
      </c>
      <c r="G36" t="inlineStr">
        <is>
          <t>tax</t>
        </is>
      </c>
      <c r="H36" t="inlineStr">
        <is>
          <t>CH4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CIMS.CAN.MB.Metal Smelting</t>
        </is>
      </c>
      <c r="B37" t="inlineStr">
        <is>
          <t>Sector</t>
        </is>
      </c>
      <c r="C37" t="inlineStr">
        <is>
          <t>MB</t>
        </is>
      </c>
      <c r="D37" t="inlineStr">
        <is>
          <t>Metal Smelting</t>
        </is>
      </c>
      <c r="G37" t="inlineStr">
        <is>
          <t>tax</t>
        </is>
      </c>
      <c r="H37" t="inlineStr">
        <is>
          <t>N2O</t>
        </is>
      </c>
      <c r="I37" t="inlineStr">
        <is>
          <t>Combustion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CIMS.CAN.MB.Metal Smelting</t>
        </is>
      </c>
      <c r="B38" t="inlineStr">
        <is>
          <t>Sector</t>
        </is>
      </c>
      <c r="C38" t="inlineStr">
        <is>
          <t>MB</t>
        </is>
      </c>
      <c r="D38" t="inlineStr">
        <is>
          <t>Metal Smelting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  <row r="39">
      <c r="A39" t="inlineStr">
        <is>
          <t>CIMS.CAN.MB.Mining</t>
        </is>
      </c>
      <c r="B39" t="inlineStr">
        <is>
          <t>Sector</t>
        </is>
      </c>
      <c r="C39" t="inlineStr">
        <is>
          <t>MB</t>
        </is>
      </c>
      <c r="D39" t="inlineStr">
        <is>
          <t>Mining</t>
        </is>
      </c>
      <c r="G39" t="inlineStr">
        <is>
          <t>tax</t>
        </is>
      </c>
      <c r="H39" t="inlineStr">
        <is>
          <t>CO2</t>
        </is>
      </c>
      <c r="I39" t="inlineStr">
        <is>
          <t>Combustion</t>
        </is>
      </c>
      <c r="K39" t="inlineStr">
        <is>
          <t>Govt of Canada</t>
        </is>
      </c>
      <c r="L39" t="inlineStr">
        <is>
          <t>$/tCO2e</t>
        </is>
      </c>
      <c r="M39">
        <f>[1]Prices!K$26</f>
        <v/>
      </c>
      <c r="N39">
        <f>[1]Prices!L$26</f>
        <v/>
      </c>
      <c r="O39">
        <f>[1]Prices!M$26</f>
        <v/>
      </c>
      <c r="P39">
        <f>[1]Prices!N$26</f>
        <v/>
      </c>
      <c r="Q39">
        <f>[1]Prices!O$26</f>
        <v/>
      </c>
      <c r="R39">
        <f>[1]Prices!P$26</f>
        <v/>
      </c>
      <c r="S39">
        <f>[1]Prices!Q$26</f>
        <v/>
      </c>
      <c r="T39">
        <f>[1]Prices!R$26</f>
        <v/>
      </c>
      <c r="U39">
        <f>[1]Prices!S$26</f>
        <v/>
      </c>
      <c r="V39">
        <f>[1]Prices!T$26</f>
        <v/>
      </c>
      <c r="W39">
        <f>[1]Prices!U$26</f>
        <v/>
      </c>
    </row>
    <row r="40">
      <c r="A40" t="inlineStr">
        <is>
          <t>CIMS.CAN.MB.Mining</t>
        </is>
      </c>
      <c r="B40" t="inlineStr">
        <is>
          <t>Sector</t>
        </is>
      </c>
      <c r="C40" t="inlineStr">
        <is>
          <t>MB</t>
        </is>
      </c>
      <c r="D40" t="inlineStr">
        <is>
          <t>Mining</t>
        </is>
      </c>
      <c r="G40" t="inlineStr">
        <is>
          <t>tax</t>
        </is>
      </c>
      <c r="H40" t="inlineStr">
        <is>
          <t>CO2</t>
        </is>
      </c>
      <c r="I40" t="inlineStr">
        <is>
          <t>Process</t>
        </is>
      </c>
      <c r="K40" t="inlineStr">
        <is>
          <t>Govt of Canada</t>
        </is>
      </c>
      <c r="L40" t="inlineStr">
        <is>
          <t>$/tCO2e</t>
        </is>
      </c>
      <c r="M40">
        <f>[1]Prices!K$26</f>
        <v/>
      </c>
      <c r="N40">
        <f>[1]Prices!L$26</f>
        <v/>
      </c>
      <c r="O40">
        <f>[1]Prices!M$26</f>
        <v/>
      </c>
      <c r="P40">
        <f>[1]Prices!N$26</f>
        <v/>
      </c>
      <c r="Q40">
        <f>[1]Prices!O$26</f>
        <v/>
      </c>
      <c r="R40">
        <f>[1]Prices!P$26</f>
        <v/>
      </c>
      <c r="S40">
        <f>[1]Prices!Q$26</f>
        <v/>
      </c>
      <c r="T40">
        <f>[1]Prices!R$26</f>
        <v/>
      </c>
      <c r="U40">
        <f>[1]Prices!S$26</f>
        <v/>
      </c>
      <c r="V40">
        <f>[1]Prices!T$26</f>
        <v/>
      </c>
      <c r="W40">
        <f>[1]Prices!U$26</f>
        <v/>
      </c>
    </row>
    <row r="41">
      <c r="A41" t="inlineStr">
        <is>
          <t>CIMS.CAN.MB.Mining</t>
        </is>
      </c>
      <c r="B41" t="inlineStr">
        <is>
          <t>Sector</t>
        </is>
      </c>
      <c r="C41" t="inlineStr">
        <is>
          <t>MB</t>
        </is>
      </c>
      <c r="D41" t="inlineStr">
        <is>
          <t>Mining</t>
        </is>
      </c>
      <c r="G41" t="inlineStr">
        <is>
          <t>tax</t>
        </is>
      </c>
      <c r="H41" t="inlineStr">
        <is>
          <t>CH4</t>
        </is>
      </c>
      <c r="I41" t="inlineStr">
        <is>
          <t>Combustion</t>
        </is>
      </c>
      <c r="K41" t="inlineStr">
        <is>
          <t>Govt of Canada</t>
        </is>
      </c>
      <c r="L41" t="inlineStr">
        <is>
          <t>$/tCO2e</t>
        </is>
      </c>
      <c r="M41">
        <f>[1]Prices!K$26</f>
        <v/>
      </c>
      <c r="N41">
        <f>[1]Prices!L$26</f>
        <v/>
      </c>
      <c r="O41">
        <f>[1]Prices!M$26</f>
        <v/>
      </c>
      <c r="P41">
        <f>[1]Prices!N$26</f>
        <v/>
      </c>
      <c r="Q41">
        <f>[1]Prices!O$26</f>
        <v/>
      </c>
      <c r="R41">
        <f>[1]Prices!P$26</f>
        <v/>
      </c>
      <c r="S41">
        <f>[1]Prices!Q$26</f>
        <v/>
      </c>
      <c r="T41">
        <f>[1]Prices!R$26</f>
        <v/>
      </c>
      <c r="U41">
        <f>[1]Prices!S$26</f>
        <v/>
      </c>
      <c r="V41">
        <f>[1]Prices!T$26</f>
        <v/>
      </c>
      <c r="W41">
        <f>[1]Prices!U$26</f>
        <v/>
      </c>
    </row>
    <row r="42">
      <c r="A42" t="inlineStr">
        <is>
          <t>CIMS.CAN.MB.Mining</t>
        </is>
      </c>
      <c r="B42" t="inlineStr">
        <is>
          <t>Sector</t>
        </is>
      </c>
      <c r="C42" t="inlineStr">
        <is>
          <t>MB</t>
        </is>
      </c>
      <c r="D42" t="inlineStr">
        <is>
          <t>Mining</t>
        </is>
      </c>
      <c r="G42" t="inlineStr">
        <is>
          <t>tax</t>
        </is>
      </c>
      <c r="H42" t="inlineStr">
        <is>
          <t>CH4</t>
        </is>
      </c>
      <c r="I42" t="inlineStr">
        <is>
          <t>Process</t>
        </is>
      </c>
      <c r="K42" t="inlineStr">
        <is>
          <t>Govt of Canada</t>
        </is>
      </c>
      <c r="L42" t="inlineStr">
        <is>
          <t>$/tCO2e</t>
        </is>
      </c>
      <c r="M42">
        <f>[1]Prices!K$26</f>
        <v/>
      </c>
      <c r="N42">
        <f>[1]Prices!L$26</f>
        <v/>
      </c>
      <c r="O42">
        <f>[1]Prices!M$26</f>
        <v/>
      </c>
      <c r="P42">
        <f>[1]Prices!N$26</f>
        <v/>
      </c>
      <c r="Q42">
        <f>[1]Prices!O$26</f>
        <v/>
      </c>
      <c r="R42">
        <f>[1]Prices!P$26</f>
        <v/>
      </c>
      <c r="S42">
        <f>[1]Prices!Q$26</f>
        <v/>
      </c>
      <c r="T42">
        <f>[1]Prices!R$26</f>
        <v/>
      </c>
      <c r="U42">
        <f>[1]Prices!S$26</f>
        <v/>
      </c>
      <c r="V42">
        <f>[1]Prices!T$26</f>
        <v/>
      </c>
      <c r="W42">
        <f>[1]Prices!U$26</f>
        <v/>
      </c>
    </row>
    <row r="43">
      <c r="A43" t="inlineStr">
        <is>
          <t>CIMS.CAN.MB.Mining</t>
        </is>
      </c>
      <c r="B43" t="inlineStr">
        <is>
          <t>Sector</t>
        </is>
      </c>
      <c r="C43" t="inlineStr">
        <is>
          <t>MB</t>
        </is>
      </c>
      <c r="D43" t="inlineStr">
        <is>
          <t>Mining</t>
        </is>
      </c>
      <c r="G43" t="inlineStr">
        <is>
          <t>tax</t>
        </is>
      </c>
      <c r="H43" t="inlineStr">
        <is>
          <t>N2O</t>
        </is>
      </c>
      <c r="I43" t="inlineStr">
        <is>
          <t>Combustion</t>
        </is>
      </c>
      <c r="K43" t="inlineStr">
        <is>
          <t>Govt of Canada</t>
        </is>
      </c>
      <c r="L43" t="inlineStr">
        <is>
          <t>$/tCO2e</t>
        </is>
      </c>
      <c r="M43">
        <f>[1]Prices!K$26</f>
        <v/>
      </c>
      <c r="N43">
        <f>[1]Prices!L$26</f>
        <v/>
      </c>
      <c r="O43">
        <f>[1]Prices!M$26</f>
        <v/>
      </c>
      <c r="P43">
        <f>[1]Prices!N$26</f>
        <v/>
      </c>
      <c r="Q43">
        <f>[1]Prices!O$26</f>
        <v/>
      </c>
      <c r="R43">
        <f>[1]Prices!P$26</f>
        <v/>
      </c>
      <c r="S43">
        <f>[1]Prices!Q$26</f>
        <v/>
      </c>
      <c r="T43">
        <f>[1]Prices!R$26</f>
        <v/>
      </c>
      <c r="U43">
        <f>[1]Prices!S$26</f>
        <v/>
      </c>
      <c r="V43">
        <f>[1]Prices!T$26</f>
        <v/>
      </c>
      <c r="W43">
        <f>[1]Prices!U$26</f>
        <v/>
      </c>
    </row>
    <row r="44">
      <c r="A44" t="inlineStr">
        <is>
          <t>CIMS.CAN.MB.Mining</t>
        </is>
      </c>
      <c r="B44" t="inlineStr">
        <is>
          <t>Sector</t>
        </is>
      </c>
      <c r="C44" t="inlineStr">
        <is>
          <t>MB</t>
        </is>
      </c>
      <c r="D44" t="inlineStr">
        <is>
          <t>Mining</t>
        </is>
      </c>
      <c r="G44" t="inlineStr">
        <is>
          <t>tax</t>
        </is>
      </c>
      <c r="H44" t="inlineStr">
        <is>
          <t>N2O</t>
        </is>
      </c>
      <c r="I44" t="inlineStr">
        <is>
          <t>Process</t>
        </is>
      </c>
      <c r="K44" t="inlineStr">
        <is>
          <t>Govt of Canada</t>
        </is>
      </c>
      <c r="L44" t="inlineStr">
        <is>
          <t>$/tCO2e</t>
        </is>
      </c>
      <c r="M44">
        <f>[1]Prices!K$26</f>
        <v/>
      </c>
      <c r="N44">
        <f>[1]Prices!L$26</f>
        <v/>
      </c>
      <c r="O44">
        <f>[1]Prices!M$26</f>
        <v/>
      </c>
      <c r="P44">
        <f>[1]Prices!N$26</f>
        <v/>
      </c>
      <c r="Q44">
        <f>[1]Prices!O$26</f>
        <v/>
      </c>
      <c r="R44">
        <f>[1]Prices!P$26</f>
        <v/>
      </c>
      <c r="S44">
        <f>[1]Prices!Q$26</f>
        <v/>
      </c>
      <c r="T44">
        <f>[1]Prices!R$26</f>
        <v/>
      </c>
      <c r="U44">
        <f>[1]Prices!S$26</f>
        <v/>
      </c>
      <c r="V44">
        <f>[1]Prices!T$26</f>
        <v/>
      </c>
      <c r="W44">
        <f>[1]Prices!U$26</f>
        <v/>
      </c>
    </row>
    <row r="45">
      <c r="A45" t="inlineStr">
        <is>
          <t>CIMS.CAN.MB.Natural Gas Production</t>
        </is>
      </c>
      <c r="B45" t="inlineStr">
        <is>
          <t>Sector</t>
        </is>
      </c>
      <c r="C45" t="inlineStr">
        <is>
          <t>MB</t>
        </is>
      </c>
      <c r="D45" t="inlineStr">
        <is>
          <t>Natural Gas Production</t>
        </is>
      </c>
      <c r="G45" t="inlineStr">
        <is>
          <t>tax</t>
        </is>
      </c>
      <c r="H45" t="inlineStr">
        <is>
          <t>CO2</t>
        </is>
      </c>
      <c r="I45" t="inlineStr">
        <is>
          <t>Combustion</t>
        </is>
      </c>
      <c r="K45" t="inlineStr">
        <is>
          <t>Govt of Canada</t>
        </is>
      </c>
      <c r="L45" t="inlineStr">
        <is>
          <t>$/tCO2e</t>
        </is>
      </c>
      <c r="M45">
        <f>[1]Prices!K$26</f>
        <v/>
      </c>
      <c r="N45">
        <f>[1]Prices!L$26</f>
        <v/>
      </c>
      <c r="O45">
        <f>[1]Prices!M$26</f>
        <v/>
      </c>
      <c r="P45">
        <f>[1]Prices!N$26</f>
        <v/>
      </c>
      <c r="Q45">
        <f>[1]Prices!O$26</f>
        <v/>
      </c>
      <c r="R45">
        <f>[1]Prices!P$26</f>
        <v/>
      </c>
      <c r="S45">
        <f>[1]Prices!Q$26</f>
        <v/>
      </c>
      <c r="T45">
        <f>[1]Prices!R$26</f>
        <v/>
      </c>
      <c r="U45">
        <f>[1]Prices!S$26</f>
        <v/>
      </c>
      <c r="V45">
        <f>[1]Prices!T$26</f>
        <v/>
      </c>
      <c r="W45">
        <f>[1]Prices!U$26</f>
        <v/>
      </c>
    </row>
    <row r="46">
      <c r="A46" t="inlineStr">
        <is>
          <t>CIMS.CAN.MB.Natural Gas Production</t>
        </is>
      </c>
      <c r="B46" t="inlineStr">
        <is>
          <t>Sector</t>
        </is>
      </c>
      <c r="C46" t="inlineStr">
        <is>
          <t>MB</t>
        </is>
      </c>
      <c r="D46" t="inlineStr">
        <is>
          <t>Natural Gas Production</t>
        </is>
      </c>
      <c r="G46" t="inlineStr">
        <is>
          <t>tax</t>
        </is>
      </c>
      <c r="H46" t="inlineStr">
        <is>
          <t>CO2</t>
        </is>
      </c>
      <c r="I46" t="inlineStr">
        <is>
          <t>Process</t>
        </is>
      </c>
      <c r="K46" t="inlineStr">
        <is>
          <t>Govt of Canada</t>
        </is>
      </c>
      <c r="L46" t="inlineStr">
        <is>
          <t>$/tCO2e</t>
        </is>
      </c>
      <c r="M46">
        <f>[1]Prices!K$26</f>
        <v/>
      </c>
      <c r="N46">
        <f>[1]Prices!L$26</f>
        <v/>
      </c>
      <c r="O46">
        <f>[1]Prices!M$26</f>
        <v/>
      </c>
      <c r="P46">
        <f>[1]Prices!N$26</f>
        <v/>
      </c>
      <c r="Q46">
        <f>[1]Prices!O$26</f>
        <v/>
      </c>
      <c r="R46">
        <f>[1]Prices!P$26</f>
        <v/>
      </c>
      <c r="S46">
        <f>[1]Prices!Q$26</f>
        <v/>
      </c>
      <c r="T46">
        <f>[1]Prices!R$26</f>
        <v/>
      </c>
      <c r="U46">
        <f>[1]Prices!S$26</f>
        <v/>
      </c>
      <c r="V46">
        <f>[1]Prices!T$26</f>
        <v/>
      </c>
      <c r="W46">
        <f>[1]Prices!U$26</f>
        <v/>
      </c>
    </row>
    <row r="47">
      <c r="A47" t="inlineStr">
        <is>
          <t>CIMS.CAN.MB.Natural Gas Production</t>
        </is>
      </c>
      <c r="B47" t="inlineStr">
        <is>
          <t>Sector</t>
        </is>
      </c>
      <c r="C47" t="inlineStr">
        <is>
          <t>MB</t>
        </is>
      </c>
      <c r="D47" t="inlineStr">
        <is>
          <t>Natural Gas Production</t>
        </is>
      </c>
      <c r="G47" t="inlineStr">
        <is>
          <t>tax</t>
        </is>
      </c>
      <c r="H47" t="inlineStr">
        <is>
          <t>CH4</t>
        </is>
      </c>
      <c r="I47" t="inlineStr">
        <is>
          <t>Combustion</t>
        </is>
      </c>
      <c r="K47" t="inlineStr">
        <is>
          <t>Govt of Canada</t>
        </is>
      </c>
      <c r="L47" t="inlineStr">
        <is>
          <t>$/tCO2e</t>
        </is>
      </c>
      <c r="M47">
        <f>[1]Prices!K$26</f>
        <v/>
      </c>
      <c r="N47">
        <f>[1]Prices!L$26</f>
        <v/>
      </c>
      <c r="O47">
        <f>[1]Prices!M$26</f>
        <v/>
      </c>
      <c r="P47">
        <f>[1]Prices!N$26</f>
        <v/>
      </c>
      <c r="Q47">
        <f>[1]Prices!O$26</f>
        <v/>
      </c>
      <c r="R47">
        <f>[1]Prices!P$26</f>
        <v/>
      </c>
      <c r="S47">
        <f>[1]Prices!Q$26</f>
        <v/>
      </c>
      <c r="T47">
        <f>[1]Prices!R$26</f>
        <v/>
      </c>
      <c r="U47">
        <f>[1]Prices!S$26</f>
        <v/>
      </c>
      <c r="V47">
        <f>[1]Prices!T$26</f>
        <v/>
      </c>
      <c r="W47">
        <f>[1]Prices!U$26</f>
        <v/>
      </c>
    </row>
    <row r="48">
      <c r="A48" t="inlineStr">
        <is>
          <t>CIMS.CAN.MB.Natural Gas Production</t>
        </is>
      </c>
      <c r="B48" t="inlineStr">
        <is>
          <t>Sector</t>
        </is>
      </c>
      <c r="C48" t="inlineStr">
        <is>
          <t>MB</t>
        </is>
      </c>
      <c r="D48" t="inlineStr">
        <is>
          <t>Natural Gas Production</t>
        </is>
      </c>
      <c r="G48" t="inlineStr">
        <is>
          <t>tax</t>
        </is>
      </c>
      <c r="H48" t="inlineStr">
        <is>
          <t>CH4</t>
        </is>
      </c>
      <c r="I48" t="inlineStr">
        <is>
          <t>Process</t>
        </is>
      </c>
      <c r="K48" t="inlineStr">
        <is>
          <t>Govt of Canada</t>
        </is>
      </c>
      <c r="L48" t="inlineStr">
        <is>
          <t>$/tCO2e</t>
        </is>
      </c>
      <c r="M48">
        <f>[1]Prices!K$26</f>
        <v/>
      </c>
      <c r="N48">
        <f>[1]Prices!L$26</f>
        <v/>
      </c>
      <c r="O48">
        <f>[1]Prices!M$26</f>
        <v/>
      </c>
      <c r="P48">
        <f>[1]Prices!N$26</f>
        <v/>
      </c>
      <c r="Q48">
        <f>[1]Prices!O$26</f>
        <v/>
      </c>
      <c r="R48">
        <f>[1]Prices!P$26</f>
        <v/>
      </c>
      <c r="S48">
        <f>[1]Prices!Q$26</f>
        <v/>
      </c>
      <c r="T48">
        <f>[1]Prices!R$26</f>
        <v/>
      </c>
      <c r="U48">
        <f>[1]Prices!S$26</f>
        <v/>
      </c>
      <c r="V48">
        <f>[1]Prices!T$26</f>
        <v/>
      </c>
      <c r="W48">
        <f>[1]Prices!U$26</f>
        <v/>
      </c>
    </row>
    <row r="49">
      <c r="A49" t="inlineStr">
        <is>
          <t>CIMS.CAN.MB.Natural Gas Production</t>
        </is>
      </c>
      <c r="B49" t="inlineStr">
        <is>
          <t>Sector</t>
        </is>
      </c>
      <c r="C49" t="inlineStr">
        <is>
          <t>MB</t>
        </is>
      </c>
      <c r="D49" t="inlineStr">
        <is>
          <t>Natural Gas Production</t>
        </is>
      </c>
      <c r="G49" t="inlineStr">
        <is>
          <t>tax</t>
        </is>
      </c>
      <c r="H49" t="inlineStr">
        <is>
          <t>N2O</t>
        </is>
      </c>
      <c r="I49" t="inlineStr">
        <is>
          <t>Combustion</t>
        </is>
      </c>
      <c r="K49" t="inlineStr">
        <is>
          <t>Govt of Canada</t>
        </is>
      </c>
      <c r="L49" t="inlineStr">
        <is>
          <t>$/tCO2e</t>
        </is>
      </c>
      <c r="M49">
        <f>[1]Prices!K$26</f>
        <v/>
      </c>
      <c r="N49">
        <f>[1]Prices!L$26</f>
        <v/>
      </c>
      <c r="O49">
        <f>[1]Prices!M$26</f>
        <v/>
      </c>
      <c r="P49">
        <f>[1]Prices!N$26</f>
        <v/>
      </c>
      <c r="Q49">
        <f>[1]Prices!O$26</f>
        <v/>
      </c>
      <c r="R49">
        <f>[1]Prices!P$26</f>
        <v/>
      </c>
      <c r="S49">
        <f>[1]Prices!Q$26</f>
        <v/>
      </c>
      <c r="T49">
        <f>[1]Prices!R$26</f>
        <v/>
      </c>
      <c r="U49">
        <f>[1]Prices!S$26</f>
        <v/>
      </c>
      <c r="V49">
        <f>[1]Prices!T$26</f>
        <v/>
      </c>
      <c r="W49">
        <f>[1]Prices!U$26</f>
        <v/>
      </c>
    </row>
    <row r="50">
      <c r="A50" t="inlineStr">
        <is>
          <t>CIMS.CAN.MB.Natural Gas Production</t>
        </is>
      </c>
      <c r="B50" t="inlineStr">
        <is>
          <t>Sector</t>
        </is>
      </c>
      <c r="C50" t="inlineStr">
        <is>
          <t>MB</t>
        </is>
      </c>
      <c r="D50" t="inlineStr">
        <is>
          <t>Natural Gas Production</t>
        </is>
      </c>
      <c r="G50" t="inlineStr">
        <is>
          <t>tax</t>
        </is>
      </c>
      <c r="H50" t="inlineStr">
        <is>
          <t>N2O</t>
        </is>
      </c>
      <c r="I50" t="inlineStr">
        <is>
          <t>Process</t>
        </is>
      </c>
      <c r="K50" t="inlineStr">
        <is>
          <t>Govt of Canada</t>
        </is>
      </c>
      <c r="L50" t="inlineStr">
        <is>
          <t>$/tCO2e</t>
        </is>
      </c>
      <c r="M50">
        <f>[1]Prices!K$26</f>
        <v/>
      </c>
      <c r="N50">
        <f>[1]Prices!L$26</f>
        <v/>
      </c>
      <c r="O50">
        <f>[1]Prices!M$26</f>
        <v/>
      </c>
      <c r="P50">
        <f>[1]Prices!N$26</f>
        <v/>
      </c>
      <c r="Q50">
        <f>[1]Prices!O$26</f>
        <v/>
      </c>
      <c r="R50">
        <f>[1]Prices!P$26</f>
        <v/>
      </c>
      <c r="S50">
        <f>[1]Prices!Q$26</f>
        <v/>
      </c>
      <c r="T50">
        <f>[1]Prices!R$26</f>
        <v/>
      </c>
      <c r="U50">
        <f>[1]Prices!S$26</f>
        <v/>
      </c>
      <c r="V50">
        <f>[1]Prices!T$26</f>
        <v/>
      </c>
      <c r="W50">
        <f>[1]Prices!U$26</f>
        <v/>
      </c>
    </row>
    <row r="51">
      <c r="A51" t="inlineStr">
        <is>
          <t>CIMS.CAN.MB.Petroleum Crude</t>
        </is>
      </c>
      <c r="B51" t="inlineStr">
        <is>
          <t>Sector</t>
        </is>
      </c>
      <c r="C51" t="inlineStr">
        <is>
          <t>MB</t>
        </is>
      </c>
      <c r="D51" t="inlineStr">
        <is>
          <t>Petroleum Crude</t>
        </is>
      </c>
      <c r="G51" t="inlineStr">
        <is>
          <t>tax</t>
        </is>
      </c>
      <c r="H51" t="inlineStr">
        <is>
          <t>CO2</t>
        </is>
      </c>
      <c r="I51" t="inlineStr">
        <is>
          <t>Combustion</t>
        </is>
      </c>
      <c r="K51" t="inlineStr">
        <is>
          <t>Govt of Canada</t>
        </is>
      </c>
      <c r="L51" t="inlineStr">
        <is>
          <t>$/tCO2e</t>
        </is>
      </c>
      <c r="M51">
        <f>[1]Prices!K$26</f>
        <v/>
      </c>
      <c r="N51">
        <f>[1]Prices!L$26</f>
        <v/>
      </c>
      <c r="O51">
        <f>[1]Prices!M$26</f>
        <v/>
      </c>
      <c r="P51">
        <f>[1]Prices!N$26</f>
        <v/>
      </c>
      <c r="Q51">
        <f>[1]Prices!O$26</f>
        <v/>
      </c>
      <c r="R51">
        <f>[1]Prices!P$26</f>
        <v/>
      </c>
      <c r="S51">
        <f>[1]Prices!Q$26</f>
        <v/>
      </c>
      <c r="T51">
        <f>[1]Prices!R$26</f>
        <v/>
      </c>
      <c r="U51">
        <f>[1]Prices!S$26</f>
        <v/>
      </c>
      <c r="V51">
        <f>[1]Prices!T$26</f>
        <v/>
      </c>
      <c r="W51">
        <f>[1]Prices!U$26</f>
        <v/>
      </c>
    </row>
    <row r="52">
      <c r="A52" t="inlineStr">
        <is>
          <t>CIMS.CAN.MB.Petroleum Crude</t>
        </is>
      </c>
      <c r="B52" t="inlineStr">
        <is>
          <t>Sector</t>
        </is>
      </c>
      <c r="C52" t="inlineStr">
        <is>
          <t>MB</t>
        </is>
      </c>
      <c r="D52" t="inlineStr">
        <is>
          <t>Petroleum Crude</t>
        </is>
      </c>
      <c r="G52" t="inlineStr">
        <is>
          <t>tax</t>
        </is>
      </c>
      <c r="H52" t="inlineStr">
        <is>
          <t>CO2</t>
        </is>
      </c>
      <c r="I52" t="inlineStr">
        <is>
          <t>Process</t>
        </is>
      </c>
      <c r="K52" t="inlineStr">
        <is>
          <t>Govt of Canada</t>
        </is>
      </c>
      <c r="L52" t="inlineStr">
        <is>
          <t>$/tCO2e</t>
        </is>
      </c>
      <c r="M52">
        <f>[1]Prices!K$26</f>
        <v/>
      </c>
      <c r="N52">
        <f>[1]Prices!L$26</f>
        <v/>
      </c>
      <c r="O52">
        <f>[1]Prices!M$26</f>
        <v/>
      </c>
      <c r="P52">
        <f>[1]Prices!N$26</f>
        <v/>
      </c>
      <c r="Q52">
        <f>[1]Prices!O$26</f>
        <v/>
      </c>
      <c r="R52">
        <f>[1]Prices!P$26</f>
        <v/>
      </c>
      <c r="S52">
        <f>[1]Prices!Q$26</f>
        <v/>
      </c>
      <c r="T52">
        <f>[1]Prices!R$26</f>
        <v/>
      </c>
      <c r="U52">
        <f>[1]Prices!S$26</f>
        <v/>
      </c>
      <c r="V52">
        <f>[1]Prices!T$26</f>
        <v/>
      </c>
      <c r="W52">
        <f>[1]Prices!U$26</f>
        <v/>
      </c>
    </row>
    <row r="53">
      <c r="A53" t="inlineStr">
        <is>
          <t>CIMS.CAN.MB.Petroleum Crude</t>
        </is>
      </c>
      <c r="B53" t="inlineStr">
        <is>
          <t>Sector</t>
        </is>
      </c>
      <c r="C53" t="inlineStr">
        <is>
          <t>MB</t>
        </is>
      </c>
      <c r="D53" t="inlineStr">
        <is>
          <t>Petroleum Crude</t>
        </is>
      </c>
      <c r="G53" t="inlineStr">
        <is>
          <t>tax</t>
        </is>
      </c>
      <c r="H53" t="inlineStr">
        <is>
          <t>CH4</t>
        </is>
      </c>
      <c r="I53" t="inlineStr">
        <is>
          <t>Combustion</t>
        </is>
      </c>
      <c r="K53" t="inlineStr">
        <is>
          <t>Govt of Canada</t>
        </is>
      </c>
      <c r="L53" t="inlineStr">
        <is>
          <t>$/tCO2e</t>
        </is>
      </c>
      <c r="M53">
        <f>[1]Prices!K$26</f>
        <v/>
      </c>
      <c r="N53">
        <f>[1]Prices!L$26</f>
        <v/>
      </c>
      <c r="O53">
        <f>[1]Prices!M$26</f>
        <v/>
      </c>
      <c r="P53">
        <f>[1]Prices!N$26</f>
        <v/>
      </c>
      <c r="Q53">
        <f>[1]Prices!O$26</f>
        <v/>
      </c>
      <c r="R53">
        <f>[1]Prices!P$26</f>
        <v/>
      </c>
      <c r="S53">
        <f>[1]Prices!Q$26</f>
        <v/>
      </c>
      <c r="T53">
        <f>[1]Prices!R$26</f>
        <v/>
      </c>
      <c r="U53">
        <f>[1]Prices!S$26</f>
        <v/>
      </c>
      <c r="V53">
        <f>[1]Prices!T$26</f>
        <v/>
      </c>
      <c r="W53">
        <f>[1]Prices!U$26</f>
        <v/>
      </c>
    </row>
    <row r="54">
      <c r="A54" t="inlineStr">
        <is>
          <t>CIMS.CAN.MB.Petroleum Crude</t>
        </is>
      </c>
      <c r="B54" t="inlineStr">
        <is>
          <t>Sector</t>
        </is>
      </c>
      <c r="C54" t="inlineStr">
        <is>
          <t>MB</t>
        </is>
      </c>
      <c r="D54" t="inlineStr">
        <is>
          <t>Petroleum Crude</t>
        </is>
      </c>
      <c r="G54" t="inlineStr">
        <is>
          <t>tax</t>
        </is>
      </c>
      <c r="H54" t="inlineStr">
        <is>
          <t>CH4</t>
        </is>
      </c>
      <c r="I54" t="inlineStr">
        <is>
          <t>Process</t>
        </is>
      </c>
      <c r="K54" t="inlineStr">
        <is>
          <t>Govt of Canada</t>
        </is>
      </c>
      <c r="L54" t="inlineStr">
        <is>
          <t>$/tCO2e</t>
        </is>
      </c>
      <c r="M54">
        <f>[1]Prices!K$26</f>
        <v/>
      </c>
      <c r="N54">
        <f>[1]Prices!L$26</f>
        <v/>
      </c>
      <c r="O54">
        <f>[1]Prices!M$26</f>
        <v/>
      </c>
      <c r="P54">
        <f>[1]Prices!N$26</f>
        <v/>
      </c>
      <c r="Q54">
        <f>[1]Prices!O$26</f>
        <v/>
      </c>
      <c r="R54">
        <f>[1]Prices!P$26</f>
        <v/>
      </c>
      <c r="S54">
        <f>[1]Prices!Q$26</f>
        <v/>
      </c>
      <c r="T54">
        <f>[1]Prices!R$26</f>
        <v/>
      </c>
      <c r="U54">
        <f>[1]Prices!S$26</f>
        <v/>
      </c>
      <c r="V54">
        <f>[1]Prices!T$26</f>
        <v/>
      </c>
      <c r="W54">
        <f>[1]Prices!U$26</f>
        <v/>
      </c>
    </row>
    <row r="55">
      <c r="A55" t="inlineStr">
        <is>
          <t>CIMS.CAN.MB.Petroleum Crude</t>
        </is>
      </c>
      <c r="B55" t="inlineStr">
        <is>
          <t>Sector</t>
        </is>
      </c>
      <c r="C55" t="inlineStr">
        <is>
          <t>MB</t>
        </is>
      </c>
      <c r="D55" t="inlineStr">
        <is>
          <t>Petroleum Crude</t>
        </is>
      </c>
      <c r="G55" t="inlineStr">
        <is>
          <t>tax</t>
        </is>
      </c>
      <c r="H55" t="inlineStr">
        <is>
          <t>N2O</t>
        </is>
      </c>
      <c r="I55" t="inlineStr">
        <is>
          <t>Combustion</t>
        </is>
      </c>
      <c r="K55" t="inlineStr">
        <is>
          <t>Govt of Canada</t>
        </is>
      </c>
      <c r="L55" t="inlineStr">
        <is>
          <t>$/tCO2e</t>
        </is>
      </c>
      <c r="M55">
        <f>[1]Prices!K$26</f>
        <v/>
      </c>
      <c r="N55">
        <f>[1]Prices!L$26</f>
        <v/>
      </c>
      <c r="O55">
        <f>[1]Prices!M$26</f>
        <v/>
      </c>
      <c r="P55">
        <f>[1]Prices!N$26</f>
        <v/>
      </c>
      <c r="Q55">
        <f>[1]Prices!O$26</f>
        <v/>
      </c>
      <c r="R55">
        <f>[1]Prices!P$26</f>
        <v/>
      </c>
      <c r="S55">
        <f>[1]Prices!Q$26</f>
        <v/>
      </c>
      <c r="T55">
        <f>[1]Prices!R$26</f>
        <v/>
      </c>
      <c r="U55">
        <f>[1]Prices!S$26</f>
        <v/>
      </c>
      <c r="V55">
        <f>[1]Prices!T$26</f>
        <v/>
      </c>
      <c r="W55">
        <f>[1]Prices!U$26</f>
        <v/>
      </c>
    </row>
    <row r="56">
      <c r="A56" t="inlineStr">
        <is>
          <t>CIMS.CAN.MB.Petroleum Crude</t>
        </is>
      </c>
      <c r="B56" t="inlineStr">
        <is>
          <t>Sector</t>
        </is>
      </c>
      <c r="C56" t="inlineStr">
        <is>
          <t>MB</t>
        </is>
      </c>
      <c r="D56" t="inlineStr">
        <is>
          <t>Petroleum Crude</t>
        </is>
      </c>
      <c r="G56" t="inlineStr">
        <is>
          <t>tax</t>
        </is>
      </c>
      <c r="H56" t="inlineStr">
        <is>
          <t>N2O</t>
        </is>
      </c>
      <c r="I56" t="inlineStr">
        <is>
          <t>Process</t>
        </is>
      </c>
      <c r="K56" t="inlineStr">
        <is>
          <t>Govt of Canada</t>
        </is>
      </c>
      <c r="L56" t="inlineStr">
        <is>
          <t>$/tCO2e</t>
        </is>
      </c>
      <c r="M56">
        <f>[1]Prices!K$26</f>
        <v/>
      </c>
      <c r="N56">
        <f>[1]Prices!L$26</f>
        <v/>
      </c>
      <c r="O56">
        <f>[1]Prices!M$26</f>
        <v/>
      </c>
      <c r="P56">
        <f>[1]Prices!N$26</f>
        <v/>
      </c>
      <c r="Q56">
        <f>[1]Prices!O$26</f>
        <v/>
      </c>
      <c r="R56">
        <f>[1]Prices!P$26</f>
        <v/>
      </c>
      <c r="S56">
        <f>[1]Prices!Q$26</f>
        <v/>
      </c>
      <c r="T56">
        <f>[1]Prices!R$26</f>
        <v/>
      </c>
      <c r="U56">
        <f>[1]Prices!S$26</f>
        <v/>
      </c>
      <c r="V56">
        <f>[1]Prices!T$26</f>
        <v/>
      </c>
      <c r="W56">
        <f>[1]Prices!U$26</f>
        <v/>
      </c>
    </row>
    <row r="57">
      <c r="A57" t="inlineStr">
        <is>
          <t>CIMS.CAN.MB.Electricity.Utility Generation.Base Load</t>
        </is>
      </c>
      <c r="B57" t="inlineStr">
        <is>
          <t>Service</t>
        </is>
      </c>
      <c r="C57" t="inlineStr">
        <is>
          <t>MB</t>
        </is>
      </c>
      <c r="D57" t="inlineStr">
        <is>
          <t>Electricity</t>
        </is>
      </c>
      <c r="E57" t="inlineStr">
        <is>
          <t>Base Load</t>
        </is>
      </c>
      <c r="G57" t="inlineStr">
        <is>
          <t>benchmark</t>
        </is>
      </c>
      <c r="H57" t="inlineStr">
        <is>
          <t>CO2</t>
        </is>
      </c>
      <c r="I57" t="inlineStr">
        <is>
          <t>Combustion</t>
        </is>
      </c>
      <c r="K57" t="inlineStr">
        <is>
          <t>Govt of Canada</t>
        </is>
      </c>
      <c r="L57" t="inlineStr">
        <is>
          <t>tCO2e/GWh</t>
        </is>
      </c>
      <c r="M57" t="n">
        <v>0</v>
      </c>
      <c r="N57" t="n">
        <v>0</v>
      </c>
      <c r="O57" t="n">
        <v>0</v>
      </c>
      <c r="P57" t="n">
        <v>0</v>
      </c>
      <c r="Q57" t="n">
        <v>650</v>
      </c>
      <c r="R57" t="n">
        <v>510</v>
      </c>
      <c r="S57" t="n">
        <v>370</v>
      </c>
      <c r="T57">
        <f>S57</f>
        <v/>
      </c>
      <c r="U57">
        <f>T57</f>
        <v/>
      </c>
      <c r="V57">
        <f>U57</f>
        <v/>
      </c>
      <c r="W57">
        <f>V57</f>
        <v/>
      </c>
      <c r="X57" t="inlineStr">
        <is>
          <t>Tightening rate starts in 2023</t>
        </is>
      </c>
    </row>
    <row r="58">
      <c r="A58" t="inlineStr">
        <is>
          <t>CIMS.CAN.MB.Electricity.Utility Generation.Shoulder Load</t>
        </is>
      </c>
      <c r="B58" t="inlineStr">
        <is>
          <t>Service</t>
        </is>
      </c>
      <c r="C58" t="inlineStr">
        <is>
          <t>MB</t>
        </is>
      </c>
      <c r="D58" t="inlineStr">
        <is>
          <t>Electricity</t>
        </is>
      </c>
      <c r="E58" t="inlineStr">
        <is>
          <t>Shoulder Load</t>
        </is>
      </c>
      <c r="G58" t="inlineStr">
        <is>
          <t>benchmark</t>
        </is>
      </c>
      <c r="H58" t="inlineStr">
        <is>
          <t>CO2</t>
        </is>
      </c>
      <c r="I58" t="inlineStr">
        <is>
          <t>Combustion</t>
        </is>
      </c>
      <c r="K58" t="inlineStr">
        <is>
          <t>Govt of Canada</t>
        </is>
      </c>
      <c r="L58" t="inlineStr">
        <is>
          <t>tCO2e/GWh</t>
        </is>
      </c>
      <c r="M58" t="n">
        <v>0</v>
      </c>
      <c r="N58" t="n">
        <v>0</v>
      </c>
      <c r="O58" t="n">
        <v>0</v>
      </c>
      <c r="P58" t="n">
        <v>0</v>
      </c>
      <c r="Q58" t="n">
        <v>650</v>
      </c>
      <c r="R58" t="n">
        <v>510</v>
      </c>
      <c r="S58" t="n">
        <v>370</v>
      </c>
      <c r="T58">
        <f>S58</f>
        <v/>
      </c>
      <c r="U58">
        <f>T58</f>
        <v/>
      </c>
      <c r="V58">
        <f>U58</f>
        <v/>
      </c>
      <c r="W58">
        <f>V58</f>
        <v/>
      </c>
      <c r="X58" t="inlineStr">
        <is>
          <t>Tightening rate starts in 2023</t>
        </is>
      </c>
    </row>
    <row r="59">
      <c r="A59" t="inlineStr">
        <is>
          <t>CIMS.CAN.MB.Ethanol.Production</t>
        </is>
      </c>
      <c r="B59" t="inlineStr">
        <is>
          <t>Service</t>
        </is>
      </c>
      <c r="C59" t="inlineStr">
        <is>
          <t>MB</t>
        </is>
      </c>
      <c r="D59" t="inlineStr">
        <is>
          <t>Ethanol</t>
        </is>
      </c>
      <c r="E59" t="inlineStr">
        <is>
          <t>Production</t>
        </is>
      </c>
      <c r="G59" t="inlineStr">
        <is>
          <t>benchmark</t>
        </is>
      </c>
      <c r="H59" t="inlineStr">
        <is>
          <t>CO2</t>
        </is>
      </c>
      <c r="I59" t="inlineStr">
        <is>
          <t>Combustion</t>
        </is>
      </c>
      <c r="K59" t="inlineStr">
        <is>
          <t>Govt of Canada</t>
        </is>
      </c>
      <c r="L59" t="inlineStr">
        <is>
          <t>tCO2e/GJ</t>
        </is>
      </c>
      <c r="M59" t="n">
        <v>0</v>
      </c>
      <c r="N59" t="n">
        <v>0</v>
      </c>
      <c r="O59" t="n">
        <v>0</v>
      </c>
      <c r="P59" t="n">
        <v>0</v>
      </c>
      <c r="Q59" t="n">
        <v>0.02450934579439252</v>
      </c>
      <c r="R59">
        <f>Q59-($Q59*0.01)*3</f>
        <v/>
      </c>
      <c r="S59">
        <f>R59-($Q59*0.01)*5</f>
        <v/>
      </c>
      <c r="T59">
        <f>S59</f>
        <v/>
      </c>
      <c r="U59">
        <f>T59</f>
        <v/>
      </c>
      <c r="V59">
        <f>U59</f>
        <v/>
      </c>
      <c r="W59">
        <f>V59</f>
        <v/>
      </c>
      <c r="X59" t="inlineStr">
        <is>
          <t>Tightening rate starts in 2023</t>
        </is>
      </c>
    </row>
    <row r="60">
      <c r="A60" t="inlineStr">
        <is>
          <t>CIMS.CAN.MB.Hydrogen.Production</t>
        </is>
      </c>
      <c r="B60" t="inlineStr">
        <is>
          <t>Service</t>
        </is>
      </c>
      <c r="C60" t="inlineStr">
        <is>
          <t>MB</t>
        </is>
      </c>
      <c r="D60" t="inlineStr">
        <is>
          <t>Hydrogen</t>
        </is>
      </c>
      <c r="E60" t="inlineStr">
        <is>
          <t>Production</t>
        </is>
      </c>
      <c r="G60" t="inlineStr">
        <is>
          <t>benchmark</t>
        </is>
      </c>
      <c r="H60" t="inlineStr">
        <is>
          <t>CO2</t>
        </is>
      </c>
      <c r="I60" t="inlineStr">
        <is>
          <t>Combustion</t>
        </is>
      </c>
      <c r="K60" t="inlineStr">
        <is>
          <t>Govt of Canada</t>
        </is>
      </c>
      <c r="L60" t="inlineStr">
        <is>
          <t>tCO2e/Kg</t>
        </is>
      </c>
      <c r="M60" t="n">
        <v>0</v>
      </c>
      <c r="N60" t="n">
        <v>0</v>
      </c>
      <c r="O60" t="n">
        <v>0</v>
      </c>
      <c r="P60" t="n">
        <v>0</v>
      </c>
      <c r="Q60" t="n">
        <v>0.00984</v>
      </c>
      <c r="R60">
        <f>Q60-($Q60*0.02)*3</f>
        <v/>
      </c>
      <c r="S60">
        <f>R60-($Q60*0.02)*5</f>
        <v/>
      </c>
      <c r="T60">
        <f>S60</f>
        <v/>
      </c>
      <c r="U60">
        <f>T60</f>
        <v/>
      </c>
      <c r="V60">
        <f>U60</f>
        <v/>
      </c>
      <c r="W60">
        <f>V60</f>
        <v/>
      </c>
      <c r="X60" t="inlineStr">
        <is>
          <t>Tightening rate starts in 2023</t>
        </is>
      </c>
    </row>
    <row r="61">
      <c r="A61" t="inlineStr">
        <is>
          <t>CIMS.CAN.MB.Light Industrial.Manufacturing.Food Tobacco and Beverage</t>
        </is>
      </c>
      <c r="B61" t="inlineStr">
        <is>
          <t>Service</t>
        </is>
      </c>
      <c r="C61" t="inlineStr">
        <is>
          <t>MB</t>
        </is>
      </c>
      <c r="D61" t="inlineStr">
        <is>
          <t>Light Industrial</t>
        </is>
      </c>
      <c r="E61" t="inlineStr">
        <is>
          <t>Food Tobacco and Beverage</t>
        </is>
      </c>
      <c r="G61" t="inlineStr">
        <is>
          <t>benchmark</t>
        </is>
      </c>
      <c r="H61" t="inlineStr">
        <is>
          <t>CO2</t>
        </is>
      </c>
      <c r="I61" t="inlineStr">
        <is>
          <t>Combustion</t>
        </is>
      </c>
      <c r="K61" t="inlineStr">
        <is>
          <t>Govt of Canada</t>
        </is>
      </c>
      <c r="L61" t="inlineStr">
        <is>
          <t>tCO2e/tonne</t>
        </is>
      </c>
      <c r="M61" t="n">
        <v>0</v>
      </c>
      <c r="N61" t="n">
        <v>0</v>
      </c>
      <c r="O61" t="n">
        <v>0</v>
      </c>
      <c r="P61" t="n">
        <v>0</v>
      </c>
      <c r="Q61" t="n">
        <v>0.05</v>
      </c>
      <c r="R61">
        <f>Q61-($Q61*0.02)*3</f>
        <v/>
      </c>
      <c r="S61">
        <f>R61-($Q61*0.02)*5</f>
        <v/>
      </c>
      <c r="T61">
        <f>S61</f>
        <v/>
      </c>
      <c r="U61">
        <f>T61</f>
        <v/>
      </c>
      <c r="V61">
        <f>U61</f>
        <v/>
      </c>
      <c r="W61">
        <f>V61</f>
        <v/>
      </c>
      <c r="X61" t="inlineStr">
        <is>
          <t>Tightening rate starts in 2023</t>
        </is>
      </c>
    </row>
    <row r="62">
      <c r="A62" t="inlineStr">
        <is>
          <t>CIMS.CAN.MB.Light Industrial.Manufacturing.Rubber and Plastics</t>
        </is>
      </c>
      <c r="B62" t="inlineStr">
        <is>
          <t>Service</t>
        </is>
      </c>
      <c r="C62" t="inlineStr">
        <is>
          <t>MB</t>
        </is>
      </c>
      <c r="D62" t="inlineStr">
        <is>
          <t>Light Industrial</t>
        </is>
      </c>
      <c r="E62" t="inlineStr">
        <is>
          <t>Rubber and Plastics</t>
        </is>
      </c>
      <c r="G62" t="inlineStr">
        <is>
          <t>benchmark</t>
        </is>
      </c>
      <c r="H62" t="inlineStr">
        <is>
          <t>CO2</t>
        </is>
      </c>
      <c r="I62" t="inlineStr">
        <is>
          <t>Combustion</t>
        </is>
      </c>
      <c r="K62" t="inlineStr">
        <is>
          <t>Govt of Canada</t>
        </is>
      </c>
      <c r="L62" t="inlineStr">
        <is>
          <t>tCO2e/tonne</t>
        </is>
      </c>
      <c r="M62" t="n">
        <v>0</v>
      </c>
      <c r="N62" t="n">
        <v>0</v>
      </c>
      <c r="O62" t="n">
        <v>0</v>
      </c>
      <c r="P62" t="n">
        <v>0</v>
      </c>
      <c r="Q62" t="n">
        <v>0.225</v>
      </c>
      <c r="R62">
        <f>Q62-($Q62*0.02)*3</f>
        <v/>
      </c>
      <c r="S62">
        <f>R62-($Q62*0.02)*5</f>
        <v/>
      </c>
      <c r="T62">
        <f>S62</f>
        <v/>
      </c>
      <c r="U62">
        <f>T62</f>
        <v/>
      </c>
      <c r="V62">
        <f>U62</f>
        <v/>
      </c>
      <c r="W62">
        <f>V62</f>
        <v/>
      </c>
      <c r="X62" t="inlineStr">
        <is>
          <t>Tightening rate starts in 2023</t>
        </is>
      </c>
    </row>
    <row r="63">
      <c r="A63" t="inlineStr">
        <is>
          <t>CIMS.CAN.MB.Light Industrial.Manufacturing.Transportation Equipment</t>
        </is>
      </c>
      <c r="B63" t="inlineStr">
        <is>
          <t>Service</t>
        </is>
      </c>
      <c r="C63" t="inlineStr">
        <is>
          <t>MB</t>
        </is>
      </c>
      <c r="D63" t="inlineStr">
        <is>
          <t>Light Industrial</t>
        </is>
      </c>
      <c r="E63" t="inlineStr">
        <is>
          <t>Transportation Equipment</t>
        </is>
      </c>
      <c r="G63" t="inlineStr">
        <is>
          <t>benchmark</t>
        </is>
      </c>
      <c r="H63" t="inlineStr">
        <is>
          <t>CO2</t>
        </is>
      </c>
      <c r="I63" t="inlineStr">
        <is>
          <t>Combustion</t>
        </is>
      </c>
      <c r="K63" t="inlineStr">
        <is>
          <t>Govt of Canada</t>
        </is>
      </c>
      <c r="L63" t="inlineStr">
        <is>
          <t>tCO2e/tonne</t>
        </is>
      </c>
      <c r="M63" t="n">
        <v>0</v>
      </c>
      <c r="N63" t="n">
        <v>0</v>
      </c>
      <c r="O63" t="n">
        <v>0</v>
      </c>
      <c r="P63" t="n">
        <v>0</v>
      </c>
      <c r="Q63" t="n">
        <v>0.1180327868852459</v>
      </c>
      <c r="R63">
        <f>Q63-($Q63*0.02)*3</f>
        <v/>
      </c>
      <c r="S63">
        <f>R63-($Q63*0.02)*5</f>
        <v/>
      </c>
      <c r="T63">
        <f>S63</f>
        <v/>
      </c>
      <c r="U63">
        <f>T63</f>
        <v/>
      </c>
      <c r="V63">
        <f>U63</f>
        <v/>
      </c>
      <c r="W63">
        <f>V63</f>
        <v/>
      </c>
      <c r="X63" t="inlineStr">
        <is>
          <t>Tightening rate starts in 2023</t>
        </is>
      </c>
    </row>
    <row r="64">
      <c r="A64" t="inlineStr">
        <is>
          <t>CIMS.CAN.MB.Light Industrial.Manufacturing.Wood Products</t>
        </is>
      </c>
      <c r="B64" t="inlineStr">
        <is>
          <t>Service</t>
        </is>
      </c>
      <c r="C64" t="inlineStr">
        <is>
          <t>MB</t>
        </is>
      </c>
      <c r="D64" t="inlineStr">
        <is>
          <t>Light Industrial</t>
        </is>
      </c>
      <c r="E64" t="inlineStr">
        <is>
          <t>Wood Products</t>
        </is>
      </c>
      <c r="G64" t="inlineStr">
        <is>
          <t>benchmark</t>
        </is>
      </c>
      <c r="H64" t="inlineStr">
        <is>
          <t>CO2</t>
        </is>
      </c>
      <c r="I64" t="inlineStr">
        <is>
          <t>Combustion</t>
        </is>
      </c>
      <c r="K64" t="inlineStr">
        <is>
          <t>Govt of Canada</t>
        </is>
      </c>
      <c r="L64" t="inlineStr">
        <is>
          <t>tCO2e/tonne</t>
        </is>
      </c>
      <c r="M64" t="n">
        <v>0</v>
      </c>
      <c r="N64" t="n">
        <v>0</v>
      </c>
      <c r="O64" t="n">
        <v>0</v>
      </c>
      <c r="P64" t="n">
        <v>0</v>
      </c>
      <c r="Q64" t="n">
        <v>0.1078461538461538</v>
      </c>
      <c r="R64">
        <f>Q64-($Q64*0.02)*3</f>
        <v/>
      </c>
      <c r="S64">
        <f>R64-($Q64*0.02)*5</f>
        <v/>
      </c>
      <c r="T64">
        <f>S64</f>
        <v/>
      </c>
      <c r="U64">
        <f>T64</f>
        <v/>
      </c>
      <c r="V64">
        <f>U64</f>
        <v/>
      </c>
      <c r="W64">
        <f>V64</f>
        <v/>
      </c>
      <c r="X64" t="inlineStr">
        <is>
          <t>Tightening rate starts in 2023</t>
        </is>
      </c>
    </row>
    <row r="65">
      <c r="A65" t="inlineStr">
        <is>
          <t>CIMS.CAN.MB.Metal Smelting.Primary Metals.Aluminum.Primary Aluminum.Alumina</t>
        </is>
      </c>
      <c r="B65" t="inlineStr">
        <is>
          <t>Service</t>
        </is>
      </c>
      <c r="C65" t="inlineStr">
        <is>
          <t>MB</t>
        </is>
      </c>
      <c r="D65" t="inlineStr">
        <is>
          <t>Metal Smelting</t>
        </is>
      </c>
      <c r="E65" t="inlineStr">
        <is>
          <t>Alumina</t>
        </is>
      </c>
      <c r="G65" t="inlineStr">
        <is>
          <t>benchmark</t>
        </is>
      </c>
      <c r="H65" t="inlineStr">
        <is>
          <t>CO2</t>
        </is>
      </c>
      <c r="I65" t="inlineStr">
        <is>
          <t>Combustion</t>
        </is>
      </c>
      <c r="K65" t="inlineStr">
        <is>
          <t>Govt of Canada</t>
        </is>
      </c>
      <c r="L65" t="inlineStr">
        <is>
          <t>tCO2e/tonne</t>
        </is>
      </c>
      <c r="M65" t="n">
        <v>0</v>
      </c>
      <c r="N65" t="n">
        <v>0</v>
      </c>
      <c r="O65" t="n">
        <v>0</v>
      </c>
      <c r="P65" t="n">
        <v>0</v>
      </c>
      <c r="Q65" t="n">
        <v>1.58</v>
      </c>
      <c r="R65">
        <f>Q65-($Q65*0.02)*3</f>
        <v/>
      </c>
      <c r="S65">
        <f>R65-($Q65*0.02)*5</f>
        <v/>
      </c>
      <c r="T65">
        <f>S65</f>
        <v/>
      </c>
      <c r="U65">
        <f>T65</f>
        <v/>
      </c>
      <c r="V65">
        <f>U65</f>
        <v/>
      </c>
      <c r="W65">
        <f>V65</f>
        <v/>
      </c>
      <c r="X65" t="inlineStr">
        <is>
          <t>Tightening rate starts in 2023</t>
        </is>
      </c>
    </row>
    <row r="66">
      <c r="A66" t="inlineStr">
        <is>
          <t>CIMS.CAN.MB.Metal Smelting.Primary Metals.Aluminum.Primary Aluminum.Electrolysis</t>
        </is>
      </c>
      <c r="B66" t="inlineStr">
        <is>
          <t>Service</t>
        </is>
      </c>
      <c r="C66" t="inlineStr">
        <is>
          <t>MB</t>
        </is>
      </c>
      <c r="D66" t="inlineStr">
        <is>
          <t>Metal Smelting</t>
        </is>
      </c>
      <c r="E66" t="inlineStr">
        <is>
          <t>Electrolysis</t>
        </is>
      </c>
      <c r="G66" t="inlineStr">
        <is>
          <t>benchmark</t>
        </is>
      </c>
      <c r="H66" t="inlineStr">
        <is>
          <t>CO2</t>
        </is>
      </c>
      <c r="I66" t="inlineStr">
        <is>
          <t>Combustion</t>
        </is>
      </c>
      <c r="K66" t="inlineStr">
        <is>
          <t>Govt of Canada</t>
        </is>
      </c>
      <c r="L66" t="inlineStr">
        <is>
          <t>tCO2e/tonne</t>
        </is>
      </c>
      <c r="M66" t="n">
        <v>0</v>
      </c>
      <c r="N66" t="n">
        <v>0</v>
      </c>
      <c r="O66" t="n">
        <v>0</v>
      </c>
      <c r="P66" t="n">
        <v>0</v>
      </c>
      <c r="Q66" t="n">
        <v>0.328</v>
      </c>
      <c r="R66">
        <f>Q66-($Q66*0.02)*3</f>
        <v/>
      </c>
      <c r="S66">
        <f>R66-($Q66*0.02)*5</f>
        <v/>
      </c>
      <c r="T66">
        <f>S66</f>
        <v/>
      </c>
      <c r="U66">
        <f>T66</f>
        <v/>
      </c>
      <c r="V66">
        <f>U66</f>
        <v/>
      </c>
      <c r="W66">
        <f>V66</f>
        <v/>
      </c>
      <c r="X66" t="inlineStr">
        <is>
          <t>Tightening rate starts in 2023</t>
        </is>
      </c>
    </row>
    <row r="67">
      <c r="A67" t="inlineStr">
        <is>
          <t>CIMS.CAN.MB.Metal Smelting.Primary Metals.Copper.Metallurgy.Hydro Metallurgy</t>
        </is>
      </c>
      <c r="B67" t="inlineStr">
        <is>
          <t>Service</t>
        </is>
      </c>
      <c r="C67" t="inlineStr">
        <is>
          <t>MB</t>
        </is>
      </c>
      <c r="D67" t="inlineStr">
        <is>
          <t>Metal Smelting</t>
        </is>
      </c>
      <c r="E67" t="inlineStr">
        <is>
          <t>Hydro Metallurgy</t>
        </is>
      </c>
      <c r="G67" t="inlineStr">
        <is>
          <t>benchmark</t>
        </is>
      </c>
      <c r="H67" t="inlineStr">
        <is>
          <t>CO2</t>
        </is>
      </c>
      <c r="I67" t="inlineStr">
        <is>
          <t>Combustion</t>
        </is>
      </c>
      <c r="K67" t="inlineStr">
        <is>
          <t>Govt of Canada</t>
        </is>
      </c>
      <c r="L67" t="inlineStr">
        <is>
          <t>tCO2e/tonne</t>
        </is>
      </c>
      <c r="M67" t="n">
        <v>0</v>
      </c>
      <c r="N67" t="n">
        <v>0</v>
      </c>
      <c r="O67" t="n">
        <v>0</v>
      </c>
      <c r="P67" t="n">
        <v>0</v>
      </c>
      <c r="Q67" t="n">
        <v>1.7</v>
      </c>
      <c r="R67">
        <f>Q67-($Q67*0.02)*3</f>
        <v/>
      </c>
      <c r="S67">
        <f>R67-($Q67*0.02)*5</f>
        <v/>
      </c>
      <c r="T67">
        <f>S67</f>
        <v/>
      </c>
      <c r="U67">
        <f>T67</f>
        <v/>
      </c>
      <c r="V67">
        <f>U67</f>
        <v/>
      </c>
      <c r="W67">
        <f>V67</f>
        <v/>
      </c>
      <c r="X67" t="inlineStr">
        <is>
          <t>Tightening rate starts in 2023</t>
        </is>
      </c>
    </row>
    <row r="68">
      <c r="A68" t="inlineStr">
        <is>
          <t>CIMS.CAN.MB.Metal Smelting.Primary Metals.Copper.Metallurgy.Pyro Metallurgy</t>
        </is>
      </c>
      <c r="B68" t="inlineStr">
        <is>
          <t>Service</t>
        </is>
      </c>
      <c r="C68" t="inlineStr">
        <is>
          <t>MB</t>
        </is>
      </c>
      <c r="D68" t="inlineStr">
        <is>
          <t>Metal Smelting</t>
        </is>
      </c>
      <c r="E68" t="inlineStr">
        <is>
          <t>Pyro Metallurgy</t>
        </is>
      </c>
      <c r="G68" t="inlineStr">
        <is>
          <t>benchmark</t>
        </is>
      </c>
      <c r="H68" t="inlineStr">
        <is>
          <t>CO2</t>
        </is>
      </c>
      <c r="I68" t="inlineStr">
        <is>
          <t>Combustion</t>
        </is>
      </c>
      <c r="K68" t="inlineStr">
        <is>
          <t>Govt of Canada</t>
        </is>
      </c>
      <c r="L68" t="inlineStr">
        <is>
          <t>tCO2e/tonne</t>
        </is>
      </c>
      <c r="M68" t="n">
        <v>0</v>
      </c>
      <c r="N68" t="n">
        <v>0</v>
      </c>
      <c r="O68" t="n">
        <v>0</v>
      </c>
      <c r="P68" t="n">
        <v>0</v>
      </c>
      <c r="Q68" t="n">
        <v>0.181</v>
      </c>
      <c r="R68">
        <f>Q68-($Q68*0.02)*3</f>
        <v/>
      </c>
      <c r="S68">
        <f>R68-($Q68*0.02)*5</f>
        <v/>
      </c>
      <c r="T68">
        <f>S68</f>
        <v/>
      </c>
      <c r="U68">
        <f>T68</f>
        <v/>
      </c>
      <c r="V68">
        <f>U68</f>
        <v/>
      </c>
      <c r="W68">
        <f>V68</f>
        <v/>
      </c>
      <c r="X68" t="inlineStr">
        <is>
          <t>Tightening rate starts in 2023</t>
        </is>
      </c>
    </row>
    <row r="69">
      <c r="A69" t="inlineStr">
        <is>
          <t>CIMS.CAN.MB.Metal Smelting.Primary Metals.Nickel.Metallurgy.Hydro Metallurgy</t>
        </is>
      </c>
      <c r="B69" t="inlineStr">
        <is>
          <t>Service</t>
        </is>
      </c>
      <c r="C69" t="inlineStr">
        <is>
          <t>MB</t>
        </is>
      </c>
      <c r="D69" t="inlineStr">
        <is>
          <t>Metal Smelting</t>
        </is>
      </c>
      <c r="E69" t="inlineStr">
        <is>
          <t>Hydro Metallurgy</t>
        </is>
      </c>
      <c r="G69" t="inlineStr">
        <is>
          <t>benchmark</t>
        </is>
      </c>
      <c r="H69" t="inlineStr">
        <is>
          <t>CO2</t>
        </is>
      </c>
      <c r="I69" t="inlineStr">
        <is>
          <t>Combustion</t>
        </is>
      </c>
      <c r="K69" t="inlineStr">
        <is>
          <t>Govt of Canada</t>
        </is>
      </c>
      <c r="L69" t="inlineStr">
        <is>
          <t>tCO2e/tonne</t>
        </is>
      </c>
      <c r="M69" t="n">
        <v>0</v>
      </c>
      <c r="N69" t="n">
        <v>0</v>
      </c>
      <c r="O69" t="n">
        <v>0</v>
      </c>
      <c r="P69" t="n">
        <v>0</v>
      </c>
      <c r="Q69" t="n">
        <v>1.7</v>
      </c>
      <c r="R69">
        <f>Q69-($Q69*0.02)*3</f>
        <v/>
      </c>
      <c r="S69">
        <f>R69-($Q69*0.02)*5</f>
        <v/>
      </c>
      <c r="T69">
        <f>S69</f>
        <v/>
      </c>
      <c r="U69">
        <f>T69</f>
        <v/>
      </c>
      <c r="V69">
        <f>U69</f>
        <v/>
      </c>
      <c r="W69">
        <f>V69</f>
        <v/>
      </c>
      <c r="X69" t="inlineStr">
        <is>
          <t>Tightening rate starts in 2023</t>
        </is>
      </c>
    </row>
    <row r="70">
      <c r="A70" t="inlineStr">
        <is>
          <t>CIMS.CAN.MB.Metal Smelting.Primary Metals.Nickel.Metallurgy.Pyro Metallurgy</t>
        </is>
      </c>
      <c r="B70" t="inlineStr">
        <is>
          <t>Service</t>
        </is>
      </c>
      <c r="C70" t="inlineStr">
        <is>
          <t>MB</t>
        </is>
      </c>
      <c r="D70" t="inlineStr">
        <is>
          <t>Metal Smelting</t>
        </is>
      </c>
      <c r="E70" t="inlineStr">
        <is>
          <t>Pyro Metallurgy</t>
        </is>
      </c>
      <c r="G70" t="inlineStr">
        <is>
          <t>benchmark</t>
        </is>
      </c>
      <c r="H70" t="inlineStr">
        <is>
          <t>CO2</t>
        </is>
      </c>
      <c r="I70" t="inlineStr">
        <is>
          <t>Combustion</t>
        </is>
      </c>
      <c r="K70" t="inlineStr">
        <is>
          <t>Govt of Canada</t>
        </is>
      </c>
      <c r="L70" t="inlineStr">
        <is>
          <t>tCO2e/tonne</t>
        </is>
      </c>
      <c r="M70" t="n">
        <v>0</v>
      </c>
      <c r="N70" t="n">
        <v>0</v>
      </c>
      <c r="O70" t="n">
        <v>0</v>
      </c>
      <c r="P70" t="n">
        <v>0</v>
      </c>
      <c r="Q70" t="n">
        <v>0.843</v>
      </c>
      <c r="R70">
        <f>Q70-($Q70*0.02)*3</f>
        <v/>
      </c>
      <c r="S70">
        <f>R70-($Q70*0.02)*5</f>
        <v/>
      </c>
      <c r="T70">
        <f>S70</f>
        <v/>
      </c>
      <c r="U70">
        <f>T70</f>
        <v/>
      </c>
      <c r="V70">
        <f>U70</f>
        <v/>
      </c>
      <c r="W70">
        <f>V70</f>
        <v/>
      </c>
      <c r="X70" t="inlineStr">
        <is>
          <t>Tightening rate starts in 2023</t>
        </is>
      </c>
    </row>
    <row r="71">
      <c r="A71" t="inlineStr">
        <is>
          <t>CIMS.CAN.MB.Metal Smelting.Primary Metals.Zinc.Metallurgy.Hydro Metallurgy</t>
        </is>
      </c>
      <c r="B71" t="inlineStr">
        <is>
          <t>Service</t>
        </is>
      </c>
      <c r="C71" t="inlineStr">
        <is>
          <t>MB</t>
        </is>
      </c>
      <c r="D71" t="inlineStr">
        <is>
          <t>Metal Smelting</t>
        </is>
      </c>
      <c r="E71" t="inlineStr">
        <is>
          <t>Hydro Metallurgy</t>
        </is>
      </c>
      <c r="G71" t="inlineStr">
        <is>
          <t>benchmark</t>
        </is>
      </c>
      <c r="H71" t="inlineStr">
        <is>
          <t>CO2</t>
        </is>
      </c>
      <c r="I71" t="inlineStr">
        <is>
          <t>Combustion</t>
        </is>
      </c>
      <c r="K71" t="inlineStr">
        <is>
          <t>Govt of Canada</t>
        </is>
      </c>
      <c r="L71" t="inlineStr">
        <is>
          <t>tCO2e/tonne</t>
        </is>
      </c>
      <c r="M71" t="n">
        <v>0</v>
      </c>
      <c r="N71" t="n">
        <v>0</v>
      </c>
      <c r="O71" t="n">
        <v>0</v>
      </c>
      <c r="P71" t="n">
        <v>0</v>
      </c>
      <c r="Q71" t="n">
        <v>1.7</v>
      </c>
      <c r="R71">
        <f>Q71-($Q71*0.02)*3</f>
        <v/>
      </c>
      <c r="S71">
        <f>R71-($Q71*0.02)*5</f>
        <v/>
      </c>
      <c r="T71">
        <f>S71</f>
        <v/>
      </c>
      <c r="U71">
        <f>T71</f>
        <v/>
      </c>
      <c r="V71">
        <f>U71</f>
        <v/>
      </c>
      <c r="W71">
        <f>V71</f>
        <v/>
      </c>
      <c r="X71" t="inlineStr">
        <is>
          <t>Tightening rate starts in 2023</t>
        </is>
      </c>
    </row>
    <row r="72">
      <c r="A72" t="inlineStr">
        <is>
          <t>CIMS.CAN.MB.Metal Smelting.Primary Metals.Zinc.Metallurgy.Pyro Metallurgy</t>
        </is>
      </c>
      <c r="B72" t="inlineStr">
        <is>
          <t>Service</t>
        </is>
      </c>
      <c r="C72" t="inlineStr">
        <is>
          <t>MB</t>
        </is>
      </c>
      <c r="D72" t="inlineStr">
        <is>
          <t>Metal Smelting</t>
        </is>
      </c>
      <c r="E72" t="inlineStr">
        <is>
          <t>Pyro Metallurgy</t>
        </is>
      </c>
      <c r="G72" t="inlineStr">
        <is>
          <t>benchmark</t>
        </is>
      </c>
      <c r="H72" t="inlineStr">
        <is>
          <t>CO2</t>
        </is>
      </c>
      <c r="I72" t="inlineStr">
        <is>
          <t>Combustion</t>
        </is>
      </c>
      <c r="K72" t="inlineStr">
        <is>
          <t>Govt of Canada</t>
        </is>
      </c>
      <c r="L72" t="inlineStr">
        <is>
          <t>tCO2e/tonne</t>
        </is>
      </c>
      <c r="M72" t="n">
        <v>0</v>
      </c>
      <c r="N72" t="n">
        <v>0</v>
      </c>
      <c r="O72" t="n">
        <v>0</v>
      </c>
      <c r="P72" t="n">
        <v>0</v>
      </c>
      <c r="Q72" t="n">
        <v>0.856</v>
      </c>
      <c r="R72">
        <f>Q72-($Q72*0.02)*3</f>
        <v/>
      </c>
      <c r="S72">
        <f>R72-($Q72*0.02)*5</f>
        <v/>
      </c>
      <c r="T72">
        <f>S72</f>
        <v/>
      </c>
      <c r="U72">
        <f>T72</f>
        <v/>
      </c>
      <c r="V72">
        <f>U72</f>
        <v/>
      </c>
      <c r="W72">
        <f>V72</f>
        <v/>
      </c>
      <c r="X72" t="inlineStr">
        <is>
          <t>Tightening rate starts in 2023</t>
        </is>
      </c>
    </row>
    <row r="73">
      <c r="A73" t="inlineStr">
        <is>
          <t>CIMS.CAN.MB.Mining.Final Product.Metal Open Pit</t>
        </is>
      </c>
      <c r="B73" t="inlineStr">
        <is>
          <t>Service</t>
        </is>
      </c>
      <c r="C73" t="inlineStr">
        <is>
          <t>MB</t>
        </is>
      </c>
      <c r="D73" t="inlineStr">
        <is>
          <t>Mining</t>
        </is>
      </c>
      <c r="E73" t="inlineStr">
        <is>
          <t>Metal Open Pit</t>
        </is>
      </c>
      <c r="G73" t="inlineStr">
        <is>
          <t>benchmark</t>
        </is>
      </c>
      <c r="H73" t="inlineStr">
        <is>
          <t>CO2</t>
        </is>
      </c>
      <c r="I73" t="inlineStr">
        <is>
          <t>Combustion</t>
        </is>
      </c>
      <c r="K73" t="inlineStr">
        <is>
          <t>Govt of Canada</t>
        </is>
      </c>
      <c r="L73" t="inlineStr">
        <is>
          <t>tCO2e/tonne</t>
        </is>
      </c>
      <c r="M73" t="n">
        <v>0</v>
      </c>
      <c r="N73" t="n">
        <v>0</v>
      </c>
      <c r="O73" t="n">
        <v>0</v>
      </c>
      <c r="P73" t="n">
        <v>0</v>
      </c>
      <c r="Q73" t="n">
        <v>0.643</v>
      </c>
      <c r="R73">
        <f>Q73-($Q73*0.02)*3</f>
        <v/>
      </c>
      <c r="S73">
        <f>R73-($Q73*0.02)*5</f>
        <v/>
      </c>
      <c r="T73">
        <f>S73</f>
        <v/>
      </c>
      <c r="U73">
        <f>T73</f>
        <v/>
      </c>
      <c r="V73">
        <f>U73</f>
        <v/>
      </c>
      <c r="W73">
        <f>V73</f>
        <v/>
      </c>
      <c r="X73" t="inlineStr">
        <is>
          <t>Tightening rate starts in 2023</t>
        </is>
      </c>
    </row>
    <row r="74">
      <c r="A74" t="inlineStr">
        <is>
          <t>CIMS.CAN.MB.Mining.Final Product.Metal Underground</t>
        </is>
      </c>
      <c r="B74" t="inlineStr">
        <is>
          <t>Service</t>
        </is>
      </c>
      <c r="C74" t="inlineStr">
        <is>
          <t>MB</t>
        </is>
      </c>
      <c r="D74" t="inlineStr">
        <is>
          <t>Mining</t>
        </is>
      </c>
      <c r="E74" t="inlineStr">
        <is>
          <t>Metal Underground</t>
        </is>
      </c>
      <c r="G74" t="inlineStr">
        <is>
          <t>benchmark</t>
        </is>
      </c>
      <c r="H74" t="inlineStr">
        <is>
          <t>CO2</t>
        </is>
      </c>
      <c r="I74" t="inlineStr">
        <is>
          <t>Combustion</t>
        </is>
      </c>
      <c r="K74" t="inlineStr">
        <is>
          <t>Govt of Canada</t>
        </is>
      </c>
      <c r="L74" t="inlineStr">
        <is>
          <t>tCO2e/tonne</t>
        </is>
      </c>
      <c r="M74" t="n">
        <v>0</v>
      </c>
      <c r="N74" t="n">
        <v>0</v>
      </c>
      <c r="O74" t="n">
        <v>0</v>
      </c>
      <c r="P74" t="n">
        <v>0</v>
      </c>
      <c r="Q74" t="n">
        <v>0.643</v>
      </c>
      <c r="R74">
        <f>Q74-($Q74*0.02)*3</f>
        <v/>
      </c>
      <c r="S74">
        <f>R74-($Q74*0.02)*5</f>
        <v/>
      </c>
      <c r="T74">
        <f>S74</f>
        <v/>
      </c>
      <c r="U74">
        <f>T74</f>
        <v/>
      </c>
      <c r="V74">
        <f>U74</f>
        <v/>
      </c>
      <c r="W74">
        <f>V74</f>
        <v/>
      </c>
      <c r="X74" t="inlineStr">
        <is>
          <t>Tightening rate starts in 2023</t>
        </is>
      </c>
    </row>
    <row r="75">
      <c r="A75" t="inlineStr">
        <is>
          <t>CIMS.CAN.MB.Natural Gas Production.Supply.Transmission</t>
        </is>
      </c>
      <c r="B75" t="inlineStr">
        <is>
          <t>Service</t>
        </is>
      </c>
      <c r="C75" t="inlineStr">
        <is>
          <t>MB</t>
        </is>
      </c>
      <c r="D75" t="inlineStr">
        <is>
          <t>Natural Gas Production</t>
        </is>
      </c>
      <c r="E75" t="inlineStr">
        <is>
          <t>Transmission</t>
        </is>
      </c>
      <c r="G75" t="inlineStr">
        <is>
          <t>benchmark</t>
        </is>
      </c>
      <c r="H75" t="inlineStr">
        <is>
          <t>CO2</t>
        </is>
      </c>
      <c r="I75" t="inlineStr">
        <is>
          <t>Combustion</t>
        </is>
      </c>
      <c r="K75" t="inlineStr">
        <is>
          <t>Govt of Canada</t>
        </is>
      </c>
      <c r="L75" t="inlineStr">
        <is>
          <t>tCO2e/1000m3</t>
        </is>
      </c>
      <c r="M75" t="n">
        <v>0</v>
      </c>
      <c r="N75" t="n">
        <v>0</v>
      </c>
      <c r="O75" t="n">
        <v>0</v>
      </c>
      <c r="P75" t="n">
        <v>0</v>
      </c>
      <c r="Q75" t="n">
        <v>4.14615</v>
      </c>
      <c r="R75">
        <f>Q75-($Q75*0.02)*3</f>
        <v/>
      </c>
      <c r="S75">
        <f>R75-($Q75*0.02)*5</f>
        <v/>
      </c>
      <c r="T75">
        <f>S75</f>
        <v/>
      </c>
      <c r="U75">
        <f>T75</f>
        <v/>
      </c>
      <c r="V75">
        <f>U75</f>
        <v/>
      </c>
      <c r="W75">
        <f>V75</f>
        <v/>
      </c>
      <c r="X75" t="inlineStr">
        <is>
          <t>Tightening rate starts in 2023</t>
        </is>
      </c>
    </row>
    <row r="76">
      <c r="A76" t="inlineStr">
        <is>
          <t>CIMS.CAN.MB.Petroleum Crude.Production.Light Medium</t>
        </is>
      </c>
      <c r="B76" t="inlineStr">
        <is>
          <t>Service</t>
        </is>
      </c>
      <c r="C76" t="inlineStr">
        <is>
          <t>MB</t>
        </is>
      </c>
      <c r="D76" t="inlineStr">
        <is>
          <t>Petroleum Crude</t>
        </is>
      </c>
      <c r="E76" t="inlineStr">
        <is>
          <t>Light Medium</t>
        </is>
      </c>
      <c r="G76" t="inlineStr">
        <is>
          <t>benchmark</t>
        </is>
      </c>
      <c r="H76" t="inlineStr">
        <is>
          <t>CO2</t>
        </is>
      </c>
      <c r="I76" t="inlineStr">
        <is>
          <t>Combustion</t>
        </is>
      </c>
      <c r="K76" t="inlineStr">
        <is>
          <t>Govt of Canada</t>
        </is>
      </c>
      <c r="L76" t="inlineStr">
        <is>
          <t>tCO2e/m3</t>
        </is>
      </c>
      <c r="M76" t="n">
        <v>0</v>
      </c>
      <c r="N76" t="n">
        <v>0</v>
      </c>
      <c r="O76" t="n">
        <v>0</v>
      </c>
      <c r="P76" t="n">
        <v>0</v>
      </c>
      <c r="Q76" t="n">
        <v>0.1000079912045802</v>
      </c>
      <c r="R76">
        <f>Q76-($Q76*0.02)*3</f>
        <v/>
      </c>
      <c r="S76">
        <f>R76-($Q76*0.02)*5</f>
        <v/>
      </c>
      <c r="T76">
        <f>S76</f>
        <v/>
      </c>
      <c r="U76">
        <f>T76</f>
        <v/>
      </c>
      <c r="V76">
        <f>U76</f>
        <v/>
      </c>
      <c r="W76">
        <f>V76</f>
        <v/>
      </c>
      <c r="X76" t="inlineStr">
        <is>
          <t>Tightening rate starts in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2025-10-11T04:08:04Z</dcterms:created>
  <dcterms:modified xsi:type="dcterms:W3CDTF">2025-10-11T04:12:37Z</dcterms:modified>
  <cp:lastModifiedBy>Bradford Griffin</cp:lastModifiedBy>
</cp:coreProperties>
</file>