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OBPS_Fed\"/>
    </mc:Choice>
  </mc:AlternateContent>
  <xr:revisionPtr revIDLastSave="0" documentId="8_{DEB025C8-9A46-4122-8A4A-1A735526D87A}" xr6:coauthVersionLast="47" xr6:coauthVersionMax="47" xr10:uidLastSave="{00000000-0000-0000-0000-000000000000}"/>
  <bookViews>
    <workbookView xWindow="32505" yWindow="2025" windowWidth="38700" windowHeight="15285" xr2:uid="{5271C75C-3E83-4967-8D8F-65F866502091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1" l="1"/>
  <c r="V115" i="1"/>
  <c r="U115" i="1"/>
  <c r="T115" i="1"/>
  <c r="S115" i="1"/>
  <c r="R115" i="1"/>
  <c r="W114" i="1"/>
  <c r="V114" i="1"/>
  <c r="U114" i="1"/>
  <c r="T114" i="1"/>
  <c r="S114" i="1"/>
  <c r="R114" i="1"/>
  <c r="W113" i="1"/>
  <c r="V113" i="1"/>
  <c r="U113" i="1"/>
  <c r="T113" i="1"/>
  <c r="S113" i="1"/>
  <c r="R113" i="1"/>
  <c r="W112" i="1"/>
  <c r="V112" i="1"/>
  <c r="U112" i="1"/>
  <c r="T112" i="1"/>
  <c r="S112" i="1"/>
  <c r="R112" i="1"/>
  <c r="W111" i="1"/>
  <c r="V111" i="1"/>
  <c r="U111" i="1"/>
  <c r="T111" i="1"/>
  <c r="S111" i="1"/>
  <c r="R111" i="1"/>
  <c r="W110" i="1"/>
  <c r="V110" i="1"/>
  <c r="U110" i="1"/>
  <c r="T110" i="1"/>
  <c r="S110" i="1"/>
  <c r="R110" i="1"/>
  <c r="W109" i="1"/>
  <c r="V109" i="1"/>
  <c r="U109" i="1"/>
  <c r="T109" i="1"/>
  <c r="S109" i="1"/>
  <c r="R109" i="1"/>
  <c r="W108" i="1"/>
  <c r="V108" i="1"/>
  <c r="U108" i="1"/>
  <c r="T108" i="1"/>
  <c r="S108" i="1"/>
  <c r="R108" i="1"/>
  <c r="W107" i="1"/>
  <c r="V107" i="1"/>
  <c r="U107" i="1"/>
  <c r="T107" i="1"/>
  <c r="S107" i="1"/>
  <c r="R107" i="1"/>
  <c r="W106" i="1"/>
  <c r="V106" i="1"/>
  <c r="U106" i="1"/>
  <c r="T106" i="1"/>
  <c r="S106" i="1"/>
  <c r="R106" i="1"/>
  <c r="W105" i="1"/>
  <c r="V105" i="1"/>
  <c r="U105" i="1"/>
  <c r="T105" i="1"/>
  <c r="S105" i="1"/>
  <c r="R105" i="1"/>
  <c r="W104" i="1"/>
  <c r="V104" i="1"/>
  <c r="U104" i="1"/>
  <c r="T104" i="1"/>
  <c r="S104" i="1"/>
  <c r="R104" i="1"/>
  <c r="W103" i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S90" i="1"/>
  <c r="R90" i="1"/>
  <c r="W89" i="1"/>
  <c r="V89" i="1"/>
  <c r="U89" i="1"/>
  <c r="T89" i="1"/>
  <c r="S89" i="1"/>
  <c r="R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W85" i="1"/>
  <c r="V85" i="1"/>
  <c r="U85" i="1"/>
  <c r="T85" i="1"/>
  <c r="S85" i="1"/>
  <c r="R85" i="1"/>
  <c r="W84" i="1"/>
  <c r="V84" i="1"/>
  <c r="U84" i="1"/>
  <c r="T84" i="1"/>
  <c r="S84" i="1"/>
  <c r="R84" i="1"/>
  <c r="W83" i="1"/>
  <c r="V83" i="1"/>
  <c r="U83" i="1"/>
  <c r="T83" i="1"/>
  <c r="W82" i="1"/>
  <c r="V82" i="1"/>
  <c r="U82" i="1"/>
  <c r="T82" i="1"/>
  <c r="W81" i="1"/>
  <c r="V81" i="1"/>
  <c r="U81" i="1"/>
  <c r="T81" i="1"/>
  <c r="S81" i="1"/>
  <c r="R81" i="1"/>
  <c r="W80" i="1"/>
  <c r="V80" i="1"/>
  <c r="U80" i="1"/>
  <c r="T80" i="1"/>
  <c r="S80" i="1"/>
  <c r="R80" i="1"/>
  <c r="Q80" i="1"/>
  <c r="P80" i="1"/>
  <c r="O80" i="1"/>
  <c r="N80" i="1"/>
  <c r="M80" i="1"/>
  <c r="W79" i="1"/>
  <c r="V79" i="1"/>
  <c r="U79" i="1"/>
  <c r="T79" i="1"/>
  <c r="S79" i="1"/>
  <c r="R79" i="1"/>
  <c r="Q79" i="1"/>
  <c r="P79" i="1"/>
  <c r="O79" i="1"/>
  <c r="N79" i="1"/>
  <c r="M79" i="1"/>
  <c r="W78" i="1"/>
  <c r="V78" i="1"/>
  <c r="U78" i="1"/>
  <c r="T78" i="1"/>
  <c r="S78" i="1"/>
  <c r="R78" i="1"/>
  <c r="Q78" i="1"/>
  <c r="P78" i="1"/>
  <c r="O78" i="1"/>
  <c r="N78" i="1"/>
  <c r="M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M76" i="1"/>
  <c r="W75" i="1"/>
  <c r="V75" i="1"/>
  <c r="U75" i="1"/>
  <c r="T75" i="1"/>
  <c r="S75" i="1"/>
  <c r="R75" i="1"/>
  <c r="Q75" i="1"/>
  <c r="P75" i="1"/>
  <c r="O75" i="1"/>
  <c r="N75" i="1"/>
  <c r="M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<sst xmlns="http://schemas.openxmlformats.org/spreadsheetml/2006/main" count="1113" uniqueCount="119">
  <si>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</si>
  <si>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</si>
  <si>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</si>
  <si>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</si>
  <si>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</si>
  <si>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</si>
  <si>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</si>
  <si>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</si>
  <si>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</si>
  <si>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</si>
  <si>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</si>
  <si>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</si>
  <si>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</si>
  <si>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</si>
  <si>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CIMS.CAN.QC.Chemical Products</t>
  </si>
  <si>
    <t>QC</t>
  </si>
  <si>
    <t>Chemical Products</t>
  </si>
  <si>
    <t>tax</t>
  </si>
  <si>
    <t>CO2</t>
  </si>
  <si>
    <t>Combustion</t>
  </si>
  <si>
    <t>Govt of Quebec</t>
  </si>
  <si>
    <t>$/tCO2e</t>
  </si>
  <si>
    <t>Process</t>
  </si>
  <si>
    <t>CH4</t>
  </si>
  <si>
    <t>N2O</t>
  </si>
  <si>
    <t>CIMS.CAN.QC.Electricity.Utility Generation.Base Load</t>
  </si>
  <si>
    <t>Electricity</t>
  </si>
  <si>
    <t>Base Load</t>
  </si>
  <si>
    <t>Govt of Canada</t>
  </si>
  <si>
    <t>CIMS.CAN.QC.Electricity.Utility Generation.Shoulder Load</t>
  </si>
  <si>
    <t>Shoulder Load</t>
  </si>
  <si>
    <t>CIMS.CAN.QC.Ethanol</t>
  </si>
  <si>
    <t>Ethanol</t>
  </si>
  <si>
    <t>CIMS.CAN.QC.Hydrogen</t>
  </si>
  <si>
    <t>Hydrogen</t>
  </si>
  <si>
    <t>CIMS.CAN.QC.Industrial Minerals</t>
  </si>
  <si>
    <t>Industrial Minerals</t>
  </si>
  <si>
    <t>CIMS.CAN.QC.Iron and Steel</t>
  </si>
  <si>
    <t>Iron and Steel</t>
  </si>
  <si>
    <t>CIMS.CAN.QC.Light Industrial</t>
  </si>
  <si>
    <t>Light Industrial</t>
  </si>
  <si>
    <t>CIMS.CAN.QC.Metal Smelting</t>
  </si>
  <si>
    <t>Metal Smelting</t>
  </si>
  <si>
    <t>CIMS.CAN.QC.Mining</t>
  </si>
  <si>
    <t>Mining</t>
  </si>
  <si>
    <t>CIMS.CAN.QC.Natural Gas Production</t>
  </si>
  <si>
    <t>Natural Gas Production</t>
  </si>
  <si>
    <t>CIMS.CAN.QC.Petroleum Refining</t>
  </si>
  <si>
    <t>Petroleum Refining</t>
  </si>
  <si>
    <t>CIMS.CAN.QC.Pulp and Paper</t>
  </si>
  <si>
    <t>Pulp and Paper</t>
  </si>
  <si>
    <t>CIMS.CAN.QC.Chemical Products.Chemical Product.Ammonia Methanol</t>
  </si>
  <si>
    <t>Ammonia Methanol</t>
  </si>
  <si>
    <t>benchmark</t>
  </si>
  <si>
    <t>tCO2e/t</t>
  </si>
  <si>
    <t>Tightening rate starts in 2023</t>
  </si>
  <si>
    <t>tCO2e/MWh</t>
  </si>
  <si>
    <t>CIMS.CAN.QC.Ethanol.Production</t>
  </si>
  <si>
    <t>Production</t>
  </si>
  <si>
    <t>tCO2e/GJ</t>
  </si>
  <si>
    <t>CIMS.CAN.QC.Hydrogen.Production</t>
  </si>
  <si>
    <t>tCO2e/kg</t>
  </si>
  <si>
    <t>CIMS.CAN.QC.Industrial Minerals.Products.Bricks</t>
  </si>
  <si>
    <t>Bricks</t>
  </si>
  <si>
    <t>CIMS.CAN.QC.Industrial Minerals.Products.Glass</t>
  </si>
  <si>
    <t>Glass</t>
  </si>
  <si>
    <t>CIMS.CAN.QC.Industrial Minerals.Products.Lime</t>
  </si>
  <si>
    <t>Lime</t>
  </si>
  <si>
    <t>CIMS.CAN.QC.Industrial Minerals.Products.Cement.Portland cement</t>
  </si>
  <si>
    <t>Portland cement</t>
  </si>
  <si>
    <t>CIMS.CAN.QC.Industrial Minerals.Products.Cement.Portland cement.Clinker</t>
  </si>
  <si>
    <t>Clinker</t>
  </si>
  <si>
    <t>CIMS.CAN.QC.Iron and Steel.Steel Product.Billets</t>
  </si>
  <si>
    <t>Billets</t>
  </si>
  <si>
    <t>CIMS.CAN.QC.Iron and Steel.Steel Product.Blooms</t>
  </si>
  <si>
    <t>Blooms</t>
  </si>
  <si>
    <t>CIMS.CAN.QC.Iron and Steel.Molten Steel.Recycled</t>
  </si>
  <si>
    <t>Recycled</t>
  </si>
  <si>
    <t>CIMS.CAN.QC.Iron and Steel.Molten Steel.Integrated</t>
  </si>
  <si>
    <t>Integrated</t>
  </si>
  <si>
    <t>CIMS.CAN.QC.Iron and Steel.Steel Product.Slabs.Casting</t>
  </si>
  <si>
    <t>Casting</t>
  </si>
  <si>
    <t>CIMS.CAN.QC.Iron and Steel.Steel Product.Slabs.Cold Rolled</t>
  </si>
  <si>
    <t>Cold Rolled</t>
  </si>
  <si>
    <t>CIMS.CAN.QC.Light Industrial.Manufacturing.Food Tobacco and Beverage</t>
  </si>
  <si>
    <t>Food Tobacco and Beverage</t>
  </si>
  <si>
    <t>CIMS.CAN.QC.Light Industrial.Manufacturing.Rubber and Plastics</t>
  </si>
  <si>
    <t>Rubber and Plastics</t>
  </si>
  <si>
    <t>CIMS.CAN.QC.Light Industrial.Manufacturing.Transportation Equipment</t>
  </si>
  <si>
    <t>Transportation Equipment</t>
  </si>
  <si>
    <t>CIMS.CAN.QC.Light Industrial.Manufacturing.Wood Products</t>
  </si>
  <si>
    <t>Wood Products</t>
  </si>
  <si>
    <t>CIMS.CAN.QC.Metal Smelting.Primary Metals.Aluminum.Primary Aluminum.Alumina</t>
  </si>
  <si>
    <t>Alumina</t>
  </si>
  <si>
    <t>CIMS.CAN.QC.Metal Smelting.Primary Metals.Aluminum.Primary Aluminum.Electrolysis</t>
  </si>
  <si>
    <t>Electrolysis</t>
  </si>
  <si>
    <t>CIMS.CAN.QC.Metal Smelting.Primary Metals.Copper.Metallurgy.Hydro Metallurgy</t>
  </si>
  <si>
    <t>Hydro Metallurgy</t>
  </si>
  <si>
    <t>CIMS.CAN.QC.Metal Smelting.Primary Metals.Copper.Metallurgy.Pyro Metallurgy</t>
  </si>
  <si>
    <t>Pyro Metallurgy</t>
  </si>
  <si>
    <t>CIMS.CAN.QC.Metal Smelting.Primary Metals.Nickel.Metallurgy.Hydro Metallurgy</t>
  </si>
  <si>
    <t>CIMS.CAN.QC.Metal Smelting.Primary Metals.Nickel.Metallurgy.Pyro Metallurgy</t>
  </si>
  <si>
    <t>CIMS.CAN.QC.Metal Smelting.Primary Metals.Zinc.Metallurgy.Hydro Metallurgy</t>
  </si>
  <si>
    <t>CIMS.CAN.QC.Metal Smelting.Primary Metals.Zinc.Metallurgy.Pyro Metallurgy</t>
  </si>
  <si>
    <t>CIMS.CAN.QC.Mining.Final Product.Metal Open Pit</t>
  </si>
  <si>
    <t>Metal Open Pit</t>
  </si>
  <si>
    <t>CIMS.CAN.QC.Mining.Final Product.Metal Underground</t>
  </si>
  <si>
    <t>Metal Underground</t>
  </si>
  <si>
    <t>CIMS.CAN.QC.Natural Gas Production.Supply.Transmission</t>
  </si>
  <si>
    <t>Transmission</t>
  </si>
  <si>
    <t>tCO2e/1000m3</t>
  </si>
  <si>
    <t>CIMS.CAN.QC.Petroleum Refining.Hydrogen</t>
  </si>
  <si>
    <t>CIMS.CAN.QC.Petroleum Refining.Refined Petroleum Products.Petroleum Fractions</t>
  </si>
  <si>
    <t>Petroleum Fractions</t>
  </si>
  <si>
    <t>tCO2e/m3</t>
  </si>
  <si>
    <t>CIMS.CAN.QC.Petroleum Refining.Refined Petroleum Products.Petroleum Fractions.Lubes</t>
  </si>
  <si>
    <t>Lubes</t>
  </si>
  <si>
    <t>CIMS.CAN.QC.Pulp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</si>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</sst>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1031A-870A-4833-BE19-903D07258468}">
  <dimension ref="A1:X115"/>
  <sheetViews>
    <sheetView tabSelected="1" workbookViewId="0">
      <selection sqref="A1:X115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E9" t="s">
        <v>27</v>
      </c>
      <c r="G9" t="s">
        <v>17</v>
      </c>
      <c r="H9" t="s">
        <v>18</v>
      </c>
      <c r="I9" t="s">
        <v>19</v>
      </c>
      <c r="K9" t="s">
        <v>28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E10" t="s">
        <v>27</v>
      </c>
      <c r="G10" t="s">
        <v>17</v>
      </c>
      <c r="H10" t="s">
        <v>18</v>
      </c>
      <c r="I10" t="s">
        <v>22</v>
      </c>
      <c r="K10" t="s">
        <v>28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E11" t="s">
        <v>27</v>
      </c>
      <c r="G11" t="s">
        <v>17</v>
      </c>
      <c r="H11" t="s">
        <v>23</v>
      </c>
      <c r="I11" t="s">
        <v>19</v>
      </c>
      <c r="K11" t="s">
        <v>28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E12" t="s">
        <v>27</v>
      </c>
      <c r="G12" t="s">
        <v>17</v>
      </c>
      <c r="H12" t="s">
        <v>23</v>
      </c>
      <c r="I12" t="s">
        <v>22</v>
      </c>
      <c r="K12" t="s">
        <v>28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E13" t="s">
        <v>27</v>
      </c>
      <c r="G13" t="s">
        <v>17</v>
      </c>
      <c r="H13" t="s">
        <v>24</v>
      </c>
      <c r="I13" t="s">
        <v>19</v>
      </c>
      <c r="K13" t="s">
        <v>28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E14" t="s">
        <v>27</v>
      </c>
      <c r="G14" t="s">
        <v>17</v>
      </c>
      <c r="H14" t="s">
        <v>24</v>
      </c>
      <c r="I14" t="s">
        <v>22</v>
      </c>
      <c r="K14" t="s">
        <v>28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29</v>
      </c>
      <c r="B15" t="s">
        <v>4</v>
      </c>
      <c r="C15" t="s">
        <v>15</v>
      </c>
      <c r="D15" t="s">
        <v>26</v>
      </c>
      <c r="E15" t="s">
        <v>30</v>
      </c>
      <c r="G15" t="s">
        <v>17</v>
      </c>
      <c r="H15" t="s">
        <v>18</v>
      </c>
      <c r="I15" t="s">
        <v>19</v>
      </c>
      <c r="K15" t="s">
        <v>28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29</v>
      </c>
      <c r="B16" t="s">
        <v>4</v>
      </c>
      <c r="C16" t="s">
        <v>15</v>
      </c>
      <c r="D16" t="s">
        <v>26</v>
      </c>
      <c r="E16" t="s">
        <v>30</v>
      </c>
      <c r="G16" t="s">
        <v>17</v>
      </c>
      <c r="H16" t="s">
        <v>18</v>
      </c>
      <c r="I16" t="s">
        <v>22</v>
      </c>
      <c r="K16" t="s">
        <v>28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29</v>
      </c>
      <c r="B17" t="s">
        <v>4</v>
      </c>
      <c r="C17" t="s">
        <v>15</v>
      </c>
      <c r="D17" t="s">
        <v>26</v>
      </c>
      <c r="E17" t="s">
        <v>30</v>
      </c>
      <c r="G17" t="s">
        <v>17</v>
      </c>
      <c r="H17" t="s">
        <v>23</v>
      </c>
      <c r="I17" t="s">
        <v>19</v>
      </c>
      <c r="K17" t="s">
        <v>28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29</v>
      </c>
      <c r="B18" t="s">
        <v>4</v>
      </c>
      <c r="C18" t="s">
        <v>15</v>
      </c>
      <c r="D18" t="s">
        <v>26</v>
      </c>
      <c r="E18" t="s">
        <v>30</v>
      </c>
      <c r="G18" t="s">
        <v>17</v>
      </c>
      <c r="H18" t="s">
        <v>23</v>
      </c>
      <c r="I18" t="s">
        <v>22</v>
      </c>
      <c r="K18" t="s">
        <v>28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29</v>
      </c>
      <c r="B19" t="s">
        <v>4</v>
      </c>
      <c r="C19" t="s">
        <v>15</v>
      </c>
      <c r="D19" t="s">
        <v>26</v>
      </c>
      <c r="E19" t="s">
        <v>30</v>
      </c>
      <c r="G19" t="s">
        <v>17</v>
      </c>
      <c r="H19" t="s">
        <v>24</v>
      </c>
      <c r="I19" t="s">
        <v>19</v>
      </c>
      <c r="K19" t="s">
        <v>28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29</v>
      </c>
      <c r="B20" t="s">
        <v>4</v>
      </c>
      <c r="C20" t="s">
        <v>15</v>
      </c>
      <c r="D20" t="s">
        <v>26</v>
      </c>
      <c r="E20" t="s">
        <v>30</v>
      </c>
      <c r="G20" t="s">
        <v>17</v>
      </c>
      <c r="H20" t="s">
        <v>24</v>
      </c>
      <c r="I20" t="s">
        <v>22</v>
      </c>
      <c r="K20" t="s">
        <v>28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31</v>
      </c>
      <c r="B21" t="s">
        <v>4</v>
      </c>
      <c r="C21" t="s">
        <v>15</v>
      </c>
      <c r="D21" t="s">
        <v>32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31</v>
      </c>
      <c r="B22" t="s">
        <v>4</v>
      </c>
      <c r="C22" t="s">
        <v>15</v>
      </c>
      <c r="D22" t="s">
        <v>32</v>
      </c>
      <c r="G22" t="s">
        <v>17</v>
      </c>
      <c r="H22" t="s">
        <v>18</v>
      </c>
      <c r="I22" t="s">
        <v>22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31</v>
      </c>
      <c r="B23" t="s">
        <v>4</v>
      </c>
      <c r="C23" t="s">
        <v>15</v>
      </c>
      <c r="D23" t="s">
        <v>32</v>
      </c>
      <c r="G23" t="s">
        <v>17</v>
      </c>
      <c r="H23" t="s">
        <v>23</v>
      </c>
      <c r="I23" t="s">
        <v>19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31</v>
      </c>
      <c r="B24" t="s">
        <v>4</v>
      </c>
      <c r="C24" t="s">
        <v>15</v>
      </c>
      <c r="D24" t="s">
        <v>32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31</v>
      </c>
      <c r="B25" t="s">
        <v>4</v>
      </c>
      <c r="C25" t="s">
        <v>15</v>
      </c>
      <c r="D25" t="s">
        <v>32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31</v>
      </c>
      <c r="B26" t="s">
        <v>4</v>
      </c>
      <c r="C26" t="s">
        <v>15</v>
      </c>
      <c r="D26" t="s">
        <v>32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33</v>
      </c>
      <c r="B27" t="s">
        <v>4</v>
      </c>
      <c r="C27" t="s">
        <v>15</v>
      </c>
      <c r="D27" t="s">
        <v>34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33</v>
      </c>
      <c r="B28" t="s">
        <v>4</v>
      </c>
      <c r="C28" t="s">
        <v>15</v>
      </c>
      <c r="D28" t="s">
        <v>34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33</v>
      </c>
      <c r="B29" t="s">
        <v>4</v>
      </c>
      <c r="C29" t="s">
        <v>15</v>
      </c>
      <c r="D29" t="s">
        <v>34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33</v>
      </c>
      <c r="B30" t="s">
        <v>4</v>
      </c>
      <c r="C30" t="s">
        <v>15</v>
      </c>
      <c r="D30" t="s">
        <v>34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33</v>
      </c>
      <c r="B31" t="s">
        <v>4</v>
      </c>
      <c r="C31" t="s">
        <v>15</v>
      </c>
      <c r="D31" t="s">
        <v>34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33</v>
      </c>
      <c r="B32" t="s">
        <v>4</v>
      </c>
      <c r="C32" t="s">
        <v>15</v>
      </c>
      <c r="D32" t="s">
        <v>34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35</v>
      </c>
      <c r="B33" t="s">
        <v>4</v>
      </c>
      <c r="C33" t="s">
        <v>15</v>
      </c>
      <c r="D33" t="s">
        <v>36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35</v>
      </c>
      <c r="B34" t="s">
        <v>4</v>
      </c>
      <c r="C34" t="s">
        <v>15</v>
      </c>
      <c r="D34" t="s">
        <v>36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35</v>
      </c>
      <c r="B35" t="s">
        <v>4</v>
      </c>
      <c r="C35" t="s">
        <v>15</v>
      </c>
      <c r="D35" t="s">
        <v>36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35</v>
      </c>
      <c r="B36" t="s">
        <v>4</v>
      </c>
      <c r="C36" t="s">
        <v>15</v>
      </c>
      <c r="D36" t="s">
        <v>36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35</v>
      </c>
      <c r="B37" t="s">
        <v>4</v>
      </c>
      <c r="C37" t="s">
        <v>15</v>
      </c>
      <c r="D37" t="s">
        <v>36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35</v>
      </c>
      <c r="B38" t="s">
        <v>4</v>
      </c>
      <c r="C38" t="s">
        <v>15</v>
      </c>
      <c r="D38" t="s">
        <v>36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37</v>
      </c>
      <c r="B39" t="s">
        <v>4</v>
      </c>
      <c r="C39" t="s">
        <v>15</v>
      </c>
      <c r="D39" t="s">
        <v>38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37</v>
      </c>
      <c r="B40" t="s">
        <v>4</v>
      </c>
      <c r="C40" t="s">
        <v>15</v>
      </c>
      <c r="D40" t="s">
        <v>38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37</v>
      </c>
      <c r="B41" t="s">
        <v>4</v>
      </c>
      <c r="C41" t="s">
        <v>15</v>
      </c>
      <c r="D41" t="s">
        <v>38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37</v>
      </c>
      <c r="B42" t="s">
        <v>4</v>
      </c>
      <c r="C42" t="s">
        <v>15</v>
      </c>
      <c r="D42" t="s">
        <v>38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37</v>
      </c>
      <c r="B43" t="s">
        <v>4</v>
      </c>
      <c r="C43" t="s">
        <v>15</v>
      </c>
      <c r="D43" t="s">
        <v>38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37</v>
      </c>
      <c r="B44" t="s">
        <v>4</v>
      </c>
      <c r="C44" t="s">
        <v>15</v>
      </c>
      <c r="D44" t="s">
        <v>38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39</v>
      </c>
      <c r="B45" t="s">
        <v>4</v>
      </c>
      <c r="C45" t="s">
        <v>15</v>
      </c>
      <c r="D45" t="s">
        <v>40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39</v>
      </c>
      <c r="B46" t="s">
        <v>4</v>
      </c>
      <c r="C46" t="s">
        <v>15</v>
      </c>
      <c r="D46" t="s">
        <v>40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39</v>
      </c>
      <c r="B47" t="s">
        <v>4</v>
      </c>
      <c r="C47" t="s">
        <v>15</v>
      </c>
      <c r="D47" t="s">
        <v>40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39</v>
      </c>
      <c r="B48" t="s">
        <v>4</v>
      </c>
      <c r="C48" t="s">
        <v>15</v>
      </c>
      <c r="D48" t="s">
        <v>40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39</v>
      </c>
      <c r="B49" t="s">
        <v>4</v>
      </c>
      <c r="C49" t="s">
        <v>15</v>
      </c>
      <c r="D49" t="s">
        <v>40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39</v>
      </c>
      <c r="B50" t="s">
        <v>4</v>
      </c>
      <c r="C50" t="s">
        <v>15</v>
      </c>
      <c r="D50" t="s">
        <v>40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41</v>
      </c>
      <c r="B51" t="s">
        <v>4</v>
      </c>
      <c r="C51" t="s">
        <v>15</v>
      </c>
      <c r="D51" t="s">
        <v>42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41</v>
      </c>
      <c r="B52" t="s">
        <v>4</v>
      </c>
      <c r="C52" t="s">
        <v>15</v>
      </c>
      <c r="D52" t="s">
        <v>42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41</v>
      </c>
      <c r="B53" t="s">
        <v>4</v>
      </c>
      <c r="C53" t="s">
        <v>15</v>
      </c>
      <c r="D53" t="s">
        <v>42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41</v>
      </c>
      <c r="B54" t="s">
        <v>4</v>
      </c>
      <c r="C54" t="s">
        <v>15</v>
      </c>
      <c r="D54" t="s">
        <v>42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41</v>
      </c>
      <c r="B55" t="s">
        <v>4</v>
      </c>
      <c r="C55" t="s">
        <v>15</v>
      </c>
      <c r="D55" t="s">
        <v>42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41</v>
      </c>
      <c r="B56" t="s">
        <v>4</v>
      </c>
      <c r="C56" t="s">
        <v>15</v>
      </c>
      <c r="D56" t="s">
        <v>42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43</v>
      </c>
      <c r="B57" t="s">
        <v>4</v>
      </c>
      <c r="C57" t="s">
        <v>15</v>
      </c>
      <c r="D57" t="s">
        <v>44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43</v>
      </c>
      <c r="B58" t="s">
        <v>4</v>
      </c>
      <c r="C58" t="s">
        <v>15</v>
      </c>
      <c r="D58" t="s">
        <v>44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43</v>
      </c>
      <c r="B59" t="s">
        <v>4</v>
      </c>
      <c r="C59" t="s">
        <v>15</v>
      </c>
      <c r="D59" t="s">
        <v>44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43</v>
      </c>
      <c r="B60" t="s">
        <v>4</v>
      </c>
      <c r="C60" t="s">
        <v>15</v>
      </c>
      <c r="D60" t="s">
        <v>44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43</v>
      </c>
      <c r="B61" t="s">
        <v>4</v>
      </c>
      <c r="C61" t="s">
        <v>15</v>
      </c>
      <c r="D61" t="s">
        <v>44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43</v>
      </c>
      <c r="B62" t="s">
        <v>4</v>
      </c>
      <c r="C62" t="s">
        <v>15</v>
      </c>
      <c r="D62" t="s">
        <v>44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45</v>
      </c>
      <c r="B63" t="s">
        <v>4</v>
      </c>
      <c r="C63" t="s">
        <v>15</v>
      </c>
      <c r="D63" t="s">
        <v>46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45</v>
      </c>
      <c r="B64" t="s">
        <v>4</v>
      </c>
      <c r="C64" t="s">
        <v>15</v>
      </c>
      <c r="D64" t="s">
        <v>46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3" x14ac:dyDescent="0.3">
      <c r="A65" t="s">
        <v>45</v>
      </c>
      <c r="B65" t="s">
        <v>4</v>
      </c>
      <c r="C65" t="s">
        <v>15</v>
      </c>
      <c r="D65" t="s">
        <v>46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3" x14ac:dyDescent="0.3">
      <c r="A66" t="s">
        <v>45</v>
      </c>
      <c r="B66" t="s">
        <v>4</v>
      </c>
      <c r="C66" t="s">
        <v>15</v>
      </c>
      <c r="D66" t="s">
        <v>46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3" x14ac:dyDescent="0.3">
      <c r="A67" t="s">
        <v>45</v>
      </c>
      <c r="B67" t="s">
        <v>4</v>
      </c>
      <c r="C67" t="s">
        <v>15</v>
      </c>
      <c r="D67" t="s">
        <v>46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3" x14ac:dyDescent="0.3">
      <c r="A68" t="s">
        <v>45</v>
      </c>
      <c r="B68" t="s">
        <v>4</v>
      </c>
      <c r="C68" t="s">
        <v>15</v>
      </c>
      <c r="D68" t="s">
        <v>46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3" x14ac:dyDescent="0.3">
      <c r="A69" t="s">
        <v>47</v>
      </c>
      <c r="B69" t="s">
        <v>4</v>
      </c>
      <c r="C69" t="s">
        <v>15</v>
      </c>
      <c r="D69" t="s">
        <v>48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3" x14ac:dyDescent="0.3">
      <c r="A70" t="s">
        <v>47</v>
      </c>
      <c r="B70" t="s">
        <v>4</v>
      </c>
      <c r="C70" t="s">
        <v>15</v>
      </c>
      <c r="D70" t="s">
        <v>48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3" x14ac:dyDescent="0.3">
      <c r="A71" t="s">
        <v>47</v>
      </c>
      <c r="B71" t="s">
        <v>4</v>
      </c>
      <c r="C71" t="s">
        <v>15</v>
      </c>
      <c r="D71" t="s">
        <v>48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3" x14ac:dyDescent="0.3">
      <c r="A72" t="s">
        <v>47</v>
      </c>
      <c r="B72" t="s">
        <v>4</v>
      </c>
      <c r="C72" t="s">
        <v>15</v>
      </c>
      <c r="D72" t="s">
        <v>48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3" x14ac:dyDescent="0.3">
      <c r="A73" t="s">
        <v>47</v>
      </c>
      <c r="B73" t="s">
        <v>4</v>
      </c>
      <c r="C73" t="s">
        <v>15</v>
      </c>
      <c r="D73" t="s">
        <v>48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3" x14ac:dyDescent="0.3">
      <c r="A74" t="s">
        <v>47</v>
      </c>
      <c r="B74" t="s">
        <v>4</v>
      </c>
      <c r="C74" t="s">
        <v>15</v>
      </c>
      <c r="D74" t="s">
        <v>48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3" x14ac:dyDescent="0.3">
      <c r="A75" t="s">
        <v>49</v>
      </c>
      <c r="B75" t="s">
        <v>4</v>
      </c>
      <c r="C75" t="s">
        <v>15</v>
      </c>
      <c r="D75" t="s">
        <v>50</v>
      </c>
      <c r="G75" t="s">
        <v>17</v>
      </c>
      <c r="H75" t="s">
        <v>18</v>
      </c>
      <c r="I75" t="s">
        <v>19</v>
      </c>
      <c r="K75" t="s">
        <v>20</v>
      </c>
      <c r="L75" t="s">
        <v>21</v>
      </c>
      <c r="M75">
        <f ca="1">[1]Prices!K$26</f>
        <v>0</v>
      </c>
      <c r="N75">
        <f ca="1">[1]Prices!L$26</f>
        <v>0</v>
      </c>
      <c r="O75">
        <f ca="1">[1]Prices!M$26</f>
        <v>0</v>
      </c>
      <c r="P75">
        <f ca="1">[1]Prices!N$26</f>
        <v>0</v>
      </c>
      <c r="Q75">
        <f ca="1">[1]Prices!O$26</f>
        <v>30</v>
      </c>
      <c r="R75">
        <f ca="1">[1]Prices!P$26</f>
        <v>68.341643330825832</v>
      </c>
      <c r="S75">
        <f ca="1">[1]Prices!Q$26</f>
        <v>100.32134973994673</v>
      </c>
      <c r="T75">
        <f ca="1">[1]Prices!R$26</f>
        <v>82.639006798408047</v>
      </c>
      <c r="U75">
        <f ca="1">[1]Prices!S$26</f>
        <v>67.75892127087694</v>
      </c>
      <c r="V75">
        <f ca="1">[1]Prices!T$26</f>
        <v>55.57940835560332</v>
      </c>
      <c r="W75">
        <f ca="1">[1]Prices!U$26</f>
        <v>45.789061745779293</v>
      </c>
    </row>
    <row r="76" spans="1:23" x14ac:dyDescent="0.3">
      <c r="A76" t="s">
        <v>49</v>
      </c>
      <c r="B76" t="s">
        <v>4</v>
      </c>
      <c r="C76" t="s">
        <v>15</v>
      </c>
      <c r="D76" t="s">
        <v>50</v>
      </c>
      <c r="G76" t="s">
        <v>17</v>
      </c>
      <c r="H76" t="s">
        <v>18</v>
      </c>
      <c r="I76" t="s">
        <v>22</v>
      </c>
      <c r="K76" t="s">
        <v>20</v>
      </c>
      <c r="L76" t="s">
        <v>21</v>
      </c>
      <c r="M76">
        <f ca="1">[1]Prices!K$26</f>
        <v>0</v>
      </c>
      <c r="N76">
        <f ca="1">[1]Prices!L$26</f>
        <v>0</v>
      </c>
      <c r="O76">
        <f ca="1">[1]Prices!M$26</f>
        <v>0</v>
      </c>
      <c r="P76">
        <f ca="1">[1]Prices!N$26</f>
        <v>0</v>
      </c>
      <c r="Q76">
        <f ca="1">[1]Prices!O$26</f>
        <v>30</v>
      </c>
      <c r="R76">
        <f ca="1">[1]Prices!P$26</f>
        <v>68.341643330825832</v>
      </c>
      <c r="S76">
        <f ca="1">[1]Prices!Q$26</f>
        <v>100.32134973994673</v>
      </c>
      <c r="T76">
        <f ca="1">[1]Prices!R$26</f>
        <v>82.639006798408047</v>
      </c>
      <c r="U76">
        <f ca="1">[1]Prices!S$26</f>
        <v>67.75892127087694</v>
      </c>
      <c r="V76">
        <f ca="1">[1]Prices!T$26</f>
        <v>55.57940835560332</v>
      </c>
      <c r="W76">
        <f ca="1">[1]Prices!U$26</f>
        <v>45.789061745779293</v>
      </c>
    </row>
    <row r="77" spans="1:23" x14ac:dyDescent="0.3">
      <c r="A77" t="s">
        <v>49</v>
      </c>
      <c r="B77" t="s">
        <v>4</v>
      </c>
      <c r="C77" t="s">
        <v>15</v>
      </c>
      <c r="D77" t="s">
        <v>50</v>
      </c>
      <c r="G77" t="s">
        <v>17</v>
      </c>
      <c r="H77" t="s">
        <v>23</v>
      </c>
      <c r="I77" t="s">
        <v>19</v>
      </c>
      <c r="K77" t="s">
        <v>20</v>
      </c>
      <c r="L77" t="s">
        <v>21</v>
      </c>
      <c r="M77">
        <f ca="1">[1]Prices!K$26</f>
        <v>0</v>
      </c>
      <c r="N77">
        <f ca="1">[1]Prices!L$26</f>
        <v>0</v>
      </c>
      <c r="O77">
        <f ca="1">[1]Prices!M$26</f>
        <v>0</v>
      </c>
      <c r="P77">
        <f ca="1">[1]Prices!N$26</f>
        <v>0</v>
      </c>
      <c r="Q77">
        <f ca="1">[1]Prices!O$26</f>
        <v>30</v>
      </c>
      <c r="R77">
        <f ca="1">[1]Prices!P$26</f>
        <v>68.341643330825832</v>
      </c>
      <c r="S77">
        <f ca="1">[1]Prices!Q$26</f>
        <v>100.32134973994673</v>
      </c>
      <c r="T77">
        <f ca="1">[1]Prices!R$26</f>
        <v>82.639006798408047</v>
      </c>
      <c r="U77">
        <f ca="1">[1]Prices!S$26</f>
        <v>67.75892127087694</v>
      </c>
      <c r="V77">
        <f ca="1">[1]Prices!T$26</f>
        <v>55.57940835560332</v>
      </c>
      <c r="W77">
        <f ca="1">[1]Prices!U$26</f>
        <v>45.789061745779293</v>
      </c>
    </row>
    <row r="78" spans="1:23" x14ac:dyDescent="0.3">
      <c r="A78" t="s">
        <v>49</v>
      </c>
      <c r="B78" t="s">
        <v>4</v>
      </c>
      <c r="C78" t="s">
        <v>15</v>
      </c>
      <c r="D78" t="s">
        <v>50</v>
      </c>
      <c r="G78" t="s">
        <v>17</v>
      </c>
      <c r="H78" t="s">
        <v>23</v>
      </c>
      <c r="I78" t="s">
        <v>22</v>
      </c>
      <c r="K78" t="s">
        <v>20</v>
      </c>
      <c r="L78" t="s">
        <v>21</v>
      </c>
      <c r="M78">
        <f ca="1">[1]Prices!K$26</f>
        <v>0</v>
      </c>
      <c r="N78">
        <f ca="1">[1]Prices!L$26</f>
        <v>0</v>
      </c>
      <c r="O78">
        <f ca="1">[1]Prices!M$26</f>
        <v>0</v>
      </c>
      <c r="P78">
        <f ca="1">[1]Prices!N$26</f>
        <v>0</v>
      </c>
      <c r="Q78">
        <f ca="1">[1]Prices!O$26</f>
        <v>30</v>
      </c>
      <c r="R78">
        <f ca="1">[1]Prices!P$26</f>
        <v>68.341643330825832</v>
      </c>
      <c r="S78">
        <f ca="1">[1]Prices!Q$26</f>
        <v>100.32134973994673</v>
      </c>
      <c r="T78">
        <f ca="1">[1]Prices!R$26</f>
        <v>82.639006798408047</v>
      </c>
      <c r="U78">
        <f ca="1">[1]Prices!S$26</f>
        <v>67.75892127087694</v>
      </c>
      <c r="V78">
        <f ca="1">[1]Prices!T$26</f>
        <v>55.57940835560332</v>
      </c>
      <c r="W78">
        <f ca="1">[1]Prices!U$26</f>
        <v>45.789061745779293</v>
      </c>
    </row>
    <row r="79" spans="1:23" x14ac:dyDescent="0.3">
      <c r="A79" t="s">
        <v>49</v>
      </c>
      <c r="B79" t="s">
        <v>4</v>
      </c>
      <c r="C79" t="s">
        <v>15</v>
      </c>
      <c r="D79" t="s">
        <v>50</v>
      </c>
      <c r="G79" t="s">
        <v>17</v>
      </c>
      <c r="H79" t="s">
        <v>24</v>
      </c>
      <c r="I79" t="s">
        <v>19</v>
      </c>
      <c r="K79" t="s">
        <v>20</v>
      </c>
      <c r="L79" t="s">
        <v>21</v>
      </c>
      <c r="M79">
        <f ca="1">[1]Prices!K$26</f>
        <v>0</v>
      </c>
      <c r="N79">
        <f ca="1">[1]Prices!L$26</f>
        <v>0</v>
      </c>
      <c r="O79">
        <f ca="1">[1]Prices!M$26</f>
        <v>0</v>
      </c>
      <c r="P79">
        <f ca="1">[1]Prices!N$26</f>
        <v>0</v>
      </c>
      <c r="Q79">
        <f ca="1">[1]Prices!O$26</f>
        <v>30</v>
      </c>
      <c r="R79">
        <f ca="1">[1]Prices!P$26</f>
        <v>68.341643330825832</v>
      </c>
      <c r="S79">
        <f ca="1">[1]Prices!Q$26</f>
        <v>100.32134973994673</v>
      </c>
      <c r="T79">
        <f ca="1">[1]Prices!R$26</f>
        <v>82.639006798408047</v>
      </c>
      <c r="U79">
        <f ca="1">[1]Prices!S$26</f>
        <v>67.75892127087694</v>
      </c>
      <c r="V79">
        <f ca="1">[1]Prices!T$26</f>
        <v>55.57940835560332</v>
      </c>
      <c r="W79">
        <f ca="1">[1]Prices!U$26</f>
        <v>45.789061745779293</v>
      </c>
    </row>
    <row r="80" spans="1:23" x14ac:dyDescent="0.3">
      <c r="A80" t="s">
        <v>49</v>
      </c>
      <c r="B80" t="s">
        <v>4</v>
      </c>
      <c r="C80" t="s">
        <v>15</v>
      </c>
      <c r="D80" t="s">
        <v>50</v>
      </c>
      <c r="G80" t="s">
        <v>17</v>
      </c>
      <c r="H80" t="s">
        <v>24</v>
      </c>
      <c r="I80" t="s">
        <v>22</v>
      </c>
      <c r="K80" t="s">
        <v>20</v>
      </c>
      <c r="L80" t="s">
        <v>21</v>
      </c>
      <c r="M80">
        <f ca="1">[1]Prices!K$26</f>
        <v>0</v>
      </c>
      <c r="N80">
        <f ca="1">[1]Prices!L$26</f>
        <v>0</v>
      </c>
      <c r="O80">
        <f ca="1">[1]Prices!M$26</f>
        <v>0</v>
      </c>
      <c r="P80">
        <f ca="1">[1]Prices!N$26</f>
        <v>0</v>
      </c>
      <c r="Q80">
        <f ca="1">[1]Prices!O$26</f>
        <v>30</v>
      </c>
      <c r="R80">
        <f ca="1">[1]Prices!P$26</f>
        <v>68.341643330825832</v>
      </c>
      <c r="S80">
        <f ca="1">[1]Prices!Q$26</f>
        <v>100.32134973994673</v>
      </c>
      <c r="T80">
        <f ca="1">[1]Prices!R$26</f>
        <v>82.639006798408047</v>
      </c>
      <c r="U80">
        <f ca="1">[1]Prices!S$26</f>
        <v>67.75892127087694</v>
      </c>
      <c r="V80">
        <f ca="1">[1]Prices!T$26</f>
        <v>55.57940835560332</v>
      </c>
      <c r="W80">
        <f ca="1">[1]Prices!U$26</f>
        <v>45.789061745779293</v>
      </c>
    </row>
    <row r="81" spans="1:24" x14ac:dyDescent="0.3">
      <c r="A81" t="s">
        <v>51</v>
      </c>
      <c r="B81" t="s">
        <v>5</v>
      </c>
      <c r="C81" t="s">
        <v>15</v>
      </c>
      <c r="D81" t="s">
        <v>16</v>
      </c>
      <c r="E81" t="s">
        <v>52</v>
      </c>
      <c r="G81" t="s">
        <v>53</v>
      </c>
      <c r="H81" t="s">
        <v>18</v>
      </c>
      <c r="I81" t="s">
        <v>19</v>
      </c>
      <c r="K81" t="s">
        <v>28</v>
      </c>
      <c r="L81" t="s">
        <v>54</v>
      </c>
      <c r="M81">
        <v>0</v>
      </c>
      <c r="N81">
        <v>0</v>
      </c>
      <c r="O81">
        <v>0</v>
      </c>
      <c r="P81">
        <v>0</v>
      </c>
      <c r="Q81">
        <v>1.82</v>
      </c>
      <c r="R81">
        <f ca="1">Q81-($Q81*0.02)*3</f>
        <v>1.7108000000000001</v>
      </c>
      <c r="S81">
        <f ca="1">R81-($Q81*0.02)*5</f>
        <v>1.5288000000000002</v>
      </c>
      <c r="T81">
        <f t="shared" ref="T81:W96" ca="1" si="0">S81</f>
        <v>1.5288000000000002</v>
      </c>
      <c r="U81">
        <f t="shared" ca="1" si="0"/>
        <v>1.5288000000000002</v>
      </c>
      <c r="V81">
        <f t="shared" ca="1" si="0"/>
        <v>1.5288000000000002</v>
      </c>
      <c r="W81">
        <f t="shared" ca="1" si="0"/>
        <v>1.5288000000000002</v>
      </c>
      <c r="X81" t="s">
        <v>55</v>
      </c>
    </row>
    <row r="82" spans="1:24" x14ac:dyDescent="0.3">
      <c r="A82" t="s">
        <v>25</v>
      </c>
      <c r="B82" t="s">
        <v>5</v>
      </c>
      <c r="C82" t="s">
        <v>15</v>
      </c>
      <c r="D82" t="s">
        <v>26</v>
      </c>
      <c r="E82" t="s">
        <v>27</v>
      </c>
      <c r="G82" t="s">
        <v>53</v>
      </c>
      <c r="H82" t="s">
        <v>18</v>
      </c>
      <c r="I82" t="s">
        <v>19</v>
      </c>
      <c r="K82" t="s">
        <v>28</v>
      </c>
      <c r="L82" t="s">
        <v>56</v>
      </c>
      <c r="M82">
        <v>0</v>
      </c>
      <c r="N82">
        <v>0</v>
      </c>
      <c r="O82">
        <v>0</v>
      </c>
      <c r="P82">
        <v>0</v>
      </c>
      <c r="Q82">
        <v>0.65</v>
      </c>
      <c r="R82">
        <v>0.51</v>
      </c>
      <c r="S82">
        <v>0.37</v>
      </c>
      <c r="T82">
        <f t="shared" ca="1" si="0"/>
        <v>0.37</v>
      </c>
      <c r="U82">
        <f t="shared" ca="1" si="0"/>
        <v>0.37</v>
      </c>
      <c r="V82">
        <f t="shared" ca="1" si="0"/>
        <v>0.37</v>
      </c>
      <c r="W82">
        <f t="shared" ca="1" si="0"/>
        <v>0.37</v>
      </c>
      <c r="X82" t="s">
        <v>55</v>
      </c>
    </row>
    <row r="83" spans="1:24" x14ac:dyDescent="0.3">
      <c r="A83" t="s">
        <v>29</v>
      </c>
      <c r="B83" t="s">
        <v>5</v>
      </c>
      <c r="C83" t="s">
        <v>15</v>
      </c>
      <c r="D83" t="s">
        <v>26</v>
      </c>
      <c r="E83" t="s">
        <v>30</v>
      </c>
      <c r="G83" t="s">
        <v>53</v>
      </c>
      <c r="H83" t="s">
        <v>18</v>
      </c>
      <c r="I83" t="s">
        <v>19</v>
      </c>
      <c r="K83" t="s">
        <v>28</v>
      </c>
      <c r="L83" t="s">
        <v>56</v>
      </c>
      <c r="M83">
        <v>0</v>
      </c>
      <c r="N83">
        <v>0</v>
      </c>
      <c r="O83">
        <v>0</v>
      </c>
      <c r="P83">
        <v>0</v>
      </c>
      <c r="Q83">
        <v>0.65</v>
      </c>
      <c r="R83">
        <v>0.51</v>
      </c>
      <c r="S83">
        <v>0.37</v>
      </c>
      <c r="T83">
        <f t="shared" ca="1" si="0"/>
        <v>0.37</v>
      </c>
      <c r="U83">
        <f t="shared" ca="1" si="0"/>
        <v>0.37</v>
      </c>
      <c r="V83">
        <f t="shared" ca="1" si="0"/>
        <v>0.37</v>
      </c>
      <c r="W83">
        <f t="shared" ca="1" si="0"/>
        <v>0.37</v>
      </c>
      <c r="X83" t="s">
        <v>55</v>
      </c>
    </row>
    <row r="84" spans="1:24" x14ac:dyDescent="0.3">
      <c r="A84" t="s">
        <v>57</v>
      </c>
      <c r="B84" t="s">
        <v>5</v>
      </c>
      <c r="C84" t="s">
        <v>15</v>
      </c>
      <c r="D84" t="s">
        <v>32</v>
      </c>
      <c r="E84" t="s">
        <v>58</v>
      </c>
      <c r="G84" t="s">
        <v>53</v>
      </c>
      <c r="H84" t="s">
        <v>18</v>
      </c>
      <c r="I84" t="s">
        <v>19</v>
      </c>
      <c r="K84" t="s">
        <v>28</v>
      </c>
      <c r="L84" t="s">
        <v>59</v>
      </c>
      <c r="M84">
        <v>0</v>
      </c>
      <c r="N84">
        <v>0</v>
      </c>
      <c r="O84">
        <v>0</v>
      </c>
      <c r="P84">
        <v>0</v>
      </c>
      <c r="Q84">
        <v>2.4509345794392519E-2</v>
      </c>
      <c r="R84">
        <f ca="1">Q84-($Q84*0.01)*3</f>
        <v>2.3774065420560743E-2</v>
      </c>
      <c r="S84">
        <f ca="1">R84-($Q84*0.01)*5</f>
        <v>2.2548598130841119E-2</v>
      </c>
      <c r="T84">
        <f t="shared" ca="1" si="0"/>
        <v>2.2548598130841119E-2</v>
      </c>
      <c r="U84">
        <f t="shared" ca="1" si="0"/>
        <v>2.2548598130841119E-2</v>
      </c>
      <c r="V84">
        <f t="shared" ca="1" si="0"/>
        <v>2.2548598130841119E-2</v>
      </c>
      <c r="W84">
        <f t="shared" ca="1" si="0"/>
        <v>2.2548598130841119E-2</v>
      </c>
      <c r="X84" t="s">
        <v>55</v>
      </c>
    </row>
    <row r="85" spans="1:24" x14ac:dyDescent="0.3">
      <c r="A85" t="s">
        <v>60</v>
      </c>
      <c r="B85" t="s">
        <v>5</v>
      </c>
      <c r="C85" t="s">
        <v>15</v>
      </c>
      <c r="D85" t="s">
        <v>34</v>
      </c>
      <c r="E85" t="s">
        <v>58</v>
      </c>
      <c r="G85" t="s">
        <v>53</v>
      </c>
      <c r="H85" t="s">
        <v>18</v>
      </c>
      <c r="I85" t="s">
        <v>19</v>
      </c>
      <c r="K85" t="s">
        <v>28</v>
      </c>
      <c r="L85" t="s">
        <v>61</v>
      </c>
      <c r="M85">
        <v>0</v>
      </c>
      <c r="N85">
        <v>0</v>
      </c>
      <c r="O85">
        <v>0</v>
      </c>
      <c r="P85">
        <v>0</v>
      </c>
      <c r="Q85">
        <v>9.8399999999999998E-3</v>
      </c>
      <c r="R85">
        <f ca="1">Q85-($Q85*0.02)*3</f>
        <v>9.2496000000000002E-3</v>
      </c>
      <c r="S85">
        <f ca="1">R85-($Q85*0.02)*5</f>
        <v>8.2655999999999997E-3</v>
      </c>
      <c r="T85">
        <f t="shared" ca="1" si="0"/>
        <v>8.2655999999999997E-3</v>
      </c>
      <c r="U85">
        <f t="shared" ca="1" si="0"/>
        <v>8.2655999999999997E-3</v>
      </c>
      <c r="V85">
        <f t="shared" ca="1" si="0"/>
        <v>8.2655999999999997E-3</v>
      </c>
      <c r="W85">
        <f t="shared" ca="1" si="0"/>
        <v>8.2655999999999997E-3</v>
      </c>
      <c r="X85" t="s">
        <v>55</v>
      </c>
    </row>
    <row r="86" spans="1:24" x14ac:dyDescent="0.3">
      <c r="A86" t="s">
        <v>62</v>
      </c>
      <c r="B86" t="s">
        <v>5</v>
      </c>
      <c r="C86" t="s">
        <v>15</v>
      </c>
      <c r="D86" t="s">
        <v>36</v>
      </c>
      <c r="E86" t="s">
        <v>63</v>
      </c>
      <c r="G86" t="s">
        <v>53</v>
      </c>
      <c r="H86" t="s">
        <v>18</v>
      </c>
      <c r="I86" t="s">
        <v>19</v>
      </c>
      <c r="K86" t="s">
        <v>28</v>
      </c>
      <c r="L86" t="s">
        <v>54</v>
      </c>
      <c r="M86">
        <v>0</v>
      </c>
      <c r="N86">
        <v>0</v>
      </c>
      <c r="O86">
        <v>0</v>
      </c>
      <c r="P86">
        <v>0</v>
      </c>
      <c r="Q86">
        <v>0.223</v>
      </c>
      <c r="R86">
        <f ca="1">Q86-($Q86*0.02)*3</f>
        <v>0.20962</v>
      </c>
      <c r="S86">
        <f ca="1">R86-($Q86*0.02)*5</f>
        <v>0.18731999999999999</v>
      </c>
      <c r="T86">
        <f t="shared" ca="1" si="0"/>
        <v>0.18731999999999999</v>
      </c>
      <c r="U86">
        <f t="shared" ca="1" si="0"/>
        <v>0.18731999999999999</v>
      </c>
      <c r="V86">
        <f t="shared" ca="1" si="0"/>
        <v>0.18731999999999999</v>
      </c>
      <c r="W86">
        <f t="shared" ca="1" si="0"/>
        <v>0.18731999999999999</v>
      </c>
      <c r="X86" t="s">
        <v>55</v>
      </c>
    </row>
    <row r="87" spans="1:24" x14ac:dyDescent="0.3">
      <c r="A87" t="s">
        <v>64</v>
      </c>
      <c r="B87" t="s">
        <v>5</v>
      </c>
      <c r="C87" t="s">
        <v>15</v>
      </c>
      <c r="D87" t="s">
        <v>36</v>
      </c>
      <c r="E87" t="s">
        <v>65</v>
      </c>
      <c r="G87" t="s">
        <v>53</v>
      </c>
      <c r="H87" t="s">
        <v>18</v>
      </c>
      <c r="I87" t="s">
        <v>19</v>
      </c>
      <c r="K87" t="s">
        <v>28</v>
      </c>
      <c r="L87" t="s">
        <v>54</v>
      </c>
      <c r="M87">
        <v>0</v>
      </c>
      <c r="N87">
        <v>0</v>
      </c>
      <c r="O87">
        <v>0</v>
      </c>
      <c r="P87">
        <v>0</v>
      </c>
      <c r="Q87">
        <v>0.37</v>
      </c>
      <c r="R87">
        <f ca="1">Q87-($Q87*0.02)*3</f>
        <v>0.3478</v>
      </c>
      <c r="S87">
        <f ca="1">R87-($Q87*0.02)*5</f>
        <v>0.31079999999999997</v>
      </c>
      <c r="T87">
        <f t="shared" ca="1" si="0"/>
        <v>0.31079999999999997</v>
      </c>
      <c r="U87">
        <f t="shared" ca="1" si="0"/>
        <v>0.31079999999999997</v>
      </c>
      <c r="V87">
        <f t="shared" ca="1" si="0"/>
        <v>0.31079999999999997</v>
      </c>
      <c r="W87">
        <f t="shared" ca="1" si="0"/>
        <v>0.31079999999999997</v>
      </c>
      <c r="X87" t="s">
        <v>55</v>
      </c>
    </row>
    <row r="88" spans="1:24" x14ac:dyDescent="0.3">
      <c r="A88" t="s">
        <v>66</v>
      </c>
      <c r="B88" t="s">
        <v>5</v>
      </c>
      <c r="C88" t="s">
        <v>15</v>
      </c>
      <c r="D88" t="s">
        <v>36</v>
      </c>
      <c r="E88" t="s">
        <v>67</v>
      </c>
      <c r="G88" t="s">
        <v>53</v>
      </c>
      <c r="H88" t="s">
        <v>18</v>
      </c>
      <c r="I88" t="s">
        <v>19</v>
      </c>
      <c r="K88" t="s">
        <v>28</v>
      </c>
      <c r="L88" t="s">
        <v>54</v>
      </c>
      <c r="M88">
        <v>0</v>
      </c>
      <c r="N88">
        <v>0</v>
      </c>
      <c r="O88">
        <v>0</v>
      </c>
      <c r="P88">
        <v>0</v>
      </c>
      <c r="Q88">
        <v>1.2</v>
      </c>
      <c r="R88">
        <f t="shared" ref="R88:R96" ca="1" si="1">Q88-($Q88*0.01)*3</f>
        <v>1.1639999999999999</v>
      </c>
      <c r="S88">
        <f t="shared" ref="S88:S96" ca="1" si="2">R88-($Q88*0.01)*5</f>
        <v>1.1039999999999999</v>
      </c>
      <c r="T88">
        <f t="shared" ca="1" si="0"/>
        <v>1.1039999999999999</v>
      </c>
      <c r="U88">
        <f t="shared" ca="1" si="0"/>
        <v>1.1039999999999999</v>
      </c>
      <c r="V88">
        <f t="shared" ca="1" si="0"/>
        <v>1.1039999999999999</v>
      </c>
      <c r="W88">
        <f t="shared" ca="1" si="0"/>
        <v>1.1039999999999999</v>
      </c>
      <c r="X88" t="s">
        <v>55</v>
      </c>
    </row>
    <row r="89" spans="1:24" x14ac:dyDescent="0.3">
      <c r="A89" t="s">
        <v>68</v>
      </c>
      <c r="B89" t="s">
        <v>5</v>
      </c>
      <c r="C89" t="s">
        <v>15</v>
      </c>
      <c r="D89" t="s">
        <v>36</v>
      </c>
      <c r="E89" t="s">
        <v>69</v>
      </c>
      <c r="G89" t="s">
        <v>53</v>
      </c>
      <c r="H89" t="s">
        <v>18</v>
      </c>
      <c r="I89" t="s">
        <v>19</v>
      </c>
      <c r="K89" t="s">
        <v>28</v>
      </c>
      <c r="L89" t="s">
        <v>54</v>
      </c>
      <c r="M89">
        <v>0</v>
      </c>
      <c r="N89">
        <v>0</v>
      </c>
      <c r="O89">
        <v>0</v>
      </c>
      <c r="P89">
        <v>0</v>
      </c>
      <c r="Q89">
        <v>0.73299999999999998</v>
      </c>
      <c r="R89">
        <f t="shared" ca="1" si="1"/>
        <v>0.71101000000000003</v>
      </c>
      <c r="S89">
        <f t="shared" ca="1" si="2"/>
        <v>0.67436000000000007</v>
      </c>
      <c r="T89">
        <f t="shared" ca="1" si="0"/>
        <v>0.67436000000000007</v>
      </c>
      <c r="U89">
        <f t="shared" ca="1" si="0"/>
        <v>0.67436000000000007</v>
      </c>
      <c r="V89">
        <f t="shared" ca="1" si="0"/>
        <v>0.67436000000000007</v>
      </c>
      <c r="W89">
        <f t="shared" ca="1" si="0"/>
        <v>0.67436000000000007</v>
      </c>
      <c r="X89" t="s">
        <v>55</v>
      </c>
    </row>
    <row r="90" spans="1:24" x14ac:dyDescent="0.3">
      <c r="A90" t="s">
        <v>70</v>
      </c>
      <c r="B90" t="s">
        <v>5</v>
      </c>
      <c r="C90" t="s">
        <v>15</v>
      </c>
      <c r="D90" t="s">
        <v>36</v>
      </c>
      <c r="E90" t="s">
        <v>71</v>
      </c>
      <c r="G90" t="s">
        <v>53</v>
      </c>
      <c r="H90" t="s">
        <v>18</v>
      </c>
      <c r="I90" t="s">
        <v>19</v>
      </c>
      <c r="K90" t="s">
        <v>28</v>
      </c>
      <c r="L90" t="s">
        <v>54</v>
      </c>
      <c r="M90">
        <v>0</v>
      </c>
      <c r="N90">
        <v>0</v>
      </c>
      <c r="O90">
        <v>0</v>
      </c>
      <c r="P90">
        <v>0</v>
      </c>
      <c r="Q90">
        <v>0.79900000000000004</v>
      </c>
      <c r="R90">
        <f t="shared" ca="1" si="1"/>
        <v>0.77503</v>
      </c>
      <c r="S90">
        <f t="shared" ca="1" si="2"/>
        <v>0.73507999999999996</v>
      </c>
      <c r="T90">
        <f t="shared" ca="1" si="0"/>
        <v>0.73507999999999996</v>
      </c>
      <c r="U90">
        <f t="shared" ca="1" si="0"/>
        <v>0.73507999999999996</v>
      </c>
      <c r="V90">
        <f t="shared" ca="1" si="0"/>
        <v>0.73507999999999996</v>
      </c>
      <c r="W90">
        <f t="shared" ca="1" si="0"/>
        <v>0.73507999999999996</v>
      </c>
      <c r="X90" t="s">
        <v>55</v>
      </c>
    </row>
    <row r="91" spans="1:24" x14ac:dyDescent="0.3">
      <c r="A91" t="s">
        <v>72</v>
      </c>
      <c r="B91" t="s">
        <v>5</v>
      </c>
      <c r="C91" t="s">
        <v>15</v>
      </c>
      <c r="D91" t="s">
        <v>38</v>
      </c>
      <c r="E91" t="s">
        <v>73</v>
      </c>
      <c r="G91" t="s">
        <v>53</v>
      </c>
      <c r="H91" t="s">
        <v>18</v>
      </c>
      <c r="I91" t="s">
        <v>19</v>
      </c>
      <c r="K91" t="s">
        <v>28</v>
      </c>
      <c r="L91" t="s">
        <v>54</v>
      </c>
      <c r="M91">
        <v>0</v>
      </c>
      <c r="N91">
        <v>0</v>
      </c>
      <c r="O91">
        <v>0</v>
      </c>
      <c r="P91">
        <v>0</v>
      </c>
      <c r="Q91">
        <v>9.3700000000000006E-2</v>
      </c>
      <c r="R91">
        <f t="shared" ca="1" si="1"/>
        <v>9.0889000000000011E-2</v>
      </c>
      <c r="S91">
        <f t="shared" ca="1" si="2"/>
        <v>8.6204000000000017E-2</v>
      </c>
      <c r="T91">
        <f t="shared" ca="1" si="0"/>
        <v>8.6204000000000017E-2</v>
      </c>
      <c r="U91">
        <f t="shared" ca="1" si="0"/>
        <v>8.6204000000000017E-2</v>
      </c>
      <c r="V91">
        <f t="shared" ca="1" si="0"/>
        <v>8.6204000000000017E-2</v>
      </c>
      <c r="W91">
        <f t="shared" ca="1" si="0"/>
        <v>8.6204000000000017E-2</v>
      </c>
      <c r="X91" t="s">
        <v>55</v>
      </c>
    </row>
    <row r="92" spans="1:24" x14ac:dyDescent="0.3">
      <c r="A92" t="s">
        <v>74</v>
      </c>
      <c r="B92" t="s">
        <v>5</v>
      </c>
      <c r="C92" t="s">
        <v>15</v>
      </c>
      <c r="D92" t="s">
        <v>38</v>
      </c>
      <c r="E92" t="s">
        <v>75</v>
      </c>
      <c r="G92" t="s">
        <v>53</v>
      </c>
      <c r="H92" t="s">
        <v>18</v>
      </c>
      <c r="I92" t="s">
        <v>19</v>
      </c>
      <c r="K92" t="s">
        <v>28</v>
      </c>
      <c r="L92" t="s">
        <v>54</v>
      </c>
      <c r="M92">
        <v>0</v>
      </c>
      <c r="N92">
        <v>0</v>
      </c>
      <c r="O92">
        <v>0</v>
      </c>
      <c r="P92">
        <v>0</v>
      </c>
      <c r="Q92">
        <v>9.3700000000000006E-2</v>
      </c>
      <c r="R92">
        <f t="shared" ca="1" si="1"/>
        <v>9.0889000000000011E-2</v>
      </c>
      <c r="S92">
        <f t="shared" ca="1" si="2"/>
        <v>8.6204000000000017E-2</v>
      </c>
      <c r="T92">
        <f t="shared" ca="1" si="0"/>
        <v>8.6204000000000017E-2</v>
      </c>
      <c r="U92">
        <f t="shared" ca="1" si="0"/>
        <v>8.6204000000000017E-2</v>
      </c>
      <c r="V92">
        <f t="shared" ca="1" si="0"/>
        <v>8.6204000000000017E-2</v>
      </c>
      <c r="W92">
        <f t="shared" ca="1" si="0"/>
        <v>8.6204000000000017E-2</v>
      </c>
      <c r="X92" t="s">
        <v>55</v>
      </c>
    </row>
    <row r="93" spans="1:24" x14ac:dyDescent="0.3">
      <c r="A93" t="s">
        <v>76</v>
      </c>
      <c r="B93" t="s">
        <v>5</v>
      </c>
      <c r="C93" t="s">
        <v>15</v>
      </c>
      <c r="D93" t="s">
        <v>38</v>
      </c>
      <c r="E93" t="s">
        <v>77</v>
      </c>
      <c r="G93" t="s">
        <v>53</v>
      </c>
      <c r="H93" t="s">
        <v>18</v>
      </c>
      <c r="I93" t="s">
        <v>19</v>
      </c>
      <c r="K93" t="s">
        <v>28</v>
      </c>
      <c r="L93" t="s">
        <v>54</v>
      </c>
      <c r="M93">
        <v>0</v>
      </c>
      <c r="N93">
        <v>0</v>
      </c>
      <c r="O93">
        <v>0</v>
      </c>
      <c r="P93">
        <v>0</v>
      </c>
      <c r="Q93">
        <v>0.16400000000000001</v>
      </c>
      <c r="R93">
        <f t="shared" ca="1" si="1"/>
        <v>0.15908</v>
      </c>
      <c r="S93">
        <f t="shared" ca="1" si="2"/>
        <v>0.15087999999999999</v>
      </c>
      <c r="T93">
        <f t="shared" ca="1" si="0"/>
        <v>0.15087999999999999</v>
      </c>
      <c r="U93">
        <f t="shared" ca="1" si="0"/>
        <v>0.15087999999999999</v>
      </c>
      <c r="V93">
        <f t="shared" ca="1" si="0"/>
        <v>0.15087999999999999</v>
      </c>
      <c r="W93">
        <f t="shared" ca="1" si="0"/>
        <v>0.15087999999999999</v>
      </c>
      <c r="X93" t="s">
        <v>55</v>
      </c>
    </row>
    <row r="94" spans="1:24" x14ac:dyDescent="0.3">
      <c r="A94" t="s">
        <v>78</v>
      </c>
      <c r="B94" t="s">
        <v>5</v>
      </c>
      <c r="C94" t="s">
        <v>15</v>
      </c>
      <c r="D94" t="s">
        <v>38</v>
      </c>
      <c r="E94" t="s">
        <v>79</v>
      </c>
      <c r="G94" t="s">
        <v>53</v>
      </c>
      <c r="H94" t="s">
        <v>18</v>
      </c>
      <c r="I94" t="s">
        <v>19</v>
      </c>
      <c r="K94" t="s">
        <v>28</v>
      </c>
      <c r="L94" t="s">
        <v>54</v>
      </c>
      <c r="M94">
        <v>0</v>
      </c>
      <c r="N94">
        <v>0</v>
      </c>
      <c r="O94">
        <v>0</v>
      </c>
      <c r="P94">
        <v>0</v>
      </c>
      <c r="Q94">
        <v>0.16400000000000001</v>
      </c>
      <c r="R94">
        <f t="shared" ca="1" si="1"/>
        <v>0.15908</v>
      </c>
      <c r="S94">
        <f t="shared" ca="1" si="2"/>
        <v>0.15087999999999999</v>
      </c>
      <c r="T94">
        <f t="shared" ca="1" si="0"/>
        <v>0.15087999999999999</v>
      </c>
      <c r="U94">
        <f t="shared" ca="1" si="0"/>
        <v>0.15087999999999999</v>
      </c>
      <c r="V94">
        <f t="shared" ca="1" si="0"/>
        <v>0.15087999999999999</v>
      </c>
      <c r="W94">
        <f t="shared" ca="1" si="0"/>
        <v>0.15087999999999999</v>
      </c>
      <c r="X94" t="s">
        <v>55</v>
      </c>
    </row>
    <row r="95" spans="1:24" x14ac:dyDescent="0.3">
      <c r="A95" t="s">
        <v>80</v>
      </c>
      <c r="B95" t="s">
        <v>5</v>
      </c>
      <c r="C95" t="s">
        <v>15</v>
      </c>
      <c r="D95" t="s">
        <v>38</v>
      </c>
      <c r="E95" t="s">
        <v>81</v>
      </c>
      <c r="G95" t="s">
        <v>53</v>
      </c>
      <c r="H95" t="s">
        <v>18</v>
      </c>
      <c r="I95" t="s">
        <v>19</v>
      </c>
      <c r="K95" t="s">
        <v>28</v>
      </c>
      <c r="L95" t="s">
        <v>54</v>
      </c>
      <c r="M95">
        <v>0</v>
      </c>
      <c r="N95">
        <v>0</v>
      </c>
      <c r="O95">
        <v>0</v>
      </c>
      <c r="P95">
        <v>0</v>
      </c>
      <c r="Q95">
        <v>0.124</v>
      </c>
      <c r="R95">
        <f t="shared" ca="1" si="1"/>
        <v>0.12028</v>
      </c>
      <c r="S95">
        <f t="shared" ca="1" si="2"/>
        <v>0.11408</v>
      </c>
      <c r="T95">
        <f t="shared" ca="1" si="0"/>
        <v>0.11408</v>
      </c>
      <c r="U95">
        <f t="shared" ca="1" si="0"/>
        <v>0.11408</v>
      </c>
      <c r="V95">
        <f t="shared" ca="1" si="0"/>
        <v>0.11408</v>
      </c>
      <c r="W95">
        <f t="shared" ca="1" si="0"/>
        <v>0.11408</v>
      </c>
      <c r="X95" t="s">
        <v>55</v>
      </c>
    </row>
    <row r="96" spans="1:24" x14ac:dyDescent="0.3">
      <c r="A96" t="s">
        <v>82</v>
      </c>
      <c r="B96" t="s">
        <v>5</v>
      </c>
      <c r="C96" t="s">
        <v>15</v>
      </c>
      <c r="D96" t="s">
        <v>38</v>
      </c>
      <c r="E96" t="s">
        <v>83</v>
      </c>
      <c r="G96" t="s">
        <v>53</v>
      </c>
      <c r="H96" t="s">
        <v>18</v>
      </c>
      <c r="I96" t="s">
        <v>19</v>
      </c>
      <c r="K96" t="s">
        <v>28</v>
      </c>
      <c r="L96" t="s">
        <v>54</v>
      </c>
      <c r="M96">
        <v>0</v>
      </c>
      <c r="N96">
        <v>0</v>
      </c>
      <c r="O96">
        <v>0</v>
      </c>
      <c r="P96">
        <v>0</v>
      </c>
      <c r="Q96">
        <v>9.3700000000000006E-2</v>
      </c>
      <c r="R96">
        <f t="shared" ca="1" si="1"/>
        <v>9.0889000000000011E-2</v>
      </c>
      <c r="S96">
        <f t="shared" ca="1" si="2"/>
        <v>8.6204000000000017E-2</v>
      </c>
      <c r="T96">
        <f t="shared" ca="1" si="0"/>
        <v>8.6204000000000017E-2</v>
      </c>
      <c r="U96">
        <f t="shared" ca="1" si="0"/>
        <v>8.6204000000000017E-2</v>
      </c>
      <c r="V96">
        <f t="shared" ca="1" si="0"/>
        <v>8.6204000000000017E-2</v>
      </c>
      <c r="W96">
        <f t="shared" ca="1" si="0"/>
        <v>8.6204000000000017E-2</v>
      </c>
      <c r="X96" t="s">
        <v>55</v>
      </c>
    </row>
    <row r="97" spans="1:24" x14ac:dyDescent="0.3">
      <c r="A97" t="s">
        <v>84</v>
      </c>
      <c r="B97" t="s">
        <v>5</v>
      </c>
      <c r="C97" t="s">
        <v>15</v>
      </c>
      <c r="D97" t="s">
        <v>40</v>
      </c>
      <c r="E97" t="s">
        <v>85</v>
      </c>
      <c r="G97" t="s">
        <v>53</v>
      </c>
      <c r="H97" t="s">
        <v>18</v>
      </c>
      <c r="I97" t="s">
        <v>19</v>
      </c>
      <c r="K97" t="s">
        <v>28</v>
      </c>
      <c r="L97" t="s">
        <v>54</v>
      </c>
      <c r="M97">
        <v>0</v>
      </c>
      <c r="N97">
        <v>0</v>
      </c>
      <c r="O97">
        <v>0</v>
      </c>
      <c r="P97">
        <v>0</v>
      </c>
      <c r="Q97">
        <v>0.05</v>
      </c>
      <c r="R97">
        <f t="shared" ref="R97:R115" ca="1" si="3">Q97-($Q97*0.02)*3</f>
        <v>4.7E-2</v>
      </c>
      <c r="S97">
        <f t="shared" ref="S97:S115" ca="1" si="4">R97-($Q97*0.02)*5</f>
        <v>4.2000000000000003E-2</v>
      </c>
      <c r="T97">
        <f t="shared" ref="T97:W112" ca="1" si="5">S97</f>
        <v>4.2000000000000003E-2</v>
      </c>
      <c r="U97">
        <f t="shared" ca="1" si="5"/>
        <v>4.2000000000000003E-2</v>
      </c>
      <c r="V97">
        <f t="shared" ca="1" si="5"/>
        <v>4.2000000000000003E-2</v>
      </c>
      <c r="W97">
        <f t="shared" ca="1" si="5"/>
        <v>4.2000000000000003E-2</v>
      </c>
      <c r="X97" t="s">
        <v>55</v>
      </c>
    </row>
    <row r="98" spans="1:24" x14ac:dyDescent="0.3">
      <c r="A98" t="s">
        <v>86</v>
      </c>
      <c r="B98" t="s">
        <v>5</v>
      </c>
      <c r="C98" t="s">
        <v>15</v>
      </c>
      <c r="D98" t="s">
        <v>40</v>
      </c>
      <c r="E98" t="s">
        <v>87</v>
      </c>
      <c r="G98" t="s">
        <v>53</v>
      </c>
      <c r="H98" t="s">
        <v>18</v>
      </c>
      <c r="I98" t="s">
        <v>19</v>
      </c>
      <c r="K98" t="s">
        <v>28</v>
      </c>
      <c r="L98" t="s">
        <v>54</v>
      </c>
      <c r="M98">
        <v>0</v>
      </c>
      <c r="N98">
        <v>0</v>
      </c>
      <c r="O98">
        <v>0</v>
      </c>
      <c r="P98">
        <v>0</v>
      </c>
      <c r="Q98">
        <v>0.22500000000000001</v>
      </c>
      <c r="R98">
        <f t="shared" ca="1" si="3"/>
        <v>0.21149999999999999</v>
      </c>
      <c r="S98">
        <f t="shared" ca="1" si="4"/>
        <v>0.189</v>
      </c>
      <c r="T98">
        <f t="shared" ca="1" si="5"/>
        <v>0.189</v>
      </c>
      <c r="U98">
        <f t="shared" ca="1" si="5"/>
        <v>0.189</v>
      </c>
      <c r="V98">
        <f t="shared" ca="1" si="5"/>
        <v>0.189</v>
      </c>
      <c r="W98">
        <f t="shared" ca="1" si="5"/>
        <v>0.189</v>
      </c>
      <c r="X98" t="s">
        <v>55</v>
      </c>
    </row>
    <row r="99" spans="1:24" x14ac:dyDescent="0.3">
      <c r="A99" t="s">
        <v>88</v>
      </c>
      <c r="B99" t="s">
        <v>5</v>
      </c>
      <c r="C99" t="s">
        <v>15</v>
      </c>
      <c r="D99" t="s">
        <v>40</v>
      </c>
      <c r="E99" t="s">
        <v>89</v>
      </c>
      <c r="G99" t="s">
        <v>53</v>
      </c>
      <c r="H99" t="s">
        <v>18</v>
      </c>
      <c r="I99" t="s">
        <v>19</v>
      </c>
      <c r="K99" t="s">
        <v>28</v>
      </c>
      <c r="L99" t="s">
        <v>54</v>
      </c>
      <c r="M99">
        <v>0</v>
      </c>
      <c r="N99">
        <v>0</v>
      </c>
      <c r="O99">
        <v>0</v>
      </c>
      <c r="P99">
        <v>0</v>
      </c>
      <c r="Q99">
        <v>0.11803278688524591</v>
      </c>
      <c r="R99">
        <f t="shared" ca="1" si="3"/>
        <v>0.11095081967213115</v>
      </c>
      <c r="S99">
        <f t="shared" ca="1" si="4"/>
        <v>9.9147540983606564E-2</v>
      </c>
      <c r="T99">
        <f t="shared" ca="1" si="5"/>
        <v>9.9147540983606564E-2</v>
      </c>
      <c r="U99">
        <f t="shared" ca="1" si="5"/>
        <v>9.9147540983606564E-2</v>
      </c>
      <c r="V99">
        <f t="shared" ca="1" si="5"/>
        <v>9.9147540983606564E-2</v>
      </c>
      <c r="W99">
        <f t="shared" ca="1" si="5"/>
        <v>9.9147540983606564E-2</v>
      </c>
      <c r="X99" t="s">
        <v>55</v>
      </c>
    </row>
    <row r="100" spans="1:24" x14ac:dyDescent="0.3">
      <c r="A100" t="s">
        <v>90</v>
      </c>
      <c r="B100" t="s">
        <v>5</v>
      </c>
      <c r="C100" t="s">
        <v>15</v>
      </c>
      <c r="D100" t="s">
        <v>40</v>
      </c>
      <c r="E100" t="s">
        <v>91</v>
      </c>
      <c r="G100" t="s">
        <v>53</v>
      </c>
      <c r="H100" t="s">
        <v>18</v>
      </c>
      <c r="I100" t="s">
        <v>19</v>
      </c>
      <c r="K100" t="s">
        <v>28</v>
      </c>
      <c r="L100" t="s">
        <v>54</v>
      </c>
      <c r="M100">
        <v>0</v>
      </c>
      <c r="N100">
        <v>0</v>
      </c>
      <c r="O100">
        <v>0</v>
      </c>
      <c r="P100">
        <v>0</v>
      </c>
      <c r="Q100">
        <v>0.1078461538461538</v>
      </c>
      <c r="R100">
        <f t="shared" ca="1" si="3"/>
        <v>0.10137538461538458</v>
      </c>
      <c r="S100">
        <f t="shared" ca="1" si="4"/>
        <v>9.0590769230769197E-2</v>
      </c>
      <c r="T100">
        <f t="shared" ca="1" si="5"/>
        <v>9.0590769230769197E-2</v>
      </c>
      <c r="U100">
        <f t="shared" ca="1" si="5"/>
        <v>9.0590769230769197E-2</v>
      </c>
      <c r="V100">
        <f t="shared" ca="1" si="5"/>
        <v>9.0590769230769197E-2</v>
      </c>
      <c r="W100">
        <f t="shared" ca="1" si="5"/>
        <v>9.0590769230769197E-2</v>
      </c>
      <c r="X100" t="s">
        <v>55</v>
      </c>
    </row>
    <row r="101" spans="1:24" x14ac:dyDescent="0.3">
      <c r="A101" t="s">
        <v>92</v>
      </c>
      <c r="B101" t="s">
        <v>5</v>
      </c>
      <c r="C101" t="s">
        <v>15</v>
      </c>
      <c r="D101" t="s">
        <v>42</v>
      </c>
      <c r="E101" t="s">
        <v>93</v>
      </c>
      <c r="G101" t="s">
        <v>53</v>
      </c>
      <c r="H101" t="s">
        <v>18</v>
      </c>
      <c r="I101" t="s">
        <v>19</v>
      </c>
      <c r="K101" t="s">
        <v>28</v>
      </c>
      <c r="L101" t="s">
        <v>54</v>
      </c>
      <c r="M101">
        <v>0</v>
      </c>
      <c r="N101">
        <v>0</v>
      </c>
      <c r="O101">
        <v>0</v>
      </c>
      <c r="P101">
        <v>0</v>
      </c>
      <c r="Q101">
        <v>1.58</v>
      </c>
      <c r="R101">
        <f t="shared" ca="1" si="3"/>
        <v>1.4852000000000001</v>
      </c>
      <c r="S101">
        <f t="shared" ca="1" si="4"/>
        <v>1.3271999999999999</v>
      </c>
      <c r="T101">
        <f t="shared" ca="1" si="5"/>
        <v>1.3271999999999999</v>
      </c>
      <c r="U101">
        <f t="shared" ca="1" si="5"/>
        <v>1.3271999999999999</v>
      </c>
      <c r="V101">
        <f t="shared" ca="1" si="5"/>
        <v>1.3271999999999999</v>
      </c>
      <c r="W101">
        <f t="shared" ca="1" si="5"/>
        <v>1.3271999999999999</v>
      </c>
      <c r="X101" t="s">
        <v>55</v>
      </c>
    </row>
    <row r="102" spans="1:24" x14ac:dyDescent="0.3">
      <c r="A102" t="s">
        <v>94</v>
      </c>
      <c r="B102" t="s">
        <v>5</v>
      </c>
      <c r="C102" t="s">
        <v>15</v>
      </c>
      <c r="D102" t="s">
        <v>42</v>
      </c>
      <c r="E102" t="s">
        <v>95</v>
      </c>
      <c r="G102" t="s">
        <v>53</v>
      </c>
      <c r="H102" t="s">
        <v>18</v>
      </c>
      <c r="I102" t="s">
        <v>19</v>
      </c>
      <c r="K102" t="s">
        <v>28</v>
      </c>
      <c r="L102" t="s">
        <v>54</v>
      </c>
      <c r="M102">
        <v>0</v>
      </c>
      <c r="N102">
        <v>0</v>
      </c>
      <c r="O102">
        <v>0</v>
      </c>
      <c r="P102">
        <v>0</v>
      </c>
      <c r="Q102">
        <v>0.32800000000000001</v>
      </c>
      <c r="R102">
        <f t="shared" ca="1" si="3"/>
        <v>0.30832000000000004</v>
      </c>
      <c r="S102">
        <f t="shared" ca="1" si="4"/>
        <v>0.27552000000000004</v>
      </c>
      <c r="T102">
        <f t="shared" ca="1" si="5"/>
        <v>0.27552000000000004</v>
      </c>
      <c r="U102">
        <f t="shared" ca="1" si="5"/>
        <v>0.27552000000000004</v>
      </c>
      <c r="V102">
        <f t="shared" ca="1" si="5"/>
        <v>0.27552000000000004</v>
      </c>
      <c r="W102">
        <f t="shared" ca="1" si="5"/>
        <v>0.27552000000000004</v>
      </c>
      <c r="X102" t="s">
        <v>55</v>
      </c>
    </row>
    <row r="103" spans="1:24" x14ac:dyDescent="0.3">
      <c r="A103" t="s">
        <v>96</v>
      </c>
      <c r="B103" t="s">
        <v>5</v>
      </c>
      <c r="C103" t="s">
        <v>15</v>
      </c>
      <c r="D103" t="s">
        <v>42</v>
      </c>
      <c r="E103" t="s">
        <v>97</v>
      </c>
      <c r="G103" t="s">
        <v>53</v>
      </c>
      <c r="H103" t="s">
        <v>18</v>
      </c>
      <c r="I103" t="s">
        <v>19</v>
      </c>
      <c r="K103" t="s">
        <v>28</v>
      </c>
      <c r="L103" t="s">
        <v>54</v>
      </c>
      <c r="M103">
        <v>0</v>
      </c>
      <c r="N103">
        <v>0</v>
      </c>
      <c r="O103">
        <v>0</v>
      </c>
      <c r="P103">
        <v>0</v>
      </c>
      <c r="Q103">
        <v>1.7</v>
      </c>
      <c r="R103">
        <f t="shared" ca="1" si="3"/>
        <v>1.5979999999999999</v>
      </c>
      <c r="S103">
        <f t="shared" ca="1" si="4"/>
        <v>1.4279999999999999</v>
      </c>
      <c r="T103">
        <f t="shared" ca="1" si="5"/>
        <v>1.4279999999999999</v>
      </c>
      <c r="U103">
        <f t="shared" ca="1" si="5"/>
        <v>1.4279999999999999</v>
      </c>
      <c r="V103">
        <f t="shared" ca="1" si="5"/>
        <v>1.4279999999999999</v>
      </c>
      <c r="W103">
        <f t="shared" ca="1" si="5"/>
        <v>1.4279999999999999</v>
      </c>
      <c r="X103" t="s">
        <v>55</v>
      </c>
    </row>
    <row r="104" spans="1:24" x14ac:dyDescent="0.3">
      <c r="A104" t="s">
        <v>98</v>
      </c>
      <c r="B104" t="s">
        <v>5</v>
      </c>
      <c r="C104" t="s">
        <v>15</v>
      </c>
      <c r="D104" t="s">
        <v>42</v>
      </c>
      <c r="E104" t="s">
        <v>99</v>
      </c>
      <c r="G104" t="s">
        <v>53</v>
      </c>
      <c r="H104" t="s">
        <v>18</v>
      </c>
      <c r="I104" t="s">
        <v>19</v>
      </c>
      <c r="K104" t="s">
        <v>28</v>
      </c>
      <c r="L104" t="s">
        <v>54</v>
      </c>
      <c r="M104">
        <v>0</v>
      </c>
      <c r="N104">
        <v>0</v>
      </c>
      <c r="O104">
        <v>0</v>
      </c>
      <c r="P104">
        <v>0</v>
      </c>
      <c r="Q104">
        <v>0.18099999999999999</v>
      </c>
      <c r="R104">
        <f t="shared" ca="1" si="3"/>
        <v>0.17013999999999999</v>
      </c>
      <c r="S104">
        <f t="shared" ca="1" si="4"/>
        <v>0.15203999999999998</v>
      </c>
      <c r="T104">
        <f t="shared" ca="1" si="5"/>
        <v>0.15203999999999998</v>
      </c>
      <c r="U104">
        <f t="shared" ca="1" si="5"/>
        <v>0.15203999999999998</v>
      </c>
      <c r="V104">
        <f t="shared" ca="1" si="5"/>
        <v>0.15203999999999998</v>
      </c>
      <c r="W104">
        <f t="shared" ca="1" si="5"/>
        <v>0.15203999999999998</v>
      </c>
      <c r="X104" t="s">
        <v>55</v>
      </c>
    </row>
    <row r="105" spans="1:24" x14ac:dyDescent="0.3">
      <c r="A105" t="s">
        <v>100</v>
      </c>
      <c r="B105" t="s">
        <v>5</v>
      </c>
      <c r="C105" t="s">
        <v>15</v>
      </c>
      <c r="D105" t="s">
        <v>42</v>
      </c>
      <c r="E105" t="s">
        <v>97</v>
      </c>
      <c r="G105" t="s">
        <v>53</v>
      </c>
      <c r="H105" t="s">
        <v>18</v>
      </c>
      <c r="I105" t="s">
        <v>19</v>
      </c>
      <c r="K105" t="s">
        <v>28</v>
      </c>
      <c r="L105" t="s">
        <v>54</v>
      </c>
      <c r="M105">
        <v>0</v>
      </c>
      <c r="N105">
        <v>0</v>
      </c>
      <c r="O105">
        <v>0</v>
      </c>
      <c r="P105">
        <v>0</v>
      </c>
      <c r="Q105">
        <v>1.7</v>
      </c>
      <c r="R105">
        <f t="shared" ca="1" si="3"/>
        <v>1.5979999999999999</v>
      </c>
      <c r="S105">
        <f t="shared" ca="1" si="4"/>
        <v>1.4279999999999999</v>
      </c>
      <c r="T105">
        <f t="shared" ca="1" si="5"/>
        <v>1.4279999999999999</v>
      </c>
      <c r="U105">
        <f t="shared" ca="1" si="5"/>
        <v>1.4279999999999999</v>
      </c>
      <c r="V105">
        <f t="shared" ca="1" si="5"/>
        <v>1.4279999999999999</v>
      </c>
      <c r="W105">
        <f t="shared" ca="1" si="5"/>
        <v>1.4279999999999999</v>
      </c>
      <c r="X105" t="s">
        <v>55</v>
      </c>
    </row>
    <row r="106" spans="1:24" x14ac:dyDescent="0.3">
      <c r="A106" t="s">
        <v>101</v>
      </c>
      <c r="B106" t="s">
        <v>5</v>
      </c>
      <c r="C106" t="s">
        <v>15</v>
      </c>
      <c r="D106" t="s">
        <v>42</v>
      </c>
      <c r="E106" t="s">
        <v>99</v>
      </c>
      <c r="G106" t="s">
        <v>53</v>
      </c>
      <c r="H106" t="s">
        <v>18</v>
      </c>
      <c r="I106" t="s">
        <v>19</v>
      </c>
      <c r="K106" t="s">
        <v>28</v>
      </c>
      <c r="L106" t="s">
        <v>54</v>
      </c>
      <c r="M106">
        <v>0</v>
      </c>
      <c r="N106">
        <v>0</v>
      </c>
      <c r="O106">
        <v>0</v>
      </c>
      <c r="P106">
        <v>0</v>
      </c>
      <c r="Q106">
        <v>0.84299999999999997</v>
      </c>
      <c r="R106">
        <f t="shared" ca="1" si="3"/>
        <v>0.79242000000000001</v>
      </c>
      <c r="S106">
        <f t="shared" ca="1" si="4"/>
        <v>0.70811999999999997</v>
      </c>
      <c r="T106">
        <f t="shared" ca="1" si="5"/>
        <v>0.70811999999999997</v>
      </c>
      <c r="U106">
        <f t="shared" ca="1" si="5"/>
        <v>0.70811999999999997</v>
      </c>
      <c r="V106">
        <f t="shared" ca="1" si="5"/>
        <v>0.70811999999999997</v>
      </c>
      <c r="W106">
        <f t="shared" ca="1" si="5"/>
        <v>0.70811999999999997</v>
      </c>
      <c r="X106" t="s">
        <v>55</v>
      </c>
    </row>
    <row r="107" spans="1:24" x14ac:dyDescent="0.3">
      <c r="A107" t="s">
        <v>102</v>
      </c>
      <c r="B107" t="s">
        <v>5</v>
      </c>
      <c r="C107" t="s">
        <v>15</v>
      </c>
      <c r="D107" t="s">
        <v>42</v>
      </c>
      <c r="E107" t="s">
        <v>97</v>
      </c>
      <c r="G107" t="s">
        <v>53</v>
      </c>
      <c r="H107" t="s">
        <v>18</v>
      </c>
      <c r="I107" t="s">
        <v>19</v>
      </c>
      <c r="K107" t="s">
        <v>28</v>
      </c>
      <c r="L107" t="s">
        <v>54</v>
      </c>
      <c r="M107">
        <v>0</v>
      </c>
      <c r="N107">
        <v>0</v>
      </c>
      <c r="O107">
        <v>0</v>
      </c>
      <c r="P107">
        <v>0</v>
      </c>
      <c r="Q107">
        <v>1.7</v>
      </c>
      <c r="R107">
        <f t="shared" ca="1" si="3"/>
        <v>1.5979999999999999</v>
      </c>
      <c r="S107">
        <f t="shared" ca="1" si="4"/>
        <v>1.4279999999999999</v>
      </c>
      <c r="T107">
        <f t="shared" ca="1" si="5"/>
        <v>1.4279999999999999</v>
      </c>
      <c r="U107">
        <f t="shared" ca="1" si="5"/>
        <v>1.4279999999999999</v>
      </c>
      <c r="V107">
        <f t="shared" ca="1" si="5"/>
        <v>1.4279999999999999</v>
      </c>
      <c r="W107">
        <f t="shared" ca="1" si="5"/>
        <v>1.4279999999999999</v>
      </c>
      <c r="X107" t="s">
        <v>55</v>
      </c>
    </row>
    <row r="108" spans="1:24" x14ac:dyDescent="0.3">
      <c r="A108" t="s">
        <v>103</v>
      </c>
      <c r="B108" t="s">
        <v>5</v>
      </c>
      <c r="C108" t="s">
        <v>15</v>
      </c>
      <c r="D108" t="s">
        <v>42</v>
      </c>
      <c r="E108" t="s">
        <v>99</v>
      </c>
      <c r="G108" t="s">
        <v>53</v>
      </c>
      <c r="H108" t="s">
        <v>18</v>
      </c>
      <c r="I108" t="s">
        <v>19</v>
      </c>
      <c r="K108" t="s">
        <v>28</v>
      </c>
      <c r="L108" t="s">
        <v>54</v>
      </c>
      <c r="M108">
        <v>0</v>
      </c>
      <c r="N108">
        <v>0</v>
      </c>
      <c r="O108">
        <v>0</v>
      </c>
      <c r="P108">
        <v>0</v>
      </c>
      <c r="Q108">
        <v>0.85599999999999998</v>
      </c>
      <c r="R108">
        <f t="shared" ca="1" si="3"/>
        <v>0.80464000000000002</v>
      </c>
      <c r="S108">
        <f t="shared" ca="1" si="4"/>
        <v>0.71904000000000001</v>
      </c>
      <c r="T108">
        <f t="shared" ca="1" si="5"/>
        <v>0.71904000000000001</v>
      </c>
      <c r="U108">
        <f t="shared" ca="1" si="5"/>
        <v>0.71904000000000001</v>
      </c>
      <c r="V108">
        <f t="shared" ca="1" si="5"/>
        <v>0.71904000000000001</v>
      </c>
      <c r="W108">
        <f t="shared" ca="1" si="5"/>
        <v>0.71904000000000001</v>
      </c>
      <c r="X108" t="s">
        <v>55</v>
      </c>
    </row>
    <row r="109" spans="1:24" x14ac:dyDescent="0.3">
      <c r="A109" t="s">
        <v>104</v>
      </c>
      <c r="B109" t="s">
        <v>5</v>
      </c>
      <c r="C109" t="s">
        <v>15</v>
      </c>
      <c r="D109" t="s">
        <v>44</v>
      </c>
      <c r="E109" t="s">
        <v>105</v>
      </c>
      <c r="G109" t="s">
        <v>53</v>
      </c>
      <c r="H109" t="s">
        <v>18</v>
      </c>
      <c r="I109" t="s">
        <v>19</v>
      </c>
      <c r="K109" t="s">
        <v>28</v>
      </c>
      <c r="L109" t="s">
        <v>54</v>
      </c>
      <c r="M109">
        <v>0</v>
      </c>
      <c r="N109">
        <v>0</v>
      </c>
      <c r="O109">
        <v>0</v>
      </c>
      <c r="P109">
        <v>0</v>
      </c>
      <c r="Q109">
        <v>0.64300000000000002</v>
      </c>
      <c r="R109">
        <f t="shared" ca="1" si="3"/>
        <v>0.60441999999999996</v>
      </c>
      <c r="S109">
        <f t="shared" ca="1" si="4"/>
        <v>0.54011999999999993</v>
      </c>
      <c r="T109">
        <f t="shared" ca="1" si="5"/>
        <v>0.54011999999999993</v>
      </c>
      <c r="U109">
        <f t="shared" ca="1" si="5"/>
        <v>0.54011999999999993</v>
      </c>
      <c r="V109">
        <f t="shared" ca="1" si="5"/>
        <v>0.54011999999999993</v>
      </c>
      <c r="W109">
        <f t="shared" ca="1" si="5"/>
        <v>0.54011999999999993</v>
      </c>
      <c r="X109" t="s">
        <v>55</v>
      </c>
    </row>
    <row r="110" spans="1:24" x14ac:dyDescent="0.3">
      <c r="A110" t="s">
        <v>106</v>
      </c>
      <c r="B110" t="s">
        <v>5</v>
      </c>
      <c r="C110" t="s">
        <v>15</v>
      </c>
      <c r="D110" t="s">
        <v>44</v>
      </c>
      <c r="E110" t="s">
        <v>107</v>
      </c>
      <c r="G110" t="s">
        <v>53</v>
      </c>
      <c r="H110" t="s">
        <v>18</v>
      </c>
      <c r="I110" t="s">
        <v>19</v>
      </c>
      <c r="K110" t="s">
        <v>28</v>
      </c>
      <c r="L110" t="s">
        <v>54</v>
      </c>
      <c r="M110">
        <v>0</v>
      </c>
      <c r="N110">
        <v>0</v>
      </c>
      <c r="O110">
        <v>0</v>
      </c>
      <c r="P110">
        <v>0</v>
      </c>
      <c r="Q110">
        <v>0.64300000000000002</v>
      </c>
      <c r="R110">
        <f t="shared" ca="1" si="3"/>
        <v>0.60441999999999996</v>
      </c>
      <c r="S110">
        <f t="shared" ca="1" si="4"/>
        <v>0.54011999999999993</v>
      </c>
      <c r="T110">
        <f t="shared" ca="1" si="5"/>
        <v>0.54011999999999993</v>
      </c>
      <c r="U110">
        <f t="shared" ca="1" si="5"/>
        <v>0.54011999999999993</v>
      </c>
      <c r="V110">
        <f t="shared" ca="1" si="5"/>
        <v>0.54011999999999993</v>
      </c>
      <c r="W110">
        <f t="shared" ca="1" si="5"/>
        <v>0.54011999999999993</v>
      </c>
      <c r="X110" t="s">
        <v>55</v>
      </c>
    </row>
    <row r="111" spans="1:24" x14ac:dyDescent="0.3">
      <c r="A111" t="s">
        <v>108</v>
      </c>
      <c r="B111" t="s">
        <v>5</v>
      </c>
      <c r="C111" t="s">
        <v>15</v>
      </c>
      <c r="D111" t="s">
        <v>46</v>
      </c>
      <c r="E111" t="s">
        <v>109</v>
      </c>
      <c r="G111" t="s">
        <v>53</v>
      </c>
      <c r="H111" t="s">
        <v>18</v>
      </c>
      <c r="I111" t="s">
        <v>19</v>
      </c>
      <c r="K111" t="s">
        <v>28</v>
      </c>
      <c r="L111" t="s">
        <v>110</v>
      </c>
      <c r="M111">
        <v>0</v>
      </c>
      <c r="N111">
        <v>0</v>
      </c>
      <c r="O111">
        <v>0</v>
      </c>
      <c r="P111">
        <v>0</v>
      </c>
      <c r="Q111">
        <v>4.1461499999999996</v>
      </c>
      <c r="R111">
        <f t="shared" ca="1" si="3"/>
        <v>3.8973809999999998</v>
      </c>
      <c r="S111">
        <f t="shared" ca="1" si="4"/>
        <v>3.4827659999999998</v>
      </c>
      <c r="T111">
        <f t="shared" ca="1" si="5"/>
        <v>3.4827659999999998</v>
      </c>
      <c r="U111">
        <f t="shared" ca="1" si="5"/>
        <v>3.4827659999999998</v>
      </c>
      <c r="V111">
        <f t="shared" ca="1" si="5"/>
        <v>3.4827659999999998</v>
      </c>
      <c r="W111">
        <f t="shared" ca="1" si="5"/>
        <v>3.4827659999999998</v>
      </c>
      <c r="X111" t="s">
        <v>55</v>
      </c>
    </row>
    <row r="112" spans="1:24" x14ac:dyDescent="0.3">
      <c r="A112" t="s">
        <v>111</v>
      </c>
      <c r="B112" t="s">
        <v>5</v>
      </c>
      <c r="C112" t="s">
        <v>15</v>
      </c>
      <c r="D112" t="s">
        <v>48</v>
      </c>
      <c r="E112" t="s">
        <v>34</v>
      </c>
      <c r="G112" t="s">
        <v>53</v>
      </c>
      <c r="H112" t="s">
        <v>18</v>
      </c>
      <c r="I112" t="s">
        <v>19</v>
      </c>
      <c r="K112" t="s">
        <v>28</v>
      </c>
      <c r="L112" t="s">
        <v>59</v>
      </c>
      <c r="M112">
        <v>0</v>
      </c>
      <c r="N112">
        <v>0</v>
      </c>
      <c r="O112">
        <v>0</v>
      </c>
      <c r="P112">
        <v>0</v>
      </c>
      <c r="Q112">
        <v>6.9344608879492592E-2</v>
      </c>
      <c r="R112">
        <f t="shared" ca="1" si="3"/>
        <v>6.5183932346723039E-2</v>
      </c>
      <c r="S112">
        <f t="shared" ca="1" si="4"/>
        <v>5.824947145877378E-2</v>
      </c>
      <c r="T112">
        <f t="shared" ca="1" si="5"/>
        <v>5.824947145877378E-2</v>
      </c>
      <c r="U112">
        <f t="shared" ca="1" si="5"/>
        <v>5.824947145877378E-2</v>
      </c>
      <c r="V112">
        <f t="shared" ca="1" si="5"/>
        <v>5.824947145877378E-2</v>
      </c>
      <c r="W112">
        <f t="shared" ca="1" si="5"/>
        <v>5.824947145877378E-2</v>
      </c>
      <c r="X112" t="s">
        <v>55</v>
      </c>
    </row>
    <row r="113" spans="1:24" x14ac:dyDescent="0.3">
      <c r="A113" t="s">
        <v>112</v>
      </c>
      <c r="B113" t="s">
        <v>5</v>
      </c>
      <c r="C113" t="s">
        <v>15</v>
      </c>
      <c r="D113" t="s">
        <v>48</v>
      </c>
      <c r="E113" t="s">
        <v>113</v>
      </c>
      <c r="G113" t="s">
        <v>53</v>
      </c>
      <c r="H113" t="s">
        <v>18</v>
      </c>
      <c r="I113" t="s">
        <v>19</v>
      </c>
      <c r="K113" t="s">
        <v>28</v>
      </c>
      <c r="L113" t="s">
        <v>114</v>
      </c>
      <c r="M113">
        <v>0</v>
      </c>
      <c r="N113">
        <v>0</v>
      </c>
      <c r="O113">
        <v>0</v>
      </c>
      <c r="P113">
        <v>0</v>
      </c>
      <c r="Q113">
        <v>2.6417205223851371E-2</v>
      </c>
      <c r="R113">
        <f t="shared" ca="1" si="3"/>
        <v>2.4832172910420287E-2</v>
      </c>
      <c r="S113">
        <f t="shared" ca="1" si="4"/>
        <v>2.2190452388035152E-2</v>
      </c>
      <c r="T113">
        <f t="shared" ref="T113:W115" ca="1" si="6">S113</f>
        <v>2.2190452388035152E-2</v>
      </c>
      <c r="U113">
        <f t="shared" ca="1" si="6"/>
        <v>2.2190452388035152E-2</v>
      </c>
      <c r="V113">
        <f t="shared" ca="1" si="6"/>
        <v>2.2190452388035152E-2</v>
      </c>
      <c r="W113">
        <f t="shared" ca="1" si="6"/>
        <v>2.2190452388035152E-2</v>
      </c>
      <c r="X113" t="s">
        <v>55</v>
      </c>
    </row>
    <row r="114" spans="1:24" x14ac:dyDescent="0.3">
      <c r="A114" t="s">
        <v>115</v>
      </c>
      <c r="B114" t="s">
        <v>5</v>
      </c>
      <c r="C114" t="s">
        <v>15</v>
      </c>
      <c r="D114" t="s">
        <v>48</v>
      </c>
      <c r="E114" t="s">
        <v>116</v>
      </c>
      <c r="G114" t="s">
        <v>53</v>
      </c>
      <c r="H114" t="s">
        <v>18</v>
      </c>
      <c r="I114" t="s">
        <v>19</v>
      </c>
      <c r="K114" t="s">
        <v>28</v>
      </c>
      <c r="L114" t="s">
        <v>114</v>
      </c>
      <c r="M114">
        <v>0</v>
      </c>
      <c r="N114">
        <v>0</v>
      </c>
      <c r="O114">
        <v>0</v>
      </c>
      <c r="P114">
        <v>0</v>
      </c>
      <c r="Q114">
        <v>0.29499999999999998</v>
      </c>
      <c r="R114">
        <f t="shared" ca="1" si="3"/>
        <v>0.27729999999999999</v>
      </c>
      <c r="S114">
        <f t="shared" ca="1" si="4"/>
        <v>0.24779999999999999</v>
      </c>
      <c r="T114">
        <f t="shared" ca="1" si="6"/>
        <v>0.24779999999999999</v>
      </c>
      <c r="U114">
        <f t="shared" ca="1" si="6"/>
        <v>0.24779999999999999</v>
      </c>
      <c r="V114">
        <f t="shared" ca="1" si="6"/>
        <v>0.24779999999999999</v>
      </c>
      <c r="W114">
        <f t="shared" ca="1" si="6"/>
        <v>0.24779999999999999</v>
      </c>
      <c r="X114" t="s">
        <v>55</v>
      </c>
    </row>
    <row r="115" spans="1:24" x14ac:dyDescent="0.3">
      <c r="A115" t="s">
        <v>117</v>
      </c>
      <c r="B115" t="s">
        <v>5</v>
      </c>
      <c r="C115" t="s">
        <v>15</v>
      </c>
      <c r="D115" t="s">
        <v>50</v>
      </c>
      <c r="E115" t="s">
        <v>118</v>
      </c>
      <c r="G115" t="s">
        <v>53</v>
      </c>
      <c r="H115" t="s">
        <v>18</v>
      </c>
      <c r="I115" t="s">
        <v>19</v>
      </c>
      <c r="K115" t="s">
        <v>28</v>
      </c>
      <c r="L115" t="s">
        <v>54</v>
      </c>
      <c r="M115">
        <v>0</v>
      </c>
      <c r="N115">
        <v>0</v>
      </c>
      <c r="O115">
        <v>0</v>
      </c>
      <c r="P115">
        <v>0</v>
      </c>
      <c r="Q115">
        <v>0.20300000000000001</v>
      </c>
      <c r="R115">
        <f t="shared" ca="1" si="3"/>
        <v>0.19082000000000002</v>
      </c>
      <c r="S115">
        <f t="shared" ca="1" si="4"/>
        <v>0.17052</v>
      </c>
      <c r="T115">
        <f t="shared" ca="1" si="6"/>
        <v>0.17052</v>
      </c>
      <c r="U115">
        <f t="shared" ca="1" si="6"/>
        <v>0.17052</v>
      </c>
      <c r="V115">
        <f t="shared" ca="1" si="6"/>
        <v>0.17052</v>
      </c>
      <c r="W115">
        <f t="shared" ca="1" si="6"/>
        <v>0.17052</v>
      </c>
      <c r="X115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2025-11-20T22:53:18Z</dcterms:created>
  <dcterms:modified xsi:type="dcterms:W3CDTF">2025-11-20T22:53:19Z</dcterms:modified>
</cp:coreProperties>
</file>