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OBPS_Fed\"/>
    </mc:Choice>
  </mc:AlternateContent>
  <xr:revisionPtr revIDLastSave="0" documentId="8_{7EB3E55F-8209-444D-8F68-779FDB0CD35C}" xr6:coauthVersionLast="47" xr6:coauthVersionMax="47" xr10:uidLastSave="{00000000-0000-0000-0000-000000000000}"/>
  <bookViews>
    <workbookView xWindow="32505" yWindow="2025" windowWidth="38700" windowHeight="15285" xr2:uid="{EF5A6874-0218-47D4-83E7-B9883F5C5F5A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3" i="1" l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S90" i="1"/>
  <c r="R90" i="1"/>
  <c r="W89" i="1"/>
  <c r="V89" i="1"/>
  <c r="U89" i="1"/>
  <c r="T89" i="1"/>
  <c r="S89" i="1"/>
  <c r="R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W85" i="1"/>
  <c r="V85" i="1"/>
  <c r="U85" i="1"/>
  <c r="T85" i="1"/>
  <c r="S85" i="1"/>
  <c r="R85" i="1"/>
  <c r="W84" i="1"/>
  <c r="V84" i="1"/>
  <c r="U84" i="1"/>
  <c r="T84" i="1"/>
  <c r="S84" i="1"/>
  <c r="R84" i="1"/>
  <c r="W83" i="1"/>
  <c r="V83" i="1"/>
  <c r="U83" i="1"/>
  <c r="T83" i="1"/>
  <c r="S83" i="1"/>
  <c r="R83" i="1"/>
  <c r="W82" i="1"/>
  <c r="V82" i="1"/>
  <c r="U82" i="1"/>
  <c r="T82" i="1"/>
  <c r="S82" i="1"/>
  <c r="R82" i="1"/>
  <c r="W81" i="1"/>
  <c r="V81" i="1"/>
  <c r="U81" i="1"/>
  <c r="T81" i="1"/>
  <c r="W80" i="1"/>
  <c r="V80" i="1"/>
  <c r="U80" i="1"/>
  <c r="T80" i="1"/>
  <c r="W79" i="1"/>
  <c r="V79" i="1"/>
  <c r="U79" i="1"/>
  <c r="T79" i="1"/>
  <c r="S79" i="1"/>
  <c r="R79" i="1"/>
  <c r="W78" i="1"/>
  <c r="V78" i="1"/>
  <c r="U78" i="1"/>
  <c r="T78" i="1"/>
  <c r="S78" i="1"/>
  <c r="R78" i="1"/>
  <c r="W77" i="1"/>
  <c r="V77" i="1"/>
  <c r="U77" i="1"/>
  <c r="T77" i="1"/>
  <c r="S77" i="1"/>
  <c r="R77" i="1"/>
  <c r="W76" i="1"/>
  <c r="V76" i="1"/>
  <c r="U76" i="1"/>
  <c r="T76" i="1"/>
  <c r="S76" i="1"/>
  <c r="R76" i="1"/>
  <c r="W75" i="1"/>
  <c r="V75" i="1"/>
  <c r="U75" i="1"/>
  <c r="T75" i="1"/>
  <c r="S75" i="1"/>
  <c r="R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<sst xmlns="http://schemas.openxmlformats.org/spreadsheetml/2006/main" count="993" uniqueCount="109">
  <si>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</si>
  <si>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</si>
  <si>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</si>
  <si>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</si>
  <si>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</si>
  <si>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</si>
  <si>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</si>
  <si>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</si>
  <si>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</si>
  <si>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</si>
  <si>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</si>
  <si>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</si>
  <si>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</si>
  <si>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</si>
  <si>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CIMS.CAN.SK.Chemical Products</t>
  </si>
  <si>
    <t>SK</t>
  </si>
  <si>
    <t>Chemical Products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</si>
  <si>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</si>
  <si>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</si>
  <si>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</si>
  <si>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</si>
  <si>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</si>
  <si>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</si>
  <si>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</si>
  <si>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</si>
  <si>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CIMS.CAN.SK.Coal Mining</t>
  </si>
  <si>
    <t>Coal Mining</t>
  </si>
  <si>
    <t>CIMS.CAN.SK.Electricity.Utility Generation.Base Load</t>
  </si>
  <si>
    <t>Electricity</t>
  </si>
  <si>
    <t>Base Load</t>
  </si>
  <si>
    <t>CIMS.CAN.SK.Electricity.Utility Generation.Shoulder Load</t>
  </si>
  <si>
    <t>Shoulder Load</t>
  </si>
  <si>
    <t>CIMS.CAN.SK.Ethanol</t>
  </si>
  <si>
    <t>Ethanol</t>
  </si>
  <si>
    <t>CIMS.CAN.SK.Hydrogen</t>
  </si>
  <si>
    <t>Hydrogen</t>
  </si>
  <si>
    <t>CIMS.CAN.SK.Iron and Steel</t>
  </si>
  <si>
    <t>Iron and Steel</t>
  </si>
  <si>
    <t>CIMS.CAN.SK.Light Industrial</t>
  </si>
  <si>
    <t>Light Industrial</t>
  </si>
  <si>
    <t>CIMS.CAN.SK.Mining</t>
  </si>
  <si>
    <t>Mining</t>
  </si>
  <si>
    <t>CIMS.CAN.SK.Natural Gas Production</t>
  </si>
  <si>
    <t>Natural Gas Production</t>
  </si>
  <si>
    <t>CIMS.CAN.SK.Petroleum Crude</t>
  </si>
  <si>
    <t>Petroleum Crude</t>
  </si>
  <si>
    <t>CIMS.CAN.SK.Petroleum Refining</t>
  </si>
  <si>
    <t>Petroleum Refining</t>
  </si>
  <si>
    <t>CIMS.CAN.SK.Chemical Products.Chemical Product.Ammonia Methanol</t>
  </si>
  <si>
    <t>Ammonia Methanol</t>
  </si>
  <si>
    <t>benchmark</t>
  </si>
  <si>
    <t>tCO2e/t</t>
  </si>
  <si>
    <t>Tightening rate starts in 2023</t>
  </si>
  <si>
    <t>CIMS.CAN.SK.Chemical Products.Chemical Product.Other Petrochemicals.Petrochemicals.All Polymerization</t>
  </si>
  <si>
    <t>All Polymerization</t>
  </si>
  <si>
    <t>CIMS.CAN.SK.Chemical Products.Chemical Product.Other Petrochemicals.Petrochemicals.BTX Reforming</t>
  </si>
  <si>
    <t>BTX Reforming</t>
  </si>
  <si>
    <t>CIMS.CAN.SK.Chemical Products.Chemical Product.Other Petrochemicals.Petrochemicals.Intermediate Production</t>
  </si>
  <si>
    <t>Intermediate Production</t>
  </si>
  <si>
    <t>CIMS.CAN.SK.Coal Mining.Coal</t>
  </si>
  <si>
    <t>Coal</t>
  </si>
  <si>
    <t>tCO2e/kt</t>
  </si>
  <si>
    <t>tCO2e/MWh</t>
  </si>
  <si>
    <t>CIMS.CAN.SK.Ethanol.Production</t>
  </si>
  <si>
    <t>Production</t>
  </si>
  <si>
    <t>tCO2e/GJ</t>
  </si>
  <si>
    <t>CIMS.CAN.SK.Hydrogen.Production</t>
  </si>
  <si>
    <t>tCO2e/kg</t>
  </si>
  <si>
    <t>CIMS.CAN.SK.Iron and Steel.Steel Product.Billets</t>
  </si>
  <si>
    <t>Billets</t>
  </si>
  <si>
    <t>CIMS.CAN.SK.Iron and Steel.Steel Product.Blooms</t>
  </si>
  <si>
    <t>Blooms</t>
  </si>
  <si>
    <t>CIMS.CAN.SK.Iron and Steel.Molten Steel.Recycled</t>
  </si>
  <si>
    <t>Recycled</t>
  </si>
  <si>
    <t>CIMS.CAN.SK.Iron and Steel.Molten Steel.Integrated</t>
  </si>
  <si>
    <t>Integrated</t>
  </si>
  <si>
    <t>CIMS.CAN.SK.Iron and Steel.Steel Product.Slabs.Casting</t>
  </si>
  <si>
    <t>Casting</t>
  </si>
  <si>
    <t>CIMS.CAN.SK.Iron and Steel.Steel Product.Slabs.Cold Rolled</t>
  </si>
  <si>
    <t>Cold Rolled</t>
  </si>
  <si>
    <t>CIMS.CAN.SK.Light Industrial.Manufacturing.Food Tobacco and Beverage</t>
  </si>
  <si>
    <t>Food Tobacco and Beverage</t>
  </si>
  <si>
    <t>CIMS.CAN.SK.Light Industrial.Manufacturing.Rubber and Plastics</t>
  </si>
  <si>
    <t>Rubber and Plastics</t>
  </si>
  <si>
    <t>CIMS.CAN.SK.Light Industrial.Manufacturing.Transportation Equipment</t>
  </si>
  <si>
    <t>Transportation Equipment</t>
  </si>
  <si>
    <t>CIMS.CAN.SK.Light Industrial.Manufacturing.Wood Products</t>
  </si>
  <si>
    <t>Wood Products</t>
  </si>
  <si>
    <t>CIMS.CAN.SK.Mining.Final Product.Metal Underground</t>
  </si>
  <si>
    <t>Metal Underground</t>
  </si>
  <si>
    <t>CIMS.CAN.SK.Mining.Final Product.Potash.Separated Product.Raw Product.Conventional Mining</t>
  </si>
  <si>
    <t>Conventional Mining</t>
  </si>
  <si>
    <t>CIMS.CAN.SK.Mining.Final Product.Potash.Separated Product.Raw Product.Solution Mining</t>
  </si>
  <si>
    <t>Solution Mining</t>
  </si>
  <si>
    <t>CIMS.CAN.SK.Natural Gas Production.Supply.Extraction</t>
  </si>
  <si>
    <t>Extraction</t>
  </si>
  <si>
    <t>tCO2e/1000m3</t>
  </si>
  <si>
    <t>CIMS.CAN.SK.Natural Gas Production.Supply.Transmission</t>
  </si>
  <si>
    <t>Transmission</t>
  </si>
  <si>
    <t>CIMS.CAN.SK.Petroleum Crude.Production.Heavy</t>
  </si>
  <si>
    <t>Heavy</t>
  </si>
  <si>
    <t>tCO2e/m3</t>
  </si>
  <si>
    <t>CIMS.CAN.SK.Petroleum Crude.Production.Light Medium</t>
  </si>
  <si>
    <t>Light Medium</t>
  </si>
  <si>
    <t>CIMS.CAN.SK.Petroleum Refining.Hydrogen</t>
  </si>
  <si>
    <t>CIMS.CAN.SK.Petroleum Refining.Refined Petroleum Products.Petroleum Fractions</t>
  </si>
  <si>
    <t>Petroleum Fractions</t>
  </si>
  <si>
    <t>CIMS.CAN.SK.Petroleum Refining.Refined Petroleum Products.Petroleum Fractions.Lubes</t>
  </si>
  <si>
    <t>Lubes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</si>
</sst>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B30EA-4096-4F08-86DA-3672FD66E486}">
  <dimension ref="A1:X103"/>
  <sheetViews>
    <sheetView tabSelected="1" workbookViewId="0">
      <selection sqref="A1:X103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G9" t="s">
        <v>17</v>
      </c>
      <c r="H9" t="s">
        <v>18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G10" t="s">
        <v>17</v>
      </c>
      <c r="H10" t="s">
        <v>18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G11" t="s">
        <v>17</v>
      </c>
      <c r="H11" t="s">
        <v>23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G12" t="s">
        <v>17</v>
      </c>
      <c r="H12" t="s">
        <v>23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27</v>
      </c>
      <c r="B15" t="s">
        <v>4</v>
      </c>
      <c r="C15" t="s">
        <v>15</v>
      </c>
      <c r="D15" t="s">
        <v>28</v>
      </c>
      <c r="E15" t="s">
        <v>29</v>
      </c>
      <c r="G15" t="s">
        <v>17</v>
      </c>
      <c r="H15" t="s">
        <v>18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27</v>
      </c>
      <c r="B16" t="s">
        <v>4</v>
      </c>
      <c r="C16" t="s">
        <v>15</v>
      </c>
      <c r="D16" t="s">
        <v>28</v>
      </c>
      <c r="E16" t="s">
        <v>29</v>
      </c>
      <c r="G16" t="s">
        <v>17</v>
      </c>
      <c r="H16" t="s">
        <v>18</v>
      </c>
      <c r="I16" t="s">
        <v>22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27</v>
      </c>
      <c r="B17" t="s">
        <v>4</v>
      </c>
      <c r="C17" t="s">
        <v>15</v>
      </c>
      <c r="D17" t="s">
        <v>28</v>
      </c>
      <c r="E17" t="s">
        <v>29</v>
      </c>
      <c r="G17" t="s">
        <v>17</v>
      </c>
      <c r="H17" t="s">
        <v>23</v>
      </c>
      <c r="I17" t="s">
        <v>19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27</v>
      </c>
      <c r="B18" t="s">
        <v>4</v>
      </c>
      <c r="C18" t="s">
        <v>15</v>
      </c>
      <c r="D18" t="s">
        <v>28</v>
      </c>
      <c r="E18" t="s">
        <v>29</v>
      </c>
      <c r="G18" t="s">
        <v>17</v>
      </c>
      <c r="H18" t="s">
        <v>23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27</v>
      </c>
      <c r="B19" t="s">
        <v>4</v>
      </c>
      <c r="C19" t="s">
        <v>15</v>
      </c>
      <c r="D19" t="s">
        <v>28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27</v>
      </c>
      <c r="B20" t="s">
        <v>4</v>
      </c>
      <c r="C20" t="s">
        <v>15</v>
      </c>
      <c r="D20" t="s">
        <v>28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28</v>
      </c>
      <c r="E21" t="s">
        <v>31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28</v>
      </c>
      <c r="E22" t="s">
        <v>31</v>
      </c>
      <c r="G22" t="s">
        <v>17</v>
      </c>
      <c r="H22" t="s">
        <v>18</v>
      </c>
      <c r="I22" t="s">
        <v>22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28</v>
      </c>
      <c r="E23" t="s">
        <v>31</v>
      </c>
      <c r="G23" t="s">
        <v>17</v>
      </c>
      <c r="H23" t="s">
        <v>23</v>
      </c>
      <c r="I23" t="s">
        <v>19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28</v>
      </c>
      <c r="E24" t="s">
        <v>31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28</v>
      </c>
      <c r="E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28</v>
      </c>
      <c r="E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39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40</v>
      </c>
      <c r="B51" t="s">
        <v>4</v>
      </c>
      <c r="C51" t="s">
        <v>15</v>
      </c>
      <c r="D51" t="s">
        <v>41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40</v>
      </c>
      <c r="B52" t="s">
        <v>4</v>
      </c>
      <c r="C52" t="s">
        <v>15</v>
      </c>
      <c r="D52" t="s">
        <v>41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40</v>
      </c>
      <c r="B53" t="s">
        <v>4</v>
      </c>
      <c r="C53" t="s">
        <v>15</v>
      </c>
      <c r="D53" t="s">
        <v>41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40</v>
      </c>
      <c r="B54" t="s">
        <v>4</v>
      </c>
      <c r="C54" t="s">
        <v>15</v>
      </c>
      <c r="D54" t="s">
        <v>41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40</v>
      </c>
      <c r="B55" t="s">
        <v>4</v>
      </c>
      <c r="C55" t="s">
        <v>15</v>
      </c>
      <c r="D55" t="s">
        <v>41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40</v>
      </c>
      <c r="B56" t="s">
        <v>4</v>
      </c>
      <c r="C56" t="s">
        <v>15</v>
      </c>
      <c r="D56" t="s">
        <v>41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42</v>
      </c>
      <c r="B57" t="s">
        <v>4</v>
      </c>
      <c r="C57" t="s">
        <v>15</v>
      </c>
      <c r="D57" t="s">
        <v>43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42</v>
      </c>
      <c r="B58" t="s">
        <v>4</v>
      </c>
      <c r="C58" t="s">
        <v>15</v>
      </c>
      <c r="D58" t="s">
        <v>43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42</v>
      </c>
      <c r="B59" t="s">
        <v>4</v>
      </c>
      <c r="C59" t="s">
        <v>15</v>
      </c>
      <c r="D59" t="s">
        <v>43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42</v>
      </c>
      <c r="B60" t="s">
        <v>4</v>
      </c>
      <c r="C60" t="s">
        <v>15</v>
      </c>
      <c r="D60" t="s">
        <v>43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42</v>
      </c>
      <c r="B61" t="s">
        <v>4</v>
      </c>
      <c r="C61" t="s">
        <v>15</v>
      </c>
      <c r="D61" t="s">
        <v>43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42</v>
      </c>
      <c r="B62" t="s">
        <v>4</v>
      </c>
      <c r="C62" t="s">
        <v>15</v>
      </c>
      <c r="D62" t="s">
        <v>43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44</v>
      </c>
      <c r="B63" t="s">
        <v>4</v>
      </c>
      <c r="C63" t="s">
        <v>15</v>
      </c>
      <c r="D63" t="s">
        <v>45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44</v>
      </c>
      <c r="B64" t="s">
        <v>4</v>
      </c>
      <c r="C64" t="s">
        <v>15</v>
      </c>
      <c r="D64" t="s">
        <v>45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4" x14ac:dyDescent="0.3">
      <c r="A65" t="s">
        <v>44</v>
      </c>
      <c r="B65" t="s">
        <v>4</v>
      </c>
      <c r="C65" t="s">
        <v>15</v>
      </c>
      <c r="D65" t="s">
        <v>45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4" x14ac:dyDescent="0.3">
      <c r="A66" t="s">
        <v>44</v>
      </c>
      <c r="B66" t="s">
        <v>4</v>
      </c>
      <c r="C66" t="s">
        <v>15</v>
      </c>
      <c r="D66" t="s">
        <v>45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4" x14ac:dyDescent="0.3">
      <c r="A67" t="s">
        <v>44</v>
      </c>
      <c r="B67" t="s">
        <v>4</v>
      </c>
      <c r="C67" t="s">
        <v>15</v>
      </c>
      <c r="D67" t="s">
        <v>45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4" x14ac:dyDescent="0.3">
      <c r="A68" t="s">
        <v>44</v>
      </c>
      <c r="B68" t="s">
        <v>4</v>
      </c>
      <c r="C68" t="s">
        <v>15</v>
      </c>
      <c r="D68" t="s">
        <v>45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4" x14ac:dyDescent="0.3">
      <c r="A69" t="s">
        <v>46</v>
      </c>
      <c r="B69" t="s">
        <v>4</v>
      </c>
      <c r="C69" t="s">
        <v>15</v>
      </c>
      <c r="D69" t="s">
        <v>47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4" x14ac:dyDescent="0.3">
      <c r="A70" t="s">
        <v>46</v>
      </c>
      <c r="B70" t="s">
        <v>4</v>
      </c>
      <c r="C70" t="s">
        <v>15</v>
      </c>
      <c r="D70" t="s">
        <v>47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4" x14ac:dyDescent="0.3">
      <c r="A71" t="s">
        <v>46</v>
      </c>
      <c r="B71" t="s">
        <v>4</v>
      </c>
      <c r="C71" t="s">
        <v>15</v>
      </c>
      <c r="D71" t="s">
        <v>47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4" x14ac:dyDescent="0.3">
      <c r="A72" t="s">
        <v>46</v>
      </c>
      <c r="B72" t="s">
        <v>4</v>
      </c>
      <c r="C72" t="s">
        <v>15</v>
      </c>
      <c r="D72" t="s">
        <v>47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4" x14ac:dyDescent="0.3">
      <c r="A73" t="s">
        <v>46</v>
      </c>
      <c r="B73" t="s">
        <v>4</v>
      </c>
      <c r="C73" t="s">
        <v>15</v>
      </c>
      <c r="D73" t="s">
        <v>47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4" x14ac:dyDescent="0.3">
      <c r="A74" t="s">
        <v>46</v>
      </c>
      <c r="B74" t="s">
        <v>4</v>
      </c>
      <c r="C74" t="s">
        <v>15</v>
      </c>
      <c r="D74" t="s">
        <v>47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4" x14ac:dyDescent="0.3">
      <c r="A75" t="s">
        <v>48</v>
      </c>
      <c r="B75" t="s">
        <v>5</v>
      </c>
      <c r="C75" t="s">
        <v>15</v>
      </c>
      <c r="D75" t="s">
        <v>16</v>
      </c>
      <c r="E75" t="s">
        <v>49</v>
      </c>
      <c r="G75" t="s">
        <v>50</v>
      </c>
      <c r="H75" t="s">
        <v>18</v>
      </c>
      <c r="I75" t="s">
        <v>19</v>
      </c>
      <c r="K75" t="s">
        <v>20</v>
      </c>
      <c r="L75" t="s">
        <v>51</v>
      </c>
      <c r="M75">
        <v>0</v>
      </c>
      <c r="N75">
        <v>0</v>
      </c>
      <c r="O75">
        <v>0</v>
      </c>
      <c r="P75">
        <v>0</v>
      </c>
      <c r="Q75">
        <v>1.82</v>
      </c>
      <c r="R75">
        <f ca="1">Q75-($Q75*0.02)*3</f>
        <v>1.7108000000000001</v>
      </c>
      <c r="S75">
        <f ca="1">R75-($Q75*0.02)*5</f>
        <v>1.5288000000000002</v>
      </c>
      <c r="T75">
        <f t="shared" ref="T75:W90" ca="1" si="0">S75</f>
        <v>1.5288000000000002</v>
      </c>
      <c r="U75">
        <f t="shared" ca="1" si="0"/>
        <v>1.5288000000000002</v>
      </c>
      <c r="V75">
        <f t="shared" ca="1" si="0"/>
        <v>1.5288000000000002</v>
      </c>
      <c r="W75">
        <f t="shared" ca="1" si="0"/>
        <v>1.5288000000000002</v>
      </c>
      <c r="X75" t="s">
        <v>52</v>
      </c>
    </row>
    <row r="76" spans="1:24" x14ac:dyDescent="0.3">
      <c r="A76" t="s">
        <v>53</v>
      </c>
      <c r="B76" t="s">
        <v>5</v>
      </c>
      <c r="C76" t="s">
        <v>15</v>
      </c>
      <c r="D76" t="s">
        <v>16</v>
      </c>
      <c r="E76" t="s">
        <v>54</v>
      </c>
      <c r="G76" t="s">
        <v>50</v>
      </c>
      <c r="H76" t="s">
        <v>18</v>
      </c>
      <c r="I76" t="s">
        <v>19</v>
      </c>
      <c r="K76" t="s">
        <v>20</v>
      </c>
      <c r="L76" t="s">
        <v>51</v>
      </c>
      <c r="M76">
        <v>0</v>
      </c>
      <c r="N76">
        <v>0</v>
      </c>
      <c r="O76">
        <v>0</v>
      </c>
      <c r="P76">
        <v>0</v>
      </c>
      <c r="Q76">
        <v>0.16400000000000001</v>
      </c>
      <c r="R76">
        <f ca="1">Q76-($Q76*0.01)*3</f>
        <v>0.15908</v>
      </c>
      <c r="S76">
        <f ca="1">R76-($Q76*0.01)*5</f>
        <v>0.15087999999999999</v>
      </c>
      <c r="T76">
        <f t="shared" ca="1" si="0"/>
        <v>0.15087999999999999</v>
      </c>
      <c r="U76">
        <f t="shared" ca="1" si="0"/>
        <v>0.15087999999999999</v>
      </c>
      <c r="V76">
        <f t="shared" ca="1" si="0"/>
        <v>0.15087999999999999</v>
      </c>
      <c r="W76">
        <f t="shared" ca="1" si="0"/>
        <v>0.15087999999999999</v>
      </c>
      <c r="X76" t="s">
        <v>52</v>
      </c>
    </row>
    <row r="77" spans="1:24" x14ac:dyDescent="0.3">
      <c r="A77" t="s">
        <v>55</v>
      </c>
      <c r="B77" t="s">
        <v>5</v>
      </c>
      <c r="C77" t="s">
        <v>15</v>
      </c>
      <c r="D77" t="s">
        <v>16</v>
      </c>
      <c r="E77" t="s">
        <v>56</v>
      </c>
      <c r="G77" t="s">
        <v>50</v>
      </c>
      <c r="H77" t="s">
        <v>18</v>
      </c>
      <c r="I77" t="s">
        <v>19</v>
      </c>
      <c r="K77" t="s">
        <v>20</v>
      </c>
      <c r="L77" t="s">
        <v>51</v>
      </c>
      <c r="M77">
        <v>0</v>
      </c>
      <c r="N77">
        <v>0</v>
      </c>
      <c r="O77">
        <v>0</v>
      </c>
      <c r="P77">
        <v>0</v>
      </c>
      <c r="Q77">
        <v>0.69399999999999995</v>
      </c>
      <c r="R77">
        <f ca="1">Q77-($Q77*0.01)*3</f>
        <v>0.67318</v>
      </c>
      <c r="S77">
        <f ca="1">R77-($Q77*0.01)*5</f>
        <v>0.63848000000000005</v>
      </c>
      <c r="T77">
        <f t="shared" ca="1" si="0"/>
        <v>0.63848000000000005</v>
      </c>
      <c r="U77">
        <f t="shared" ca="1" si="0"/>
        <v>0.63848000000000005</v>
      </c>
      <c r="V77">
        <f t="shared" ca="1" si="0"/>
        <v>0.63848000000000005</v>
      </c>
      <c r="W77">
        <f t="shared" ca="1" si="0"/>
        <v>0.63848000000000005</v>
      </c>
      <c r="X77" t="s">
        <v>52</v>
      </c>
    </row>
    <row r="78" spans="1:24" x14ac:dyDescent="0.3">
      <c r="A78" t="s">
        <v>57</v>
      </c>
      <c r="B78" t="s">
        <v>5</v>
      </c>
      <c r="C78" t="s">
        <v>15</v>
      </c>
      <c r="D78" t="s">
        <v>16</v>
      </c>
      <c r="E78" t="s">
        <v>58</v>
      </c>
      <c r="G78" t="s">
        <v>50</v>
      </c>
      <c r="H78" t="s">
        <v>18</v>
      </c>
      <c r="I78" t="s">
        <v>19</v>
      </c>
      <c r="K78" t="s">
        <v>20</v>
      </c>
      <c r="L78" t="s">
        <v>51</v>
      </c>
      <c r="M78">
        <v>0</v>
      </c>
      <c r="N78">
        <v>0</v>
      </c>
      <c r="O78">
        <v>0</v>
      </c>
      <c r="P78">
        <v>0</v>
      </c>
      <c r="Q78">
        <v>0.65200000000000002</v>
      </c>
      <c r="R78">
        <f ca="1">Q78-($Q78*0.01)*3</f>
        <v>0.63244</v>
      </c>
      <c r="S78">
        <f ca="1">R78-($Q78*0.01)*5</f>
        <v>0.59984000000000004</v>
      </c>
      <c r="T78">
        <f t="shared" ca="1" si="0"/>
        <v>0.59984000000000004</v>
      </c>
      <c r="U78">
        <f t="shared" ca="1" si="0"/>
        <v>0.59984000000000004</v>
      </c>
      <c r="V78">
        <f t="shared" ca="1" si="0"/>
        <v>0.59984000000000004</v>
      </c>
      <c r="W78">
        <f t="shared" ca="1" si="0"/>
        <v>0.59984000000000004</v>
      </c>
      <c r="X78" t="s">
        <v>52</v>
      </c>
    </row>
    <row r="79" spans="1:24" x14ac:dyDescent="0.3">
      <c r="A79" t="s">
        <v>59</v>
      </c>
      <c r="B79" t="s">
        <v>5</v>
      </c>
      <c r="C79" t="s">
        <v>15</v>
      </c>
      <c r="D79" t="s">
        <v>26</v>
      </c>
      <c r="E79" t="s">
        <v>60</v>
      </c>
      <c r="G79" t="s">
        <v>50</v>
      </c>
      <c r="H79" t="s">
        <v>18</v>
      </c>
      <c r="I79" t="s">
        <v>19</v>
      </c>
      <c r="K79" t="s">
        <v>20</v>
      </c>
      <c r="L79" t="s">
        <v>61</v>
      </c>
      <c r="M79">
        <v>0</v>
      </c>
      <c r="N79">
        <v>0</v>
      </c>
      <c r="O79">
        <v>0</v>
      </c>
      <c r="P79">
        <v>0</v>
      </c>
      <c r="Q79">
        <v>49.9</v>
      </c>
      <c r="R79">
        <f ca="1">Q79-($Q79*0.02)*3</f>
        <v>46.905999999999999</v>
      </c>
      <c r="S79">
        <f ca="1">R79-($Q79*0.02)*5</f>
        <v>41.915999999999997</v>
      </c>
      <c r="T79">
        <f t="shared" ca="1" si="0"/>
        <v>41.915999999999997</v>
      </c>
      <c r="U79">
        <f t="shared" ca="1" si="0"/>
        <v>41.915999999999997</v>
      </c>
      <c r="V79">
        <f t="shared" ca="1" si="0"/>
        <v>41.915999999999997</v>
      </c>
      <c r="W79">
        <f t="shared" ca="1" si="0"/>
        <v>41.915999999999997</v>
      </c>
      <c r="X79" t="s">
        <v>52</v>
      </c>
    </row>
    <row r="80" spans="1:24" x14ac:dyDescent="0.3">
      <c r="A80" t="s">
        <v>27</v>
      </c>
      <c r="B80" t="s">
        <v>5</v>
      </c>
      <c r="C80" t="s">
        <v>15</v>
      </c>
      <c r="D80" t="s">
        <v>28</v>
      </c>
      <c r="E80" t="s">
        <v>29</v>
      </c>
      <c r="G80" t="s">
        <v>50</v>
      </c>
      <c r="H80" t="s">
        <v>18</v>
      </c>
      <c r="I80" t="s">
        <v>19</v>
      </c>
      <c r="K80" t="s">
        <v>20</v>
      </c>
      <c r="L80" t="s">
        <v>62</v>
      </c>
      <c r="M80">
        <v>0</v>
      </c>
      <c r="N80">
        <v>0</v>
      </c>
      <c r="O80">
        <v>0</v>
      </c>
      <c r="P80">
        <v>0</v>
      </c>
      <c r="Q80">
        <v>0.65</v>
      </c>
      <c r="R80">
        <v>0.51</v>
      </c>
      <c r="S80">
        <v>0.37</v>
      </c>
      <c r="T80">
        <f t="shared" ca="1" si="0"/>
        <v>0.37</v>
      </c>
      <c r="U80">
        <f t="shared" ca="1" si="0"/>
        <v>0.37</v>
      </c>
      <c r="V80">
        <f t="shared" ca="1" si="0"/>
        <v>0.37</v>
      </c>
      <c r="W80">
        <f t="shared" ca="1" si="0"/>
        <v>0.37</v>
      </c>
      <c r="X80" t="s">
        <v>52</v>
      </c>
    </row>
    <row r="81" spans="1:24" x14ac:dyDescent="0.3">
      <c r="A81" t="s">
        <v>30</v>
      </c>
      <c r="B81" t="s">
        <v>5</v>
      </c>
      <c r="C81" t="s">
        <v>15</v>
      </c>
      <c r="D81" t="s">
        <v>28</v>
      </c>
      <c r="E81" t="s">
        <v>31</v>
      </c>
      <c r="G81" t="s">
        <v>50</v>
      </c>
      <c r="H81" t="s">
        <v>18</v>
      </c>
      <c r="I81" t="s">
        <v>19</v>
      </c>
      <c r="K81" t="s">
        <v>20</v>
      </c>
      <c r="L81" t="s">
        <v>62</v>
      </c>
      <c r="M81">
        <v>0</v>
      </c>
      <c r="N81">
        <v>0</v>
      </c>
      <c r="O81">
        <v>0</v>
      </c>
      <c r="P81">
        <v>0</v>
      </c>
      <c r="Q81">
        <v>0.65</v>
      </c>
      <c r="R81">
        <v>0.51</v>
      </c>
      <c r="S81">
        <v>0.37</v>
      </c>
      <c r="T81">
        <f t="shared" ca="1" si="0"/>
        <v>0.37</v>
      </c>
      <c r="U81">
        <f t="shared" ca="1" si="0"/>
        <v>0.37</v>
      </c>
      <c r="V81">
        <f t="shared" ca="1" si="0"/>
        <v>0.37</v>
      </c>
      <c r="W81">
        <f t="shared" ca="1" si="0"/>
        <v>0.37</v>
      </c>
      <c r="X81" t="s">
        <v>52</v>
      </c>
    </row>
    <row r="82" spans="1:24" x14ac:dyDescent="0.3">
      <c r="A82" t="s">
        <v>63</v>
      </c>
      <c r="B82" t="s">
        <v>5</v>
      </c>
      <c r="C82" t="s">
        <v>15</v>
      </c>
      <c r="D82" t="s">
        <v>33</v>
      </c>
      <c r="E82" t="s">
        <v>64</v>
      </c>
      <c r="G82" t="s">
        <v>50</v>
      </c>
      <c r="H82" t="s">
        <v>18</v>
      </c>
      <c r="I82" t="s">
        <v>19</v>
      </c>
      <c r="K82" t="s">
        <v>20</v>
      </c>
      <c r="L82" t="s">
        <v>65</v>
      </c>
      <c r="M82">
        <v>0</v>
      </c>
      <c r="N82">
        <v>0</v>
      </c>
      <c r="O82">
        <v>0</v>
      </c>
      <c r="P82">
        <v>0</v>
      </c>
      <c r="Q82">
        <v>2.4509345794392519E-2</v>
      </c>
      <c r="R82">
        <f ca="1">Q82-($Q82*0.01)*3</f>
        <v>2.3774065420560743E-2</v>
      </c>
      <c r="S82">
        <f ca="1">R82-($Q82*0.01)*5</f>
        <v>2.2548598130841119E-2</v>
      </c>
      <c r="T82">
        <f t="shared" ca="1" si="0"/>
        <v>2.2548598130841119E-2</v>
      </c>
      <c r="U82">
        <f t="shared" ca="1" si="0"/>
        <v>2.2548598130841119E-2</v>
      </c>
      <c r="V82">
        <f t="shared" ca="1" si="0"/>
        <v>2.2548598130841119E-2</v>
      </c>
      <c r="W82">
        <f t="shared" ca="1" si="0"/>
        <v>2.2548598130841119E-2</v>
      </c>
      <c r="X82" t="s">
        <v>52</v>
      </c>
    </row>
    <row r="83" spans="1:24" x14ac:dyDescent="0.3">
      <c r="A83" t="s">
        <v>66</v>
      </c>
      <c r="B83" t="s">
        <v>5</v>
      </c>
      <c r="C83" t="s">
        <v>15</v>
      </c>
      <c r="D83" t="s">
        <v>35</v>
      </c>
      <c r="E83" t="s">
        <v>64</v>
      </c>
      <c r="G83" t="s">
        <v>50</v>
      </c>
      <c r="H83" t="s">
        <v>18</v>
      </c>
      <c r="I83" t="s">
        <v>19</v>
      </c>
      <c r="K83" t="s">
        <v>20</v>
      </c>
      <c r="L83" t="s">
        <v>67</v>
      </c>
      <c r="M83">
        <v>0</v>
      </c>
      <c r="N83">
        <v>0</v>
      </c>
      <c r="O83">
        <v>0</v>
      </c>
      <c r="P83">
        <v>0</v>
      </c>
      <c r="Q83">
        <v>9.8399999999999998E-3</v>
      </c>
      <c r="R83">
        <f ca="1">Q83-($Q83*0.02)*3</f>
        <v>9.2496000000000002E-3</v>
      </c>
      <c r="S83">
        <f ca="1">R83-($Q83*0.02)*5</f>
        <v>8.2655999999999997E-3</v>
      </c>
      <c r="T83">
        <f t="shared" ca="1" si="0"/>
        <v>8.2655999999999997E-3</v>
      </c>
      <c r="U83">
        <f t="shared" ca="1" si="0"/>
        <v>8.2655999999999997E-3</v>
      </c>
      <c r="V83">
        <f t="shared" ca="1" si="0"/>
        <v>8.2655999999999997E-3</v>
      </c>
      <c r="W83">
        <f t="shared" ca="1" si="0"/>
        <v>8.2655999999999997E-3</v>
      </c>
      <c r="X83" t="s">
        <v>52</v>
      </c>
    </row>
    <row r="84" spans="1:24" x14ac:dyDescent="0.3">
      <c r="A84" t="s">
        <v>68</v>
      </c>
      <c r="B84" t="s">
        <v>5</v>
      </c>
      <c r="C84" t="s">
        <v>15</v>
      </c>
      <c r="D84" t="s">
        <v>37</v>
      </c>
      <c r="E84" t="s">
        <v>69</v>
      </c>
      <c r="G84" t="s">
        <v>50</v>
      </c>
      <c r="H84" t="s">
        <v>18</v>
      </c>
      <c r="I84" t="s">
        <v>19</v>
      </c>
      <c r="K84" t="s">
        <v>20</v>
      </c>
      <c r="L84" t="s">
        <v>51</v>
      </c>
      <c r="M84">
        <v>0</v>
      </c>
      <c r="N84">
        <v>0</v>
      </c>
      <c r="O84">
        <v>0</v>
      </c>
      <c r="P84">
        <v>0</v>
      </c>
      <c r="Q84">
        <v>9.3700000000000006E-2</v>
      </c>
      <c r="R84">
        <f t="shared" ref="R84:R89" ca="1" si="1">Q84-($Q84*0.01)*3</f>
        <v>9.0889000000000011E-2</v>
      </c>
      <c r="S84">
        <f t="shared" ref="S84:S89" ca="1" si="2">R84-($Q84*0.01)*5</f>
        <v>8.6204000000000017E-2</v>
      </c>
      <c r="T84">
        <f t="shared" ca="1" si="0"/>
        <v>8.6204000000000017E-2</v>
      </c>
      <c r="U84">
        <f t="shared" ca="1" si="0"/>
        <v>8.6204000000000017E-2</v>
      </c>
      <c r="V84">
        <f t="shared" ca="1" si="0"/>
        <v>8.6204000000000017E-2</v>
      </c>
      <c r="W84">
        <f t="shared" ca="1" si="0"/>
        <v>8.6204000000000017E-2</v>
      </c>
      <c r="X84" t="s">
        <v>52</v>
      </c>
    </row>
    <row r="85" spans="1:24" x14ac:dyDescent="0.3">
      <c r="A85" t="s">
        <v>70</v>
      </c>
      <c r="B85" t="s">
        <v>5</v>
      </c>
      <c r="C85" t="s">
        <v>15</v>
      </c>
      <c r="D85" t="s">
        <v>37</v>
      </c>
      <c r="E85" t="s">
        <v>71</v>
      </c>
      <c r="G85" t="s">
        <v>50</v>
      </c>
      <c r="H85" t="s">
        <v>18</v>
      </c>
      <c r="I85" t="s">
        <v>19</v>
      </c>
      <c r="K85" t="s">
        <v>20</v>
      </c>
      <c r="L85" t="s">
        <v>51</v>
      </c>
      <c r="M85">
        <v>0</v>
      </c>
      <c r="N85">
        <v>0</v>
      </c>
      <c r="O85">
        <v>0</v>
      </c>
      <c r="P85">
        <v>0</v>
      </c>
      <c r="Q85">
        <v>9.3700000000000006E-2</v>
      </c>
      <c r="R85">
        <f t="shared" ca="1" si="1"/>
        <v>9.0889000000000011E-2</v>
      </c>
      <c r="S85">
        <f t="shared" ca="1" si="2"/>
        <v>8.6204000000000017E-2</v>
      </c>
      <c r="T85">
        <f t="shared" ca="1" si="0"/>
        <v>8.6204000000000017E-2</v>
      </c>
      <c r="U85">
        <f t="shared" ca="1" si="0"/>
        <v>8.6204000000000017E-2</v>
      </c>
      <c r="V85">
        <f t="shared" ca="1" si="0"/>
        <v>8.6204000000000017E-2</v>
      </c>
      <c r="W85">
        <f t="shared" ca="1" si="0"/>
        <v>8.6204000000000017E-2</v>
      </c>
      <c r="X85" t="s">
        <v>52</v>
      </c>
    </row>
    <row r="86" spans="1:24" x14ac:dyDescent="0.3">
      <c r="A86" t="s">
        <v>72</v>
      </c>
      <c r="B86" t="s">
        <v>5</v>
      </c>
      <c r="C86" t="s">
        <v>15</v>
      </c>
      <c r="D86" t="s">
        <v>37</v>
      </c>
      <c r="E86" t="s">
        <v>73</v>
      </c>
      <c r="G86" t="s">
        <v>50</v>
      </c>
      <c r="H86" t="s">
        <v>18</v>
      </c>
      <c r="I86" t="s">
        <v>19</v>
      </c>
      <c r="K86" t="s">
        <v>20</v>
      </c>
      <c r="L86" t="s">
        <v>51</v>
      </c>
      <c r="M86">
        <v>0</v>
      </c>
      <c r="N86">
        <v>0</v>
      </c>
      <c r="O86">
        <v>0</v>
      </c>
      <c r="P86">
        <v>0</v>
      </c>
      <c r="Q86">
        <v>0.16400000000000001</v>
      </c>
      <c r="R86">
        <f t="shared" ca="1" si="1"/>
        <v>0.15908</v>
      </c>
      <c r="S86">
        <f t="shared" ca="1" si="2"/>
        <v>0.15087999999999999</v>
      </c>
      <c r="T86">
        <f t="shared" ca="1" si="0"/>
        <v>0.15087999999999999</v>
      </c>
      <c r="U86">
        <f t="shared" ca="1" si="0"/>
        <v>0.15087999999999999</v>
      </c>
      <c r="V86">
        <f t="shared" ca="1" si="0"/>
        <v>0.15087999999999999</v>
      </c>
      <c r="W86">
        <f t="shared" ca="1" si="0"/>
        <v>0.15087999999999999</v>
      </c>
      <c r="X86" t="s">
        <v>52</v>
      </c>
    </row>
    <row r="87" spans="1:24" x14ac:dyDescent="0.3">
      <c r="A87" t="s">
        <v>74</v>
      </c>
      <c r="B87" t="s">
        <v>5</v>
      </c>
      <c r="C87" t="s">
        <v>15</v>
      </c>
      <c r="D87" t="s">
        <v>37</v>
      </c>
      <c r="E87" t="s">
        <v>75</v>
      </c>
      <c r="G87" t="s">
        <v>50</v>
      </c>
      <c r="H87" t="s">
        <v>18</v>
      </c>
      <c r="I87" t="s">
        <v>19</v>
      </c>
      <c r="K87" t="s">
        <v>20</v>
      </c>
      <c r="L87" t="s">
        <v>51</v>
      </c>
      <c r="M87">
        <v>0</v>
      </c>
      <c r="N87">
        <v>0</v>
      </c>
      <c r="O87">
        <v>0</v>
      </c>
      <c r="P87">
        <v>0</v>
      </c>
      <c r="Q87">
        <v>0.16400000000000001</v>
      </c>
      <c r="R87">
        <f t="shared" ca="1" si="1"/>
        <v>0.15908</v>
      </c>
      <c r="S87">
        <f t="shared" ca="1" si="2"/>
        <v>0.15087999999999999</v>
      </c>
      <c r="T87">
        <f t="shared" ca="1" si="0"/>
        <v>0.15087999999999999</v>
      </c>
      <c r="U87">
        <f t="shared" ca="1" si="0"/>
        <v>0.15087999999999999</v>
      </c>
      <c r="V87">
        <f t="shared" ca="1" si="0"/>
        <v>0.15087999999999999</v>
      </c>
      <c r="W87">
        <f t="shared" ca="1" si="0"/>
        <v>0.15087999999999999</v>
      </c>
      <c r="X87" t="s">
        <v>52</v>
      </c>
    </row>
    <row r="88" spans="1:24" x14ac:dyDescent="0.3">
      <c r="A88" t="s">
        <v>76</v>
      </c>
      <c r="B88" t="s">
        <v>5</v>
      </c>
      <c r="C88" t="s">
        <v>15</v>
      </c>
      <c r="D88" t="s">
        <v>37</v>
      </c>
      <c r="E88" t="s">
        <v>77</v>
      </c>
      <c r="G88" t="s">
        <v>50</v>
      </c>
      <c r="H88" t="s">
        <v>18</v>
      </c>
      <c r="I88" t="s">
        <v>19</v>
      </c>
      <c r="K88" t="s">
        <v>20</v>
      </c>
      <c r="L88" t="s">
        <v>51</v>
      </c>
      <c r="M88">
        <v>0</v>
      </c>
      <c r="N88">
        <v>0</v>
      </c>
      <c r="O88">
        <v>0</v>
      </c>
      <c r="P88">
        <v>0</v>
      </c>
      <c r="Q88">
        <v>0.124</v>
      </c>
      <c r="R88">
        <f t="shared" ca="1" si="1"/>
        <v>0.12028</v>
      </c>
      <c r="S88">
        <f t="shared" ca="1" si="2"/>
        <v>0.11408</v>
      </c>
      <c r="T88">
        <f t="shared" ca="1" si="0"/>
        <v>0.11408</v>
      </c>
      <c r="U88">
        <f t="shared" ca="1" si="0"/>
        <v>0.11408</v>
      </c>
      <c r="V88">
        <f t="shared" ca="1" si="0"/>
        <v>0.11408</v>
      </c>
      <c r="W88">
        <f t="shared" ca="1" si="0"/>
        <v>0.11408</v>
      </c>
      <c r="X88" t="s">
        <v>52</v>
      </c>
    </row>
    <row r="89" spans="1:24" x14ac:dyDescent="0.3">
      <c r="A89" t="s">
        <v>78</v>
      </c>
      <c r="B89" t="s">
        <v>5</v>
      </c>
      <c r="C89" t="s">
        <v>15</v>
      </c>
      <c r="D89" t="s">
        <v>37</v>
      </c>
      <c r="E89" t="s">
        <v>79</v>
      </c>
      <c r="G89" t="s">
        <v>50</v>
      </c>
      <c r="H89" t="s">
        <v>18</v>
      </c>
      <c r="I89" t="s">
        <v>19</v>
      </c>
      <c r="K89" t="s">
        <v>20</v>
      </c>
      <c r="L89" t="s">
        <v>51</v>
      </c>
      <c r="M89">
        <v>0</v>
      </c>
      <c r="N89">
        <v>0</v>
      </c>
      <c r="O89">
        <v>0</v>
      </c>
      <c r="P89">
        <v>0</v>
      </c>
      <c r="Q89">
        <v>9.3700000000000006E-2</v>
      </c>
      <c r="R89">
        <f t="shared" ca="1" si="1"/>
        <v>9.0889000000000011E-2</v>
      </c>
      <c r="S89">
        <f t="shared" ca="1" si="2"/>
        <v>8.6204000000000017E-2</v>
      </c>
      <c r="T89">
        <f t="shared" ca="1" si="0"/>
        <v>8.6204000000000017E-2</v>
      </c>
      <c r="U89">
        <f t="shared" ca="1" si="0"/>
        <v>8.6204000000000017E-2</v>
      </c>
      <c r="V89">
        <f t="shared" ca="1" si="0"/>
        <v>8.6204000000000017E-2</v>
      </c>
      <c r="W89">
        <f t="shared" ca="1" si="0"/>
        <v>8.6204000000000017E-2</v>
      </c>
      <c r="X89" t="s">
        <v>52</v>
      </c>
    </row>
    <row r="90" spans="1:24" x14ac:dyDescent="0.3">
      <c r="A90" t="s">
        <v>80</v>
      </c>
      <c r="B90" t="s">
        <v>5</v>
      </c>
      <c r="C90" t="s">
        <v>15</v>
      </c>
      <c r="D90" t="s">
        <v>39</v>
      </c>
      <c r="E90" t="s">
        <v>81</v>
      </c>
      <c r="G90" t="s">
        <v>50</v>
      </c>
      <c r="H90" t="s">
        <v>18</v>
      </c>
      <c r="I90" t="s">
        <v>19</v>
      </c>
      <c r="K90" t="s">
        <v>20</v>
      </c>
      <c r="L90" t="s">
        <v>51</v>
      </c>
      <c r="M90">
        <v>0</v>
      </c>
      <c r="N90">
        <v>0</v>
      </c>
      <c r="O90">
        <v>0</v>
      </c>
      <c r="P90">
        <v>0</v>
      </c>
      <c r="Q90">
        <v>0.05</v>
      </c>
      <c r="R90">
        <f t="shared" ref="R90:R103" ca="1" si="3">Q90-($Q90*0.02)*3</f>
        <v>4.7E-2</v>
      </c>
      <c r="S90">
        <f t="shared" ref="S90:S103" ca="1" si="4">R90-($Q90*0.02)*5</f>
        <v>4.2000000000000003E-2</v>
      </c>
      <c r="T90">
        <f t="shared" ca="1" si="0"/>
        <v>4.2000000000000003E-2</v>
      </c>
      <c r="U90">
        <f t="shared" ca="1" si="0"/>
        <v>4.2000000000000003E-2</v>
      </c>
      <c r="V90">
        <f t="shared" ca="1" si="0"/>
        <v>4.2000000000000003E-2</v>
      </c>
      <c r="W90">
        <f t="shared" ca="1" si="0"/>
        <v>4.2000000000000003E-2</v>
      </c>
      <c r="X90" t="s">
        <v>52</v>
      </c>
    </row>
    <row r="91" spans="1:24" x14ac:dyDescent="0.3">
      <c r="A91" t="s">
        <v>82</v>
      </c>
      <c r="B91" t="s">
        <v>5</v>
      </c>
      <c r="C91" t="s">
        <v>15</v>
      </c>
      <c r="D91" t="s">
        <v>39</v>
      </c>
      <c r="E91" t="s">
        <v>83</v>
      </c>
      <c r="G91" t="s">
        <v>50</v>
      </c>
      <c r="H91" t="s">
        <v>18</v>
      </c>
      <c r="I91" t="s">
        <v>19</v>
      </c>
      <c r="K91" t="s">
        <v>20</v>
      </c>
      <c r="L91" t="s">
        <v>51</v>
      </c>
      <c r="M91">
        <v>0</v>
      </c>
      <c r="N91">
        <v>0</v>
      </c>
      <c r="O91">
        <v>0</v>
      </c>
      <c r="P91">
        <v>0</v>
      </c>
      <c r="Q91">
        <v>0.22500000000000001</v>
      </c>
      <c r="R91">
        <f t="shared" ca="1" si="3"/>
        <v>0.21149999999999999</v>
      </c>
      <c r="S91">
        <f t="shared" ca="1" si="4"/>
        <v>0.189</v>
      </c>
      <c r="T91">
        <f t="shared" ref="T91:W103" ca="1" si="5">S91</f>
        <v>0.189</v>
      </c>
      <c r="U91">
        <f t="shared" ca="1" si="5"/>
        <v>0.189</v>
      </c>
      <c r="V91">
        <f t="shared" ca="1" si="5"/>
        <v>0.189</v>
      </c>
      <c r="W91">
        <f t="shared" ca="1" si="5"/>
        <v>0.189</v>
      </c>
      <c r="X91" t="s">
        <v>52</v>
      </c>
    </row>
    <row r="92" spans="1:24" x14ac:dyDescent="0.3">
      <c r="A92" t="s">
        <v>84</v>
      </c>
      <c r="B92" t="s">
        <v>5</v>
      </c>
      <c r="C92" t="s">
        <v>15</v>
      </c>
      <c r="D92" t="s">
        <v>39</v>
      </c>
      <c r="E92" t="s">
        <v>85</v>
      </c>
      <c r="G92" t="s">
        <v>50</v>
      </c>
      <c r="H92" t="s">
        <v>18</v>
      </c>
      <c r="I92" t="s">
        <v>19</v>
      </c>
      <c r="K92" t="s">
        <v>20</v>
      </c>
      <c r="L92" t="s">
        <v>51</v>
      </c>
      <c r="M92">
        <v>0</v>
      </c>
      <c r="N92">
        <v>0</v>
      </c>
      <c r="O92">
        <v>0</v>
      </c>
      <c r="P92">
        <v>0</v>
      </c>
      <c r="Q92">
        <v>0.11803278688524591</v>
      </c>
      <c r="R92">
        <f t="shared" ca="1" si="3"/>
        <v>0.11095081967213115</v>
      </c>
      <c r="S92">
        <f t="shared" ca="1" si="4"/>
        <v>9.9147540983606564E-2</v>
      </c>
      <c r="T92">
        <f t="shared" ca="1" si="5"/>
        <v>9.9147540983606564E-2</v>
      </c>
      <c r="U92">
        <f t="shared" ca="1" si="5"/>
        <v>9.9147540983606564E-2</v>
      </c>
      <c r="V92">
        <f t="shared" ca="1" si="5"/>
        <v>9.9147540983606564E-2</v>
      </c>
      <c r="W92">
        <f t="shared" ca="1" si="5"/>
        <v>9.9147540983606564E-2</v>
      </c>
      <c r="X92" t="s">
        <v>52</v>
      </c>
    </row>
    <row r="93" spans="1:24" x14ac:dyDescent="0.3">
      <c r="A93" t="s">
        <v>86</v>
      </c>
      <c r="B93" t="s">
        <v>5</v>
      </c>
      <c r="C93" t="s">
        <v>15</v>
      </c>
      <c r="D93" t="s">
        <v>39</v>
      </c>
      <c r="E93" t="s">
        <v>87</v>
      </c>
      <c r="G93" t="s">
        <v>50</v>
      </c>
      <c r="H93" t="s">
        <v>18</v>
      </c>
      <c r="I93" t="s">
        <v>19</v>
      </c>
      <c r="K93" t="s">
        <v>20</v>
      </c>
      <c r="L93" t="s">
        <v>51</v>
      </c>
      <c r="M93">
        <v>0</v>
      </c>
      <c r="N93">
        <v>0</v>
      </c>
      <c r="O93">
        <v>0</v>
      </c>
      <c r="P93">
        <v>0</v>
      </c>
      <c r="Q93">
        <v>0.1078461538461538</v>
      </c>
      <c r="R93">
        <f t="shared" ca="1" si="3"/>
        <v>0.10137538461538458</v>
      </c>
      <c r="S93">
        <f t="shared" ca="1" si="4"/>
        <v>9.0590769230769197E-2</v>
      </c>
      <c r="T93">
        <f t="shared" ca="1" si="5"/>
        <v>9.0590769230769197E-2</v>
      </c>
      <c r="U93">
        <f t="shared" ca="1" si="5"/>
        <v>9.0590769230769197E-2</v>
      </c>
      <c r="V93">
        <f t="shared" ca="1" si="5"/>
        <v>9.0590769230769197E-2</v>
      </c>
      <c r="W93">
        <f t="shared" ca="1" si="5"/>
        <v>9.0590769230769197E-2</v>
      </c>
      <c r="X93" t="s">
        <v>52</v>
      </c>
    </row>
    <row r="94" spans="1:24" x14ac:dyDescent="0.3">
      <c r="A94" t="s">
        <v>88</v>
      </c>
      <c r="B94" t="s">
        <v>5</v>
      </c>
      <c r="C94" t="s">
        <v>15</v>
      </c>
      <c r="D94" t="s">
        <v>41</v>
      </c>
      <c r="E94" t="s">
        <v>89</v>
      </c>
      <c r="G94" t="s">
        <v>50</v>
      </c>
      <c r="H94" t="s">
        <v>18</v>
      </c>
      <c r="I94" t="s">
        <v>19</v>
      </c>
      <c r="K94" t="s">
        <v>20</v>
      </c>
      <c r="L94" t="s">
        <v>51</v>
      </c>
      <c r="M94">
        <v>0</v>
      </c>
      <c r="N94">
        <v>0</v>
      </c>
      <c r="O94">
        <v>0</v>
      </c>
      <c r="P94">
        <v>0</v>
      </c>
      <c r="Q94">
        <v>9.26</v>
      </c>
      <c r="R94">
        <f t="shared" ca="1" si="3"/>
        <v>8.7043999999999997</v>
      </c>
      <c r="S94">
        <f t="shared" ca="1" si="4"/>
        <v>7.7783999999999995</v>
      </c>
      <c r="T94">
        <f t="shared" ca="1" si="5"/>
        <v>7.7783999999999995</v>
      </c>
      <c r="U94">
        <f t="shared" ca="1" si="5"/>
        <v>7.7783999999999995</v>
      </c>
      <c r="V94">
        <f t="shared" ca="1" si="5"/>
        <v>7.7783999999999995</v>
      </c>
      <c r="W94">
        <f t="shared" ca="1" si="5"/>
        <v>7.7783999999999995</v>
      </c>
      <c r="X94" t="s">
        <v>52</v>
      </c>
    </row>
    <row r="95" spans="1:24" x14ac:dyDescent="0.3">
      <c r="A95" t="s">
        <v>90</v>
      </c>
      <c r="B95" t="s">
        <v>5</v>
      </c>
      <c r="C95" t="s">
        <v>15</v>
      </c>
      <c r="D95" t="s">
        <v>41</v>
      </c>
      <c r="E95" t="s">
        <v>91</v>
      </c>
      <c r="G95" t="s">
        <v>50</v>
      </c>
      <c r="H95" t="s">
        <v>18</v>
      </c>
      <c r="I95" t="s">
        <v>19</v>
      </c>
      <c r="K95" t="s">
        <v>20</v>
      </c>
      <c r="L95" t="s">
        <v>51</v>
      </c>
      <c r="M95">
        <v>0</v>
      </c>
      <c r="N95">
        <v>0</v>
      </c>
      <c r="O95">
        <v>0</v>
      </c>
      <c r="P95">
        <v>0</v>
      </c>
      <c r="Q95">
        <v>0.23200000000000001</v>
      </c>
      <c r="R95">
        <f t="shared" ca="1" si="3"/>
        <v>0.21808000000000002</v>
      </c>
      <c r="S95">
        <f t="shared" ca="1" si="4"/>
        <v>0.19488000000000003</v>
      </c>
      <c r="T95">
        <f t="shared" ca="1" si="5"/>
        <v>0.19488000000000003</v>
      </c>
      <c r="U95">
        <f t="shared" ca="1" si="5"/>
        <v>0.19488000000000003</v>
      </c>
      <c r="V95">
        <f t="shared" ca="1" si="5"/>
        <v>0.19488000000000003</v>
      </c>
      <c r="W95">
        <f t="shared" ca="1" si="5"/>
        <v>0.19488000000000003</v>
      </c>
      <c r="X95" t="s">
        <v>52</v>
      </c>
    </row>
    <row r="96" spans="1:24" x14ac:dyDescent="0.3">
      <c r="A96" t="s">
        <v>92</v>
      </c>
      <c r="B96" t="s">
        <v>5</v>
      </c>
      <c r="C96" t="s">
        <v>15</v>
      </c>
      <c r="D96" t="s">
        <v>41</v>
      </c>
      <c r="E96" t="s">
        <v>93</v>
      </c>
      <c r="G96" t="s">
        <v>50</v>
      </c>
      <c r="H96" t="s">
        <v>18</v>
      </c>
      <c r="I96" t="s">
        <v>19</v>
      </c>
      <c r="K96" t="s">
        <v>20</v>
      </c>
      <c r="L96" t="s">
        <v>51</v>
      </c>
      <c r="M96">
        <v>0</v>
      </c>
      <c r="N96">
        <v>0</v>
      </c>
      <c r="O96">
        <v>0</v>
      </c>
      <c r="P96">
        <v>0</v>
      </c>
      <c r="Q96">
        <v>3.8199999999999998E-2</v>
      </c>
      <c r="R96">
        <f t="shared" ca="1" si="3"/>
        <v>3.5907999999999995E-2</v>
      </c>
      <c r="S96">
        <f t="shared" ca="1" si="4"/>
        <v>3.2087999999999998E-2</v>
      </c>
      <c r="T96">
        <f t="shared" ca="1" si="5"/>
        <v>3.2087999999999998E-2</v>
      </c>
      <c r="U96">
        <f t="shared" ca="1" si="5"/>
        <v>3.2087999999999998E-2</v>
      </c>
      <c r="V96">
        <f t="shared" ca="1" si="5"/>
        <v>3.2087999999999998E-2</v>
      </c>
      <c r="W96">
        <f t="shared" ca="1" si="5"/>
        <v>3.2087999999999998E-2</v>
      </c>
      <c r="X96" t="s">
        <v>52</v>
      </c>
    </row>
    <row r="97" spans="1:24" x14ac:dyDescent="0.3">
      <c r="A97" t="s">
        <v>94</v>
      </c>
      <c r="B97" t="s">
        <v>5</v>
      </c>
      <c r="C97" t="s">
        <v>15</v>
      </c>
      <c r="D97" t="s">
        <v>43</v>
      </c>
      <c r="E97" t="s">
        <v>95</v>
      </c>
      <c r="G97" t="s">
        <v>50</v>
      </c>
      <c r="H97" t="s">
        <v>18</v>
      </c>
      <c r="I97" t="s">
        <v>19</v>
      </c>
      <c r="K97" t="s">
        <v>20</v>
      </c>
      <c r="L97" t="s">
        <v>96</v>
      </c>
      <c r="M97">
        <v>0</v>
      </c>
      <c r="N97">
        <v>0</v>
      </c>
      <c r="O97">
        <v>0</v>
      </c>
      <c r="P97">
        <v>0</v>
      </c>
      <c r="Q97">
        <v>0.106</v>
      </c>
      <c r="R97">
        <f t="shared" ca="1" si="3"/>
        <v>9.9639999999999992E-2</v>
      </c>
      <c r="S97">
        <f t="shared" ca="1" si="4"/>
        <v>8.9039999999999994E-2</v>
      </c>
      <c r="T97">
        <f t="shared" ca="1" si="5"/>
        <v>8.9039999999999994E-2</v>
      </c>
      <c r="U97">
        <f t="shared" ca="1" si="5"/>
        <v>8.9039999999999994E-2</v>
      </c>
      <c r="V97">
        <f t="shared" ca="1" si="5"/>
        <v>8.9039999999999994E-2</v>
      </c>
      <c r="W97">
        <f t="shared" ca="1" si="5"/>
        <v>8.9039999999999994E-2</v>
      </c>
      <c r="X97" t="s">
        <v>52</v>
      </c>
    </row>
    <row r="98" spans="1:24" x14ac:dyDescent="0.3">
      <c r="A98" t="s">
        <v>97</v>
      </c>
      <c r="B98" t="s">
        <v>5</v>
      </c>
      <c r="C98" t="s">
        <v>15</v>
      </c>
      <c r="D98" t="s">
        <v>43</v>
      </c>
      <c r="E98" t="s">
        <v>98</v>
      </c>
      <c r="G98" t="s">
        <v>50</v>
      </c>
      <c r="H98" t="s">
        <v>18</v>
      </c>
      <c r="I98" t="s">
        <v>19</v>
      </c>
      <c r="K98" t="s">
        <v>20</v>
      </c>
      <c r="L98" t="s">
        <v>96</v>
      </c>
      <c r="M98">
        <v>0</v>
      </c>
      <c r="N98">
        <v>0</v>
      </c>
      <c r="O98">
        <v>0</v>
      </c>
      <c r="P98">
        <v>0</v>
      </c>
      <c r="Q98">
        <v>4.1461499999999996</v>
      </c>
      <c r="R98">
        <f t="shared" ca="1" si="3"/>
        <v>3.8973809999999998</v>
      </c>
      <c r="S98">
        <f t="shared" ca="1" si="4"/>
        <v>3.4827659999999998</v>
      </c>
      <c r="T98">
        <f t="shared" ca="1" si="5"/>
        <v>3.4827659999999998</v>
      </c>
      <c r="U98">
        <f t="shared" ca="1" si="5"/>
        <v>3.4827659999999998</v>
      </c>
      <c r="V98">
        <f t="shared" ca="1" si="5"/>
        <v>3.4827659999999998</v>
      </c>
      <c r="W98">
        <f t="shared" ca="1" si="5"/>
        <v>3.4827659999999998</v>
      </c>
      <c r="X98" t="s">
        <v>52</v>
      </c>
    </row>
    <row r="99" spans="1:24" x14ac:dyDescent="0.3">
      <c r="A99" t="s">
        <v>99</v>
      </c>
      <c r="B99" t="s">
        <v>5</v>
      </c>
      <c r="C99" t="s">
        <v>15</v>
      </c>
      <c r="D99" t="s">
        <v>45</v>
      </c>
      <c r="E99" t="s">
        <v>100</v>
      </c>
      <c r="G99" t="s">
        <v>50</v>
      </c>
      <c r="H99" t="s">
        <v>18</v>
      </c>
      <c r="I99" t="s">
        <v>19</v>
      </c>
      <c r="K99" t="s">
        <v>20</v>
      </c>
      <c r="L99" t="s">
        <v>101</v>
      </c>
      <c r="M99">
        <v>0</v>
      </c>
      <c r="N99">
        <v>0</v>
      </c>
      <c r="O99">
        <v>0</v>
      </c>
      <c r="P99">
        <v>0</v>
      </c>
      <c r="Q99">
        <v>0.34216570575655109</v>
      </c>
      <c r="R99">
        <f t="shared" ca="1" si="3"/>
        <v>0.32163576341115802</v>
      </c>
      <c r="S99">
        <f t="shared" ca="1" si="4"/>
        <v>0.28741919283550288</v>
      </c>
      <c r="T99">
        <f t="shared" ca="1" si="5"/>
        <v>0.28741919283550288</v>
      </c>
      <c r="U99">
        <f t="shared" ca="1" si="5"/>
        <v>0.28741919283550288</v>
      </c>
      <c r="V99">
        <f t="shared" ca="1" si="5"/>
        <v>0.28741919283550288</v>
      </c>
      <c r="W99">
        <f t="shared" ca="1" si="5"/>
        <v>0.28741919283550288</v>
      </c>
      <c r="X99" t="s">
        <v>52</v>
      </c>
    </row>
    <row r="100" spans="1:24" x14ac:dyDescent="0.3">
      <c r="A100" t="s">
        <v>102</v>
      </c>
      <c r="B100" t="s">
        <v>5</v>
      </c>
      <c r="C100" t="s">
        <v>15</v>
      </c>
      <c r="D100" t="s">
        <v>45</v>
      </c>
      <c r="E100" t="s">
        <v>103</v>
      </c>
      <c r="G100" t="s">
        <v>50</v>
      </c>
      <c r="H100" t="s">
        <v>18</v>
      </c>
      <c r="I100" t="s">
        <v>19</v>
      </c>
      <c r="K100" t="s">
        <v>20</v>
      </c>
      <c r="L100" t="s">
        <v>101</v>
      </c>
      <c r="M100">
        <v>0</v>
      </c>
      <c r="N100">
        <v>0</v>
      </c>
      <c r="O100">
        <v>0</v>
      </c>
      <c r="P100">
        <v>0</v>
      </c>
      <c r="Q100">
        <v>0.1000079912045802</v>
      </c>
      <c r="R100">
        <f t="shared" ca="1" si="3"/>
        <v>9.4007511732305399E-2</v>
      </c>
      <c r="S100">
        <f t="shared" ca="1" si="4"/>
        <v>8.4006712611847376E-2</v>
      </c>
      <c r="T100">
        <f t="shared" ca="1" si="5"/>
        <v>8.4006712611847376E-2</v>
      </c>
      <c r="U100">
        <f t="shared" ca="1" si="5"/>
        <v>8.4006712611847376E-2</v>
      </c>
      <c r="V100">
        <f t="shared" ca="1" si="5"/>
        <v>8.4006712611847376E-2</v>
      </c>
      <c r="W100">
        <f t="shared" ca="1" si="5"/>
        <v>8.4006712611847376E-2</v>
      </c>
      <c r="X100" t="s">
        <v>52</v>
      </c>
    </row>
    <row r="101" spans="1:24" x14ac:dyDescent="0.3">
      <c r="A101" t="s">
        <v>104</v>
      </c>
      <c r="B101" t="s">
        <v>5</v>
      </c>
      <c r="C101" t="s">
        <v>15</v>
      </c>
      <c r="D101" t="s">
        <v>47</v>
      </c>
      <c r="E101" t="s">
        <v>35</v>
      </c>
      <c r="G101" t="s">
        <v>50</v>
      </c>
      <c r="H101" t="s">
        <v>18</v>
      </c>
      <c r="I101" t="s">
        <v>19</v>
      </c>
      <c r="K101" t="s">
        <v>20</v>
      </c>
      <c r="L101" t="s">
        <v>65</v>
      </c>
      <c r="M101">
        <v>0</v>
      </c>
      <c r="N101">
        <v>0</v>
      </c>
      <c r="O101">
        <v>0</v>
      </c>
      <c r="P101">
        <v>0</v>
      </c>
      <c r="Q101">
        <v>6.9344608879492592E-2</v>
      </c>
      <c r="R101">
        <f t="shared" ca="1" si="3"/>
        <v>6.5183932346723039E-2</v>
      </c>
      <c r="S101">
        <f t="shared" ca="1" si="4"/>
        <v>5.824947145877378E-2</v>
      </c>
      <c r="T101">
        <f t="shared" ca="1" si="5"/>
        <v>5.824947145877378E-2</v>
      </c>
      <c r="U101">
        <f t="shared" ca="1" si="5"/>
        <v>5.824947145877378E-2</v>
      </c>
      <c r="V101">
        <f t="shared" ca="1" si="5"/>
        <v>5.824947145877378E-2</v>
      </c>
      <c r="W101">
        <f t="shared" ca="1" si="5"/>
        <v>5.824947145877378E-2</v>
      </c>
      <c r="X101" t="s">
        <v>52</v>
      </c>
    </row>
    <row r="102" spans="1:24" x14ac:dyDescent="0.3">
      <c r="A102" t="s">
        <v>105</v>
      </c>
      <c r="B102" t="s">
        <v>5</v>
      </c>
      <c r="C102" t="s">
        <v>15</v>
      </c>
      <c r="D102" t="s">
        <v>47</v>
      </c>
      <c r="E102" t="s">
        <v>106</v>
      </c>
      <c r="G102" t="s">
        <v>50</v>
      </c>
      <c r="H102" t="s">
        <v>18</v>
      </c>
      <c r="I102" t="s">
        <v>19</v>
      </c>
      <c r="K102" t="s">
        <v>20</v>
      </c>
      <c r="L102" t="s">
        <v>101</v>
      </c>
      <c r="M102">
        <v>0</v>
      </c>
      <c r="N102">
        <v>0</v>
      </c>
      <c r="O102">
        <v>0</v>
      </c>
      <c r="P102">
        <v>0</v>
      </c>
      <c r="Q102">
        <v>2.6417205223851371E-2</v>
      </c>
      <c r="R102">
        <f t="shared" ca="1" si="3"/>
        <v>2.4832172910420287E-2</v>
      </c>
      <c r="S102">
        <f t="shared" ca="1" si="4"/>
        <v>2.2190452388035152E-2</v>
      </c>
      <c r="T102">
        <f t="shared" ca="1" si="5"/>
        <v>2.2190452388035152E-2</v>
      </c>
      <c r="U102">
        <f t="shared" ca="1" si="5"/>
        <v>2.2190452388035152E-2</v>
      </c>
      <c r="V102">
        <f t="shared" ca="1" si="5"/>
        <v>2.2190452388035152E-2</v>
      </c>
      <c r="W102">
        <f t="shared" ca="1" si="5"/>
        <v>2.2190452388035152E-2</v>
      </c>
      <c r="X102" t="s">
        <v>52</v>
      </c>
    </row>
    <row r="103" spans="1:24" x14ac:dyDescent="0.3">
      <c r="A103" t="s">
        <v>107</v>
      </c>
      <c r="B103" t="s">
        <v>5</v>
      </c>
      <c r="C103" t="s">
        <v>15</v>
      </c>
      <c r="D103" t="s">
        <v>47</v>
      </c>
      <c r="E103" t="s">
        <v>108</v>
      </c>
      <c r="G103" t="s">
        <v>50</v>
      </c>
      <c r="H103" t="s">
        <v>18</v>
      </c>
      <c r="I103" t="s">
        <v>19</v>
      </c>
      <c r="K103" t="s">
        <v>20</v>
      </c>
      <c r="L103" t="s">
        <v>101</v>
      </c>
      <c r="M103">
        <v>0</v>
      </c>
      <c r="N103">
        <v>0</v>
      </c>
      <c r="O103">
        <v>0</v>
      </c>
      <c r="P103">
        <v>0</v>
      </c>
      <c r="Q103">
        <v>0.29499999999999998</v>
      </c>
      <c r="R103">
        <f t="shared" ca="1" si="3"/>
        <v>0.27729999999999999</v>
      </c>
      <c r="S103">
        <f t="shared" ca="1" si="4"/>
        <v>0.24779999999999999</v>
      </c>
      <c r="T103">
        <f t="shared" ca="1" si="5"/>
        <v>0.24779999999999999</v>
      </c>
      <c r="U103">
        <f t="shared" ca="1" si="5"/>
        <v>0.24779999999999999</v>
      </c>
      <c r="V103">
        <f t="shared" ca="1" si="5"/>
        <v>0.24779999999999999</v>
      </c>
      <c r="W103">
        <f t="shared" ca="1" si="5"/>
        <v>0.24779999999999999</v>
      </c>
      <c r="X103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2025-11-20T22:53:09Z</dcterms:created>
  <dcterms:modified xsi:type="dcterms:W3CDTF">2025-11-20T22:53:09Z</dcterms:modified>
</cp:coreProperties>
</file>