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11"/>
  <sheetViews>
    <sheetView tabSelected="1" workbookViewId="0">
      <selection activeCell="A1" sqref="A1:X11"/>
    </sheetView>
  </sheetViews>
  <sheetFormatPr baseColWidth="8" defaultRowHeight="14.4"/>
  <sheetData>
    <row r="1">
      <c r="A1" t="inlineStr">
        <is>
          <t>CIMS.CAN.QC.Mining.Steam</t>
        </is>
      </c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CIMS.CAN.QC.Fuel Blends.Gasoline_Transportation</t>
        </is>
      </c>
      <c r="B3" t="inlineStr">
        <is>
          <t>Service</t>
        </is>
      </c>
      <c r="C3" t="inlineStr">
        <is>
          <t>QC</t>
        </is>
      </c>
      <c r="E3" t="inlineStr">
        <is>
          <t>Gasoline_Transportation</t>
        </is>
      </c>
      <c r="G3" t="inlineStr">
        <is>
          <t>market_share_class_min</t>
        </is>
      </c>
      <c r="H3" t="inlineStr">
        <is>
          <t>Gasoline_Transportation</t>
        </is>
      </c>
      <c r="L3" t="inlineStr">
        <is>
          <t>%</t>
        </is>
      </c>
      <c r="M3" t="n">
        <v>0</v>
      </c>
      <c r="N3" t="n">
        <v>0</v>
      </c>
      <c r="O3" t="n">
        <v>0</v>
      </c>
      <c r="P3">
        <f>0.67*0.05/(0.67*0.05+1*0.95)</f>
        <v/>
      </c>
      <c r="Q3">
        <f>P3</f>
        <v/>
      </c>
      <c r="R3">
        <f>0.67*0.12/(0.67*0.12+1*0.88)</f>
        <v/>
      </c>
      <c r="S3">
        <f>0.67*0.15/(0.67*0.15+1*0.85)</f>
        <v/>
      </c>
      <c r="T3">
        <f>S3</f>
        <v/>
      </c>
      <c r="U3">
        <f>T3</f>
        <v/>
      </c>
      <c r="V3">
        <f>U3</f>
        <v/>
      </c>
      <c r="W3">
        <f>V3</f>
        <v/>
      </c>
      <c r="X3" t="inlineStr">
        <is>
          <t>https://www.legisquebec.gouv.qc.ca/en/document/cr/P-30.01,%20r.%200.1</t>
        </is>
      </c>
    </row>
    <row r="4">
      <c r="A4" t="inlineStr">
        <is>
          <t>CIMS.CAN.QC.Fuel Blends.Gasoline_Transportation</t>
        </is>
      </c>
      <c r="B4" t="inlineStr">
        <is>
          <t>Service</t>
        </is>
      </c>
      <c r="C4" t="inlineStr">
        <is>
          <t>QC</t>
        </is>
      </c>
      <c r="E4" t="inlineStr">
        <is>
          <t>Gasoline_Transportation</t>
        </is>
      </c>
      <c r="F4" t="inlineStr">
        <is>
          <t>Ethanol</t>
        </is>
      </c>
      <c r="G4" t="inlineStr">
        <is>
          <t>market_share_class</t>
        </is>
      </c>
      <c r="H4" t="inlineStr">
        <is>
          <t>Gasoline_Transportation</t>
        </is>
      </c>
    </row>
    <row r="5">
      <c r="A5" t="inlineStr">
        <is>
          <t>CIMS.CAN.QC.Fuel Blends.Gasoline_Transportation</t>
        </is>
      </c>
      <c r="B5" t="inlineStr">
        <is>
          <t>Service</t>
        </is>
      </c>
      <c r="C5" t="inlineStr">
        <is>
          <t>QC</t>
        </is>
      </c>
      <c r="E5" t="inlineStr">
        <is>
          <t>Gasoline_Transportation</t>
        </is>
      </c>
      <c r="F5" t="inlineStr">
        <is>
          <t>Renewable Gasoline</t>
        </is>
      </c>
      <c r="G5" t="inlineStr">
        <is>
          <t>market_share_class</t>
        </is>
      </c>
      <c r="H5" t="inlineStr">
        <is>
          <t>Gasoline_Transportation</t>
        </is>
      </c>
    </row>
    <row r="6">
      <c r="A6" t="inlineStr">
        <is>
          <t>CIMS.CAN.QC.Fuel Blends.Diesel_Transportation</t>
        </is>
      </c>
      <c r="B6" t="inlineStr">
        <is>
          <t>Service</t>
        </is>
      </c>
      <c r="C6" t="inlineStr">
        <is>
          <t>QC</t>
        </is>
      </c>
      <c r="E6" t="inlineStr">
        <is>
          <t>Diesel_Transportation</t>
        </is>
      </c>
      <c r="G6" t="inlineStr">
        <is>
          <t>market_share_class_min</t>
        </is>
      </c>
      <c r="H6" t="inlineStr">
        <is>
          <t>Diesel_Transportation</t>
        </is>
      </c>
      <c r="L6" t="inlineStr">
        <is>
          <t>%</t>
        </is>
      </c>
      <c r="M6" t="n">
        <v>0</v>
      </c>
      <c r="N6" t="n">
        <v>0</v>
      </c>
      <c r="O6" t="n">
        <v>0</v>
      </c>
      <c r="P6">
        <f>0.87*0.02/(0.87*0.02+1*0.98)</f>
        <v/>
      </c>
      <c r="Q6">
        <f>P6</f>
        <v/>
      </c>
      <c r="R6">
        <f>0.87*0.05/(0.87*0.05+1*0.95)</f>
        <v/>
      </c>
      <c r="S6">
        <f>0.87*0.1/(0.87*0.1+1*0.9)</f>
        <v/>
      </c>
      <c r="T6">
        <f>S6</f>
        <v/>
      </c>
      <c r="U6">
        <f>T6</f>
        <v/>
      </c>
      <c r="V6">
        <f>U6</f>
        <v/>
      </c>
      <c r="W6">
        <f>V6</f>
        <v/>
      </c>
      <c r="X6" t="inlineStr">
        <is>
          <t>https://www.legisquebec.gouv.qc.ca/en/document/cr/P-30.01,%20r.%200.1</t>
        </is>
      </c>
    </row>
    <row r="7">
      <c r="A7" t="inlineStr">
        <is>
          <t>CIMS.CAN.QC.Fuel Blends.Diesel_Transportation</t>
        </is>
      </c>
      <c r="B7" t="inlineStr">
        <is>
          <t>Service</t>
        </is>
      </c>
      <c r="C7" t="inlineStr">
        <is>
          <t>QC</t>
        </is>
      </c>
      <c r="E7" t="inlineStr">
        <is>
          <t>Diesel_Transportation</t>
        </is>
      </c>
      <c r="F7" t="inlineStr">
        <is>
          <t>Biodiesel</t>
        </is>
      </c>
      <c r="G7" t="inlineStr">
        <is>
          <t>market_share_class</t>
        </is>
      </c>
      <c r="H7" t="inlineStr">
        <is>
          <t>Diesel_Transportation</t>
        </is>
      </c>
    </row>
    <row r="8">
      <c r="A8" t="inlineStr">
        <is>
          <t>CIMS.CAN.QC.Fuel Blends.Diesel_Transportation</t>
        </is>
      </c>
      <c r="B8" t="inlineStr">
        <is>
          <t>Service</t>
        </is>
      </c>
      <c r="C8" t="inlineStr">
        <is>
          <t>QC</t>
        </is>
      </c>
      <c r="E8" t="inlineStr">
        <is>
          <t>Diesel_Transportation</t>
        </is>
      </c>
      <c r="F8" t="inlineStr">
        <is>
          <t>Renewable Diesel</t>
        </is>
      </c>
      <c r="G8" t="inlineStr">
        <is>
          <t>market_share_class</t>
        </is>
      </c>
      <c r="H8" t="inlineStr">
        <is>
          <t>Diesel_Transportation</t>
        </is>
      </c>
    </row>
    <row r="9">
      <c r="A9" t="inlineStr">
        <is>
          <t>CIMS.CAN.QC.Fuel Blends.Diesel_Industrial</t>
        </is>
      </c>
      <c r="B9" t="inlineStr">
        <is>
          <t>Service</t>
        </is>
      </c>
      <c r="C9" t="inlineStr">
        <is>
          <t>QC</t>
        </is>
      </c>
      <c r="E9" t="inlineStr">
        <is>
          <t>Diesel_Industrial</t>
        </is>
      </c>
      <c r="G9" t="inlineStr">
        <is>
          <t>market_share_class_min</t>
        </is>
      </c>
      <c r="H9" t="inlineStr">
        <is>
          <t>Diesel_Industrial</t>
        </is>
      </c>
      <c r="L9" t="inlineStr">
        <is>
          <t>%</t>
        </is>
      </c>
      <c r="M9" t="n">
        <v>0</v>
      </c>
      <c r="N9" t="n">
        <v>0</v>
      </c>
      <c r="O9" t="n">
        <v>0</v>
      </c>
      <c r="P9">
        <f>0.87*0.02/(0.87*0.02+1*0.98)</f>
        <v/>
      </c>
      <c r="Q9">
        <f>P9</f>
        <v/>
      </c>
      <c r="R9">
        <f>0.87*0.05/(0.87*0.05+1*0.95)</f>
        <v/>
      </c>
      <c r="S9">
        <f>0.87*0.1/(0.87*0.1+1*0.9)</f>
        <v/>
      </c>
      <c r="T9">
        <f>S9</f>
        <v/>
      </c>
      <c r="U9">
        <f>T9</f>
        <v/>
      </c>
      <c r="V9">
        <f>U9</f>
        <v/>
      </c>
      <c r="W9">
        <f>V9</f>
        <v/>
      </c>
      <c r="X9" t="inlineStr">
        <is>
          <t>https://www.legisquebec.gouv.qc.ca/en/document/cr/P-30.01,%20r.%200.1</t>
        </is>
      </c>
    </row>
    <row r="10">
      <c r="A10" t="inlineStr">
        <is>
          <t>CIMS.CAN.QC.Fuel Blends.Diesel_Industrial</t>
        </is>
      </c>
      <c r="B10" t="inlineStr">
        <is>
          <t>Service</t>
        </is>
      </c>
      <c r="C10" t="inlineStr">
        <is>
          <t>QC</t>
        </is>
      </c>
      <c r="E10" t="inlineStr">
        <is>
          <t>Diesel_Industrial</t>
        </is>
      </c>
      <c r="F10" t="inlineStr">
        <is>
          <t>Biodiesel</t>
        </is>
      </c>
      <c r="G10" t="inlineStr">
        <is>
          <t>market_share_class</t>
        </is>
      </c>
      <c r="H10" t="inlineStr">
        <is>
          <t>Diesel_Industrial</t>
        </is>
      </c>
    </row>
    <row r="11">
      <c r="A11" t="inlineStr">
        <is>
          <t>CIMS.CAN.QC.Fuel Blends.Diesel_Industrial</t>
        </is>
      </c>
      <c r="B11" t="inlineStr">
        <is>
          <t>Service</t>
        </is>
      </c>
      <c r="C11" t="inlineStr">
        <is>
          <t>QC</t>
        </is>
      </c>
      <c r="E11" t="inlineStr">
        <is>
          <t>Diesel_Industrial</t>
        </is>
      </c>
      <c r="F11" t="inlineStr">
        <is>
          <t>Renewable Diesel</t>
        </is>
      </c>
      <c r="G11" t="inlineStr">
        <is>
          <t>market_share_class</t>
        </is>
      </c>
      <c r="H11" t="inlineStr">
        <is>
          <t>Diesel_Industrial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2025-04-14T23:01:02Z</dcterms:created>
  <dcterms:modified xsi:type="dcterms:W3CDTF">2025-09-19T06:43:27Z</dcterms:modified>
  <cp:lastModifiedBy>Bradford Griffin</cp:lastModifiedBy>
</cp:coreProperties>
</file>