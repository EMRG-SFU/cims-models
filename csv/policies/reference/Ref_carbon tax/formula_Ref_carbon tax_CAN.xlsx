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CIMS\test\cims-models\csv\policies\reference\Ref_carbon tax\"/>
    </mc:Choice>
  </mc:AlternateContent>
  <xr:revisionPtr revIDLastSave="0" documentId="13_ncr:1_{DEDEE85E-3073-46DD-B77C-DA51D14FD8E6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</sheets>
  <externalReferences>
    <externalReference r:id="rId2"/>
  </externalReferences>
  <calcPr calcId="191029" iterate="1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1" l="1" a="1"/>
  <c r="W3" i="1" s="1"/>
  <c r="V3" i="1" a="1"/>
  <c r="V3" i="1" s="1"/>
  <c r="U3" i="1" a="1"/>
  <c r="U3" i="1" s="1"/>
  <c r="T3" i="1" a="1"/>
  <c r="T3" i="1" s="1"/>
  <c r="S3" i="1" a="1"/>
  <c r="S3" i="1" s="1"/>
  <c r="R3" i="1" a="1"/>
  <c r="R3" i="1" s="1"/>
  <c r="Q3" i="1" a="1"/>
  <c r="Q3" i="1" s="1"/>
  <c r="P3" i="1"/>
  <c r="P3" i="1" a="1"/>
  <c r="O3" i="1" a="1"/>
  <c r="O3" i="1" s="1"/>
  <c r="N3" i="1" a="1"/>
  <c r="N3" i="1" s="1"/>
  <c r="M3" i="1" a="1"/>
  <c r="M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<sst xmlns="http://schemas.openxmlformats.org/spreadsheetml/2006/main" count="22" uniqueCount="21">
  <si>
    <t>&lt;-- Navigate by typing to search</t>
  </si>
  <si>
    <t>Branch</t>
  </si>
  <si>
    <t>Type</t>
  </si>
  <si>
    <t>Region</t>
  </si>
  <si>
    <t>Sector</t>
  </si>
  <si>
    <t>Service</t>
  </si>
  <si>
    <t>Technology</t>
  </si>
  <si>
    <t>Parameter</t>
  </si>
  <si>
    <t>Context</t>
  </si>
  <si>
    <t>Sub_Context</t>
  </si>
  <si>
    <t>Target</t>
  </si>
  <si>
    <t>Source</t>
  </si>
  <si>
    <t>Unit</t>
  </si>
  <si>
    <t>Comments</t>
  </si>
  <si>
    <t>CIMS.CAN</t>
  </si>
  <si>
    <t>CAN</t>
  </si>
  <si>
    <t>tax</t>
  </si>
  <si>
    <t>CO2</t>
  </si>
  <si>
    <t>Combustion</t>
  </si>
  <si>
    <t>Govt of Canada</t>
  </si>
  <si>
    <t>$/tCO2e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</si>
</sst>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CIMS\test\cims-models\sources\macro\macro%20inputs.xlsx" TargetMode="External"/><Relationship Id="rId1" Type="http://schemas.openxmlformats.org/officeDocument/2006/relationships/externalLinkPath" Target="/CIMS/test/cims-models/sources/macro/macro%20inpu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</sheetNames>
    <definedNames>
      <definedName name="region_CIMS" refersTo="='Control'!$B$19:$B$34"/>
    </definedNames>
    <sheetDataSet>
      <sheetData sheetId="0">
        <row r="19">
          <cell r="B19" t="str">
            <v>CAN</v>
          </cell>
        </row>
        <row r="20">
          <cell r="B20" t="str">
            <v>BC</v>
          </cell>
        </row>
        <row r="21">
          <cell r="B21" t="str">
            <v>AB</v>
          </cell>
        </row>
        <row r="22">
          <cell r="B22" t="str">
            <v>SK</v>
          </cell>
        </row>
        <row r="23">
          <cell r="B23" t="str">
            <v>MB</v>
          </cell>
        </row>
        <row r="24">
          <cell r="B24" t="str">
            <v>ON</v>
          </cell>
        </row>
        <row r="25">
          <cell r="B25" t="str">
            <v>QC</v>
          </cell>
        </row>
        <row r="26">
          <cell r="B26" t="str">
            <v>NB</v>
          </cell>
        </row>
        <row r="27">
          <cell r="B27" t="str">
            <v>NS</v>
          </cell>
        </row>
        <row r="28">
          <cell r="B28" t="str">
            <v>PE</v>
          </cell>
        </row>
        <row r="29">
          <cell r="B29" t="str">
            <v>NL</v>
          </cell>
        </row>
        <row r="30">
          <cell r="B30" t="str">
            <v>YT</v>
          </cell>
        </row>
        <row r="31">
          <cell r="B31" t="str">
            <v>NT</v>
          </cell>
        </row>
        <row r="32">
          <cell r="B32" t="str">
            <v>NU</v>
          </cell>
        </row>
        <row r="33">
          <cell r="B33" t="str">
            <v>AT</v>
          </cell>
        </row>
        <row r="34">
          <cell r="B34" t="str">
            <v>TR</v>
          </cell>
        </row>
      </sheetData>
      <sheetData sheetId="1">
        <row r="22">
          <cell r="B22" t="str">
            <v>Population forecast</v>
          </cell>
        </row>
      </sheetData>
      <sheetData sheetId="2"/>
      <sheetData sheetId="3">
        <row r="4"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30</v>
          </cell>
          <cell r="Q4">
            <v>68.341643330825832</v>
          </cell>
          <cell r="R4">
            <v>100.32134973994673</v>
          </cell>
          <cell r="S4">
            <v>82.639006798408047</v>
          </cell>
          <cell r="T4">
            <v>67.75892127087694</v>
          </cell>
          <cell r="U4">
            <v>55.57940835560332</v>
          </cell>
          <cell r="V4">
            <v>45.789061745779293</v>
          </cell>
        </row>
        <row r="5">
          <cell r="L5">
            <v>0</v>
          </cell>
          <cell r="M5">
            <v>0</v>
          </cell>
          <cell r="N5">
            <v>26.526018458051627</v>
          </cell>
          <cell r="O5">
            <v>33.304393348006798</v>
          </cell>
          <cell r="P5">
            <v>40</v>
          </cell>
          <cell r="Q5">
            <v>68.341643330825832</v>
          </cell>
          <cell r="R5">
            <v>100.32134973994673</v>
          </cell>
          <cell r="S5">
            <v>82.639006798408047</v>
          </cell>
          <cell r="T5">
            <v>67.75892127087694</v>
          </cell>
          <cell r="U5">
            <v>55.57940835560332</v>
          </cell>
          <cell r="V5">
            <v>45.789061745779293</v>
          </cell>
        </row>
        <row r="6"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30</v>
          </cell>
          <cell r="Q6">
            <v>68.341643330825832</v>
          </cell>
          <cell r="R6">
            <v>100.32134973994673</v>
          </cell>
          <cell r="S6">
            <v>82.639006798408047</v>
          </cell>
          <cell r="T6">
            <v>67.75892127087694</v>
          </cell>
          <cell r="U6">
            <v>55.57940835560332</v>
          </cell>
          <cell r="V6">
            <v>45.789061745779293</v>
          </cell>
        </row>
        <row r="7"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30</v>
          </cell>
          <cell r="Q7">
            <v>68.341643330825832</v>
          </cell>
          <cell r="R7">
            <v>100.32134973994673</v>
          </cell>
          <cell r="S7">
            <v>82.639006798408047</v>
          </cell>
          <cell r="T7">
            <v>67.75892127087694</v>
          </cell>
          <cell r="U7">
            <v>55.57940835560332</v>
          </cell>
          <cell r="V7">
            <v>45.789061745779293</v>
          </cell>
        </row>
        <row r="8"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30</v>
          </cell>
          <cell r="Q8">
            <v>68.341643330825832</v>
          </cell>
          <cell r="R8">
            <v>100.32134973994673</v>
          </cell>
          <cell r="S8">
            <v>82.639006798408047</v>
          </cell>
          <cell r="T8">
            <v>67.75892127087694</v>
          </cell>
          <cell r="U8">
            <v>55.57940835560332</v>
          </cell>
          <cell r="V8">
            <v>45.789061745779293</v>
          </cell>
        </row>
        <row r="9"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30</v>
          </cell>
          <cell r="Q9">
            <v>68.341643330825832</v>
          </cell>
          <cell r="R9">
            <v>100.32134973994673</v>
          </cell>
          <cell r="S9">
            <v>82.639006798408047</v>
          </cell>
          <cell r="T9">
            <v>67.75892127087694</v>
          </cell>
          <cell r="U9">
            <v>55.57940835560332</v>
          </cell>
          <cell r="V9">
            <v>45.789061745779293</v>
          </cell>
        </row>
        <row r="10">
          <cell r="L10">
            <v>0</v>
          </cell>
          <cell r="M10">
            <v>0</v>
          </cell>
          <cell r="N10">
            <v>0</v>
          </cell>
          <cell r="O10">
            <v>18.87248956387052</v>
          </cell>
          <cell r="P10">
            <v>22.15</v>
          </cell>
          <cell r="Q10">
            <v>28.660327055790539</v>
          </cell>
          <cell r="R10">
            <v>42.071606038310293</v>
          </cell>
          <cell r="S10">
            <v>82.639006798408047</v>
          </cell>
          <cell r="T10">
            <v>67.75892127087694</v>
          </cell>
          <cell r="U10">
            <v>55.57940835560332</v>
          </cell>
          <cell r="V10">
            <v>45.789061745779293</v>
          </cell>
        </row>
        <row r="11"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30</v>
          </cell>
          <cell r="Q11">
            <v>68.341643330825832</v>
          </cell>
          <cell r="R11">
            <v>100.32134973994673</v>
          </cell>
          <cell r="S11">
            <v>82.639006798408047</v>
          </cell>
          <cell r="T11">
            <v>67.75892127087694</v>
          </cell>
          <cell r="U11">
            <v>55.57940835560332</v>
          </cell>
          <cell r="V11">
            <v>45.789061745779293</v>
          </cell>
        </row>
        <row r="12"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30</v>
          </cell>
          <cell r="Q12">
            <v>68.341643330825832</v>
          </cell>
          <cell r="R12">
            <v>100.32134973994673</v>
          </cell>
          <cell r="S12">
            <v>82.639006798408047</v>
          </cell>
          <cell r="T12">
            <v>67.75892127087694</v>
          </cell>
          <cell r="U12">
            <v>55.57940835560332</v>
          </cell>
          <cell r="V12">
            <v>45.789061745779293</v>
          </cell>
        </row>
        <row r="13"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30</v>
          </cell>
          <cell r="Q13">
            <v>68.341643330825832</v>
          </cell>
          <cell r="R13">
            <v>100.32134973994673</v>
          </cell>
          <cell r="S13">
            <v>82.639006798408047</v>
          </cell>
          <cell r="T13">
            <v>67.75892127087694</v>
          </cell>
          <cell r="U13">
            <v>55.57940835560332</v>
          </cell>
          <cell r="V13">
            <v>45.789061745779293</v>
          </cell>
        </row>
        <row r="14"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30</v>
          </cell>
          <cell r="Q14">
            <v>68.341643330825832</v>
          </cell>
          <cell r="R14">
            <v>100.32134973994673</v>
          </cell>
          <cell r="S14">
            <v>82.639006798408047</v>
          </cell>
          <cell r="T14">
            <v>67.75892127087694</v>
          </cell>
          <cell r="U14">
            <v>55.57940835560332</v>
          </cell>
          <cell r="V14">
            <v>45.789061745779293</v>
          </cell>
        </row>
        <row r="15"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30</v>
          </cell>
          <cell r="Q15">
            <v>68.341643330825832</v>
          </cell>
          <cell r="R15">
            <v>100.32134973994673</v>
          </cell>
          <cell r="S15">
            <v>82.639006798408047</v>
          </cell>
          <cell r="T15">
            <v>67.75892127087694</v>
          </cell>
          <cell r="U15">
            <v>55.57940835560332</v>
          </cell>
          <cell r="V15">
            <v>45.789061745779293</v>
          </cell>
        </row>
        <row r="16"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30</v>
          </cell>
          <cell r="Q16">
            <v>68.341643330825832</v>
          </cell>
          <cell r="R16">
            <v>100.32134973994673</v>
          </cell>
          <cell r="S16">
            <v>82.639006798408047</v>
          </cell>
          <cell r="T16">
            <v>67.75892127087694</v>
          </cell>
          <cell r="U16">
            <v>55.57940835560332</v>
          </cell>
          <cell r="V16">
            <v>45.789061745779293</v>
          </cell>
        </row>
        <row r="17"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30</v>
          </cell>
          <cell r="Q17">
            <v>68.341643330825832</v>
          </cell>
          <cell r="R17">
            <v>100.32134973994673</v>
          </cell>
          <cell r="S17">
            <v>82.639006798408047</v>
          </cell>
          <cell r="T17">
            <v>67.75892127087694</v>
          </cell>
          <cell r="U17">
            <v>55.57940835560332</v>
          </cell>
          <cell r="V17">
            <v>45.789061745779293</v>
          </cell>
        </row>
        <row r="18"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30</v>
          </cell>
          <cell r="Q18">
            <v>68.341643330825832</v>
          </cell>
          <cell r="R18">
            <v>100.32134973994673</v>
          </cell>
          <cell r="S18">
            <v>82.639006798408047</v>
          </cell>
          <cell r="T18">
            <v>67.75892127087694</v>
          </cell>
          <cell r="U18">
            <v>55.57940835560332</v>
          </cell>
          <cell r="V18">
            <v>45.789061745779293</v>
          </cell>
        </row>
        <row r="19"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30</v>
          </cell>
          <cell r="Q19">
            <v>68.341643330825832</v>
          </cell>
          <cell r="R19">
            <v>100.32134973994671</v>
          </cell>
          <cell r="S19">
            <v>82.639006798408047</v>
          </cell>
          <cell r="T19">
            <v>67.75892127087694</v>
          </cell>
          <cell r="U19">
            <v>55.579408355603313</v>
          </cell>
          <cell r="V19">
            <v>45.789061745779293</v>
          </cell>
        </row>
      </sheetData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"/>
  <sheetViews>
    <sheetView tabSelected="1" workbookViewId="0">
      <selection activeCell="M3" sqref="M3:W3"/>
    </sheetView>
  </sheetViews>
  <sheetFormatPr defaultRowHeight="15" x14ac:dyDescent="0.25"/>
  <sheetData>
    <row r="1" spans="1:24" x14ac:dyDescent="0.25">
      <c r="B1" t="s">
        <v>0</v>
      </c>
    </row>
    <row r="2" spans="1:24" x14ac:dyDescent="0.25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>
        <v>2000</v>
      </c>
      <c r="N2">
        <v>2005</v>
      </c>
      <c r="O2">
        <v>2010</v>
      </c>
      <c r="P2">
        <v>2015</v>
      </c>
      <c r="Q2">
        <v>2020</v>
      </c>
      <c r="R2">
        <v>2025</v>
      </c>
      <c r="S2">
        <v>2030</v>
      </c>
      <c r="T2">
        <v>2035</v>
      </c>
      <c r="U2">
        <v>2040</v>
      </c>
      <c r="V2">
        <v>2045</v>
      </c>
      <c r="W2">
        <v>2050</v>
      </c>
      <c r="X2" t="s">
        <v>13</v>
      </c>
    </row>
    <row r="3" spans="1:24" x14ac:dyDescent="0.25">
      <c r="A3" t="s">
        <v>14</v>
      </c>
      <c r="B3" t="s">
        <v>3</v>
      </c>
      <c r="C3" t="s">
        <v>15</v>
      </c>
      <c r="G3" t="s">
        <v>16</v>
      </c>
      <c r="H3" t="s">
        <v>17</v>
      </c>
      <c r="I3" t="s">
        <v>18</v>
      </c>
      <c r="K3" t="s">
        <v>19</v>
      </c>
      <c r="L3" t="s">
        <v>20</v>
      </c>
      <c r="M3" cm="1">
        <f t="array" ref="M3">INDEX([1]Carbon_tax!L$4:L$19,_xlfn.XMATCH($C3,[1]!region_CIMS))</f>
        <v>0</v>
      </c>
      <c r="N3" cm="1">
        <f t="array" ref="N3">INDEX([1]Carbon_tax!M$4:M$19,_xlfn.XMATCH($C3,[1]!region_CIMS))</f>
        <v>0</v>
      </c>
      <c r="O3" cm="1">
        <f t="array" ref="O3">INDEX([1]Carbon_tax!N$4:N$19,_xlfn.XMATCH($C3,[1]!region_CIMS))</f>
        <v>0</v>
      </c>
      <c r="P3" cm="1">
        <f t="array" ref="P3">INDEX([1]Carbon_tax!O$4:O$19,_xlfn.XMATCH($C3,[1]!region_CIMS))</f>
        <v>0</v>
      </c>
      <c r="Q3" cm="1">
        <f t="array" ref="Q3">INDEX([1]Carbon_tax!P$4:P$19,_xlfn.XMATCH($C3,[1]!region_CIMS))</f>
        <v>30</v>
      </c>
      <c r="R3" cm="1">
        <f t="array" ref="R3">INDEX([1]Carbon_tax!Q$4:Q$19,_xlfn.XMATCH($C3,[1]!region_CIMS))</f>
        <v>68.341643330825832</v>
      </c>
      <c r="S3" cm="1">
        <f t="array" ref="S3">INDEX([1]Carbon_tax!R$4:R$19,_xlfn.XMATCH($C3,[1]!region_CIMS))</f>
        <v>100.32134973994673</v>
      </c>
      <c r="T3" cm="1">
        <f t="array" ref="T3">INDEX([1]Carbon_tax!S$4:S$19,_xlfn.XMATCH($C3,[1]!region_CIMS))</f>
        <v>82.639006798408047</v>
      </c>
      <c r="U3" cm="1">
        <f t="array" ref="U3">INDEX([1]Carbon_tax!T$4:T$19,_xlfn.XMATCH($C3,[1]!region_CIMS))</f>
        <v>67.75892127087694</v>
      </c>
      <c r="V3" cm="1">
        <f t="array" ref="V3">INDEX([1]Carbon_tax!U$4:U$19,_xlfn.XMATCH($C3,[1]!region_CIMS))</f>
        <v>55.57940835560332</v>
      </c>
      <c r="W3" cm="1">
        <f t="array" ref="W3">INDEX([1]Carbon_tax!V$4:V$19,_xlfn.XMATCH($C3,[1]!region_CIMS))</f>
        <v>45.789061745779293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Bradford Griffin</dc:creator>
  <cp:lastModifiedBy>Bradford Griffin</cp:lastModifiedBy>
  <dcterms:created xsi:type="dcterms:W3CDTF">2025-07-17T22:01:03Z</dcterms:created>
  <dcterms:modified xsi:type="dcterms:W3CDTF">2025-11-18T23:17:19Z</dcterms:modified>
</cp:coreProperties>
</file>